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nuel Lombardi\OneDrive\Escritorio\Analisis_Mani\"/>
    </mc:Choice>
  </mc:AlternateContent>
  <xr:revisionPtr revIDLastSave="0" documentId="13_ncr:1_{D69D1397-3AB2-4E13-B03D-25A66FC9E3A2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mani-serie-1927-2024" sheetId="2" state="hidden" r:id="rId1"/>
    <sheet name="InDepth_Analysis" sheetId="6" r:id="rId2"/>
    <sheet name="Depts_Comparison" sheetId="7" r:id="rId3"/>
    <sheet name="Validation_Functions" sheetId="5" r:id="rId4"/>
    <sheet name="Historical" sheetId="10" r:id="rId5"/>
    <sheet name="Graphs" sheetId="1" r:id="rId6"/>
    <sheet name="Data_Validation" sheetId="3" r:id="rId7"/>
  </sheets>
  <definedNames>
    <definedName name="campania">Graphs!$D$6</definedName>
    <definedName name="DatosExternos_1" localSheetId="0" hidden="1">'mani-serie-1927-2024'!$A$1:$L$5258</definedName>
    <definedName name="departamento">Graphs!$E$22</definedName>
    <definedName name="Eje_deptos">_xlfn.ANCHORARRAY(Validation_Functions!$A$3)</definedName>
    <definedName name="Eje_Provincias">Validation_Functions!$G$4:$G$21</definedName>
    <definedName name="Ha_cosechada">_xlfn.ANCHORARRAY(Validation_Functions!$C$3)</definedName>
    <definedName name="Ha_semb">_xlfn.ANCHORARRAY(Validation_Functions!$B$3)</definedName>
    <definedName name="prov_hist">Historical!$G$27</definedName>
    <definedName name="provincia">Graphs!$M$6</definedName>
    <definedName name="Rendimiento_kgxha">_xlfn.ANCHORARRAY(Validation_Functions!$E$3)</definedName>
    <definedName name="SegmentaciónDeDatos_anio">#N/A</definedName>
    <definedName name="SegmentaciónDeDatos_campania">#N/A</definedName>
    <definedName name="SegmentaciónDeDatos_departamento_nombre">#N/A</definedName>
    <definedName name="SegmentaciónDeDatos_provincia_nombre">#N/A</definedName>
    <definedName name="SegmentaciónDeDatos_provincia_nombre1">#N/A</definedName>
    <definedName name="Tn_producidas">_xlfn.ANCHORARRAY(Validation_Functions!$D$3)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58" i="5" l="1" a="1"/>
  <c r="A158" i="5" s="1"/>
  <c r="C158" i="5" a="1"/>
  <c r="C158" i="5" s="1"/>
  <c r="G29" i="10" s="1"/>
  <c r="D136" i="5" a="1"/>
  <c r="D136" i="5" s="1"/>
  <c r="M4" i="5" a="1"/>
  <c r="M4" i="5" s="1"/>
  <c r="A35" i="10" a="1"/>
  <c r="A35" i="10" s="1"/>
  <c r="A30" i="5" a="1"/>
  <c r="A30" i="5" s="1"/>
  <c r="A137" i="5" a="1"/>
  <c r="A137" i="5" s="1"/>
  <c r="B29" i="5" s="1" a="1"/>
  <c r="D34" i="5" s="1" a="1"/>
  <c r="D34" i="5" s="1"/>
  <c r="G4" i="5" a="1"/>
  <c r="J14" i="5" s="1" a="1"/>
  <c r="J14" i="5" s="1"/>
  <c r="C3" i="5" a="1"/>
  <c r="C3" i="5" s="1"/>
  <c r="E3" i="5" a="1"/>
  <c r="E3" i="5" s="1"/>
  <c r="D3" i="5" a="1"/>
  <c r="D3" i="5" s="1"/>
  <c r="P3" i="3" a="1"/>
  <c r="P3" i="3" s="1"/>
  <c r="A3" i="5" a="1"/>
  <c r="A3" i="5" s="1"/>
  <c r="B3" i="5" a="1"/>
  <c r="B3" i="5" s="1"/>
  <c r="P1" i="3"/>
  <c r="F3" i="3" a="1"/>
  <c r="F3" i="3" s="1"/>
  <c r="G3" i="3" a="1"/>
  <c r="G3" i="3" s="1"/>
  <c r="H3" i="3" a="1"/>
  <c r="H3" i="3" s="1"/>
  <c r="I3" i="3" a="1"/>
  <c r="I3" i="3" s="1"/>
  <c r="J3" i="3" a="1"/>
  <c r="J3" i="3" s="1"/>
  <c r="O3" i="3" a="1"/>
  <c r="O3" i="3" s="1"/>
  <c r="N3" i="3" a="1"/>
  <c r="N3" i="3" s="1"/>
  <c r="M3" i="3" a="1"/>
  <c r="M3" i="3" s="1"/>
  <c r="L3" i="3" a="1"/>
  <c r="L3" i="3" s="1"/>
  <c r="K3" i="3" a="1"/>
  <c r="K3" i="3" s="1"/>
  <c r="F1" i="3"/>
  <c r="B158" i="5" l="1" a="1"/>
  <c r="B158" i="5" s="1"/>
  <c r="D158" i="5"/>
  <c r="H29" i="10" s="1"/>
  <c r="B149" i="5" a="1"/>
  <c r="B149" i="5" s="1"/>
  <c r="B137" i="5" a="1"/>
  <c r="B137" i="5" s="1"/>
  <c r="E143" i="5" a="1"/>
  <c r="E143" i="5" s="1"/>
  <c r="B148" i="5" a="1"/>
  <c r="B148" i="5" s="1"/>
  <c r="E136" i="5" a="1"/>
  <c r="E136" i="5" s="1"/>
  <c r="E142" i="5" a="1"/>
  <c r="E142" i="5" s="1"/>
  <c r="B147" i="5" a="1"/>
  <c r="B147" i="5" s="1"/>
  <c r="E153" i="5" a="1"/>
  <c r="E153" i="5" s="1"/>
  <c r="E141" i="5" a="1"/>
  <c r="E141" i="5" s="1"/>
  <c r="D105" i="5" a="1"/>
  <c r="D105" i="5" s="1"/>
  <c r="D121" i="5" a="1"/>
  <c r="D121" i="5" s="1"/>
  <c r="B146" i="5" a="1"/>
  <c r="B146" i="5" s="1"/>
  <c r="E152" i="5" a="1"/>
  <c r="E152" i="5" s="1"/>
  <c r="E140" i="5" a="1"/>
  <c r="E140" i="5" s="1"/>
  <c r="B145" i="5" a="1"/>
  <c r="B145" i="5" s="1"/>
  <c r="E151" i="5" a="1"/>
  <c r="E151" i="5" s="1"/>
  <c r="E139" i="5" a="1"/>
  <c r="E139" i="5" s="1"/>
  <c r="B144" i="5" a="1"/>
  <c r="B144" i="5" s="1"/>
  <c r="E150" i="5" a="1"/>
  <c r="E150" i="5" s="1"/>
  <c r="E138" i="5" a="1"/>
  <c r="E138" i="5" s="1"/>
  <c r="D103" i="5" a="1"/>
  <c r="D103" i="5" s="1"/>
  <c r="D89" i="5" a="1"/>
  <c r="D89" i="5" s="1"/>
  <c r="B143" i="5" a="1"/>
  <c r="B143" i="5" s="1"/>
  <c r="E149" i="5" a="1"/>
  <c r="E149" i="5" s="1"/>
  <c r="E137" i="5" a="1"/>
  <c r="E137" i="5" s="1"/>
  <c r="B154" i="5" a="1"/>
  <c r="B154" i="5" s="1"/>
  <c r="B142" i="5" a="1"/>
  <c r="B142" i="5" s="1"/>
  <c r="E148" i="5" a="1"/>
  <c r="E148" i="5" s="1"/>
  <c r="B153" i="5" a="1"/>
  <c r="B153" i="5" s="1"/>
  <c r="B141" i="5" a="1"/>
  <c r="B141" i="5" s="1"/>
  <c r="E147" i="5" a="1"/>
  <c r="E147" i="5" s="1"/>
  <c r="B152" i="5" a="1"/>
  <c r="B152" i="5" s="1"/>
  <c r="B140" i="5" a="1"/>
  <c r="B140" i="5" s="1"/>
  <c r="E146" i="5" a="1"/>
  <c r="E146" i="5" s="1"/>
  <c r="B151" i="5" a="1"/>
  <c r="B151" i="5" s="1"/>
  <c r="B139" i="5" a="1"/>
  <c r="B139" i="5" s="1"/>
  <c r="E145" i="5" a="1"/>
  <c r="E145" i="5" s="1"/>
  <c r="B150" i="5" a="1"/>
  <c r="B150" i="5" s="1"/>
  <c r="B138" i="5" a="1"/>
  <c r="B138" i="5" s="1"/>
  <c r="E144" i="5" a="1"/>
  <c r="E144" i="5" s="1"/>
  <c r="D45" i="5" a="1"/>
  <c r="D45" i="5" s="1"/>
  <c r="D116" i="5" a="1"/>
  <c r="D116" i="5" s="1"/>
  <c r="D74" i="5" a="1"/>
  <c r="D74" i="5" s="1"/>
  <c r="D117" i="5" a="1"/>
  <c r="D117" i="5" s="1"/>
  <c r="D75" i="5" a="1"/>
  <c r="D75" i="5" s="1"/>
  <c r="D31" i="5" a="1"/>
  <c r="D31" i="5" s="1"/>
  <c r="D88" i="5" a="1"/>
  <c r="D88" i="5" s="1"/>
  <c r="D44" i="5" a="1"/>
  <c r="D44" i="5" s="1"/>
  <c r="D115" i="5" a="1"/>
  <c r="D115" i="5" s="1"/>
  <c r="D87" i="5" a="1"/>
  <c r="D87" i="5" s="1"/>
  <c r="D57" i="5" a="1"/>
  <c r="D57" i="5" s="1"/>
  <c r="D114" i="5" a="1"/>
  <c r="D114" i="5" s="1"/>
  <c r="D86" i="5" a="1"/>
  <c r="D86" i="5" s="1"/>
  <c r="D56" i="5" a="1"/>
  <c r="D56" i="5" s="1"/>
  <c r="D127" i="5" a="1"/>
  <c r="D127" i="5" s="1"/>
  <c r="D99" i="5" a="1"/>
  <c r="D99" i="5" s="1"/>
  <c r="D69" i="5" a="1"/>
  <c r="D69" i="5" s="1"/>
  <c r="D41" i="5" a="1"/>
  <c r="D41" i="5" s="1"/>
  <c r="D112" i="5" a="1"/>
  <c r="D112" i="5" s="1"/>
  <c r="D84" i="5" a="1"/>
  <c r="D84" i="5" s="1"/>
  <c r="D54" i="5" a="1"/>
  <c r="D54" i="5" s="1"/>
  <c r="D125" i="5" a="1"/>
  <c r="D125" i="5" s="1"/>
  <c r="D97" i="5" a="1"/>
  <c r="D97" i="5" s="1"/>
  <c r="D67" i="5" a="1"/>
  <c r="D67" i="5" s="1"/>
  <c r="D61" i="5" a="1"/>
  <c r="D61" i="5" s="1"/>
  <c r="D102" i="5" a="1"/>
  <c r="D102" i="5" s="1"/>
  <c r="D60" i="5" a="1"/>
  <c r="D60" i="5" s="1"/>
  <c r="D30" i="5" a="1"/>
  <c r="D30" i="5" s="1"/>
  <c r="D101" i="5" a="1"/>
  <c r="D101" i="5" s="1"/>
  <c r="D73" i="5" a="1"/>
  <c r="D73" i="5" s="1"/>
  <c r="D43" i="5" a="1"/>
  <c r="D43" i="5" s="1"/>
  <c r="D100" i="5" a="1"/>
  <c r="D100" i="5" s="1"/>
  <c r="D72" i="5" a="1"/>
  <c r="D72" i="5" s="1"/>
  <c r="D42" i="5" a="1"/>
  <c r="D42" i="5" s="1"/>
  <c r="D113" i="5" a="1"/>
  <c r="D113" i="5" s="1"/>
  <c r="D85" i="5" a="1"/>
  <c r="D85" i="5" s="1"/>
  <c r="D55" i="5" a="1"/>
  <c r="D55" i="5" s="1"/>
  <c r="D126" i="5" a="1"/>
  <c r="D126" i="5" s="1"/>
  <c r="D98" i="5" a="1"/>
  <c r="D98" i="5" s="1"/>
  <c r="D68" i="5" a="1"/>
  <c r="D68" i="5" s="1"/>
  <c r="D40" i="5" a="1"/>
  <c r="D40" i="5" s="1"/>
  <c r="D111" i="5" a="1"/>
  <c r="D111" i="5" s="1"/>
  <c r="D81" i="5" a="1"/>
  <c r="D81" i="5" s="1"/>
  <c r="D53" i="5" a="1"/>
  <c r="D53" i="5" s="1"/>
  <c r="D39" i="5" a="1"/>
  <c r="D39" i="5" s="1"/>
  <c r="D124" i="5" a="1"/>
  <c r="D124" i="5" s="1"/>
  <c r="D110" i="5" a="1"/>
  <c r="D110" i="5" s="1"/>
  <c r="D96" i="5" a="1"/>
  <c r="D96" i="5" s="1"/>
  <c r="D80" i="5" a="1"/>
  <c r="D80" i="5" s="1"/>
  <c r="D66" i="5" a="1"/>
  <c r="D66" i="5" s="1"/>
  <c r="D52" i="5" a="1"/>
  <c r="D52" i="5" s="1"/>
  <c r="D38" i="5" a="1"/>
  <c r="D38" i="5" s="1"/>
  <c r="D123" i="5" a="1"/>
  <c r="D123" i="5" s="1"/>
  <c r="D109" i="5" a="1"/>
  <c r="D109" i="5" s="1"/>
  <c r="D93" i="5" a="1"/>
  <c r="D93" i="5" s="1"/>
  <c r="D79" i="5" a="1"/>
  <c r="D79" i="5" s="1"/>
  <c r="D65" i="5" a="1"/>
  <c r="D65" i="5" s="1"/>
  <c r="D51" i="5" a="1"/>
  <c r="D51" i="5" s="1"/>
  <c r="D37" i="5" a="1"/>
  <c r="D37" i="5" s="1"/>
  <c r="D122" i="5" a="1"/>
  <c r="D122" i="5" s="1"/>
  <c r="D108" i="5" a="1"/>
  <c r="D108" i="5" s="1"/>
  <c r="D92" i="5" a="1"/>
  <c r="D92" i="5" s="1"/>
  <c r="D78" i="5" a="1"/>
  <c r="D78" i="5" s="1"/>
  <c r="D64" i="5" a="1"/>
  <c r="D64" i="5" s="1"/>
  <c r="D50" i="5" a="1"/>
  <c r="D50" i="5" s="1"/>
  <c r="D36" i="5" a="1"/>
  <c r="D36" i="5" s="1"/>
  <c r="D77" i="5" a="1"/>
  <c r="D77" i="5" s="1"/>
  <c r="D49" i="5" a="1"/>
  <c r="D49" i="5" s="1"/>
  <c r="D91" i="5" a="1"/>
  <c r="D91" i="5" s="1"/>
  <c r="D63" i="5" a="1"/>
  <c r="D63" i="5" s="1"/>
  <c r="D33" i="5" a="1"/>
  <c r="D33" i="5" s="1"/>
  <c r="D120" i="5" a="1"/>
  <c r="D120" i="5" s="1"/>
  <c r="D104" i="5" a="1"/>
  <c r="D104" i="5" s="1"/>
  <c r="D90" i="5" a="1"/>
  <c r="D90" i="5" s="1"/>
  <c r="D76" i="5" a="1"/>
  <c r="D76" i="5" s="1"/>
  <c r="D62" i="5" a="1"/>
  <c r="D62" i="5" s="1"/>
  <c r="D48" i="5" a="1"/>
  <c r="D48" i="5" s="1"/>
  <c r="D32" i="5" a="1"/>
  <c r="D32" i="5" s="1"/>
  <c r="D119" i="5" a="1"/>
  <c r="D119" i="5" s="1"/>
  <c r="D107" i="5" a="1"/>
  <c r="D107" i="5" s="1"/>
  <c r="D95" i="5" a="1"/>
  <c r="D95" i="5" s="1"/>
  <c r="D83" i="5" a="1"/>
  <c r="D83" i="5" s="1"/>
  <c r="D71" i="5" a="1"/>
  <c r="D71" i="5" s="1"/>
  <c r="D59" i="5" a="1"/>
  <c r="D59" i="5" s="1"/>
  <c r="D47" i="5" a="1"/>
  <c r="D47" i="5" s="1"/>
  <c r="D35" i="5" a="1"/>
  <c r="D35" i="5" s="1"/>
  <c r="D118" i="5" a="1"/>
  <c r="D118" i="5" s="1"/>
  <c r="D106" i="5" a="1"/>
  <c r="D106" i="5" s="1"/>
  <c r="D94" i="5" a="1"/>
  <c r="D94" i="5" s="1"/>
  <c r="D82" i="5" a="1"/>
  <c r="D82" i="5" s="1"/>
  <c r="D70" i="5" a="1"/>
  <c r="D70" i="5" s="1"/>
  <c r="D58" i="5" a="1"/>
  <c r="D58" i="5" s="1"/>
  <c r="D46" i="5" a="1"/>
  <c r="D46" i="5" s="1"/>
  <c r="B29" i="5"/>
  <c r="S36" i="5" a="1"/>
  <c r="S36" i="5" s="1"/>
  <c r="S48" i="5" a="1"/>
  <c r="S48" i="5" s="1"/>
  <c r="S60" i="5" a="1"/>
  <c r="S60" i="5" s="1"/>
  <c r="S72" i="5" a="1"/>
  <c r="S72" i="5" s="1"/>
  <c r="S84" i="5" a="1"/>
  <c r="S84" i="5" s="1"/>
  <c r="S96" i="5" a="1"/>
  <c r="S96" i="5" s="1"/>
  <c r="S108" i="5" a="1"/>
  <c r="S108" i="5" s="1"/>
  <c r="S120" i="5" a="1"/>
  <c r="S120" i="5" s="1"/>
  <c r="R34" i="5" a="1"/>
  <c r="R34" i="5" s="1"/>
  <c r="R46" i="5" a="1"/>
  <c r="R46" i="5" s="1"/>
  <c r="R58" i="5" a="1"/>
  <c r="R58" i="5" s="1"/>
  <c r="R70" i="5" a="1"/>
  <c r="R70" i="5" s="1"/>
  <c r="R82" i="5" a="1"/>
  <c r="R82" i="5" s="1"/>
  <c r="R94" i="5" a="1"/>
  <c r="R94" i="5" s="1"/>
  <c r="R106" i="5" a="1"/>
  <c r="R106" i="5" s="1"/>
  <c r="R118" i="5" a="1"/>
  <c r="R118" i="5" s="1"/>
  <c r="Q32" i="5" a="1"/>
  <c r="Q32" i="5" s="1"/>
  <c r="Q44" i="5" a="1"/>
  <c r="Q44" i="5" s="1"/>
  <c r="Q56" i="5" a="1"/>
  <c r="Q56" i="5" s="1"/>
  <c r="Q68" i="5" a="1"/>
  <c r="Q68" i="5" s="1"/>
  <c r="Q80" i="5" a="1"/>
  <c r="Q80" i="5" s="1"/>
  <c r="Q92" i="5" a="1"/>
  <c r="Q92" i="5" s="1"/>
  <c r="Q104" i="5" a="1"/>
  <c r="Q104" i="5" s="1"/>
  <c r="Q116" i="5" a="1"/>
  <c r="Q116" i="5" s="1"/>
  <c r="Q30" i="5" a="1"/>
  <c r="Q30" i="5" s="1"/>
  <c r="P42" i="5" a="1"/>
  <c r="P42" i="5" s="1"/>
  <c r="P54" i="5" a="1"/>
  <c r="P54" i="5" s="1"/>
  <c r="P66" i="5" a="1"/>
  <c r="P66" i="5" s="1"/>
  <c r="P78" i="5" a="1"/>
  <c r="P78" i="5" s="1"/>
  <c r="P90" i="5" a="1"/>
  <c r="P90" i="5" s="1"/>
  <c r="P102" i="5" a="1"/>
  <c r="P102" i="5" s="1"/>
  <c r="P114" i="5" a="1"/>
  <c r="P114" i="5" s="1"/>
  <c r="P126" i="5" a="1"/>
  <c r="P126" i="5" s="1"/>
  <c r="O40" i="5" a="1"/>
  <c r="O40" i="5" s="1"/>
  <c r="O52" i="5" a="1"/>
  <c r="O52" i="5" s="1"/>
  <c r="O64" i="5" a="1"/>
  <c r="O64" i="5" s="1"/>
  <c r="O76" i="5" a="1"/>
  <c r="O76" i="5" s="1"/>
  <c r="O88" i="5" a="1"/>
  <c r="O88" i="5" s="1"/>
  <c r="O100" i="5" a="1"/>
  <c r="O100" i="5" s="1"/>
  <c r="O112" i="5" a="1"/>
  <c r="O112" i="5" s="1"/>
  <c r="O124" i="5" a="1"/>
  <c r="O124" i="5" s="1"/>
  <c r="N38" i="5" a="1"/>
  <c r="N38" i="5" s="1"/>
  <c r="N50" i="5" a="1"/>
  <c r="N50" i="5" s="1"/>
  <c r="N62" i="5" a="1"/>
  <c r="N62" i="5" s="1"/>
  <c r="N74" i="5" a="1"/>
  <c r="N74" i="5" s="1"/>
  <c r="N86" i="5" a="1"/>
  <c r="N86" i="5" s="1"/>
  <c r="N98" i="5" a="1"/>
  <c r="N98" i="5" s="1"/>
  <c r="N110" i="5" a="1"/>
  <c r="N110" i="5" s="1"/>
  <c r="N122" i="5" a="1"/>
  <c r="N122" i="5" s="1"/>
  <c r="M36" i="5" a="1"/>
  <c r="M36" i="5" s="1"/>
  <c r="M47" i="5" a="1"/>
  <c r="M47" i="5" s="1"/>
  <c r="M59" i="5" a="1"/>
  <c r="M59" i="5" s="1"/>
  <c r="M71" i="5" a="1"/>
  <c r="M71" i="5" s="1"/>
  <c r="M83" i="5" a="1"/>
  <c r="M83" i="5" s="1"/>
  <c r="M95" i="5" a="1"/>
  <c r="M95" i="5" s="1"/>
  <c r="M107" i="5" a="1"/>
  <c r="M107" i="5" s="1"/>
  <c r="M119" i="5" a="1"/>
  <c r="M119" i="5" s="1"/>
  <c r="L33" i="5" a="1"/>
  <c r="L33" i="5" s="1"/>
  <c r="L45" i="5" a="1"/>
  <c r="L45" i="5" s="1"/>
  <c r="L56" i="5" a="1"/>
  <c r="L56" i="5" s="1"/>
  <c r="L68" i="5" a="1"/>
  <c r="L68" i="5" s="1"/>
  <c r="L80" i="5" a="1"/>
  <c r="L80" i="5" s="1"/>
  <c r="L92" i="5" a="1"/>
  <c r="L92" i="5" s="1"/>
  <c r="L104" i="5" a="1"/>
  <c r="L104" i="5" s="1"/>
  <c r="L116" i="5" a="1"/>
  <c r="L116" i="5" s="1"/>
  <c r="L30" i="5" a="1"/>
  <c r="L30" i="5" s="1"/>
  <c r="S37" i="5" a="1"/>
  <c r="S37" i="5" s="1"/>
  <c r="S49" i="5" a="1"/>
  <c r="S49" i="5" s="1"/>
  <c r="S61" i="5" a="1"/>
  <c r="S61" i="5" s="1"/>
  <c r="S73" i="5" a="1"/>
  <c r="S73" i="5" s="1"/>
  <c r="S85" i="5" a="1"/>
  <c r="S85" i="5" s="1"/>
  <c r="S97" i="5" a="1"/>
  <c r="S97" i="5" s="1"/>
  <c r="S109" i="5" a="1"/>
  <c r="S109" i="5" s="1"/>
  <c r="S121" i="5" a="1"/>
  <c r="S121" i="5" s="1"/>
  <c r="R35" i="5" a="1"/>
  <c r="R35" i="5" s="1"/>
  <c r="R47" i="5" a="1"/>
  <c r="R47" i="5" s="1"/>
  <c r="R59" i="5" a="1"/>
  <c r="R59" i="5" s="1"/>
  <c r="R71" i="5" a="1"/>
  <c r="R71" i="5" s="1"/>
  <c r="R83" i="5" a="1"/>
  <c r="R83" i="5" s="1"/>
  <c r="R95" i="5" a="1"/>
  <c r="R95" i="5" s="1"/>
  <c r="R107" i="5" a="1"/>
  <c r="R107" i="5" s="1"/>
  <c r="R119" i="5" a="1"/>
  <c r="R119" i="5" s="1"/>
  <c r="Q33" i="5" a="1"/>
  <c r="Q33" i="5" s="1"/>
  <c r="Q45" i="5" a="1"/>
  <c r="Q45" i="5" s="1"/>
  <c r="Q57" i="5" a="1"/>
  <c r="Q57" i="5" s="1"/>
  <c r="Q69" i="5" a="1"/>
  <c r="Q69" i="5" s="1"/>
  <c r="Q81" i="5" a="1"/>
  <c r="Q81" i="5" s="1"/>
  <c r="Q93" i="5" a="1"/>
  <c r="Q93" i="5" s="1"/>
  <c r="Q105" i="5" a="1"/>
  <c r="Q105" i="5" s="1"/>
  <c r="Q117" i="5" a="1"/>
  <c r="Q117" i="5" s="1"/>
  <c r="P31" i="5" a="1"/>
  <c r="P31" i="5" s="1"/>
  <c r="P43" i="5" a="1"/>
  <c r="P43" i="5" s="1"/>
  <c r="P55" i="5" a="1"/>
  <c r="P55" i="5" s="1"/>
  <c r="P67" i="5" a="1"/>
  <c r="P67" i="5" s="1"/>
  <c r="P79" i="5" a="1"/>
  <c r="P79" i="5" s="1"/>
  <c r="P91" i="5" a="1"/>
  <c r="P91" i="5" s="1"/>
  <c r="P103" i="5" a="1"/>
  <c r="P103" i="5" s="1"/>
  <c r="P115" i="5" a="1"/>
  <c r="P115" i="5" s="1"/>
  <c r="P127" i="5" a="1"/>
  <c r="P127" i="5" s="1"/>
  <c r="O41" i="5" a="1"/>
  <c r="O41" i="5" s="1"/>
  <c r="O53" i="5" a="1"/>
  <c r="O53" i="5" s="1"/>
  <c r="O65" i="5" a="1"/>
  <c r="O65" i="5" s="1"/>
  <c r="O77" i="5" a="1"/>
  <c r="O77" i="5" s="1"/>
  <c r="O89" i="5" a="1"/>
  <c r="O89" i="5" s="1"/>
  <c r="O101" i="5" a="1"/>
  <c r="O101" i="5" s="1"/>
  <c r="O113" i="5" a="1"/>
  <c r="O113" i="5" s="1"/>
  <c r="O125" i="5" a="1"/>
  <c r="O125" i="5" s="1"/>
  <c r="N39" i="5" a="1"/>
  <c r="N39" i="5" s="1"/>
  <c r="N51" i="5" a="1"/>
  <c r="N51" i="5" s="1"/>
  <c r="N63" i="5" a="1"/>
  <c r="N63" i="5" s="1"/>
  <c r="N75" i="5" a="1"/>
  <c r="N75" i="5" s="1"/>
  <c r="N87" i="5" a="1"/>
  <c r="N87" i="5" s="1"/>
  <c r="N99" i="5" a="1"/>
  <c r="N99" i="5" s="1"/>
  <c r="N111" i="5" a="1"/>
  <c r="N111" i="5" s="1"/>
  <c r="N123" i="5" a="1"/>
  <c r="N123" i="5" s="1"/>
  <c r="M37" i="5" a="1"/>
  <c r="M37" i="5" s="1"/>
  <c r="M48" i="5" a="1"/>
  <c r="M48" i="5" s="1"/>
  <c r="M60" i="5" a="1"/>
  <c r="M60" i="5" s="1"/>
  <c r="M72" i="5" a="1"/>
  <c r="M72" i="5" s="1"/>
  <c r="M84" i="5" a="1"/>
  <c r="M84" i="5" s="1"/>
  <c r="M96" i="5" a="1"/>
  <c r="M96" i="5" s="1"/>
  <c r="M108" i="5" a="1"/>
  <c r="M108" i="5" s="1"/>
  <c r="M120" i="5" a="1"/>
  <c r="M120" i="5" s="1"/>
  <c r="S38" i="5" a="1"/>
  <c r="S38" i="5" s="1"/>
  <c r="S50" i="5" a="1"/>
  <c r="S50" i="5" s="1"/>
  <c r="S62" i="5" a="1"/>
  <c r="S62" i="5" s="1"/>
  <c r="S74" i="5" a="1"/>
  <c r="S74" i="5" s="1"/>
  <c r="S86" i="5" a="1"/>
  <c r="S86" i="5" s="1"/>
  <c r="S98" i="5" a="1"/>
  <c r="S98" i="5" s="1"/>
  <c r="S110" i="5" a="1"/>
  <c r="S110" i="5" s="1"/>
  <c r="S122" i="5" a="1"/>
  <c r="S122" i="5" s="1"/>
  <c r="R36" i="5" a="1"/>
  <c r="R36" i="5" s="1"/>
  <c r="R48" i="5" a="1"/>
  <c r="R48" i="5" s="1"/>
  <c r="R60" i="5" a="1"/>
  <c r="R60" i="5" s="1"/>
  <c r="R72" i="5" a="1"/>
  <c r="R72" i="5" s="1"/>
  <c r="R84" i="5" a="1"/>
  <c r="R84" i="5" s="1"/>
  <c r="R96" i="5" a="1"/>
  <c r="R96" i="5" s="1"/>
  <c r="R108" i="5" a="1"/>
  <c r="R108" i="5" s="1"/>
  <c r="R120" i="5" a="1"/>
  <c r="R120" i="5" s="1"/>
  <c r="Q34" i="5" a="1"/>
  <c r="Q34" i="5" s="1"/>
  <c r="Q46" i="5" a="1"/>
  <c r="Q46" i="5" s="1"/>
  <c r="Q58" i="5" a="1"/>
  <c r="Q58" i="5" s="1"/>
  <c r="Q70" i="5" a="1"/>
  <c r="Q70" i="5" s="1"/>
  <c r="Q82" i="5" a="1"/>
  <c r="Q82" i="5" s="1"/>
  <c r="Q94" i="5" a="1"/>
  <c r="Q94" i="5" s="1"/>
  <c r="Q106" i="5" a="1"/>
  <c r="Q106" i="5" s="1"/>
  <c r="Q118" i="5" a="1"/>
  <c r="Q118" i="5" s="1"/>
  <c r="P32" i="5" a="1"/>
  <c r="P32" i="5" s="1"/>
  <c r="P44" i="5" a="1"/>
  <c r="P44" i="5" s="1"/>
  <c r="P56" i="5" a="1"/>
  <c r="P56" i="5" s="1"/>
  <c r="P68" i="5" a="1"/>
  <c r="P68" i="5" s="1"/>
  <c r="P80" i="5" a="1"/>
  <c r="P80" i="5" s="1"/>
  <c r="P92" i="5" a="1"/>
  <c r="P92" i="5" s="1"/>
  <c r="P104" i="5" a="1"/>
  <c r="P104" i="5" s="1"/>
  <c r="P116" i="5" a="1"/>
  <c r="P116" i="5" s="1"/>
  <c r="P30" i="5" a="1"/>
  <c r="P30" i="5" s="1"/>
  <c r="O42" i="5" a="1"/>
  <c r="O42" i="5" s="1"/>
  <c r="O54" i="5" a="1"/>
  <c r="O54" i="5" s="1"/>
  <c r="O66" i="5" a="1"/>
  <c r="O66" i="5" s="1"/>
  <c r="O78" i="5" a="1"/>
  <c r="O78" i="5" s="1"/>
  <c r="O90" i="5" a="1"/>
  <c r="O90" i="5" s="1"/>
  <c r="O102" i="5" a="1"/>
  <c r="O102" i="5" s="1"/>
  <c r="O114" i="5" a="1"/>
  <c r="O114" i="5" s="1"/>
  <c r="O126" i="5" a="1"/>
  <c r="O126" i="5" s="1"/>
  <c r="N40" i="5" a="1"/>
  <c r="N40" i="5" s="1"/>
  <c r="N52" i="5" a="1"/>
  <c r="N52" i="5" s="1"/>
  <c r="N64" i="5" a="1"/>
  <c r="N64" i="5" s="1"/>
  <c r="N76" i="5" a="1"/>
  <c r="N76" i="5" s="1"/>
  <c r="N88" i="5" a="1"/>
  <c r="N88" i="5" s="1"/>
  <c r="N100" i="5" a="1"/>
  <c r="N100" i="5" s="1"/>
  <c r="N112" i="5" a="1"/>
  <c r="N112" i="5" s="1"/>
  <c r="N124" i="5" a="1"/>
  <c r="N124" i="5" s="1"/>
  <c r="M38" i="5" a="1"/>
  <c r="M38" i="5" s="1"/>
  <c r="M49" i="5" a="1"/>
  <c r="M49" i="5" s="1"/>
  <c r="M61" i="5" a="1"/>
  <c r="M61" i="5" s="1"/>
  <c r="M73" i="5" a="1"/>
  <c r="M73" i="5" s="1"/>
  <c r="M85" i="5" a="1"/>
  <c r="M85" i="5" s="1"/>
  <c r="M97" i="5" a="1"/>
  <c r="M97" i="5" s="1"/>
  <c r="M109" i="5" a="1"/>
  <c r="M109" i="5" s="1"/>
  <c r="M121" i="5" a="1"/>
  <c r="M121" i="5" s="1"/>
  <c r="L35" i="5" a="1"/>
  <c r="L35" i="5" s="1"/>
  <c r="L47" i="5" a="1"/>
  <c r="L47" i="5" s="1"/>
  <c r="L58" i="5" a="1"/>
  <c r="L58" i="5" s="1"/>
  <c r="L70" i="5" a="1"/>
  <c r="L70" i="5" s="1"/>
  <c r="L82" i="5" a="1"/>
  <c r="L82" i="5" s="1"/>
  <c r="L94" i="5" a="1"/>
  <c r="L94" i="5" s="1"/>
  <c r="L106" i="5" a="1"/>
  <c r="L106" i="5" s="1"/>
  <c r="L118" i="5" a="1"/>
  <c r="L118" i="5" s="1"/>
  <c r="K32" i="5" a="1"/>
  <c r="K32" i="5" s="1"/>
  <c r="K44" i="5" a="1"/>
  <c r="K44" i="5" s="1"/>
  <c r="K56" i="5" a="1"/>
  <c r="K56" i="5" s="1"/>
  <c r="S39" i="5" a="1"/>
  <c r="S39" i="5" s="1"/>
  <c r="S51" i="5" a="1"/>
  <c r="S51" i="5" s="1"/>
  <c r="S63" i="5" a="1"/>
  <c r="S63" i="5" s="1"/>
  <c r="S75" i="5" a="1"/>
  <c r="S75" i="5" s="1"/>
  <c r="S87" i="5" a="1"/>
  <c r="S87" i="5" s="1"/>
  <c r="S99" i="5" a="1"/>
  <c r="S99" i="5" s="1"/>
  <c r="S111" i="5" a="1"/>
  <c r="S111" i="5" s="1"/>
  <c r="S123" i="5" a="1"/>
  <c r="S123" i="5" s="1"/>
  <c r="R37" i="5" a="1"/>
  <c r="R37" i="5" s="1"/>
  <c r="R49" i="5" a="1"/>
  <c r="R49" i="5" s="1"/>
  <c r="R61" i="5" a="1"/>
  <c r="R61" i="5" s="1"/>
  <c r="R73" i="5" a="1"/>
  <c r="R73" i="5" s="1"/>
  <c r="R85" i="5" a="1"/>
  <c r="R85" i="5" s="1"/>
  <c r="R97" i="5" a="1"/>
  <c r="R97" i="5" s="1"/>
  <c r="R109" i="5" a="1"/>
  <c r="R109" i="5" s="1"/>
  <c r="R121" i="5" a="1"/>
  <c r="R121" i="5" s="1"/>
  <c r="Q35" i="5" a="1"/>
  <c r="Q35" i="5" s="1"/>
  <c r="Q47" i="5" a="1"/>
  <c r="Q47" i="5" s="1"/>
  <c r="Q59" i="5" a="1"/>
  <c r="Q59" i="5" s="1"/>
  <c r="Q71" i="5" a="1"/>
  <c r="Q71" i="5" s="1"/>
  <c r="Q83" i="5" a="1"/>
  <c r="Q83" i="5" s="1"/>
  <c r="Q95" i="5" a="1"/>
  <c r="Q95" i="5" s="1"/>
  <c r="Q107" i="5" a="1"/>
  <c r="Q107" i="5" s="1"/>
  <c r="Q119" i="5" a="1"/>
  <c r="Q119" i="5" s="1"/>
  <c r="P33" i="5" a="1"/>
  <c r="P33" i="5" s="1"/>
  <c r="P45" i="5" a="1"/>
  <c r="P45" i="5" s="1"/>
  <c r="P57" i="5" a="1"/>
  <c r="P57" i="5" s="1"/>
  <c r="P69" i="5" a="1"/>
  <c r="P69" i="5" s="1"/>
  <c r="P81" i="5" a="1"/>
  <c r="P81" i="5" s="1"/>
  <c r="P93" i="5" a="1"/>
  <c r="P93" i="5" s="1"/>
  <c r="P105" i="5" a="1"/>
  <c r="P105" i="5" s="1"/>
  <c r="P117" i="5" a="1"/>
  <c r="P117" i="5" s="1"/>
  <c r="O31" i="5" a="1"/>
  <c r="O31" i="5" s="1"/>
  <c r="O43" i="5" a="1"/>
  <c r="O43" i="5" s="1"/>
  <c r="O55" i="5" a="1"/>
  <c r="O55" i="5" s="1"/>
  <c r="O67" i="5" a="1"/>
  <c r="O67" i="5" s="1"/>
  <c r="O79" i="5" a="1"/>
  <c r="O79" i="5" s="1"/>
  <c r="O91" i="5" a="1"/>
  <c r="O91" i="5" s="1"/>
  <c r="O103" i="5" a="1"/>
  <c r="O103" i="5" s="1"/>
  <c r="O115" i="5" a="1"/>
  <c r="O115" i="5" s="1"/>
  <c r="O127" i="5" a="1"/>
  <c r="O127" i="5" s="1"/>
  <c r="N41" i="5" a="1"/>
  <c r="N41" i="5" s="1"/>
  <c r="N53" i="5" a="1"/>
  <c r="N53" i="5" s="1"/>
  <c r="N65" i="5" a="1"/>
  <c r="N65" i="5" s="1"/>
  <c r="N77" i="5" a="1"/>
  <c r="N77" i="5" s="1"/>
  <c r="N89" i="5" a="1"/>
  <c r="N89" i="5" s="1"/>
  <c r="N101" i="5" a="1"/>
  <c r="N101" i="5" s="1"/>
  <c r="N113" i="5" a="1"/>
  <c r="N113" i="5" s="1"/>
  <c r="N125" i="5" a="1"/>
  <c r="N125" i="5" s="1"/>
  <c r="M39" i="5" a="1"/>
  <c r="M39" i="5" s="1"/>
  <c r="M50" i="5" a="1"/>
  <c r="M50" i="5" s="1"/>
  <c r="M62" i="5" a="1"/>
  <c r="M62" i="5" s="1"/>
  <c r="M74" i="5" a="1"/>
  <c r="M74" i="5" s="1"/>
  <c r="M86" i="5" a="1"/>
  <c r="M86" i="5" s="1"/>
  <c r="M98" i="5" a="1"/>
  <c r="M98" i="5" s="1"/>
  <c r="M110" i="5" a="1"/>
  <c r="M110" i="5" s="1"/>
  <c r="M122" i="5" a="1"/>
  <c r="M122" i="5" s="1"/>
  <c r="L36" i="5" a="1"/>
  <c r="L36" i="5" s="1"/>
  <c r="L48" i="5" a="1"/>
  <c r="L48" i="5" s="1"/>
  <c r="L59" i="5" a="1"/>
  <c r="L59" i="5" s="1"/>
  <c r="L71" i="5" a="1"/>
  <c r="L71" i="5" s="1"/>
  <c r="L83" i="5" a="1"/>
  <c r="L83" i="5" s="1"/>
  <c r="L95" i="5" a="1"/>
  <c r="L95" i="5" s="1"/>
  <c r="S40" i="5" a="1"/>
  <c r="S40" i="5" s="1"/>
  <c r="S52" i="5" a="1"/>
  <c r="S52" i="5" s="1"/>
  <c r="S64" i="5" a="1"/>
  <c r="S64" i="5" s="1"/>
  <c r="S76" i="5" a="1"/>
  <c r="S76" i="5" s="1"/>
  <c r="S88" i="5" a="1"/>
  <c r="S88" i="5" s="1"/>
  <c r="S100" i="5" a="1"/>
  <c r="S100" i="5" s="1"/>
  <c r="S112" i="5" a="1"/>
  <c r="S112" i="5" s="1"/>
  <c r="S124" i="5" a="1"/>
  <c r="S124" i="5" s="1"/>
  <c r="R38" i="5" a="1"/>
  <c r="R38" i="5" s="1"/>
  <c r="R50" i="5" a="1"/>
  <c r="R50" i="5" s="1"/>
  <c r="R62" i="5" a="1"/>
  <c r="R62" i="5" s="1"/>
  <c r="R74" i="5" a="1"/>
  <c r="R74" i="5" s="1"/>
  <c r="R86" i="5" a="1"/>
  <c r="R86" i="5" s="1"/>
  <c r="R98" i="5" a="1"/>
  <c r="R98" i="5" s="1"/>
  <c r="R110" i="5" a="1"/>
  <c r="R110" i="5" s="1"/>
  <c r="R122" i="5" a="1"/>
  <c r="R122" i="5" s="1"/>
  <c r="Q36" i="5" a="1"/>
  <c r="Q36" i="5" s="1"/>
  <c r="Q48" i="5" a="1"/>
  <c r="Q48" i="5" s="1"/>
  <c r="Q60" i="5" a="1"/>
  <c r="Q60" i="5" s="1"/>
  <c r="Q72" i="5" a="1"/>
  <c r="Q72" i="5" s="1"/>
  <c r="Q84" i="5" a="1"/>
  <c r="Q84" i="5" s="1"/>
  <c r="Q96" i="5" a="1"/>
  <c r="Q96" i="5" s="1"/>
  <c r="Q108" i="5" a="1"/>
  <c r="Q108" i="5" s="1"/>
  <c r="Q120" i="5" a="1"/>
  <c r="Q120" i="5" s="1"/>
  <c r="P34" i="5" a="1"/>
  <c r="P34" i="5" s="1"/>
  <c r="P46" i="5" a="1"/>
  <c r="P46" i="5" s="1"/>
  <c r="P58" i="5" a="1"/>
  <c r="P58" i="5" s="1"/>
  <c r="P70" i="5" a="1"/>
  <c r="P70" i="5" s="1"/>
  <c r="P82" i="5" a="1"/>
  <c r="P82" i="5" s="1"/>
  <c r="P94" i="5" a="1"/>
  <c r="P94" i="5" s="1"/>
  <c r="P106" i="5" a="1"/>
  <c r="P106" i="5" s="1"/>
  <c r="P118" i="5" a="1"/>
  <c r="P118" i="5" s="1"/>
  <c r="O32" i="5" a="1"/>
  <c r="O32" i="5" s="1"/>
  <c r="O44" i="5" a="1"/>
  <c r="O44" i="5" s="1"/>
  <c r="O56" i="5" a="1"/>
  <c r="O56" i="5" s="1"/>
  <c r="O68" i="5" a="1"/>
  <c r="O68" i="5" s="1"/>
  <c r="O80" i="5" a="1"/>
  <c r="O80" i="5" s="1"/>
  <c r="O92" i="5" a="1"/>
  <c r="O92" i="5" s="1"/>
  <c r="O104" i="5" a="1"/>
  <c r="O104" i="5" s="1"/>
  <c r="O116" i="5" a="1"/>
  <c r="O116" i="5" s="1"/>
  <c r="O30" i="5" a="1"/>
  <c r="O30" i="5" s="1"/>
  <c r="N42" i="5" a="1"/>
  <c r="N42" i="5" s="1"/>
  <c r="N54" i="5" a="1"/>
  <c r="N54" i="5" s="1"/>
  <c r="N66" i="5" a="1"/>
  <c r="N66" i="5" s="1"/>
  <c r="N78" i="5" a="1"/>
  <c r="N78" i="5" s="1"/>
  <c r="N90" i="5" a="1"/>
  <c r="N90" i="5" s="1"/>
  <c r="N102" i="5" a="1"/>
  <c r="N102" i="5" s="1"/>
  <c r="N114" i="5" a="1"/>
  <c r="N114" i="5" s="1"/>
  <c r="N126" i="5" a="1"/>
  <c r="N126" i="5" s="1"/>
  <c r="M40" i="5" a="1"/>
  <c r="M40" i="5" s="1"/>
  <c r="M51" i="5" a="1"/>
  <c r="M51" i="5" s="1"/>
  <c r="M63" i="5" a="1"/>
  <c r="M63" i="5" s="1"/>
  <c r="M75" i="5" a="1"/>
  <c r="M75" i="5" s="1"/>
  <c r="M87" i="5" a="1"/>
  <c r="M87" i="5" s="1"/>
  <c r="M99" i="5" a="1"/>
  <c r="M99" i="5" s="1"/>
  <c r="M111" i="5" a="1"/>
  <c r="M111" i="5" s="1"/>
  <c r="M123" i="5" a="1"/>
  <c r="M123" i="5" s="1"/>
  <c r="L37" i="5" a="1"/>
  <c r="L37" i="5" s="1"/>
  <c r="L49" i="5" a="1"/>
  <c r="L49" i="5" s="1"/>
  <c r="L60" i="5" a="1"/>
  <c r="L60" i="5" s="1"/>
  <c r="L72" i="5" a="1"/>
  <c r="L72" i="5" s="1"/>
  <c r="L84" i="5" a="1"/>
  <c r="L84" i="5" s="1"/>
  <c r="L96" i="5" a="1"/>
  <c r="L96" i="5" s="1"/>
  <c r="L108" i="5" a="1"/>
  <c r="L108" i="5" s="1"/>
  <c r="L120" i="5" a="1"/>
  <c r="L120" i="5" s="1"/>
  <c r="K34" i="5" a="1"/>
  <c r="K34" i="5" s="1"/>
  <c r="K46" i="5" a="1"/>
  <c r="K46" i="5" s="1"/>
  <c r="K58" i="5" a="1"/>
  <c r="K58" i="5" s="1"/>
  <c r="K70" i="5" a="1"/>
  <c r="K70" i="5" s="1"/>
  <c r="K82" i="5" a="1"/>
  <c r="K82" i="5" s="1"/>
  <c r="K94" i="5" a="1"/>
  <c r="K94" i="5" s="1"/>
  <c r="K106" i="5" a="1"/>
  <c r="K106" i="5" s="1"/>
  <c r="S41" i="5" a="1"/>
  <c r="S41" i="5" s="1"/>
  <c r="S53" i="5" a="1"/>
  <c r="S53" i="5" s="1"/>
  <c r="S65" i="5" a="1"/>
  <c r="S65" i="5" s="1"/>
  <c r="S77" i="5" a="1"/>
  <c r="S77" i="5" s="1"/>
  <c r="S89" i="5" a="1"/>
  <c r="S89" i="5" s="1"/>
  <c r="S101" i="5" a="1"/>
  <c r="S101" i="5" s="1"/>
  <c r="S113" i="5" a="1"/>
  <c r="S113" i="5" s="1"/>
  <c r="S125" i="5" a="1"/>
  <c r="S125" i="5" s="1"/>
  <c r="R39" i="5" a="1"/>
  <c r="R39" i="5" s="1"/>
  <c r="R51" i="5" a="1"/>
  <c r="R51" i="5" s="1"/>
  <c r="R63" i="5" a="1"/>
  <c r="R63" i="5" s="1"/>
  <c r="R75" i="5" a="1"/>
  <c r="R75" i="5" s="1"/>
  <c r="R87" i="5" a="1"/>
  <c r="R87" i="5" s="1"/>
  <c r="R99" i="5" a="1"/>
  <c r="R99" i="5" s="1"/>
  <c r="R111" i="5" a="1"/>
  <c r="R111" i="5" s="1"/>
  <c r="R123" i="5" a="1"/>
  <c r="R123" i="5" s="1"/>
  <c r="Q37" i="5" a="1"/>
  <c r="Q37" i="5" s="1"/>
  <c r="Q49" i="5" a="1"/>
  <c r="Q49" i="5" s="1"/>
  <c r="Q61" i="5" a="1"/>
  <c r="Q61" i="5" s="1"/>
  <c r="Q73" i="5" a="1"/>
  <c r="Q73" i="5" s="1"/>
  <c r="Q85" i="5" a="1"/>
  <c r="Q85" i="5" s="1"/>
  <c r="Q97" i="5" a="1"/>
  <c r="Q97" i="5" s="1"/>
  <c r="Q109" i="5" a="1"/>
  <c r="Q109" i="5" s="1"/>
  <c r="Q121" i="5" a="1"/>
  <c r="Q121" i="5" s="1"/>
  <c r="P35" i="5" a="1"/>
  <c r="P35" i="5" s="1"/>
  <c r="P47" i="5" a="1"/>
  <c r="P47" i="5" s="1"/>
  <c r="P59" i="5" a="1"/>
  <c r="P59" i="5" s="1"/>
  <c r="P71" i="5" a="1"/>
  <c r="P71" i="5" s="1"/>
  <c r="P83" i="5" a="1"/>
  <c r="P83" i="5" s="1"/>
  <c r="P95" i="5" a="1"/>
  <c r="P95" i="5" s="1"/>
  <c r="P107" i="5" a="1"/>
  <c r="P107" i="5" s="1"/>
  <c r="P119" i="5" a="1"/>
  <c r="P119" i="5" s="1"/>
  <c r="O33" i="5" a="1"/>
  <c r="O33" i="5" s="1"/>
  <c r="O45" i="5" a="1"/>
  <c r="O45" i="5" s="1"/>
  <c r="O57" i="5" a="1"/>
  <c r="O57" i="5" s="1"/>
  <c r="O69" i="5" a="1"/>
  <c r="O69" i="5" s="1"/>
  <c r="O81" i="5" a="1"/>
  <c r="O81" i="5" s="1"/>
  <c r="S31" i="5" a="1"/>
  <c r="S31" i="5" s="1"/>
  <c r="S43" i="5" a="1"/>
  <c r="S43" i="5" s="1"/>
  <c r="S55" i="5" a="1"/>
  <c r="S55" i="5" s="1"/>
  <c r="S67" i="5" a="1"/>
  <c r="S67" i="5" s="1"/>
  <c r="S79" i="5" a="1"/>
  <c r="S79" i="5" s="1"/>
  <c r="S91" i="5" a="1"/>
  <c r="S91" i="5" s="1"/>
  <c r="S103" i="5" a="1"/>
  <c r="S103" i="5" s="1"/>
  <c r="S115" i="5" a="1"/>
  <c r="S115" i="5" s="1"/>
  <c r="S127" i="5" a="1"/>
  <c r="S127" i="5" s="1"/>
  <c r="R41" i="5" a="1"/>
  <c r="R41" i="5" s="1"/>
  <c r="R53" i="5" a="1"/>
  <c r="R53" i="5" s="1"/>
  <c r="R65" i="5" a="1"/>
  <c r="R65" i="5" s="1"/>
  <c r="R77" i="5" a="1"/>
  <c r="R77" i="5" s="1"/>
  <c r="R89" i="5" a="1"/>
  <c r="R89" i="5" s="1"/>
  <c r="R101" i="5" a="1"/>
  <c r="R101" i="5" s="1"/>
  <c r="R113" i="5" a="1"/>
  <c r="R113" i="5" s="1"/>
  <c r="R125" i="5" a="1"/>
  <c r="R125" i="5" s="1"/>
  <c r="Q39" i="5" a="1"/>
  <c r="Q39" i="5" s="1"/>
  <c r="Q51" i="5" a="1"/>
  <c r="Q51" i="5" s="1"/>
  <c r="Q63" i="5" a="1"/>
  <c r="Q63" i="5" s="1"/>
  <c r="Q75" i="5" a="1"/>
  <c r="Q75" i="5" s="1"/>
  <c r="Q87" i="5" a="1"/>
  <c r="Q87" i="5" s="1"/>
  <c r="Q99" i="5" a="1"/>
  <c r="Q99" i="5" s="1"/>
  <c r="Q111" i="5" a="1"/>
  <c r="Q111" i="5" s="1"/>
  <c r="Q123" i="5" a="1"/>
  <c r="Q123" i="5" s="1"/>
  <c r="P37" i="5" a="1"/>
  <c r="P37" i="5" s="1"/>
  <c r="P49" i="5" a="1"/>
  <c r="P49" i="5" s="1"/>
  <c r="P61" i="5" a="1"/>
  <c r="P61" i="5" s="1"/>
  <c r="P73" i="5" a="1"/>
  <c r="P73" i="5" s="1"/>
  <c r="P85" i="5" a="1"/>
  <c r="P85" i="5" s="1"/>
  <c r="P97" i="5" a="1"/>
  <c r="P97" i="5" s="1"/>
  <c r="P109" i="5" a="1"/>
  <c r="P109" i="5" s="1"/>
  <c r="P121" i="5" a="1"/>
  <c r="P121" i="5" s="1"/>
  <c r="O35" i="5" a="1"/>
  <c r="O35" i="5" s="1"/>
  <c r="O47" i="5" a="1"/>
  <c r="O47" i="5" s="1"/>
  <c r="O59" i="5" a="1"/>
  <c r="O59" i="5" s="1"/>
  <c r="O71" i="5" a="1"/>
  <c r="O71" i="5" s="1"/>
  <c r="O83" i="5" a="1"/>
  <c r="O83" i="5" s="1"/>
  <c r="O95" i="5" a="1"/>
  <c r="O95" i="5" s="1"/>
  <c r="O107" i="5" a="1"/>
  <c r="O107" i="5" s="1"/>
  <c r="O119" i="5" a="1"/>
  <c r="O119" i="5" s="1"/>
  <c r="N33" i="5" a="1"/>
  <c r="N33" i="5" s="1"/>
  <c r="N45" i="5" a="1"/>
  <c r="N45" i="5" s="1"/>
  <c r="N57" i="5" a="1"/>
  <c r="N57" i="5" s="1"/>
  <c r="N69" i="5" a="1"/>
  <c r="N69" i="5" s="1"/>
  <c r="N81" i="5" a="1"/>
  <c r="N81" i="5" s="1"/>
  <c r="N93" i="5" a="1"/>
  <c r="N93" i="5" s="1"/>
  <c r="N105" i="5" a="1"/>
  <c r="N105" i="5" s="1"/>
  <c r="N117" i="5" a="1"/>
  <c r="N117" i="5" s="1"/>
  <c r="M31" i="5" a="1"/>
  <c r="M31" i="5" s="1"/>
  <c r="M54" i="5" a="1"/>
  <c r="M54" i="5" s="1"/>
  <c r="M66" i="5" a="1"/>
  <c r="M66" i="5" s="1"/>
  <c r="M78" i="5" a="1"/>
  <c r="M78" i="5" s="1"/>
  <c r="M90" i="5" a="1"/>
  <c r="M90" i="5" s="1"/>
  <c r="M102" i="5" a="1"/>
  <c r="M102" i="5" s="1"/>
  <c r="M114" i="5" a="1"/>
  <c r="M114" i="5" s="1"/>
  <c r="M126" i="5" a="1"/>
  <c r="M126" i="5" s="1"/>
  <c r="L40" i="5" a="1"/>
  <c r="L40" i="5" s="1"/>
  <c r="L52" i="5" a="1"/>
  <c r="L52" i="5" s="1"/>
  <c r="L63" i="5" a="1"/>
  <c r="L63" i="5" s="1"/>
  <c r="L75" i="5" a="1"/>
  <c r="L75" i="5" s="1"/>
  <c r="L87" i="5" a="1"/>
  <c r="L87" i="5" s="1"/>
  <c r="L99" i="5" a="1"/>
  <c r="L99" i="5" s="1"/>
  <c r="L111" i="5" a="1"/>
  <c r="L111" i="5" s="1"/>
  <c r="S32" i="5" a="1"/>
  <c r="S32" i="5" s="1"/>
  <c r="S44" i="5" a="1"/>
  <c r="S44" i="5" s="1"/>
  <c r="S56" i="5" a="1"/>
  <c r="S56" i="5" s="1"/>
  <c r="S68" i="5" a="1"/>
  <c r="S68" i="5" s="1"/>
  <c r="S80" i="5" a="1"/>
  <c r="S80" i="5" s="1"/>
  <c r="S92" i="5" a="1"/>
  <c r="S92" i="5" s="1"/>
  <c r="S104" i="5" a="1"/>
  <c r="S104" i="5" s="1"/>
  <c r="S116" i="5" a="1"/>
  <c r="S116" i="5" s="1"/>
  <c r="S30" i="5" a="1"/>
  <c r="S30" i="5" s="1"/>
  <c r="R42" i="5" a="1"/>
  <c r="R42" i="5" s="1"/>
  <c r="R54" i="5" a="1"/>
  <c r="R54" i="5" s="1"/>
  <c r="R66" i="5" a="1"/>
  <c r="R66" i="5" s="1"/>
  <c r="R78" i="5" a="1"/>
  <c r="R78" i="5" s="1"/>
  <c r="R90" i="5" a="1"/>
  <c r="R90" i="5" s="1"/>
  <c r="R102" i="5" a="1"/>
  <c r="R102" i="5" s="1"/>
  <c r="R114" i="5" a="1"/>
  <c r="R114" i="5" s="1"/>
  <c r="R126" i="5" a="1"/>
  <c r="R126" i="5" s="1"/>
  <c r="Q40" i="5" a="1"/>
  <c r="Q40" i="5" s="1"/>
  <c r="Q52" i="5" a="1"/>
  <c r="Q52" i="5" s="1"/>
  <c r="Q64" i="5" a="1"/>
  <c r="Q64" i="5" s="1"/>
  <c r="Q76" i="5" a="1"/>
  <c r="Q76" i="5" s="1"/>
  <c r="Q88" i="5" a="1"/>
  <c r="Q88" i="5" s="1"/>
  <c r="Q100" i="5" a="1"/>
  <c r="Q100" i="5" s="1"/>
  <c r="Q112" i="5" a="1"/>
  <c r="Q112" i="5" s="1"/>
  <c r="Q124" i="5" a="1"/>
  <c r="Q124" i="5" s="1"/>
  <c r="P38" i="5" a="1"/>
  <c r="P38" i="5" s="1"/>
  <c r="P50" i="5" a="1"/>
  <c r="P50" i="5" s="1"/>
  <c r="P62" i="5" a="1"/>
  <c r="P62" i="5" s="1"/>
  <c r="P74" i="5" a="1"/>
  <c r="P74" i="5" s="1"/>
  <c r="P86" i="5" a="1"/>
  <c r="P86" i="5" s="1"/>
  <c r="P98" i="5" a="1"/>
  <c r="P98" i="5" s="1"/>
  <c r="P110" i="5" a="1"/>
  <c r="P110" i="5" s="1"/>
  <c r="P122" i="5" a="1"/>
  <c r="P122" i="5" s="1"/>
  <c r="O36" i="5" a="1"/>
  <c r="O36" i="5" s="1"/>
  <c r="O48" i="5" a="1"/>
  <c r="O48" i="5" s="1"/>
  <c r="O60" i="5" a="1"/>
  <c r="O60" i="5" s="1"/>
  <c r="O72" i="5" a="1"/>
  <c r="O72" i="5" s="1"/>
  <c r="O84" i="5" a="1"/>
  <c r="O84" i="5" s="1"/>
  <c r="O96" i="5" a="1"/>
  <c r="O96" i="5" s="1"/>
  <c r="O108" i="5" a="1"/>
  <c r="O108" i="5" s="1"/>
  <c r="O120" i="5" a="1"/>
  <c r="O120" i="5" s="1"/>
  <c r="N34" i="5" a="1"/>
  <c r="N34" i="5" s="1"/>
  <c r="N46" i="5" a="1"/>
  <c r="N46" i="5" s="1"/>
  <c r="N58" i="5" a="1"/>
  <c r="N58" i="5" s="1"/>
  <c r="N70" i="5" a="1"/>
  <c r="N70" i="5" s="1"/>
  <c r="N82" i="5" a="1"/>
  <c r="N82" i="5" s="1"/>
  <c r="N94" i="5" a="1"/>
  <c r="N94" i="5" s="1"/>
  <c r="N106" i="5" a="1"/>
  <c r="N106" i="5" s="1"/>
  <c r="N118" i="5" a="1"/>
  <c r="N118" i="5" s="1"/>
  <c r="M32" i="5" a="1"/>
  <c r="M32" i="5" s="1"/>
  <c r="M43" i="5" a="1"/>
  <c r="M43" i="5" s="1"/>
  <c r="M55" i="5" a="1"/>
  <c r="M55" i="5" s="1"/>
  <c r="M67" i="5" a="1"/>
  <c r="M67" i="5" s="1"/>
  <c r="M79" i="5" a="1"/>
  <c r="M79" i="5" s="1"/>
  <c r="M91" i="5" a="1"/>
  <c r="M91" i="5" s="1"/>
  <c r="M103" i="5" a="1"/>
  <c r="M103" i="5" s="1"/>
  <c r="M115" i="5" a="1"/>
  <c r="M115" i="5" s="1"/>
  <c r="M127" i="5" a="1"/>
  <c r="M127" i="5" s="1"/>
  <c r="L41" i="5" a="1"/>
  <c r="L41" i="5" s="1"/>
  <c r="L53" i="5" a="1"/>
  <c r="L53" i="5" s="1"/>
  <c r="L64" i="5" a="1"/>
  <c r="L64" i="5" s="1"/>
  <c r="L76" i="5" a="1"/>
  <c r="L76" i="5" s="1"/>
  <c r="L88" i="5" a="1"/>
  <c r="L88" i="5" s="1"/>
  <c r="L100" i="5" a="1"/>
  <c r="L100" i="5" s="1"/>
  <c r="L112" i="5" a="1"/>
  <c r="L112" i="5" s="1"/>
  <c r="L124" i="5" a="1"/>
  <c r="L124" i="5" s="1"/>
  <c r="K38" i="5" a="1"/>
  <c r="K38" i="5" s="1"/>
  <c r="K50" i="5" a="1"/>
  <c r="K50" i="5" s="1"/>
  <c r="S33" i="5" a="1"/>
  <c r="S33" i="5" s="1"/>
  <c r="S45" i="5" a="1"/>
  <c r="S45" i="5" s="1"/>
  <c r="S57" i="5" a="1"/>
  <c r="S57" i="5" s="1"/>
  <c r="S69" i="5" a="1"/>
  <c r="S69" i="5" s="1"/>
  <c r="S81" i="5" a="1"/>
  <c r="S81" i="5" s="1"/>
  <c r="S93" i="5" a="1"/>
  <c r="S93" i="5" s="1"/>
  <c r="S105" i="5" a="1"/>
  <c r="S105" i="5" s="1"/>
  <c r="S117" i="5" a="1"/>
  <c r="S117" i="5" s="1"/>
  <c r="R31" i="5" a="1"/>
  <c r="R31" i="5" s="1"/>
  <c r="R43" i="5" a="1"/>
  <c r="R43" i="5" s="1"/>
  <c r="R55" i="5" a="1"/>
  <c r="R55" i="5" s="1"/>
  <c r="R67" i="5" a="1"/>
  <c r="R67" i="5" s="1"/>
  <c r="R79" i="5" a="1"/>
  <c r="R79" i="5" s="1"/>
  <c r="R91" i="5" a="1"/>
  <c r="R91" i="5" s="1"/>
  <c r="R103" i="5" a="1"/>
  <c r="R103" i="5" s="1"/>
  <c r="R115" i="5" a="1"/>
  <c r="R115" i="5" s="1"/>
  <c r="R127" i="5" a="1"/>
  <c r="R127" i="5" s="1"/>
  <c r="Q41" i="5" a="1"/>
  <c r="Q41" i="5" s="1"/>
  <c r="Q53" i="5" a="1"/>
  <c r="Q53" i="5" s="1"/>
  <c r="Q65" i="5" a="1"/>
  <c r="Q65" i="5" s="1"/>
  <c r="Q77" i="5" a="1"/>
  <c r="Q77" i="5" s="1"/>
  <c r="Q89" i="5" a="1"/>
  <c r="Q89" i="5" s="1"/>
  <c r="Q101" i="5" a="1"/>
  <c r="Q101" i="5" s="1"/>
  <c r="Q113" i="5" a="1"/>
  <c r="Q113" i="5" s="1"/>
  <c r="Q125" i="5" a="1"/>
  <c r="Q125" i="5" s="1"/>
  <c r="P39" i="5" a="1"/>
  <c r="P39" i="5" s="1"/>
  <c r="P51" i="5" a="1"/>
  <c r="P51" i="5" s="1"/>
  <c r="P63" i="5" a="1"/>
  <c r="P63" i="5" s="1"/>
  <c r="P75" i="5" a="1"/>
  <c r="P75" i="5" s="1"/>
  <c r="P87" i="5" a="1"/>
  <c r="P87" i="5" s="1"/>
  <c r="P99" i="5" a="1"/>
  <c r="P99" i="5" s="1"/>
  <c r="P111" i="5" a="1"/>
  <c r="P111" i="5" s="1"/>
  <c r="P123" i="5" a="1"/>
  <c r="P123" i="5" s="1"/>
  <c r="O37" i="5" a="1"/>
  <c r="O37" i="5" s="1"/>
  <c r="O49" i="5" a="1"/>
  <c r="O49" i="5" s="1"/>
  <c r="O61" i="5" a="1"/>
  <c r="O61" i="5" s="1"/>
  <c r="O73" i="5" a="1"/>
  <c r="O73" i="5" s="1"/>
  <c r="O85" i="5" a="1"/>
  <c r="O85" i="5" s="1"/>
  <c r="O97" i="5" a="1"/>
  <c r="O97" i="5" s="1"/>
  <c r="O109" i="5" a="1"/>
  <c r="O109" i="5" s="1"/>
  <c r="O121" i="5" a="1"/>
  <c r="O121" i="5" s="1"/>
  <c r="N35" i="5" a="1"/>
  <c r="N35" i="5" s="1"/>
  <c r="N47" i="5" a="1"/>
  <c r="N47" i="5" s="1"/>
  <c r="N59" i="5" a="1"/>
  <c r="N59" i="5" s="1"/>
  <c r="N71" i="5" a="1"/>
  <c r="N71" i="5" s="1"/>
  <c r="N83" i="5" a="1"/>
  <c r="N83" i="5" s="1"/>
  <c r="N95" i="5" a="1"/>
  <c r="N95" i="5" s="1"/>
  <c r="N107" i="5" a="1"/>
  <c r="N107" i="5" s="1"/>
  <c r="N119" i="5" a="1"/>
  <c r="N119" i="5" s="1"/>
  <c r="M33" i="5" a="1"/>
  <c r="M33" i="5" s="1"/>
  <c r="M44" i="5" a="1"/>
  <c r="M44" i="5" s="1"/>
  <c r="M56" i="5" a="1"/>
  <c r="M56" i="5" s="1"/>
  <c r="M68" i="5" a="1"/>
  <c r="M68" i="5" s="1"/>
  <c r="M80" i="5" a="1"/>
  <c r="M80" i="5" s="1"/>
  <c r="M92" i="5" a="1"/>
  <c r="M92" i="5" s="1"/>
  <c r="M104" i="5" a="1"/>
  <c r="M104" i="5" s="1"/>
  <c r="M116" i="5" a="1"/>
  <c r="M116" i="5" s="1"/>
  <c r="M30" i="5" a="1"/>
  <c r="M30" i="5" s="1"/>
  <c r="L42" i="5" a="1"/>
  <c r="L42" i="5" s="1"/>
  <c r="L54" i="5" a="1"/>
  <c r="L54" i="5" s="1"/>
  <c r="L65" i="5" a="1"/>
  <c r="L65" i="5" s="1"/>
  <c r="L77" i="5" a="1"/>
  <c r="L77" i="5" s="1"/>
  <c r="L89" i="5" a="1"/>
  <c r="L89" i="5" s="1"/>
  <c r="L101" i="5" a="1"/>
  <c r="L101" i="5" s="1"/>
  <c r="L113" i="5" a="1"/>
  <c r="L113" i="5" s="1"/>
  <c r="L125" i="5" a="1"/>
  <c r="L125" i="5" s="1"/>
  <c r="K39" i="5" a="1"/>
  <c r="K39" i="5" s="1"/>
  <c r="K51" i="5" a="1"/>
  <c r="K51" i="5" s="1"/>
  <c r="S34" i="5" a="1"/>
  <c r="S34" i="5" s="1"/>
  <c r="S46" i="5" a="1"/>
  <c r="S46" i="5" s="1"/>
  <c r="S58" i="5" a="1"/>
  <c r="S58" i="5" s="1"/>
  <c r="S70" i="5" a="1"/>
  <c r="S70" i="5" s="1"/>
  <c r="S82" i="5" a="1"/>
  <c r="S82" i="5" s="1"/>
  <c r="S94" i="5" a="1"/>
  <c r="S94" i="5" s="1"/>
  <c r="S106" i="5" a="1"/>
  <c r="S106" i="5" s="1"/>
  <c r="S118" i="5" a="1"/>
  <c r="S118" i="5" s="1"/>
  <c r="R32" i="5" a="1"/>
  <c r="R32" i="5" s="1"/>
  <c r="R44" i="5" a="1"/>
  <c r="R44" i="5" s="1"/>
  <c r="R56" i="5" a="1"/>
  <c r="R56" i="5" s="1"/>
  <c r="R68" i="5" a="1"/>
  <c r="R68" i="5" s="1"/>
  <c r="R80" i="5" a="1"/>
  <c r="R80" i="5" s="1"/>
  <c r="R92" i="5" a="1"/>
  <c r="R92" i="5" s="1"/>
  <c r="R104" i="5" a="1"/>
  <c r="R104" i="5" s="1"/>
  <c r="R116" i="5" a="1"/>
  <c r="R116" i="5" s="1"/>
  <c r="R30" i="5" a="1"/>
  <c r="R30" i="5" s="1"/>
  <c r="Q42" i="5" a="1"/>
  <c r="Q42" i="5" s="1"/>
  <c r="Q54" i="5" a="1"/>
  <c r="Q54" i="5" s="1"/>
  <c r="Q66" i="5" a="1"/>
  <c r="Q66" i="5" s="1"/>
  <c r="Q78" i="5" a="1"/>
  <c r="Q78" i="5" s="1"/>
  <c r="Q90" i="5" a="1"/>
  <c r="Q90" i="5" s="1"/>
  <c r="Q102" i="5" a="1"/>
  <c r="Q102" i="5" s="1"/>
  <c r="Q114" i="5" a="1"/>
  <c r="Q114" i="5" s="1"/>
  <c r="Q126" i="5" a="1"/>
  <c r="Q126" i="5" s="1"/>
  <c r="P40" i="5" a="1"/>
  <c r="P40" i="5" s="1"/>
  <c r="P52" i="5" a="1"/>
  <c r="P52" i="5" s="1"/>
  <c r="P64" i="5" a="1"/>
  <c r="P64" i="5" s="1"/>
  <c r="P76" i="5" a="1"/>
  <c r="P76" i="5" s="1"/>
  <c r="P88" i="5" a="1"/>
  <c r="P88" i="5" s="1"/>
  <c r="P100" i="5" a="1"/>
  <c r="P100" i="5" s="1"/>
  <c r="P112" i="5" a="1"/>
  <c r="P112" i="5" s="1"/>
  <c r="P124" i="5" a="1"/>
  <c r="P124" i="5" s="1"/>
  <c r="O38" i="5" a="1"/>
  <c r="O38" i="5" s="1"/>
  <c r="O50" i="5" a="1"/>
  <c r="O50" i="5" s="1"/>
  <c r="O62" i="5" a="1"/>
  <c r="O62" i="5" s="1"/>
  <c r="O74" i="5" a="1"/>
  <c r="O74" i="5" s="1"/>
  <c r="O86" i="5" a="1"/>
  <c r="O86" i="5" s="1"/>
  <c r="O98" i="5" a="1"/>
  <c r="O98" i="5" s="1"/>
  <c r="O110" i="5" a="1"/>
  <c r="O110" i="5" s="1"/>
  <c r="O122" i="5" a="1"/>
  <c r="O122" i="5" s="1"/>
  <c r="N36" i="5" a="1"/>
  <c r="N36" i="5" s="1"/>
  <c r="N48" i="5" a="1"/>
  <c r="N48" i="5" s="1"/>
  <c r="N60" i="5" a="1"/>
  <c r="N60" i="5" s="1"/>
  <c r="N72" i="5" a="1"/>
  <c r="N72" i="5" s="1"/>
  <c r="N84" i="5" a="1"/>
  <c r="N84" i="5" s="1"/>
  <c r="N96" i="5" a="1"/>
  <c r="N96" i="5" s="1"/>
  <c r="N108" i="5" a="1"/>
  <c r="N108" i="5" s="1"/>
  <c r="N120" i="5" a="1"/>
  <c r="N120" i="5" s="1"/>
  <c r="M34" i="5" a="1"/>
  <c r="M34" i="5" s="1"/>
  <c r="M45" i="5" a="1"/>
  <c r="M45" i="5" s="1"/>
  <c r="M57" i="5" a="1"/>
  <c r="M57" i="5" s="1"/>
  <c r="M69" i="5" a="1"/>
  <c r="M69" i="5" s="1"/>
  <c r="M81" i="5" a="1"/>
  <c r="M81" i="5" s="1"/>
  <c r="M93" i="5" a="1"/>
  <c r="M93" i="5" s="1"/>
  <c r="M105" i="5" a="1"/>
  <c r="M105" i="5" s="1"/>
  <c r="M117" i="5" a="1"/>
  <c r="M117" i="5" s="1"/>
  <c r="L31" i="5" a="1"/>
  <c r="L31" i="5" s="1"/>
  <c r="L43" i="5" a="1"/>
  <c r="L43" i="5" s="1"/>
  <c r="L66" i="5" a="1"/>
  <c r="L66" i="5" s="1"/>
  <c r="L78" i="5" a="1"/>
  <c r="L78" i="5" s="1"/>
  <c r="L90" i="5" a="1"/>
  <c r="L90" i="5" s="1"/>
  <c r="L102" i="5" a="1"/>
  <c r="L102" i="5" s="1"/>
  <c r="L114" i="5" a="1"/>
  <c r="L114" i="5" s="1"/>
  <c r="L126" i="5" a="1"/>
  <c r="L126" i="5" s="1"/>
  <c r="K40" i="5" a="1"/>
  <c r="K40" i="5" s="1"/>
  <c r="K52" i="5" a="1"/>
  <c r="K52" i="5" s="1"/>
  <c r="K64" i="5" a="1"/>
  <c r="K64" i="5" s="1"/>
  <c r="K76" i="5" a="1"/>
  <c r="K76" i="5" s="1"/>
  <c r="K88" i="5" a="1"/>
  <c r="K88" i="5" s="1"/>
  <c r="K100" i="5" a="1"/>
  <c r="K100" i="5" s="1"/>
  <c r="K112" i="5" a="1"/>
  <c r="K112" i="5" s="1"/>
  <c r="K124" i="5" a="1"/>
  <c r="K124" i="5" s="1"/>
  <c r="J38" i="5" a="1"/>
  <c r="J38" i="5" s="1"/>
  <c r="J50" i="5" a="1"/>
  <c r="J50" i="5" s="1"/>
  <c r="J62" i="5" a="1"/>
  <c r="J62" i="5" s="1"/>
  <c r="S35" i="5" a="1"/>
  <c r="S35" i="5" s="1"/>
  <c r="S47" i="5" a="1"/>
  <c r="S47" i="5" s="1"/>
  <c r="S59" i="5" a="1"/>
  <c r="S59" i="5" s="1"/>
  <c r="S71" i="5" a="1"/>
  <c r="S71" i="5" s="1"/>
  <c r="S83" i="5" a="1"/>
  <c r="S83" i="5" s="1"/>
  <c r="S95" i="5" a="1"/>
  <c r="S95" i="5" s="1"/>
  <c r="S107" i="5" a="1"/>
  <c r="S107" i="5" s="1"/>
  <c r="S119" i="5" a="1"/>
  <c r="S119" i="5" s="1"/>
  <c r="R33" i="5" a="1"/>
  <c r="R33" i="5" s="1"/>
  <c r="R45" i="5" a="1"/>
  <c r="R45" i="5" s="1"/>
  <c r="R57" i="5" a="1"/>
  <c r="R57" i="5" s="1"/>
  <c r="R69" i="5" a="1"/>
  <c r="R69" i="5" s="1"/>
  <c r="R81" i="5" a="1"/>
  <c r="R81" i="5" s="1"/>
  <c r="R93" i="5" a="1"/>
  <c r="R93" i="5" s="1"/>
  <c r="R105" i="5" a="1"/>
  <c r="R105" i="5" s="1"/>
  <c r="R117" i="5" a="1"/>
  <c r="R117" i="5" s="1"/>
  <c r="Q31" i="5" a="1"/>
  <c r="Q31" i="5" s="1"/>
  <c r="Q43" i="5" a="1"/>
  <c r="Q43" i="5" s="1"/>
  <c r="Q55" i="5" a="1"/>
  <c r="Q55" i="5" s="1"/>
  <c r="Q67" i="5" a="1"/>
  <c r="Q67" i="5" s="1"/>
  <c r="Q79" i="5" a="1"/>
  <c r="Q79" i="5" s="1"/>
  <c r="Q91" i="5" a="1"/>
  <c r="Q91" i="5" s="1"/>
  <c r="Q103" i="5" a="1"/>
  <c r="Q103" i="5" s="1"/>
  <c r="Q115" i="5" a="1"/>
  <c r="Q115" i="5" s="1"/>
  <c r="Q127" i="5" a="1"/>
  <c r="Q127" i="5" s="1"/>
  <c r="P41" i="5" a="1"/>
  <c r="P41" i="5" s="1"/>
  <c r="S78" i="5" a="1"/>
  <c r="S78" i="5" s="1"/>
  <c r="R124" i="5" a="1"/>
  <c r="R124" i="5" s="1"/>
  <c r="P60" i="5" a="1"/>
  <c r="P60" i="5" s="1"/>
  <c r="O34" i="5" a="1"/>
  <c r="O34" i="5" s="1"/>
  <c r="O99" i="5" a="1"/>
  <c r="O99" i="5" s="1"/>
  <c r="N49" i="5" a="1"/>
  <c r="N49" i="5" s="1"/>
  <c r="N97" i="5" a="1"/>
  <c r="N97" i="5" s="1"/>
  <c r="M46" i="5" a="1"/>
  <c r="M46" i="5" s="1"/>
  <c r="M94" i="5" a="1"/>
  <c r="M94" i="5" s="1"/>
  <c r="L39" i="5" a="1"/>
  <c r="L39" i="5" s="1"/>
  <c r="L74" i="5" a="1"/>
  <c r="L74" i="5" s="1"/>
  <c r="L109" i="5" a="1"/>
  <c r="L109" i="5" s="1"/>
  <c r="K36" i="5" a="1"/>
  <c r="K36" i="5" s="1"/>
  <c r="K57" i="5" a="1"/>
  <c r="K57" i="5" s="1"/>
  <c r="K72" i="5" a="1"/>
  <c r="K72" i="5" s="1"/>
  <c r="K86" i="5" a="1"/>
  <c r="K86" i="5" s="1"/>
  <c r="K101" i="5" a="1"/>
  <c r="K101" i="5" s="1"/>
  <c r="K115" i="5" a="1"/>
  <c r="K115" i="5" s="1"/>
  <c r="K30" i="5" a="1"/>
  <c r="K30" i="5" s="1"/>
  <c r="J43" i="5" a="1"/>
  <c r="J43" i="5" s="1"/>
  <c r="J56" i="5" a="1"/>
  <c r="J56" i="5" s="1"/>
  <c r="J69" i="5" a="1"/>
  <c r="J69" i="5" s="1"/>
  <c r="J81" i="5" a="1"/>
  <c r="J81" i="5" s="1"/>
  <c r="J93" i="5" a="1"/>
  <c r="J93" i="5" s="1"/>
  <c r="J105" i="5" a="1"/>
  <c r="J105" i="5" s="1"/>
  <c r="J117" i="5" a="1"/>
  <c r="J117" i="5" s="1"/>
  <c r="I31" i="5" a="1"/>
  <c r="I31" i="5" s="1"/>
  <c r="I43" i="5" a="1"/>
  <c r="I43" i="5" s="1"/>
  <c r="I55" i="5" a="1"/>
  <c r="I55" i="5" s="1"/>
  <c r="I67" i="5" a="1"/>
  <c r="I67" i="5" s="1"/>
  <c r="I79" i="5" a="1"/>
  <c r="I79" i="5" s="1"/>
  <c r="I91" i="5" a="1"/>
  <c r="I91" i="5" s="1"/>
  <c r="I103" i="5" a="1"/>
  <c r="I103" i="5" s="1"/>
  <c r="I115" i="5" a="1"/>
  <c r="I115" i="5" s="1"/>
  <c r="I127" i="5" a="1"/>
  <c r="I127" i="5" s="1"/>
  <c r="H41" i="5" a="1"/>
  <c r="H41" i="5" s="1"/>
  <c r="H53" i="5" a="1"/>
  <c r="H53" i="5" s="1"/>
  <c r="H65" i="5" a="1"/>
  <c r="H65" i="5" s="1"/>
  <c r="H77" i="5" a="1"/>
  <c r="H77" i="5" s="1"/>
  <c r="H89" i="5" a="1"/>
  <c r="H89" i="5" s="1"/>
  <c r="H101" i="5" a="1"/>
  <c r="H101" i="5" s="1"/>
  <c r="H113" i="5" a="1"/>
  <c r="H113" i="5" s="1"/>
  <c r="H125" i="5" a="1"/>
  <c r="H125" i="5" s="1"/>
  <c r="G39" i="5" a="1"/>
  <c r="G39" i="5" s="1"/>
  <c r="G51" i="5" a="1"/>
  <c r="G51" i="5" s="1"/>
  <c r="G63" i="5" a="1"/>
  <c r="G63" i="5" s="1"/>
  <c r="G75" i="5" a="1"/>
  <c r="G75" i="5" s="1"/>
  <c r="G87" i="5" a="1"/>
  <c r="G87" i="5" s="1"/>
  <c r="G99" i="5" a="1"/>
  <c r="G99" i="5" s="1"/>
  <c r="G111" i="5" a="1"/>
  <c r="G111" i="5" s="1"/>
  <c r="G123" i="5" a="1"/>
  <c r="G123" i="5" s="1"/>
  <c r="F40" i="5" a="1"/>
  <c r="F40" i="5" s="1"/>
  <c r="F52" i="5" a="1"/>
  <c r="F52" i="5" s="1"/>
  <c r="F64" i="5" a="1"/>
  <c r="F64" i="5" s="1"/>
  <c r="F76" i="5" a="1"/>
  <c r="F76" i="5" s="1"/>
  <c r="F88" i="5" a="1"/>
  <c r="F88" i="5" s="1"/>
  <c r="F100" i="5" a="1"/>
  <c r="F100" i="5" s="1"/>
  <c r="F112" i="5" a="1"/>
  <c r="F112" i="5" s="1"/>
  <c r="F124" i="5" a="1"/>
  <c r="F124" i="5" s="1"/>
  <c r="E35" i="5" a="1"/>
  <c r="E35" i="5" s="1"/>
  <c r="E47" i="5" a="1"/>
  <c r="E47" i="5" s="1"/>
  <c r="E59" i="5" a="1"/>
  <c r="E59" i="5" s="1"/>
  <c r="E71" i="5" a="1"/>
  <c r="E71" i="5" s="1"/>
  <c r="E83" i="5" a="1"/>
  <c r="E83" i="5" s="1"/>
  <c r="E95" i="5" a="1"/>
  <c r="E95" i="5" s="1"/>
  <c r="E107" i="5" a="1"/>
  <c r="E107" i="5" s="1"/>
  <c r="E119" i="5" a="1"/>
  <c r="E119" i="5" s="1"/>
  <c r="C31" i="5" a="1"/>
  <c r="C31" i="5" s="1"/>
  <c r="C43" i="5" a="1"/>
  <c r="C43" i="5" s="1"/>
  <c r="C55" i="5" a="1"/>
  <c r="C55" i="5" s="1"/>
  <c r="C67" i="5" a="1"/>
  <c r="C67" i="5" s="1"/>
  <c r="C79" i="5" a="1"/>
  <c r="C79" i="5" s="1"/>
  <c r="C91" i="5" a="1"/>
  <c r="C91" i="5" s="1"/>
  <c r="C103" i="5" a="1"/>
  <c r="C103" i="5" s="1"/>
  <c r="C115" i="5" a="1"/>
  <c r="C115" i="5" s="1"/>
  <c r="C127" i="5" a="1"/>
  <c r="C127" i="5" s="1"/>
  <c r="S90" i="5" a="1"/>
  <c r="S90" i="5" s="1"/>
  <c r="Q38" i="5" a="1"/>
  <c r="Q38" i="5" s="1"/>
  <c r="P65" i="5" a="1"/>
  <c r="P65" i="5" s="1"/>
  <c r="O39" i="5" a="1"/>
  <c r="O39" i="5" s="1"/>
  <c r="O105" i="5" a="1"/>
  <c r="O105" i="5" s="1"/>
  <c r="N55" i="5" a="1"/>
  <c r="N55" i="5" s="1"/>
  <c r="N103" i="5" a="1"/>
  <c r="N103" i="5" s="1"/>
  <c r="M52" i="5" a="1"/>
  <c r="M52" i="5" s="1"/>
  <c r="M100" i="5" a="1"/>
  <c r="M100" i="5" s="1"/>
  <c r="L44" i="5" a="1"/>
  <c r="L44" i="5" s="1"/>
  <c r="L79" i="5" a="1"/>
  <c r="L79" i="5" s="1"/>
  <c r="L110" i="5" a="1"/>
  <c r="L110" i="5" s="1"/>
  <c r="K37" i="5" a="1"/>
  <c r="K37" i="5" s="1"/>
  <c r="K59" i="5" a="1"/>
  <c r="K59" i="5" s="1"/>
  <c r="K73" i="5" a="1"/>
  <c r="K73" i="5" s="1"/>
  <c r="K87" i="5" a="1"/>
  <c r="K87" i="5" s="1"/>
  <c r="K102" i="5" a="1"/>
  <c r="K102" i="5" s="1"/>
  <c r="K116" i="5" a="1"/>
  <c r="K116" i="5" s="1"/>
  <c r="J31" i="5" a="1"/>
  <c r="J31" i="5" s="1"/>
  <c r="J44" i="5" a="1"/>
  <c r="J44" i="5" s="1"/>
  <c r="J57" i="5" a="1"/>
  <c r="J57" i="5" s="1"/>
  <c r="J70" i="5" a="1"/>
  <c r="J70" i="5" s="1"/>
  <c r="J82" i="5" a="1"/>
  <c r="J82" i="5" s="1"/>
  <c r="J94" i="5" a="1"/>
  <c r="J94" i="5" s="1"/>
  <c r="J106" i="5" a="1"/>
  <c r="J106" i="5" s="1"/>
  <c r="J118" i="5" a="1"/>
  <c r="J118" i="5" s="1"/>
  <c r="I32" i="5" a="1"/>
  <c r="I32" i="5" s="1"/>
  <c r="I44" i="5" a="1"/>
  <c r="I44" i="5" s="1"/>
  <c r="I56" i="5" a="1"/>
  <c r="I56" i="5" s="1"/>
  <c r="I68" i="5" a="1"/>
  <c r="I68" i="5" s="1"/>
  <c r="I80" i="5" a="1"/>
  <c r="I80" i="5" s="1"/>
  <c r="I92" i="5" a="1"/>
  <c r="I92" i="5" s="1"/>
  <c r="I104" i="5" a="1"/>
  <c r="I104" i="5" s="1"/>
  <c r="I116" i="5" a="1"/>
  <c r="I116" i="5" s="1"/>
  <c r="I30" i="5" a="1"/>
  <c r="I30" i="5" s="1"/>
  <c r="H42" i="5" a="1"/>
  <c r="H42" i="5" s="1"/>
  <c r="H54" i="5" a="1"/>
  <c r="H54" i="5" s="1"/>
  <c r="H66" i="5" a="1"/>
  <c r="H66" i="5" s="1"/>
  <c r="H78" i="5" a="1"/>
  <c r="H78" i="5" s="1"/>
  <c r="H90" i="5" a="1"/>
  <c r="H90" i="5" s="1"/>
  <c r="H102" i="5" a="1"/>
  <c r="H102" i="5" s="1"/>
  <c r="H114" i="5" a="1"/>
  <c r="H114" i="5" s="1"/>
  <c r="H126" i="5" a="1"/>
  <c r="H126" i="5" s="1"/>
  <c r="G40" i="5" a="1"/>
  <c r="G40" i="5" s="1"/>
  <c r="G52" i="5" a="1"/>
  <c r="G52" i="5" s="1"/>
  <c r="G64" i="5" a="1"/>
  <c r="G64" i="5" s="1"/>
  <c r="G76" i="5" a="1"/>
  <c r="G76" i="5" s="1"/>
  <c r="G88" i="5" a="1"/>
  <c r="G88" i="5" s="1"/>
  <c r="G100" i="5" a="1"/>
  <c r="G100" i="5" s="1"/>
  <c r="G112" i="5" a="1"/>
  <c r="G112" i="5" s="1"/>
  <c r="G124" i="5" a="1"/>
  <c r="G124" i="5" s="1"/>
  <c r="F41" i="5" a="1"/>
  <c r="F41" i="5" s="1"/>
  <c r="F53" i="5" a="1"/>
  <c r="F53" i="5" s="1"/>
  <c r="F65" i="5" a="1"/>
  <c r="F65" i="5" s="1"/>
  <c r="F77" i="5" a="1"/>
  <c r="F77" i="5" s="1"/>
  <c r="F89" i="5" a="1"/>
  <c r="F89" i="5" s="1"/>
  <c r="F101" i="5" a="1"/>
  <c r="F101" i="5" s="1"/>
  <c r="F113" i="5" a="1"/>
  <c r="F113" i="5" s="1"/>
  <c r="F125" i="5" a="1"/>
  <c r="F125" i="5" s="1"/>
  <c r="E36" i="5" a="1"/>
  <c r="E36" i="5" s="1"/>
  <c r="E48" i="5" a="1"/>
  <c r="E48" i="5" s="1"/>
  <c r="E60" i="5" a="1"/>
  <c r="E60" i="5" s="1"/>
  <c r="E72" i="5" a="1"/>
  <c r="E72" i="5" s="1"/>
  <c r="E84" i="5" a="1"/>
  <c r="E84" i="5" s="1"/>
  <c r="E96" i="5" a="1"/>
  <c r="E96" i="5" s="1"/>
  <c r="E108" i="5" a="1"/>
  <c r="E108" i="5" s="1"/>
  <c r="E120" i="5" a="1"/>
  <c r="E120" i="5" s="1"/>
  <c r="C32" i="5" a="1"/>
  <c r="C32" i="5" s="1"/>
  <c r="C44" i="5" a="1"/>
  <c r="C44" i="5" s="1"/>
  <c r="C56" i="5" a="1"/>
  <c r="C56" i="5" s="1"/>
  <c r="S102" i="5" a="1"/>
  <c r="S102" i="5" s="1"/>
  <c r="Q50" i="5" a="1"/>
  <c r="Q50" i="5" s="1"/>
  <c r="P72" i="5" a="1"/>
  <c r="P72" i="5" s="1"/>
  <c r="O46" i="5" a="1"/>
  <c r="O46" i="5" s="1"/>
  <c r="O106" i="5" a="1"/>
  <c r="O106" i="5" s="1"/>
  <c r="N56" i="5" a="1"/>
  <c r="N56" i="5" s="1"/>
  <c r="N104" i="5" a="1"/>
  <c r="N104" i="5" s="1"/>
  <c r="M53" i="5" a="1"/>
  <c r="M53" i="5" s="1"/>
  <c r="M101" i="5" a="1"/>
  <c r="M101" i="5" s="1"/>
  <c r="L46" i="5" a="1"/>
  <c r="L46" i="5" s="1"/>
  <c r="L81" i="5" a="1"/>
  <c r="L81" i="5" s="1"/>
  <c r="L115" i="5" a="1"/>
  <c r="L115" i="5" s="1"/>
  <c r="K41" i="5" a="1"/>
  <c r="K41" i="5" s="1"/>
  <c r="K60" i="5" a="1"/>
  <c r="K60" i="5" s="1"/>
  <c r="K74" i="5" a="1"/>
  <c r="K74" i="5" s="1"/>
  <c r="K89" i="5" a="1"/>
  <c r="K89" i="5" s="1"/>
  <c r="K103" i="5" a="1"/>
  <c r="K103" i="5" s="1"/>
  <c r="K117" i="5" a="1"/>
  <c r="K117" i="5" s="1"/>
  <c r="J32" i="5" a="1"/>
  <c r="J32" i="5" s="1"/>
  <c r="J45" i="5" a="1"/>
  <c r="J45" i="5" s="1"/>
  <c r="J58" i="5" a="1"/>
  <c r="J58" i="5" s="1"/>
  <c r="J71" i="5" a="1"/>
  <c r="J71" i="5" s="1"/>
  <c r="J83" i="5" a="1"/>
  <c r="J83" i="5" s="1"/>
  <c r="J95" i="5" a="1"/>
  <c r="J95" i="5" s="1"/>
  <c r="J107" i="5" a="1"/>
  <c r="J107" i="5" s="1"/>
  <c r="J119" i="5" a="1"/>
  <c r="J119" i="5" s="1"/>
  <c r="I33" i="5" a="1"/>
  <c r="I33" i="5" s="1"/>
  <c r="I45" i="5" a="1"/>
  <c r="I45" i="5" s="1"/>
  <c r="I57" i="5" a="1"/>
  <c r="I57" i="5" s="1"/>
  <c r="I69" i="5" a="1"/>
  <c r="I69" i="5" s="1"/>
  <c r="I81" i="5" a="1"/>
  <c r="I81" i="5" s="1"/>
  <c r="I93" i="5" a="1"/>
  <c r="I93" i="5" s="1"/>
  <c r="I105" i="5" a="1"/>
  <c r="I105" i="5" s="1"/>
  <c r="I117" i="5" a="1"/>
  <c r="I117" i="5" s="1"/>
  <c r="H31" i="5" a="1"/>
  <c r="H31" i="5" s="1"/>
  <c r="H43" i="5" a="1"/>
  <c r="H43" i="5" s="1"/>
  <c r="H55" i="5" a="1"/>
  <c r="H55" i="5" s="1"/>
  <c r="H67" i="5" a="1"/>
  <c r="H67" i="5" s="1"/>
  <c r="H79" i="5" a="1"/>
  <c r="H79" i="5" s="1"/>
  <c r="H91" i="5" a="1"/>
  <c r="H91" i="5" s="1"/>
  <c r="H103" i="5" a="1"/>
  <c r="H103" i="5" s="1"/>
  <c r="H115" i="5" a="1"/>
  <c r="H115" i="5" s="1"/>
  <c r="H127" i="5" a="1"/>
  <c r="H127" i="5" s="1"/>
  <c r="G41" i="5" a="1"/>
  <c r="G41" i="5" s="1"/>
  <c r="G53" i="5" a="1"/>
  <c r="G53" i="5" s="1"/>
  <c r="G65" i="5" a="1"/>
  <c r="G65" i="5" s="1"/>
  <c r="G77" i="5" a="1"/>
  <c r="G77" i="5" s="1"/>
  <c r="G89" i="5" a="1"/>
  <c r="G89" i="5" s="1"/>
  <c r="G101" i="5" a="1"/>
  <c r="G101" i="5" s="1"/>
  <c r="G113" i="5" a="1"/>
  <c r="G113" i="5" s="1"/>
  <c r="G125" i="5" a="1"/>
  <c r="G125" i="5" s="1"/>
  <c r="F42" i="5" a="1"/>
  <c r="F42" i="5" s="1"/>
  <c r="F54" i="5" a="1"/>
  <c r="F54" i="5" s="1"/>
  <c r="F66" i="5" a="1"/>
  <c r="F66" i="5" s="1"/>
  <c r="F78" i="5" a="1"/>
  <c r="F78" i="5" s="1"/>
  <c r="F90" i="5" a="1"/>
  <c r="F90" i="5" s="1"/>
  <c r="F102" i="5" a="1"/>
  <c r="F102" i="5" s="1"/>
  <c r="F114" i="5" a="1"/>
  <c r="F114" i="5" s="1"/>
  <c r="F126" i="5" a="1"/>
  <c r="F126" i="5" s="1"/>
  <c r="E37" i="5" a="1"/>
  <c r="E37" i="5" s="1"/>
  <c r="E49" i="5" a="1"/>
  <c r="E49" i="5" s="1"/>
  <c r="E61" i="5" a="1"/>
  <c r="E61" i="5" s="1"/>
  <c r="E73" i="5" a="1"/>
  <c r="E73" i="5" s="1"/>
  <c r="E85" i="5" a="1"/>
  <c r="E85" i="5" s="1"/>
  <c r="E97" i="5" a="1"/>
  <c r="E97" i="5" s="1"/>
  <c r="E109" i="5" a="1"/>
  <c r="E109" i="5" s="1"/>
  <c r="E121" i="5" a="1"/>
  <c r="E121" i="5" s="1"/>
  <c r="C33" i="5" a="1"/>
  <c r="C33" i="5" s="1"/>
  <c r="C45" i="5" a="1"/>
  <c r="C45" i="5" s="1"/>
  <c r="S114" i="5" a="1"/>
  <c r="S114" i="5" s="1"/>
  <c r="Q62" i="5" a="1"/>
  <c r="Q62" i="5" s="1"/>
  <c r="P77" i="5" a="1"/>
  <c r="P77" i="5" s="1"/>
  <c r="O51" i="5" a="1"/>
  <c r="O51" i="5" s="1"/>
  <c r="O111" i="5" a="1"/>
  <c r="O111" i="5" s="1"/>
  <c r="N61" i="5" a="1"/>
  <c r="N61" i="5" s="1"/>
  <c r="N109" i="5" a="1"/>
  <c r="N109" i="5" s="1"/>
  <c r="M58" i="5" a="1"/>
  <c r="M58" i="5" s="1"/>
  <c r="M106" i="5" a="1"/>
  <c r="M106" i="5" s="1"/>
  <c r="L50" i="5" a="1"/>
  <c r="L50" i="5" s="1"/>
  <c r="L85" i="5" a="1"/>
  <c r="L85" i="5" s="1"/>
  <c r="L117" i="5" a="1"/>
  <c r="L117" i="5" s="1"/>
  <c r="K42" i="5" a="1"/>
  <c r="K42" i="5" s="1"/>
  <c r="K61" i="5" a="1"/>
  <c r="K61" i="5" s="1"/>
  <c r="K75" i="5" a="1"/>
  <c r="K75" i="5" s="1"/>
  <c r="K90" i="5" a="1"/>
  <c r="K90" i="5" s="1"/>
  <c r="K104" i="5" a="1"/>
  <c r="K104" i="5" s="1"/>
  <c r="K118" i="5" a="1"/>
  <c r="K118" i="5" s="1"/>
  <c r="J33" i="5" a="1"/>
  <c r="J33" i="5" s="1"/>
  <c r="J46" i="5" a="1"/>
  <c r="J46" i="5" s="1"/>
  <c r="J59" i="5" a="1"/>
  <c r="J59" i="5" s="1"/>
  <c r="J72" i="5" a="1"/>
  <c r="J72" i="5" s="1"/>
  <c r="J84" i="5" a="1"/>
  <c r="J84" i="5" s="1"/>
  <c r="J96" i="5" a="1"/>
  <c r="J96" i="5" s="1"/>
  <c r="J108" i="5" a="1"/>
  <c r="J108" i="5" s="1"/>
  <c r="J120" i="5" a="1"/>
  <c r="J120" i="5" s="1"/>
  <c r="I34" i="5" a="1"/>
  <c r="I34" i="5" s="1"/>
  <c r="I46" i="5" a="1"/>
  <c r="I46" i="5" s="1"/>
  <c r="I58" i="5" a="1"/>
  <c r="I58" i="5" s="1"/>
  <c r="I70" i="5" a="1"/>
  <c r="I70" i="5" s="1"/>
  <c r="I82" i="5" a="1"/>
  <c r="I82" i="5" s="1"/>
  <c r="I94" i="5" a="1"/>
  <c r="I94" i="5" s="1"/>
  <c r="I106" i="5" a="1"/>
  <c r="I106" i="5" s="1"/>
  <c r="I118" i="5" a="1"/>
  <c r="I118" i="5" s="1"/>
  <c r="H32" i="5" a="1"/>
  <c r="H32" i="5" s="1"/>
  <c r="H44" i="5" a="1"/>
  <c r="H44" i="5" s="1"/>
  <c r="H56" i="5" a="1"/>
  <c r="H56" i="5" s="1"/>
  <c r="H68" i="5" a="1"/>
  <c r="H68" i="5" s="1"/>
  <c r="H80" i="5" a="1"/>
  <c r="H80" i="5" s="1"/>
  <c r="H92" i="5" a="1"/>
  <c r="H92" i="5" s="1"/>
  <c r="H104" i="5" a="1"/>
  <c r="H104" i="5" s="1"/>
  <c r="H116" i="5" a="1"/>
  <c r="H116" i="5" s="1"/>
  <c r="H30" i="5" a="1"/>
  <c r="H30" i="5" s="1"/>
  <c r="G42" i="5" a="1"/>
  <c r="G42" i="5" s="1"/>
  <c r="G54" i="5" a="1"/>
  <c r="G54" i="5" s="1"/>
  <c r="G66" i="5" a="1"/>
  <c r="G66" i="5" s="1"/>
  <c r="G78" i="5" a="1"/>
  <c r="G78" i="5" s="1"/>
  <c r="G90" i="5" a="1"/>
  <c r="G90" i="5" s="1"/>
  <c r="G102" i="5" a="1"/>
  <c r="G102" i="5" s="1"/>
  <c r="G114" i="5" a="1"/>
  <c r="G114" i="5" s="1"/>
  <c r="G126" i="5" a="1"/>
  <c r="G126" i="5" s="1"/>
  <c r="F43" i="5" a="1"/>
  <c r="F43" i="5" s="1"/>
  <c r="F55" i="5" a="1"/>
  <c r="F55" i="5" s="1"/>
  <c r="F67" i="5" a="1"/>
  <c r="F67" i="5" s="1"/>
  <c r="F79" i="5" a="1"/>
  <c r="F79" i="5" s="1"/>
  <c r="F91" i="5" a="1"/>
  <c r="F91" i="5" s="1"/>
  <c r="F103" i="5" a="1"/>
  <c r="F103" i="5" s="1"/>
  <c r="F115" i="5" a="1"/>
  <c r="F115" i="5" s="1"/>
  <c r="F127" i="5" a="1"/>
  <c r="F127" i="5" s="1"/>
  <c r="E38" i="5" a="1"/>
  <c r="E38" i="5" s="1"/>
  <c r="E50" i="5" a="1"/>
  <c r="E50" i="5" s="1"/>
  <c r="E62" i="5" a="1"/>
  <c r="E62" i="5" s="1"/>
  <c r="E74" i="5" a="1"/>
  <c r="E74" i="5" s="1"/>
  <c r="E86" i="5" a="1"/>
  <c r="E86" i="5" s="1"/>
  <c r="E98" i="5" a="1"/>
  <c r="E98" i="5" s="1"/>
  <c r="E110" i="5" a="1"/>
  <c r="E110" i="5" s="1"/>
  <c r="E122" i="5" a="1"/>
  <c r="E122" i="5" s="1"/>
  <c r="C34" i="5" a="1"/>
  <c r="C34" i="5" s="1"/>
  <c r="C46" i="5" a="1"/>
  <c r="C46" i="5" s="1"/>
  <c r="C58" i="5" a="1"/>
  <c r="C58" i="5" s="1"/>
  <c r="C70" i="5" a="1"/>
  <c r="C70" i="5" s="1"/>
  <c r="C82" i="5" a="1"/>
  <c r="C82" i="5" s="1"/>
  <c r="C94" i="5" a="1"/>
  <c r="C94" i="5" s="1"/>
  <c r="C106" i="5" a="1"/>
  <c r="C106" i="5" s="1"/>
  <c r="S126" i="5" a="1"/>
  <c r="S126" i="5" s="1"/>
  <c r="Q74" i="5" a="1"/>
  <c r="Q74" i="5" s="1"/>
  <c r="P84" i="5" a="1"/>
  <c r="P84" i="5" s="1"/>
  <c r="O58" i="5" a="1"/>
  <c r="O58" i="5" s="1"/>
  <c r="O117" i="5" a="1"/>
  <c r="O117" i="5" s="1"/>
  <c r="N67" i="5" a="1"/>
  <c r="N67" i="5" s="1"/>
  <c r="N115" i="5" a="1"/>
  <c r="N115" i="5" s="1"/>
  <c r="M64" i="5" a="1"/>
  <c r="M64" i="5" s="1"/>
  <c r="M112" i="5" a="1"/>
  <c r="M112" i="5" s="1"/>
  <c r="L51" i="5" a="1"/>
  <c r="L51" i="5" s="1"/>
  <c r="L86" i="5" a="1"/>
  <c r="L86" i="5" s="1"/>
  <c r="L119" i="5" a="1"/>
  <c r="L119" i="5" s="1"/>
  <c r="K43" i="5" a="1"/>
  <c r="K43" i="5" s="1"/>
  <c r="K62" i="5" a="1"/>
  <c r="K62" i="5" s="1"/>
  <c r="K77" i="5" a="1"/>
  <c r="K77" i="5" s="1"/>
  <c r="K91" i="5" a="1"/>
  <c r="K91" i="5" s="1"/>
  <c r="K105" i="5" a="1"/>
  <c r="K105" i="5" s="1"/>
  <c r="K119" i="5" a="1"/>
  <c r="K119" i="5" s="1"/>
  <c r="J34" i="5" a="1"/>
  <c r="J34" i="5" s="1"/>
  <c r="J47" i="5" a="1"/>
  <c r="J47" i="5" s="1"/>
  <c r="J60" i="5" a="1"/>
  <c r="J60" i="5" s="1"/>
  <c r="J73" i="5" a="1"/>
  <c r="J73" i="5" s="1"/>
  <c r="J85" i="5" a="1"/>
  <c r="J85" i="5" s="1"/>
  <c r="J97" i="5" a="1"/>
  <c r="J97" i="5" s="1"/>
  <c r="J109" i="5" a="1"/>
  <c r="J109" i="5" s="1"/>
  <c r="J121" i="5" a="1"/>
  <c r="J121" i="5" s="1"/>
  <c r="I35" i="5" a="1"/>
  <c r="I35" i="5" s="1"/>
  <c r="I47" i="5" a="1"/>
  <c r="I47" i="5" s="1"/>
  <c r="I59" i="5" a="1"/>
  <c r="I59" i="5" s="1"/>
  <c r="I71" i="5" a="1"/>
  <c r="I71" i="5" s="1"/>
  <c r="I83" i="5" a="1"/>
  <c r="I83" i="5" s="1"/>
  <c r="I95" i="5" a="1"/>
  <c r="I95" i="5" s="1"/>
  <c r="I107" i="5" a="1"/>
  <c r="I107" i="5" s="1"/>
  <c r="I119" i="5" a="1"/>
  <c r="I119" i="5" s="1"/>
  <c r="H33" i="5" a="1"/>
  <c r="H33" i="5" s="1"/>
  <c r="H45" i="5" a="1"/>
  <c r="H45" i="5" s="1"/>
  <c r="H57" i="5" a="1"/>
  <c r="H57" i="5" s="1"/>
  <c r="H69" i="5" a="1"/>
  <c r="H69" i="5" s="1"/>
  <c r="H81" i="5" a="1"/>
  <c r="H81" i="5" s="1"/>
  <c r="H93" i="5" a="1"/>
  <c r="H93" i="5" s="1"/>
  <c r="H105" i="5" a="1"/>
  <c r="H105" i="5" s="1"/>
  <c r="H117" i="5" a="1"/>
  <c r="H117" i="5" s="1"/>
  <c r="G31" i="5" a="1"/>
  <c r="G31" i="5" s="1"/>
  <c r="G43" i="5" a="1"/>
  <c r="G43" i="5" s="1"/>
  <c r="G55" i="5" a="1"/>
  <c r="G55" i="5" s="1"/>
  <c r="G67" i="5" a="1"/>
  <c r="G67" i="5" s="1"/>
  <c r="G79" i="5" a="1"/>
  <c r="G79" i="5" s="1"/>
  <c r="G91" i="5" a="1"/>
  <c r="G91" i="5" s="1"/>
  <c r="G103" i="5" a="1"/>
  <c r="G103" i="5" s="1"/>
  <c r="G115" i="5" a="1"/>
  <c r="G115" i="5" s="1"/>
  <c r="G127" i="5" a="1"/>
  <c r="G127" i="5" s="1"/>
  <c r="F44" i="5" a="1"/>
  <c r="F44" i="5" s="1"/>
  <c r="F56" i="5" a="1"/>
  <c r="F56" i="5" s="1"/>
  <c r="F68" i="5" a="1"/>
  <c r="F68" i="5" s="1"/>
  <c r="F80" i="5" a="1"/>
  <c r="F80" i="5" s="1"/>
  <c r="F92" i="5" a="1"/>
  <c r="F92" i="5" s="1"/>
  <c r="F104" i="5" a="1"/>
  <c r="F104" i="5" s="1"/>
  <c r="F116" i="5" a="1"/>
  <c r="F116" i="5" s="1"/>
  <c r="F31" i="5" a="1"/>
  <c r="F31" i="5" s="1"/>
  <c r="E39" i="5" a="1"/>
  <c r="E39" i="5" s="1"/>
  <c r="E51" i="5" a="1"/>
  <c r="E51" i="5" s="1"/>
  <c r="E63" i="5" a="1"/>
  <c r="E63" i="5" s="1"/>
  <c r="E75" i="5" a="1"/>
  <c r="E75" i="5" s="1"/>
  <c r="E87" i="5" a="1"/>
  <c r="E87" i="5" s="1"/>
  <c r="E99" i="5" a="1"/>
  <c r="E99" i="5" s="1"/>
  <c r="E111" i="5" a="1"/>
  <c r="E111" i="5" s="1"/>
  <c r="E123" i="5" a="1"/>
  <c r="E123" i="5" s="1"/>
  <c r="C35" i="5" a="1"/>
  <c r="C35" i="5" s="1"/>
  <c r="R40" i="5" a="1"/>
  <c r="R40" i="5" s="1"/>
  <c r="Q86" i="5" a="1"/>
  <c r="Q86" i="5" s="1"/>
  <c r="P89" i="5" a="1"/>
  <c r="P89" i="5" s="1"/>
  <c r="O63" i="5" a="1"/>
  <c r="O63" i="5" s="1"/>
  <c r="O118" i="5" a="1"/>
  <c r="O118" i="5" s="1"/>
  <c r="N68" i="5" a="1"/>
  <c r="N68" i="5" s="1"/>
  <c r="N116" i="5" a="1"/>
  <c r="N116" i="5" s="1"/>
  <c r="M65" i="5" a="1"/>
  <c r="M65" i="5" s="1"/>
  <c r="M113" i="5" a="1"/>
  <c r="M113" i="5" s="1"/>
  <c r="L55" i="5" a="1"/>
  <c r="L55" i="5" s="1"/>
  <c r="L91" i="5" a="1"/>
  <c r="L91" i="5" s="1"/>
  <c r="L121" i="5" a="1"/>
  <c r="L121" i="5" s="1"/>
  <c r="K45" i="5" a="1"/>
  <c r="K45" i="5" s="1"/>
  <c r="K63" i="5" a="1"/>
  <c r="K63" i="5" s="1"/>
  <c r="K78" i="5" a="1"/>
  <c r="K78" i="5" s="1"/>
  <c r="K92" i="5" a="1"/>
  <c r="K92" i="5" s="1"/>
  <c r="K107" i="5" a="1"/>
  <c r="K107" i="5" s="1"/>
  <c r="K120" i="5" a="1"/>
  <c r="K120" i="5" s="1"/>
  <c r="J35" i="5" a="1"/>
  <c r="J35" i="5" s="1"/>
  <c r="J48" i="5" a="1"/>
  <c r="J48" i="5" s="1"/>
  <c r="J61" i="5" a="1"/>
  <c r="J61" i="5" s="1"/>
  <c r="J74" i="5" a="1"/>
  <c r="J74" i="5" s="1"/>
  <c r="J86" i="5" a="1"/>
  <c r="J86" i="5" s="1"/>
  <c r="J98" i="5" a="1"/>
  <c r="J98" i="5" s="1"/>
  <c r="J110" i="5" a="1"/>
  <c r="J110" i="5" s="1"/>
  <c r="J122" i="5" a="1"/>
  <c r="J122" i="5" s="1"/>
  <c r="I36" i="5" a="1"/>
  <c r="I36" i="5" s="1"/>
  <c r="I48" i="5" a="1"/>
  <c r="I48" i="5" s="1"/>
  <c r="I60" i="5" a="1"/>
  <c r="I60" i="5" s="1"/>
  <c r="I72" i="5" a="1"/>
  <c r="I72" i="5" s="1"/>
  <c r="I84" i="5" a="1"/>
  <c r="I84" i="5" s="1"/>
  <c r="I96" i="5" a="1"/>
  <c r="I96" i="5" s="1"/>
  <c r="I108" i="5" a="1"/>
  <c r="I108" i="5" s="1"/>
  <c r="I120" i="5" a="1"/>
  <c r="I120" i="5" s="1"/>
  <c r="H34" i="5" a="1"/>
  <c r="H34" i="5" s="1"/>
  <c r="H46" i="5" a="1"/>
  <c r="H46" i="5" s="1"/>
  <c r="H58" i="5" a="1"/>
  <c r="H58" i="5" s="1"/>
  <c r="H70" i="5" a="1"/>
  <c r="H70" i="5" s="1"/>
  <c r="H82" i="5" a="1"/>
  <c r="H82" i="5" s="1"/>
  <c r="H94" i="5" a="1"/>
  <c r="H94" i="5" s="1"/>
  <c r="H106" i="5" a="1"/>
  <c r="H106" i="5" s="1"/>
  <c r="H118" i="5" a="1"/>
  <c r="H118" i="5" s="1"/>
  <c r="G32" i="5" a="1"/>
  <c r="G32" i="5" s="1"/>
  <c r="G44" i="5" a="1"/>
  <c r="G44" i="5" s="1"/>
  <c r="G56" i="5" a="1"/>
  <c r="G56" i="5" s="1"/>
  <c r="G68" i="5" a="1"/>
  <c r="G68" i="5" s="1"/>
  <c r="G80" i="5" a="1"/>
  <c r="G80" i="5" s="1"/>
  <c r="G92" i="5" a="1"/>
  <c r="G92" i="5" s="1"/>
  <c r="G104" i="5" a="1"/>
  <c r="G104" i="5" s="1"/>
  <c r="G116" i="5" a="1"/>
  <c r="G116" i="5" s="1"/>
  <c r="G30" i="5" a="1"/>
  <c r="G30" i="5" s="1"/>
  <c r="F45" i="5" a="1"/>
  <c r="F45" i="5" s="1"/>
  <c r="F57" i="5" a="1"/>
  <c r="F57" i="5" s="1"/>
  <c r="F69" i="5" a="1"/>
  <c r="F69" i="5" s="1"/>
  <c r="F81" i="5" a="1"/>
  <c r="F81" i="5" s="1"/>
  <c r="F93" i="5" a="1"/>
  <c r="F93" i="5" s="1"/>
  <c r="F105" i="5" a="1"/>
  <c r="F105" i="5" s="1"/>
  <c r="F117" i="5" a="1"/>
  <c r="F117" i="5" s="1"/>
  <c r="F32" i="5" a="1"/>
  <c r="F32" i="5" s="1"/>
  <c r="E40" i="5" a="1"/>
  <c r="E40" i="5" s="1"/>
  <c r="E52" i="5" a="1"/>
  <c r="E52" i="5" s="1"/>
  <c r="E64" i="5" a="1"/>
  <c r="E64" i="5" s="1"/>
  <c r="E76" i="5" a="1"/>
  <c r="E76" i="5" s="1"/>
  <c r="E88" i="5" a="1"/>
  <c r="E88" i="5" s="1"/>
  <c r="E100" i="5" a="1"/>
  <c r="E100" i="5" s="1"/>
  <c r="E112" i="5" a="1"/>
  <c r="E112" i="5" s="1"/>
  <c r="E124" i="5" a="1"/>
  <c r="E124" i="5" s="1"/>
  <c r="C36" i="5" a="1"/>
  <c r="C36" i="5" s="1"/>
  <c r="C48" i="5" a="1"/>
  <c r="C48" i="5" s="1"/>
  <c r="C60" i="5" a="1"/>
  <c r="C60" i="5" s="1"/>
  <c r="R52" i="5" a="1"/>
  <c r="R52" i="5" s="1"/>
  <c r="Q98" i="5" a="1"/>
  <c r="Q98" i="5" s="1"/>
  <c r="P96" i="5" a="1"/>
  <c r="P96" i="5" s="1"/>
  <c r="O70" i="5" a="1"/>
  <c r="O70" i="5" s="1"/>
  <c r="O123" i="5" a="1"/>
  <c r="O123" i="5" s="1"/>
  <c r="N73" i="5" a="1"/>
  <c r="N73" i="5" s="1"/>
  <c r="N121" i="5" a="1"/>
  <c r="N121" i="5" s="1"/>
  <c r="M70" i="5" a="1"/>
  <c r="M70" i="5" s="1"/>
  <c r="M118" i="5" a="1"/>
  <c r="M118" i="5" s="1"/>
  <c r="L57" i="5" a="1"/>
  <c r="L57" i="5" s="1"/>
  <c r="L93" i="5" a="1"/>
  <c r="L93" i="5" s="1"/>
  <c r="L122" i="5" a="1"/>
  <c r="L122" i="5" s="1"/>
  <c r="K47" i="5" a="1"/>
  <c r="K47" i="5" s="1"/>
  <c r="K65" i="5" a="1"/>
  <c r="K65" i="5" s="1"/>
  <c r="K79" i="5" a="1"/>
  <c r="K79" i="5" s="1"/>
  <c r="K93" i="5" a="1"/>
  <c r="K93" i="5" s="1"/>
  <c r="K108" i="5" a="1"/>
  <c r="K108" i="5" s="1"/>
  <c r="K121" i="5" a="1"/>
  <c r="K121" i="5" s="1"/>
  <c r="J36" i="5" a="1"/>
  <c r="J36" i="5" s="1"/>
  <c r="J49" i="5" a="1"/>
  <c r="J49" i="5" s="1"/>
  <c r="J63" i="5" a="1"/>
  <c r="J63" i="5" s="1"/>
  <c r="J75" i="5" a="1"/>
  <c r="J75" i="5" s="1"/>
  <c r="J87" i="5" a="1"/>
  <c r="J87" i="5" s="1"/>
  <c r="J99" i="5" a="1"/>
  <c r="J99" i="5" s="1"/>
  <c r="J111" i="5" a="1"/>
  <c r="J111" i="5" s="1"/>
  <c r="J123" i="5" a="1"/>
  <c r="J123" i="5" s="1"/>
  <c r="I37" i="5" a="1"/>
  <c r="I37" i="5" s="1"/>
  <c r="I49" i="5" a="1"/>
  <c r="I49" i="5" s="1"/>
  <c r="I61" i="5" a="1"/>
  <c r="I61" i="5" s="1"/>
  <c r="I73" i="5" a="1"/>
  <c r="I73" i="5" s="1"/>
  <c r="I85" i="5" a="1"/>
  <c r="I85" i="5" s="1"/>
  <c r="I97" i="5" a="1"/>
  <c r="I97" i="5" s="1"/>
  <c r="I109" i="5" a="1"/>
  <c r="I109" i="5" s="1"/>
  <c r="I121" i="5" a="1"/>
  <c r="I121" i="5" s="1"/>
  <c r="H35" i="5" a="1"/>
  <c r="H35" i="5" s="1"/>
  <c r="H47" i="5" a="1"/>
  <c r="H47" i="5" s="1"/>
  <c r="H59" i="5" a="1"/>
  <c r="H59" i="5" s="1"/>
  <c r="H71" i="5" a="1"/>
  <c r="H71" i="5" s="1"/>
  <c r="H83" i="5" a="1"/>
  <c r="H83" i="5" s="1"/>
  <c r="H95" i="5" a="1"/>
  <c r="H95" i="5" s="1"/>
  <c r="H107" i="5" a="1"/>
  <c r="H107" i="5" s="1"/>
  <c r="H119" i="5" a="1"/>
  <c r="H119" i="5" s="1"/>
  <c r="G33" i="5" a="1"/>
  <c r="G33" i="5" s="1"/>
  <c r="G45" i="5" a="1"/>
  <c r="G45" i="5" s="1"/>
  <c r="G57" i="5" a="1"/>
  <c r="G57" i="5" s="1"/>
  <c r="G69" i="5" a="1"/>
  <c r="G69" i="5" s="1"/>
  <c r="G81" i="5" a="1"/>
  <c r="G81" i="5" s="1"/>
  <c r="G93" i="5" a="1"/>
  <c r="G93" i="5" s="1"/>
  <c r="G105" i="5" a="1"/>
  <c r="G105" i="5" s="1"/>
  <c r="G117" i="5" a="1"/>
  <c r="G117" i="5" s="1"/>
  <c r="F34" i="5" a="1"/>
  <c r="F34" i="5" s="1"/>
  <c r="F46" i="5" a="1"/>
  <c r="F46" i="5" s="1"/>
  <c r="F58" i="5" a="1"/>
  <c r="F58" i="5" s="1"/>
  <c r="F70" i="5" a="1"/>
  <c r="F70" i="5" s="1"/>
  <c r="F82" i="5" a="1"/>
  <c r="F82" i="5" s="1"/>
  <c r="F94" i="5" a="1"/>
  <c r="F94" i="5" s="1"/>
  <c r="F106" i="5" a="1"/>
  <c r="F106" i="5" s="1"/>
  <c r="F118" i="5" a="1"/>
  <c r="F118" i="5" s="1"/>
  <c r="F33" i="5" a="1"/>
  <c r="F33" i="5" s="1"/>
  <c r="E41" i="5" a="1"/>
  <c r="E41" i="5" s="1"/>
  <c r="E53" i="5" a="1"/>
  <c r="E53" i="5" s="1"/>
  <c r="E65" i="5" a="1"/>
  <c r="E65" i="5" s="1"/>
  <c r="E77" i="5" a="1"/>
  <c r="E77" i="5" s="1"/>
  <c r="E89" i="5" a="1"/>
  <c r="E89" i="5" s="1"/>
  <c r="E101" i="5" a="1"/>
  <c r="E101" i="5" s="1"/>
  <c r="E113" i="5" a="1"/>
  <c r="E113" i="5" s="1"/>
  <c r="E125" i="5" a="1"/>
  <c r="E125" i="5" s="1"/>
  <c r="C37" i="5" a="1"/>
  <c r="C37" i="5" s="1"/>
  <c r="C49" i="5" a="1"/>
  <c r="C49" i="5" s="1"/>
  <c r="C61" i="5" a="1"/>
  <c r="C61" i="5" s="1"/>
  <c r="R64" i="5" a="1"/>
  <c r="R64" i="5" s="1"/>
  <c r="Q110" i="5" a="1"/>
  <c r="Q110" i="5" s="1"/>
  <c r="P101" i="5" a="1"/>
  <c r="P101" i="5" s="1"/>
  <c r="O75" i="5" a="1"/>
  <c r="O75" i="5" s="1"/>
  <c r="N31" i="5" a="1"/>
  <c r="N31" i="5" s="1"/>
  <c r="N79" i="5" a="1"/>
  <c r="N79" i="5" s="1"/>
  <c r="N127" i="5" a="1"/>
  <c r="N127" i="5" s="1"/>
  <c r="M76" i="5" a="1"/>
  <c r="M76" i="5" s="1"/>
  <c r="M124" i="5" a="1"/>
  <c r="M124" i="5" s="1"/>
  <c r="L61" i="5" a="1"/>
  <c r="L61" i="5" s="1"/>
  <c r="L97" i="5" a="1"/>
  <c r="L97" i="5" s="1"/>
  <c r="L123" i="5" a="1"/>
  <c r="L123" i="5" s="1"/>
  <c r="K48" i="5" a="1"/>
  <c r="K48" i="5" s="1"/>
  <c r="K66" i="5" a="1"/>
  <c r="K66" i="5" s="1"/>
  <c r="K80" i="5" a="1"/>
  <c r="K80" i="5" s="1"/>
  <c r="K95" i="5" a="1"/>
  <c r="K95" i="5" s="1"/>
  <c r="K109" i="5" a="1"/>
  <c r="K109" i="5" s="1"/>
  <c r="K122" i="5" a="1"/>
  <c r="K122" i="5" s="1"/>
  <c r="J37" i="5" a="1"/>
  <c r="J37" i="5" s="1"/>
  <c r="J51" i="5" a="1"/>
  <c r="J51" i="5" s="1"/>
  <c r="J64" i="5" a="1"/>
  <c r="J64" i="5" s="1"/>
  <c r="J76" i="5" a="1"/>
  <c r="J76" i="5" s="1"/>
  <c r="J88" i="5" a="1"/>
  <c r="J88" i="5" s="1"/>
  <c r="J100" i="5" a="1"/>
  <c r="J100" i="5" s="1"/>
  <c r="J112" i="5" a="1"/>
  <c r="J112" i="5" s="1"/>
  <c r="J124" i="5" a="1"/>
  <c r="J124" i="5" s="1"/>
  <c r="I38" i="5" a="1"/>
  <c r="I38" i="5" s="1"/>
  <c r="I50" i="5" a="1"/>
  <c r="I50" i="5" s="1"/>
  <c r="I62" i="5" a="1"/>
  <c r="I62" i="5" s="1"/>
  <c r="I74" i="5" a="1"/>
  <c r="I74" i="5" s="1"/>
  <c r="I86" i="5" a="1"/>
  <c r="I86" i="5" s="1"/>
  <c r="I98" i="5" a="1"/>
  <c r="I98" i="5" s="1"/>
  <c r="I110" i="5" a="1"/>
  <c r="I110" i="5" s="1"/>
  <c r="I122" i="5" a="1"/>
  <c r="I122" i="5" s="1"/>
  <c r="H36" i="5" a="1"/>
  <c r="H36" i="5" s="1"/>
  <c r="H48" i="5" a="1"/>
  <c r="H48" i="5" s="1"/>
  <c r="H60" i="5" a="1"/>
  <c r="H60" i="5" s="1"/>
  <c r="H72" i="5" a="1"/>
  <c r="H72" i="5" s="1"/>
  <c r="H84" i="5" a="1"/>
  <c r="H84" i="5" s="1"/>
  <c r="H96" i="5" a="1"/>
  <c r="H96" i="5" s="1"/>
  <c r="R76" i="5" a="1"/>
  <c r="R76" i="5" s="1"/>
  <c r="Q122" i="5" a="1"/>
  <c r="Q122" i="5" s="1"/>
  <c r="P108" i="5" a="1"/>
  <c r="P108" i="5" s="1"/>
  <c r="O82" i="5" a="1"/>
  <c r="O82" i="5" s="1"/>
  <c r="N32" i="5" a="1"/>
  <c r="N32" i="5" s="1"/>
  <c r="N80" i="5" a="1"/>
  <c r="N80" i="5" s="1"/>
  <c r="N30" i="5" a="1"/>
  <c r="N30" i="5" s="1"/>
  <c r="M77" i="5" a="1"/>
  <c r="M77" i="5" s="1"/>
  <c r="M125" i="5" a="1"/>
  <c r="M125" i="5" s="1"/>
  <c r="L62" i="5" a="1"/>
  <c r="L62" i="5" s="1"/>
  <c r="L98" i="5" a="1"/>
  <c r="L98" i="5" s="1"/>
  <c r="L127" i="5" a="1"/>
  <c r="L127" i="5" s="1"/>
  <c r="K49" i="5" a="1"/>
  <c r="K49" i="5" s="1"/>
  <c r="K67" i="5" a="1"/>
  <c r="K67" i="5" s="1"/>
  <c r="K81" i="5" a="1"/>
  <c r="K81" i="5" s="1"/>
  <c r="K96" i="5" a="1"/>
  <c r="K96" i="5" s="1"/>
  <c r="K110" i="5" a="1"/>
  <c r="K110" i="5" s="1"/>
  <c r="K123" i="5" a="1"/>
  <c r="K123" i="5" s="1"/>
  <c r="J39" i="5" a="1"/>
  <c r="J39" i="5" s="1"/>
  <c r="J52" i="5" a="1"/>
  <c r="J52" i="5" s="1"/>
  <c r="J65" i="5" a="1"/>
  <c r="J65" i="5" s="1"/>
  <c r="J77" i="5" a="1"/>
  <c r="J77" i="5" s="1"/>
  <c r="J89" i="5" a="1"/>
  <c r="J89" i="5" s="1"/>
  <c r="J101" i="5" a="1"/>
  <c r="J101" i="5" s="1"/>
  <c r="J113" i="5" a="1"/>
  <c r="J113" i="5" s="1"/>
  <c r="J125" i="5" a="1"/>
  <c r="J125" i="5" s="1"/>
  <c r="I39" i="5" a="1"/>
  <c r="I39" i="5" s="1"/>
  <c r="I51" i="5" a="1"/>
  <c r="I51" i="5" s="1"/>
  <c r="I63" i="5" a="1"/>
  <c r="I63" i="5" s="1"/>
  <c r="I75" i="5" a="1"/>
  <c r="I75" i="5" s="1"/>
  <c r="I87" i="5" a="1"/>
  <c r="I87" i="5" s="1"/>
  <c r="I99" i="5" a="1"/>
  <c r="I99" i="5" s="1"/>
  <c r="I111" i="5" a="1"/>
  <c r="I111" i="5" s="1"/>
  <c r="I123" i="5" a="1"/>
  <c r="I123" i="5" s="1"/>
  <c r="H37" i="5" a="1"/>
  <c r="H37" i="5" s="1"/>
  <c r="H49" i="5" a="1"/>
  <c r="H49" i="5" s="1"/>
  <c r="H61" i="5" a="1"/>
  <c r="H61" i="5" s="1"/>
  <c r="H73" i="5" a="1"/>
  <c r="H73" i="5" s="1"/>
  <c r="H85" i="5" a="1"/>
  <c r="H85" i="5" s="1"/>
  <c r="H97" i="5" a="1"/>
  <c r="H97" i="5" s="1"/>
  <c r="H109" i="5" a="1"/>
  <c r="H109" i="5" s="1"/>
  <c r="H121" i="5" a="1"/>
  <c r="H121" i="5" s="1"/>
  <c r="G35" i="5" a="1"/>
  <c r="G35" i="5" s="1"/>
  <c r="G47" i="5" a="1"/>
  <c r="G47" i="5" s="1"/>
  <c r="G59" i="5" a="1"/>
  <c r="G59" i="5" s="1"/>
  <c r="G71" i="5" a="1"/>
  <c r="G71" i="5" s="1"/>
  <c r="G83" i="5" a="1"/>
  <c r="G83" i="5" s="1"/>
  <c r="G95" i="5" a="1"/>
  <c r="G95" i="5" s="1"/>
  <c r="G107" i="5" a="1"/>
  <c r="G107" i="5" s="1"/>
  <c r="G119" i="5" a="1"/>
  <c r="G119" i="5" s="1"/>
  <c r="F36" i="5" a="1"/>
  <c r="F36" i="5" s="1"/>
  <c r="F48" i="5" a="1"/>
  <c r="F48" i="5" s="1"/>
  <c r="F60" i="5" a="1"/>
  <c r="F60" i="5" s="1"/>
  <c r="F72" i="5" a="1"/>
  <c r="F72" i="5" s="1"/>
  <c r="F84" i="5" a="1"/>
  <c r="F84" i="5" s="1"/>
  <c r="F96" i="5" a="1"/>
  <c r="F96" i="5" s="1"/>
  <c r="F108" i="5" a="1"/>
  <c r="F108" i="5" s="1"/>
  <c r="F120" i="5" a="1"/>
  <c r="F120" i="5" s="1"/>
  <c r="E31" i="5" a="1"/>
  <c r="E31" i="5" s="1"/>
  <c r="E43" i="5" a="1"/>
  <c r="E43" i="5" s="1"/>
  <c r="E55" i="5" a="1"/>
  <c r="E55" i="5" s="1"/>
  <c r="E67" i="5" a="1"/>
  <c r="E67" i="5" s="1"/>
  <c r="E79" i="5" a="1"/>
  <c r="E79" i="5" s="1"/>
  <c r="E91" i="5" a="1"/>
  <c r="E91" i="5" s="1"/>
  <c r="E103" i="5" a="1"/>
  <c r="E103" i="5" s="1"/>
  <c r="E115" i="5" a="1"/>
  <c r="E115" i="5" s="1"/>
  <c r="E127" i="5" a="1"/>
  <c r="E127" i="5" s="1"/>
  <c r="C39" i="5" a="1"/>
  <c r="C39" i="5" s="1"/>
  <c r="C51" i="5" a="1"/>
  <c r="C51" i="5" s="1"/>
  <c r="C63" i="5" a="1"/>
  <c r="C63" i="5" s="1"/>
  <c r="C75" i="5" a="1"/>
  <c r="C75" i="5" s="1"/>
  <c r="S42" i="5" a="1"/>
  <c r="S42" i="5" s="1"/>
  <c r="R88" i="5" a="1"/>
  <c r="R88" i="5" s="1"/>
  <c r="P36" i="5" a="1"/>
  <c r="P36" i="5" s="1"/>
  <c r="P113" i="5" a="1"/>
  <c r="P113" i="5" s="1"/>
  <c r="O87" i="5" a="1"/>
  <c r="O87" i="5" s="1"/>
  <c r="N37" i="5" a="1"/>
  <c r="N37" i="5" s="1"/>
  <c r="N85" i="5" a="1"/>
  <c r="N85" i="5" s="1"/>
  <c r="M35" i="5" a="1"/>
  <c r="M35" i="5" s="1"/>
  <c r="M82" i="5" a="1"/>
  <c r="M82" i="5" s="1"/>
  <c r="L32" i="5" a="1"/>
  <c r="L32" i="5" s="1"/>
  <c r="L67" i="5" a="1"/>
  <c r="L67" i="5" s="1"/>
  <c r="L103" i="5" a="1"/>
  <c r="L103" i="5" s="1"/>
  <c r="K31" i="5" a="1"/>
  <c r="K31" i="5" s="1"/>
  <c r="K53" i="5" a="1"/>
  <c r="K53" i="5" s="1"/>
  <c r="K68" i="5" a="1"/>
  <c r="K68" i="5" s="1"/>
  <c r="K83" i="5" a="1"/>
  <c r="K83" i="5" s="1"/>
  <c r="K97" i="5" a="1"/>
  <c r="K97" i="5" s="1"/>
  <c r="K111" i="5" a="1"/>
  <c r="K111" i="5" s="1"/>
  <c r="K125" i="5" a="1"/>
  <c r="K125" i="5" s="1"/>
  <c r="J40" i="5" a="1"/>
  <c r="J40" i="5" s="1"/>
  <c r="J53" i="5" a="1"/>
  <c r="J53" i="5" s="1"/>
  <c r="J66" i="5" a="1"/>
  <c r="J66" i="5" s="1"/>
  <c r="J78" i="5" a="1"/>
  <c r="J78" i="5" s="1"/>
  <c r="J90" i="5" a="1"/>
  <c r="J90" i="5" s="1"/>
  <c r="J102" i="5" a="1"/>
  <c r="J102" i="5" s="1"/>
  <c r="J114" i="5" a="1"/>
  <c r="J114" i="5" s="1"/>
  <c r="J126" i="5" a="1"/>
  <c r="J126" i="5" s="1"/>
  <c r="I40" i="5" a="1"/>
  <c r="I40" i="5" s="1"/>
  <c r="I52" i="5" a="1"/>
  <c r="I52" i="5" s="1"/>
  <c r="I64" i="5" a="1"/>
  <c r="I64" i="5" s="1"/>
  <c r="I76" i="5" a="1"/>
  <c r="I76" i="5" s="1"/>
  <c r="I88" i="5" a="1"/>
  <c r="I88" i="5" s="1"/>
  <c r="I100" i="5" a="1"/>
  <c r="I100" i="5" s="1"/>
  <c r="I112" i="5" a="1"/>
  <c r="I112" i="5" s="1"/>
  <c r="I124" i="5" a="1"/>
  <c r="I124" i="5" s="1"/>
  <c r="H38" i="5" a="1"/>
  <c r="H38" i="5" s="1"/>
  <c r="H50" i="5" a="1"/>
  <c r="H50" i="5" s="1"/>
  <c r="H62" i="5" a="1"/>
  <c r="H62" i="5" s="1"/>
  <c r="H74" i="5" a="1"/>
  <c r="H74" i="5" s="1"/>
  <c r="H86" i="5" a="1"/>
  <c r="H86" i="5" s="1"/>
  <c r="H98" i="5" a="1"/>
  <c r="H98" i="5" s="1"/>
  <c r="H110" i="5" a="1"/>
  <c r="H110" i="5" s="1"/>
  <c r="H122" i="5" a="1"/>
  <c r="H122" i="5" s="1"/>
  <c r="G36" i="5" a="1"/>
  <c r="G36" i="5" s="1"/>
  <c r="G48" i="5" a="1"/>
  <c r="G48" i="5" s="1"/>
  <c r="G60" i="5" a="1"/>
  <c r="G60" i="5" s="1"/>
  <c r="G72" i="5" a="1"/>
  <c r="G72" i="5" s="1"/>
  <c r="G84" i="5" a="1"/>
  <c r="G84" i="5" s="1"/>
  <c r="G96" i="5" a="1"/>
  <c r="G96" i="5" s="1"/>
  <c r="G108" i="5" a="1"/>
  <c r="G108" i="5" s="1"/>
  <c r="G120" i="5" a="1"/>
  <c r="G120" i="5" s="1"/>
  <c r="F37" i="5" a="1"/>
  <c r="F37" i="5" s="1"/>
  <c r="F49" i="5" a="1"/>
  <c r="F49" i="5" s="1"/>
  <c r="F61" i="5" a="1"/>
  <c r="F61" i="5" s="1"/>
  <c r="F73" i="5" a="1"/>
  <c r="F73" i="5" s="1"/>
  <c r="F85" i="5" a="1"/>
  <c r="F85" i="5" s="1"/>
  <c r="F97" i="5" a="1"/>
  <c r="F97" i="5" s="1"/>
  <c r="F109" i="5" a="1"/>
  <c r="F109" i="5" s="1"/>
  <c r="F121" i="5" a="1"/>
  <c r="F121" i="5" s="1"/>
  <c r="E32" i="5" a="1"/>
  <c r="E32" i="5" s="1"/>
  <c r="E44" i="5" a="1"/>
  <c r="E44" i="5" s="1"/>
  <c r="E56" i="5" a="1"/>
  <c r="E56" i="5" s="1"/>
  <c r="E68" i="5" a="1"/>
  <c r="E68" i="5" s="1"/>
  <c r="E80" i="5" a="1"/>
  <c r="E80" i="5" s="1"/>
  <c r="E92" i="5" a="1"/>
  <c r="E92" i="5" s="1"/>
  <c r="E104" i="5" a="1"/>
  <c r="E104" i="5" s="1"/>
  <c r="E116" i="5" a="1"/>
  <c r="E116" i="5" s="1"/>
  <c r="E30" i="5" a="1"/>
  <c r="E30" i="5" s="1"/>
  <c r="S54" i="5" a="1"/>
  <c r="S54" i="5" s="1"/>
  <c r="R100" i="5" a="1"/>
  <c r="R100" i="5" s="1"/>
  <c r="P48" i="5" a="1"/>
  <c r="P48" i="5" s="1"/>
  <c r="P120" i="5" a="1"/>
  <c r="P120" i="5" s="1"/>
  <c r="O93" i="5" a="1"/>
  <c r="O93" i="5" s="1"/>
  <c r="N43" i="5" a="1"/>
  <c r="N43" i="5" s="1"/>
  <c r="N91" i="5" a="1"/>
  <c r="N91" i="5" s="1"/>
  <c r="M41" i="5" a="1"/>
  <c r="M41" i="5" s="1"/>
  <c r="M88" i="5" a="1"/>
  <c r="M88" i="5" s="1"/>
  <c r="L34" i="5" a="1"/>
  <c r="L34" i="5" s="1"/>
  <c r="L69" i="5" a="1"/>
  <c r="L69" i="5" s="1"/>
  <c r="L105" i="5" a="1"/>
  <c r="L105" i="5" s="1"/>
  <c r="K33" i="5" a="1"/>
  <c r="K33" i="5" s="1"/>
  <c r="K54" i="5" a="1"/>
  <c r="K54" i="5" s="1"/>
  <c r="K69" i="5" a="1"/>
  <c r="K69" i="5" s="1"/>
  <c r="K84" i="5" a="1"/>
  <c r="K84" i="5" s="1"/>
  <c r="K98" i="5" a="1"/>
  <c r="K98" i="5" s="1"/>
  <c r="K113" i="5" a="1"/>
  <c r="K113" i="5" s="1"/>
  <c r="K126" i="5" a="1"/>
  <c r="K126" i="5" s="1"/>
  <c r="J41" i="5" a="1"/>
  <c r="J41" i="5" s="1"/>
  <c r="J54" i="5" a="1"/>
  <c r="J54" i="5" s="1"/>
  <c r="J67" i="5" a="1"/>
  <c r="J67" i="5" s="1"/>
  <c r="J79" i="5" a="1"/>
  <c r="J79" i="5" s="1"/>
  <c r="J91" i="5" a="1"/>
  <c r="J91" i="5" s="1"/>
  <c r="J103" i="5" a="1"/>
  <c r="J103" i="5" s="1"/>
  <c r="J115" i="5" a="1"/>
  <c r="J115" i="5" s="1"/>
  <c r="J127" i="5" a="1"/>
  <c r="J127" i="5" s="1"/>
  <c r="I41" i="5" a="1"/>
  <c r="I41" i="5" s="1"/>
  <c r="I53" i="5" a="1"/>
  <c r="I53" i="5" s="1"/>
  <c r="I65" i="5" a="1"/>
  <c r="I65" i="5" s="1"/>
  <c r="I77" i="5" a="1"/>
  <c r="I77" i="5" s="1"/>
  <c r="I89" i="5" a="1"/>
  <c r="I89" i="5" s="1"/>
  <c r="I101" i="5" a="1"/>
  <c r="I101" i="5" s="1"/>
  <c r="I113" i="5" a="1"/>
  <c r="I113" i="5" s="1"/>
  <c r="I125" i="5" a="1"/>
  <c r="I125" i="5" s="1"/>
  <c r="H39" i="5" a="1"/>
  <c r="H39" i="5" s="1"/>
  <c r="H51" i="5" a="1"/>
  <c r="H51" i="5" s="1"/>
  <c r="H63" i="5" a="1"/>
  <c r="H63" i="5" s="1"/>
  <c r="H75" i="5" a="1"/>
  <c r="H75" i="5" s="1"/>
  <c r="H87" i="5" a="1"/>
  <c r="H87" i="5" s="1"/>
  <c r="H99" i="5" a="1"/>
  <c r="H99" i="5" s="1"/>
  <c r="H111" i="5" a="1"/>
  <c r="H111" i="5" s="1"/>
  <c r="H123" i="5" a="1"/>
  <c r="H123" i="5" s="1"/>
  <c r="G37" i="5" a="1"/>
  <c r="G37" i="5" s="1"/>
  <c r="G49" i="5" a="1"/>
  <c r="G49" i="5" s="1"/>
  <c r="G61" i="5" a="1"/>
  <c r="G61" i="5" s="1"/>
  <c r="G73" i="5" a="1"/>
  <c r="G73" i="5" s="1"/>
  <c r="G85" i="5" a="1"/>
  <c r="G85" i="5" s="1"/>
  <c r="G97" i="5" a="1"/>
  <c r="G97" i="5" s="1"/>
  <c r="G109" i="5" a="1"/>
  <c r="G109" i="5" s="1"/>
  <c r="G121" i="5" a="1"/>
  <c r="G121" i="5" s="1"/>
  <c r="F38" i="5" a="1"/>
  <c r="F38" i="5" s="1"/>
  <c r="F50" i="5" a="1"/>
  <c r="F50" i="5" s="1"/>
  <c r="F62" i="5" a="1"/>
  <c r="F62" i="5" s="1"/>
  <c r="F74" i="5" a="1"/>
  <c r="F74" i="5" s="1"/>
  <c r="F86" i="5" a="1"/>
  <c r="F86" i="5" s="1"/>
  <c r="F98" i="5" a="1"/>
  <c r="F98" i="5" s="1"/>
  <c r="F110" i="5" a="1"/>
  <c r="F110" i="5" s="1"/>
  <c r="F122" i="5" a="1"/>
  <c r="F122" i="5" s="1"/>
  <c r="E33" i="5" a="1"/>
  <c r="E33" i="5" s="1"/>
  <c r="E45" i="5" a="1"/>
  <c r="E45" i="5" s="1"/>
  <c r="E57" i="5" a="1"/>
  <c r="E57" i="5" s="1"/>
  <c r="E69" i="5" a="1"/>
  <c r="E69" i="5" s="1"/>
  <c r="E81" i="5" a="1"/>
  <c r="E81" i="5" s="1"/>
  <c r="E93" i="5" a="1"/>
  <c r="E93" i="5" s="1"/>
  <c r="E105" i="5" a="1"/>
  <c r="E105" i="5" s="1"/>
  <c r="E117" i="5" a="1"/>
  <c r="E117" i="5" s="1"/>
  <c r="C41" i="5" a="1"/>
  <c r="C41" i="5" s="1"/>
  <c r="C53" i="5" a="1"/>
  <c r="C53" i="5" s="1"/>
  <c r="C65" i="5" a="1"/>
  <c r="C65" i="5" s="1"/>
  <c r="L73" i="5" a="1"/>
  <c r="L73" i="5" s="1"/>
  <c r="J80" i="5" a="1"/>
  <c r="J80" i="5" s="1"/>
  <c r="I126" i="5" a="1"/>
  <c r="I126" i="5" s="1"/>
  <c r="G38" i="5" a="1"/>
  <c r="G38" i="5" s="1"/>
  <c r="G110" i="5" a="1"/>
  <c r="G110" i="5" s="1"/>
  <c r="F87" i="5" a="1"/>
  <c r="F87" i="5" s="1"/>
  <c r="E58" i="5" a="1"/>
  <c r="E58" i="5" s="1"/>
  <c r="C57" i="5" a="1"/>
  <c r="C57" i="5" s="1"/>
  <c r="C77" i="5" a="1"/>
  <c r="C77" i="5" s="1"/>
  <c r="C92" i="5" a="1"/>
  <c r="C92" i="5" s="1"/>
  <c r="C107" i="5" a="1"/>
  <c r="C107" i="5" s="1"/>
  <c r="C120" i="5" a="1"/>
  <c r="C120" i="5" s="1"/>
  <c r="L107" i="5" a="1"/>
  <c r="L107" i="5" s="1"/>
  <c r="J92" i="5" a="1"/>
  <c r="J92" i="5" s="1"/>
  <c r="H40" i="5" a="1"/>
  <c r="H40" i="5" s="1"/>
  <c r="G46" i="5" a="1"/>
  <c r="G46" i="5" s="1"/>
  <c r="G118" i="5" a="1"/>
  <c r="G118" i="5" s="1"/>
  <c r="F95" i="5" a="1"/>
  <c r="F95" i="5" s="1"/>
  <c r="E66" i="5" a="1"/>
  <c r="E66" i="5" s="1"/>
  <c r="C59" i="5" a="1"/>
  <c r="C59" i="5" s="1"/>
  <c r="C78" i="5" a="1"/>
  <c r="C78" i="5" s="1"/>
  <c r="C93" i="5" a="1"/>
  <c r="C93" i="5" s="1"/>
  <c r="C108" i="5" a="1"/>
  <c r="C108" i="5" s="1"/>
  <c r="C121" i="5" a="1"/>
  <c r="C121" i="5" s="1"/>
  <c r="E118" i="5" a="1"/>
  <c r="E118" i="5" s="1"/>
  <c r="C89" i="5" a="1"/>
  <c r="C89" i="5" s="1"/>
  <c r="I114" i="5" a="1"/>
  <c r="I114" i="5" s="1"/>
  <c r="F83" i="5" a="1"/>
  <c r="F83" i="5" s="1"/>
  <c r="C90" i="5" a="1"/>
  <c r="C90" i="5" s="1"/>
  <c r="S66" i="5" a="1"/>
  <c r="S66" i="5" s="1"/>
  <c r="K35" i="5" a="1"/>
  <c r="K35" i="5" s="1"/>
  <c r="J104" i="5" a="1"/>
  <c r="J104" i="5" s="1"/>
  <c r="H52" i="5" a="1"/>
  <c r="H52" i="5" s="1"/>
  <c r="G50" i="5" a="1"/>
  <c r="G50" i="5" s="1"/>
  <c r="G122" i="5" a="1"/>
  <c r="G122" i="5" s="1"/>
  <c r="F99" i="5" a="1"/>
  <c r="F99" i="5" s="1"/>
  <c r="E70" i="5" a="1"/>
  <c r="E70" i="5" s="1"/>
  <c r="C62" i="5" a="1"/>
  <c r="C62" i="5" s="1"/>
  <c r="C80" i="5" a="1"/>
  <c r="C80" i="5" s="1"/>
  <c r="C95" i="5" a="1"/>
  <c r="C95" i="5" s="1"/>
  <c r="C109" i="5" a="1"/>
  <c r="C109" i="5" s="1"/>
  <c r="C122" i="5" a="1"/>
  <c r="C122" i="5" s="1"/>
  <c r="R112" i="5" a="1"/>
  <c r="R112" i="5" s="1"/>
  <c r="K55" i="5" a="1"/>
  <c r="K55" i="5" s="1"/>
  <c r="J116" i="5" a="1"/>
  <c r="J116" i="5" s="1"/>
  <c r="H64" i="5" a="1"/>
  <c r="H64" i="5" s="1"/>
  <c r="G58" i="5" a="1"/>
  <c r="G58" i="5" s="1"/>
  <c r="F35" i="5" a="1"/>
  <c r="F35" i="5" s="1"/>
  <c r="F107" i="5" a="1"/>
  <c r="F107" i="5" s="1"/>
  <c r="E78" i="5" a="1"/>
  <c r="E78" i="5" s="1"/>
  <c r="C64" i="5" a="1"/>
  <c r="C64" i="5" s="1"/>
  <c r="C81" i="5" a="1"/>
  <c r="C81" i="5" s="1"/>
  <c r="C96" i="5" a="1"/>
  <c r="C96" i="5" s="1"/>
  <c r="C110" i="5" a="1"/>
  <c r="C110" i="5" s="1"/>
  <c r="C123" i="5" a="1"/>
  <c r="C123" i="5" s="1"/>
  <c r="C52" i="5" a="1"/>
  <c r="C52" i="5" s="1"/>
  <c r="C118" i="5" a="1"/>
  <c r="C118" i="5" s="1"/>
  <c r="L38" i="5" a="1"/>
  <c r="L38" i="5" s="1"/>
  <c r="G34" i="5" a="1"/>
  <c r="G34" i="5" s="1"/>
  <c r="E54" i="5" a="1"/>
  <c r="E54" i="5" s="1"/>
  <c r="C54" i="5" a="1"/>
  <c r="C54" i="5" s="1"/>
  <c r="C105" i="5" a="1"/>
  <c r="C105" i="5" s="1"/>
  <c r="P53" i="5" a="1"/>
  <c r="P53" i="5" s="1"/>
  <c r="K71" i="5" a="1"/>
  <c r="K71" i="5" s="1"/>
  <c r="J30" i="5" a="1"/>
  <c r="J30" i="5" s="1"/>
  <c r="H76" i="5" a="1"/>
  <c r="H76" i="5" s="1"/>
  <c r="G62" i="5" a="1"/>
  <c r="G62" i="5" s="1"/>
  <c r="F39" i="5" a="1"/>
  <c r="F39" i="5" s="1"/>
  <c r="F111" i="5" a="1"/>
  <c r="F111" i="5" s="1"/>
  <c r="E82" i="5" a="1"/>
  <c r="E82" i="5" s="1"/>
  <c r="C66" i="5" a="1"/>
  <c r="C66" i="5" s="1"/>
  <c r="C83" i="5" a="1"/>
  <c r="C83" i="5" s="1"/>
  <c r="C97" i="5" a="1"/>
  <c r="C97" i="5" s="1"/>
  <c r="C111" i="5" a="1"/>
  <c r="C111" i="5" s="1"/>
  <c r="C124" i="5" a="1"/>
  <c r="C124" i="5" s="1"/>
  <c r="P125" i="5" a="1"/>
  <c r="P125" i="5" s="1"/>
  <c r="K85" i="5" a="1"/>
  <c r="K85" i="5" s="1"/>
  <c r="I42" i="5" a="1"/>
  <c r="I42" i="5" s="1"/>
  <c r="H88" i="5" a="1"/>
  <c r="H88" i="5" s="1"/>
  <c r="G70" i="5" a="1"/>
  <c r="G70" i="5" s="1"/>
  <c r="F47" i="5" a="1"/>
  <c r="F47" i="5" s="1"/>
  <c r="F119" i="5" a="1"/>
  <c r="F119" i="5" s="1"/>
  <c r="E90" i="5" a="1"/>
  <c r="E90" i="5" s="1"/>
  <c r="C38" i="5" a="1"/>
  <c r="C38" i="5" s="1"/>
  <c r="C68" i="5" a="1"/>
  <c r="C68" i="5" s="1"/>
  <c r="C84" i="5" a="1"/>
  <c r="C84" i="5" s="1"/>
  <c r="C98" i="5" a="1"/>
  <c r="C98" i="5" s="1"/>
  <c r="C112" i="5" a="1"/>
  <c r="C112" i="5" s="1"/>
  <c r="C125" i="5" a="1"/>
  <c r="C125" i="5" s="1"/>
  <c r="O94" i="5" a="1"/>
  <c r="O94" i="5" s="1"/>
  <c r="K99" i="5" a="1"/>
  <c r="K99" i="5" s="1"/>
  <c r="I54" i="5" a="1"/>
  <c r="I54" i="5" s="1"/>
  <c r="H100" i="5" a="1"/>
  <c r="H100" i="5" s="1"/>
  <c r="G74" i="5" a="1"/>
  <c r="G74" i="5" s="1"/>
  <c r="F51" i="5" a="1"/>
  <c r="F51" i="5" s="1"/>
  <c r="F123" i="5" a="1"/>
  <c r="F123" i="5" s="1"/>
  <c r="E94" i="5" a="1"/>
  <c r="E94" i="5" s="1"/>
  <c r="C40" i="5" a="1"/>
  <c r="C40" i="5" s="1"/>
  <c r="C69" i="5" a="1"/>
  <c r="C69" i="5" s="1"/>
  <c r="C85" i="5" a="1"/>
  <c r="C85" i="5" s="1"/>
  <c r="C99" i="5" a="1"/>
  <c r="C99" i="5" s="1"/>
  <c r="C113" i="5" a="1"/>
  <c r="C113" i="5" s="1"/>
  <c r="C126" i="5" a="1"/>
  <c r="C126" i="5" s="1"/>
  <c r="N44" i="5" a="1"/>
  <c r="N44" i="5" s="1"/>
  <c r="K114" i="5" a="1"/>
  <c r="K114" i="5" s="1"/>
  <c r="I66" i="5" a="1"/>
  <c r="I66" i="5" s="1"/>
  <c r="H108" i="5" a="1"/>
  <c r="H108" i="5" s="1"/>
  <c r="G82" i="5" a="1"/>
  <c r="G82" i="5" s="1"/>
  <c r="F59" i="5" a="1"/>
  <c r="F59" i="5" s="1"/>
  <c r="F30" i="5" a="1"/>
  <c r="F30" i="5" s="1"/>
  <c r="E102" i="5" a="1"/>
  <c r="E102" i="5" s="1"/>
  <c r="C42" i="5" a="1"/>
  <c r="C42" i="5" s="1"/>
  <c r="C71" i="5" a="1"/>
  <c r="C71" i="5" s="1"/>
  <c r="C86" i="5" a="1"/>
  <c r="C86" i="5" s="1"/>
  <c r="C100" i="5" a="1"/>
  <c r="C100" i="5" s="1"/>
  <c r="C114" i="5" a="1"/>
  <c r="C114" i="5" s="1"/>
  <c r="C30" i="5" a="1"/>
  <c r="C30" i="5" s="1"/>
  <c r="N92" i="5" a="1"/>
  <c r="N92" i="5" s="1"/>
  <c r="K127" i="5" a="1"/>
  <c r="K127" i="5" s="1"/>
  <c r="I78" i="5" a="1"/>
  <c r="I78" i="5" s="1"/>
  <c r="H112" i="5" a="1"/>
  <c r="H112" i="5" s="1"/>
  <c r="G86" i="5" a="1"/>
  <c r="G86" i="5" s="1"/>
  <c r="F63" i="5" a="1"/>
  <c r="F63" i="5" s="1"/>
  <c r="E34" i="5" a="1"/>
  <c r="E34" i="5" s="1"/>
  <c r="E106" i="5" a="1"/>
  <c r="E106" i="5" s="1"/>
  <c r="C47" i="5" a="1"/>
  <c r="C47" i="5" s="1"/>
  <c r="C72" i="5" a="1"/>
  <c r="C72" i="5" s="1"/>
  <c r="C87" i="5" a="1"/>
  <c r="C87" i="5" s="1"/>
  <c r="C101" i="5" a="1"/>
  <c r="C101" i="5" s="1"/>
  <c r="C116" i="5" a="1"/>
  <c r="C116" i="5" s="1"/>
  <c r="C74" i="5" a="1"/>
  <c r="C74" i="5" s="1"/>
  <c r="J68" i="5" a="1"/>
  <c r="J68" i="5" s="1"/>
  <c r="G106" i="5" a="1"/>
  <c r="G106" i="5" s="1"/>
  <c r="E126" i="5" a="1"/>
  <c r="E126" i="5" s="1"/>
  <c r="C76" i="5" a="1"/>
  <c r="C76" i="5" s="1"/>
  <c r="C119" i="5" a="1"/>
  <c r="C119" i="5" s="1"/>
  <c r="M42" i="5" a="1"/>
  <c r="M42" i="5" s="1"/>
  <c r="J42" i="5" a="1"/>
  <c r="J42" i="5" s="1"/>
  <c r="I90" i="5" a="1"/>
  <c r="I90" i="5" s="1"/>
  <c r="H120" i="5" a="1"/>
  <c r="H120" i="5" s="1"/>
  <c r="G94" i="5" a="1"/>
  <c r="G94" i="5" s="1"/>
  <c r="F71" i="5" a="1"/>
  <c r="F71" i="5" s="1"/>
  <c r="E42" i="5" a="1"/>
  <c r="E42" i="5" s="1"/>
  <c r="E114" i="5" a="1"/>
  <c r="E114" i="5" s="1"/>
  <c r="C50" i="5" a="1"/>
  <c r="C50" i="5" s="1"/>
  <c r="C73" i="5" a="1"/>
  <c r="C73" i="5" s="1"/>
  <c r="C88" i="5" a="1"/>
  <c r="C88" i="5" s="1"/>
  <c r="C102" i="5" a="1"/>
  <c r="C102" i="5" s="1"/>
  <c r="C117" i="5" a="1"/>
  <c r="C117" i="5" s="1"/>
  <c r="M89" i="5" a="1"/>
  <c r="M89" i="5" s="1"/>
  <c r="M128" i="5" s="1"/>
  <c r="M129" i="5" s="1" a="1"/>
  <c r="M129" i="5" s="1"/>
  <c r="J55" i="5" a="1"/>
  <c r="J55" i="5" s="1"/>
  <c r="I102" i="5" a="1"/>
  <c r="I102" i="5" s="1"/>
  <c r="H124" i="5" a="1"/>
  <c r="H124" i="5" s="1"/>
  <c r="G98" i="5" a="1"/>
  <c r="G98" i="5" s="1"/>
  <c r="F75" i="5" a="1"/>
  <c r="F75" i="5" s="1"/>
  <c r="E46" i="5" a="1"/>
  <c r="E46" i="5" s="1"/>
  <c r="C104" i="5" a="1"/>
  <c r="C104" i="5" s="1"/>
  <c r="J19" i="5" a="1"/>
  <c r="J19" i="5" s="1"/>
  <c r="H16" i="5" a="1"/>
  <c r="H16" i="5" s="1"/>
  <c r="H5" i="5" a="1"/>
  <c r="H5" i="5" s="1"/>
  <c r="A29" i="10" s="1"/>
  <c r="I11" i="5" a="1"/>
  <c r="I11" i="5" s="1"/>
  <c r="J18" i="5" a="1"/>
  <c r="J18" i="5" s="1"/>
  <c r="J6" i="5" a="1"/>
  <c r="J6" i="5" s="1"/>
  <c r="H18" i="5" a="1"/>
  <c r="H18" i="5" s="1"/>
  <c r="J20" i="5" a="1"/>
  <c r="J20" i="5" s="1"/>
  <c r="H6" i="5" a="1"/>
  <c r="H6" i="5" s="1"/>
  <c r="H15" i="5" a="1"/>
  <c r="H15" i="5" s="1"/>
  <c r="J5" i="5" a="1"/>
  <c r="J5" i="5" s="1"/>
  <c r="E29" i="10" s="1"/>
  <c r="H12" i="5" a="1"/>
  <c r="H12" i="5" s="1"/>
  <c r="I19" i="5" a="1"/>
  <c r="I19" i="5" s="1"/>
  <c r="I8" i="5" a="1"/>
  <c r="I8" i="5" s="1"/>
  <c r="G4" i="5"/>
  <c r="Q10" i="5" a="1"/>
  <c r="Q10" i="5" s="1"/>
  <c r="Q20" i="5" a="1"/>
  <c r="Q20" i="5" s="1"/>
  <c r="P14" i="5" a="1"/>
  <c r="P14" i="5" s="1"/>
  <c r="O7" i="5" a="1"/>
  <c r="O7" i="5" s="1"/>
  <c r="O18" i="5" a="1"/>
  <c r="O18" i="5" s="1"/>
  <c r="N11" i="5" a="1"/>
  <c r="N11" i="5" s="1"/>
  <c r="K5" i="5" a="1"/>
  <c r="K5" i="5" s="1"/>
  <c r="K17" i="5" a="1"/>
  <c r="K17" i="5" s="1"/>
  <c r="Q21" i="5" a="1"/>
  <c r="Q21" i="5" s="1"/>
  <c r="P15" i="5" a="1"/>
  <c r="P15" i="5" s="1"/>
  <c r="O8" i="5" a="1"/>
  <c r="O8" i="5" s="1"/>
  <c r="O19" i="5" a="1"/>
  <c r="O19" i="5" s="1"/>
  <c r="N12" i="5" a="1"/>
  <c r="N12" i="5" s="1"/>
  <c r="K6" i="5" a="1"/>
  <c r="K6" i="5" s="1"/>
  <c r="K18" i="5" a="1"/>
  <c r="K18" i="5" s="1"/>
  <c r="Q11" i="5" a="1"/>
  <c r="Q11" i="5" s="1"/>
  <c r="P16" i="5" a="1"/>
  <c r="P16" i="5" s="1"/>
  <c r="O9" i="5" a="1"/>
  <c r="O9" i="5" s="1"/>
  <c r="O20" i="5" a="1"/>
  <c r="O20" i="5" s="1"/>
  <c r="N13" i="5" a="1"/>
  <c r="N13" i="5" s="1"/>
  <c r="K7" i="5" a="1"/>
  <c r="K7" i="5" s="1"/>
  <c r="K19" i="5" a="1"/>
  <c r="K19" i="5" s="1"/>
  <c r="Q12" i="5" a="1"/>
  <c r="Q12" i="5" s="1"/>
  <c r="P5" i="5" a="1"/>
  <c r="P5" i="5" s="1"/>
  <c r="O10" i="5" a="1"/>
  <c r="O10" i="5" s="1"/>
  <c r="O21" i="5" a="1"/>
  <c r="O21" i="5" s="1"/>
  <c r="N14" i="5" a="1"/>
  <c r="N14" i="5" s="1"/>
  <c r="K8" i="5" a="1"/>
  <c r="K8" i="5" s="1"/>
  <c r="K20" i="5" a="1"/>
  <c r="K20" i="5" s="1"/>
  <c r="Q13" i="5" a="1"/>
  <c r="Q13" i="5" s="1"/>
  <c r="P6" i="5" a="1"/>
  <c r="P6" i="5" s="1"/>
  <c r="P17" i="5" a="1"/>
  <c r="P17" i="5" s="1"/>
  <c r="O11" i="5" a="1"/>
  <c r="O11" i="5" s="1"/>
  <c r="N15" i="5" a="1"/>
  <c r="N15" i="5" s="1"/>
  <c r="K9" i="5" a="1"/>
  <c r="K9" i="5" s="1"/>
  <c r="K21" i="5" a="1"/>
  <c r="K21" i="5" s="1"/>
  <c r="Q14" i="5" a="1"/>
  <c r="Q14" i="5" s="1"/>
  <c r="P7" i="5" a="1"/>
  <c r="P7" i="5" s="1"/>
  <c r="P18" i="5" a="1"/>
  <c r="P18" i="5" s="1"/>
  <c r="O12" i="5" a="1"/>
  <c r="O12" i="5" s="1"/>
  <c r="N5" i="5" a="1"/>
  <c r="N5" i="5" s="1"/>
  <c r="N16" i="5" a="1"/>
  <c r="N16" i="5" s="1"/>
  <c r="K10" i="5" a="1"/>
  <c r="K10" i="5" s="1"/>
  <c r="Q5" i="5" a="1"/>
  <c r="Q5" i="5" s="1"/>
  <c r="Q6" i="5" a="1"/>
  <c r="Q6" i="5" s="1"/>
  <c r="P9" i="5" a="1"/>
  <c r="P9" i="5" s="1"/>
  <c r="P20" i="5" a="1"/>
  <c r="P20" i="5" s="1"/>
  <c r="O14" i="5" a="1"/>
  <c r="O14" i="5" s="1"/>
  <c r="N7" i="5" a="1"/>
  <c r="N7" i="5" s="1"/>
  <c r="N18" i="5" a="1"/>
  <c r="N18" i="5" s="1"/>
  <c r="K12" i="5" a="1"/>
  <c r="K12" i="5" s="1"/>
  <c r="Q7" i="5" a="1"/>
  <c r="Q7" i="5" s="1"/>
  <c r="Q16" i="5" a="1"/>
  <c r="Q16" i="5" s="1"/>
  <c r="P10" i="5" a="1"/>
  <c r="P10" i="5" s="1"/>
  <c r="P21" i="5" a="1"/>
  <c r="P21" i="5" s="1"/>
  <c r="O15" i="5" a="1"/>
  <c r="O15" i="5" s="1"/>
  <c r="N8" i="5" a="1"/>
  <c r="N8" i="5" s="1"/>
  <c r="N19" i="5" a="1"/>
  <c r="N19" i="5" s="1"/>
  <c r="K13" i="5" a="1"/>
  <c r="K13" i="5" s="1"/>
  <c r="Q8" i="5" a="1"/>
  <c r="Q8" i="5" s="1"/>
  <c r="Q17" i="5" a="1"/>
  <c r="Q17" i="5" s="1"/>
  <c r="P11" i="5" a="1"/>
  <c r="P11" i="5" s="1"/>
  <c r="O16" i="5" a="1"/>
  <c r="O16" i="5" s="1"/>
  <c r="N9" i="5" a="1"/>
  <c r="N9" i="5" s="1"/>
  <c r="N20" i="5" a="1"/>
  <c r="N20" i="5" s="1"/>
  <c r="K14" i="5" a="1"/>
  <c r="K14" i="5" s="1"/>
  <c r="Q9" i="5" a="1"/>
  <c r="Q9" i="5" s="1"/>
  <c r="Q18" i="5" a="1"/>
  <c r="Q18" i="5" s="1"/>
  <c r="P12" i="5" a="1"/>
  <c r="P12" i="5" s="1"/>
  <c r="O5" i="5" a="1"/>
  <c r="O5" i="5" s="1"/>
  <c r="N10" i="5" a="1"/>
  <c r="N10" i="5" s="1"/>
  <c r="N21" i="5" a="1"/>
  <c r="N21" i="5" s="1"/>
  <c r="K15" i="5" a="1"/>
  <c r="K15" i="5" s="1"/>
  <c r="Q19" i="5" a="1"/>
  <c r="Q19" i="5" s="1"/>
  <c r="P13" i="5" a="1"/>
  <c r="P13" i="5" s="1"/>
  <c r="O6" i="5" a="1"/>
  <c r="O6" i="5" s="1"/>
  <c r="O17" i="5" a="1"/>
  <c r="O17" i="5" s="1"/>
  <c r="K16" i="5" a="1"/>
  <c r="K16" i="5" s="1"/>
  <c r="Q15" i="5" a="1"/>
  <c r="Q15" i="5" s="1"/>
  <c r="P8" i="5" a="1"/>
  <c r="P8" i="5" s="1"/>
  <c r="P19" i="5" a="1"/>
  <c r="P19" i="5" s="1"/>
  <c r="O13" i="5" a="1"/>
  <c r="O13" i="5" s="1"/>
  <c r="N6" i="5" a="1"/>
  <c r="N6" i="5" s="1"/>
  <c r="N17" i="5" a="1"/>
  <c r="N17" i="5" s="1"/>
  <c r="K11" i="5" a="1"/>
  <c r="K11" i="5" s="1"/>
  <c r="I18" i="5" a="1"/>
  <c r="I18" i="5" s="1"/>
  <c r="J13" i="5" a="1"/>
  <c r="J13" i="5" s="1"/>
  <c r="H7" i="5" a="1"/>
  <c r="H7" i="5" s="1"/>
  <c r="J8" i="5" a="1"/>
  <c r="J8" i="5" s="1"/>
  <c r="I12" i="5" a="1"/>
  <c r="I12" i="5" s="1"/>
  <c r="H14" i="5" a="1"/>
  <c r="H14" i="5" s="1"/>
  <c r="J16" i="5" a="1"/>
  <c r="J16" i="5" s="1"/>
  <c r="I9" i="5" a="1"/>
  <c r="I9" i="5" s="1"/>
  <c r="H11" i="5" a="1"/>
  <c r="H11" i="5" s="1"/>
  <c r="I7" i="5" a="1"/>
  <c r="I7" i="5" s="1"/>
  <c r="I17" i="5" a="1"/>
  <c r="I17" i="5" s="1"/>
  <c r="I6" i="5" a="1"/>
  <c r="I6" i="5" s="1"/>
  <c r="J12" i="5" a="1"/>
  <c r="J12" i="5" s="1"/>
  <c r="I10" i="5" a="1"/>
  <c r="I10" i="5" s="1"/>
  <c r="I20" i="5" a="1"/>
  <c r="I20" i="5" s="1"/>
  <c r="H10" i="5" a="1"/>
  <c r="H10" i="5" s="1"/>
  <c r="I16" i="5" a="1"/>
  <c r="I16" i="5" s="1"/>
  <c r="I5" i="5" a="1"/>
  <c r="I5" i="5" s="1"/>
  <c r="C29" i="10" s="1"/>
  <c r="J11" i="5" a="1"/>
  <c r="J11" i="5" s="1"/>
  <c r="I13" i="5" a="1"/>
  <c r="I13" i="5" s="1"/>
  <c r="H17" i="5" a="1"/>
  <c r="H17" i="5" s="1"/>
  <c r="J7" i="5" a="1"/>
  <c r="J7" i="5" s="1"/>
  <c r="J17" i="5" a="1"/>
  <c r="J17" i="5" s="1"/>
  <c r="I21" i="5" a="1"/>
  <c r="I21" i="5" s="1"/>
  <c r="H13" i="5" a="1"/>
  <c r="H13" i="5" s="1"/>
  <c r="H21" i="5" a="1"/>
  <c r="H21" i="5" s="1"/>
  <c r="H20" i="5" a="1"/>
  <c r="H20" i="5" s="1"/>
  <c r="H9" i="5" a="1"/>
  <c r="H9" i="5" s="1"/>
  <c r="I15" i="5" a="1"/>
  <c r="I15" i="5" s="1"/>
  <c r="J10" i="5" a="1"/>
  <c r="J10" i="5" s="1"/>
  <c r="J15" i="5" a="1"/>
  <c r="J15" i="5" s="1"/>
  <c r="H19" i="5" a="1"/>
  <c r="H19" i="5" s="1"/>
  <c r="H8" i="5" a="1"/>
  <c r="H8" i="5" s="1"/>
  <c r="I14" i="5" a="1"/>
  <c r="I14" i="5" s="1"/>
  <c r="J21" i="5" a="1"/>
  <c r="J21" i="5" s="1"/>
  <c r="J9" i="5" a="1"/>
  <c r="J9" i="5" s="1"/>
  <c r="S128" i="5"/>
  <c r="S129" i="5" s="1" a="1"/>
  <c r="S129" i="5" s="1"/>
  <c r="L128" i="5"/>
  <c r="L129" i="5" s="1" a="1"/>
  <c r="L129" i="5" s="1"/>
  <c r="R128" i="5"/>
  <c r="R129" i="5" s="1" a="1"/>
  <c r="R129" i="5" s="1"/>
  <c r="Q128" i="5"/>
  <c r="Q129" i="5" s="1" a="1"/>
  <c r="Q129" i="5" s="1"/>
  <c r="P128" i="5"/>
  <c r="P129" i="5" s="1" a="1"/>
  <c r="P129" i="5" s="1"/>
  <c r="O128" i="5"/>
  <c r="O129" i="5" s="1" a="1"/>
  <c r="O129" i="5" s="1"/>
  <c r="C2" i="3" a="1"/>
  <c r="C2" i="3" s="1"/>
  <c r="B2" i="3" a="1"/>
  <c r="B2" i="3" s="1"/>
  <c r="A2" i="3" a="1"/>
  <c r="A2" i="3" s="1"/>
  <c r="F158" i="5" l="1"/>
  <c r="E158" i="5" s="1" a="1"/>
  <c r="E158" i="5" s="1"/>
  <c r="E160" i="5" s="1" a="1"/>
  <c r="E160" i="5" s="1"/>
  <c r="F160" i="5" s="1" a="1"/>
  <c r="F160" i="5" s="1"/>
  <c r="K29" i="10" s="1"/>
  <c r="N128" i="5"/>
  <c r="N129" i="5" s="1" a="1"/>
  <c r="N129" i="5" s="1"/>
  <c r="K137" i="5" a="1"/>
  <c r="F128" i="5"/>
  <c r="F129" i="5" s="1" a="1"/>
  <c r="F129" i="5" s="1"/>
  <c r="G137" i="5" a="1"/>
  <c r="I128" i="5"/>
  <c r="I129" i="5" s="1" a="1"/>
  <c r="I129" i="5" s="1"/>
  <c r="D128" i="5"/>
  <c r="D129" i="5" s="1" a="1"/>
  <c r="D129" i="5" s="1"/>
  <c r="E128" i="5"/>
  <c r="E129" i="5" s="1" a="1"/>
  <c r="E129" i="5" s="1"/>
  <c r="K128" i="5"/>
  <c r="K129" i="5" s="1" a="1"/>
  <c r="K129" i="5" s="1"/>
  <c r="H128" i="5"/>
  <c r="H129" i="5" s="1" a="1"/>
  <c r="H129" i="5" s="1"/>
  <c r="J128" i="5"/>
  <c r="J129" i="5" s="1" a="1"/>
  <c r="J129" i="5" s="1"/>
  <c r="G128" i="5"/>
  <c r="G129" i="5" s="1" a="1"/>
  <c r="G129" i="5" s="1"/>
  <c r="C128" i="5"/>
  <c r="Q4" i="5" a="1"/>
  <c r="Q4" i="5" s="1"/>
  <c r="O4" i="5" a="1"/>
  <c r="O4" i="5" s="1"/>
  <c r="K4" i="5" a="1"/>
  <c r="K4" i="5" s="1"/>
  <c r="P4" i="5" a="1"/>
  <c r="P4" i="5" s="1"/>
  <c r="N4" i="5" a="1"/>
  <c r="N4" i="5" s="1"/>
  <c r="J4" i="5" a="1"/>
  <c r="J4" i="5" s="1"/>
  <c r="H4" i="5" a="1"/>
  <c r="H4" i="5" s="1"/>
  <c r="I4" i="5" a="1"/>
  <c r="I4" i="5" s="1"/>
  <c r="B35" i="5" a="1"/>
  <c r="B35" i="5" s="1"/>
  <c r="B47" i="5" a="1"/>
  <c r="B47" i="5" s="1"/>
  <c r="B59" i="5" a="1"/>
  <c r="B59" i="5" s="1"/>
  <c r="B71" i="5" a="1"/>
  <c r="B71" i="5" s="1"/>
  <c r="B83" i="5" a="1"/>
  <c r="B83" i="5" s="1"/>
  <c r="B95" i="5" a="1"/>
  <c r="B95" i="5" s="1"/>
  <c r="B107" i="5" a="1"/>
  <c r="B107" i="5" s="1"/>
  <c r="B119" i="5" a="1"/>
  <c r="B119" i="5" s="1"/>
  <c r="B36" i="5" a="1"/>
  <c r="B36" i="5" s="1"/>
  <c r="B48" i="5" a="1"/>
  <c r="B48" i="5" s="1"/>
  <c r="B60" i="5" a="1"/>
  <c r="B60" i="5" s="1"/>
  <c r="B72" i="5" a="1"/>
  <c r="B72" i="5" s="1"/>
  <c r="B84" i="5" a="1"/>
  <c r="B84" i="5" s="1"/>
  <c r="B96" i="5" a="1"/>
  <c r="B96" i="5" s="1"/>
  <c r="B108" i="5" a="1"/>
  <c r="B108" i="5" s="1"/>
  <c r="B120" i="5" a="1"/>
  <c r="B120" i="5" s="1"/>
  <c r="B127" i="5" a="1"/>
  <c r="B127" i="5" s="1"/>
  <c r="B45" i="5" a="1"/>
  <c r="B45" i="5" s="1"/>
  <c r="B93" i="5" a="1"/>
  <c r="B93" i="5" s="1"/>
  <c r="B34" i="5" a="1"/>
  <c r="B34" i="5" s="1"/>
  <c r="B70" i="5" a="1"/>
  <c r="B70" i="5" s="1"/>
  <c r="B106" i="5" a="1"/>
  <c r="B106" i="5" s="1"/>
  <c r="B37" i="5" a="1"/>
  <c r="B37" i="5" s="1"/>
  <c r="B49" i="5" a="1"/>
  <c r="B49" i="5" s="1"/>
  <c r="B61" i="5" a="1"/>
  <c r="B61" i="5" s="1"/>
  <c r="B73" i="5" a="1"/>
  <c r="B73" i="5" s="1"/>
  <c r="B85" i="5" a="1"/>
  <c r="B85" i="5" s="1"/>
  <c r="B97" i="5" a="1"/>
  <c r="B97" i="5" s="1"/>
  <c r="B109" i="5" a="1"/>
  <c r="B109" i="5" s="1"/>
  <c r="B121" i="5" a="1"/>
  <c r="B121" i="5" s="1"/>
  <c r="B38" i="5" a="1"/>
  <c r="B38" i="5" s="1"/>
  <c r="B50" i="5" a="1"/>
  <c r="B50" i="5" s="1"/>
  <c r="B62" i="5" a="1"/>
  <c r="B62" i="5" s="1"/>
  <c r="B74" i="5" a="1"/>
  <c r="B74" i="5" s="1"/>
  <c r="B86" i="5" a="1"/>
  <c r="B86" i="5" s="1"/>
  <c r="B98" i="5" a="1"/>
  <c r="B98" i="5" s="1"/>
  <c r="B110" i="5" a="1"/>
  <c r="B110" i="5" s="1"/>
  <c r="B122" i="5" a="1"/>
  <c r="B122" i="5" s="1"/>
  <c r="B69" i="5" a="1"/>
  <c r="B69" i="5" s="1"/>
  <c r="B117" i="5" a="1"/>
  <c r="B117" i="5" s="1"/>
  <c r="B46" i="5" a="1"/>
  <c r="B46" i="5" s="1"/>
  <c r="B82" i="5" a="1"/>
  <c r="B82" i="5" s="1"/>
  <c r="B118" i="5" a="1"/>
  <c r="B118" i="5" s="1"/>
  <c r="B39" i="5" a="1"/>
  <c r="B39" i="5" s="1"/>
  <c r="B51" i="5" a="1"/>
  <c r="B51" i="5" s="1"/>
  <c r="B63" i="5" a="1"/>
  <c r="B63" i="5" s="1"/>
  <c r="B75" i="5" a="1"/>
  <c r="B75" i="5" s="1"/>
  <c r="B87" i="5" a="1"/>
  <c r="B87" i="5" s="1"/>
  <c r="B99" i="5" a="1"/>
  <c r="B99" i="5" s="1"/>
  <c r="B111" i="5" a="1"/>
  <c r="B111" i="5" s="1"/>
  <c r="B123" i="5" a="1"/>
  <c r="B123" i="5" s="1"/>
  <c r="B40" i="5" a="1"/>
  <c r="B40" i="5" s="1"/>
  <c r="B52" i="5" a="1"/>
  <c r="B52" i="5" s="1"/>
  <c r="B64" i="5" a="1"/>
  <c r="B64" i="5" s="1"/>
  <c r="B76" i="5" a="1"/>
  <c r="B76" i="5" s="1"/>
  <c r="B88" i="5" a="1"/>
  <c r="B88" i="5" s="1"/>
  <c r="B100" i="5" a="1"/>
  <c r="B100" i="5" s="1"/>
  <c r="B112" i="5" a="1"/>
  <c r="B112" i="5" s="1"/>
  <c r="B124" i="5" a="1"/>
  <c r="B124" i="5" s="1"/>
  <c r="B41" i="5" a="1"/>
  <c r="B41" i="5" s="1"/>
  <c r="B53" i="5" a="1"/>
  <c r="B53" i="5" s="1"/>
  <c r="B65" i="5" a="1"/>
  <c r="B65" i="5" s="1"/>
  <c r="B77" i="5" a="1"/>
  <c r="B77" i="5" s="1"/>
  <c r="B89" i="5" a="1"/>
  <c r="B89" i="5" s="1"/>
  <c r="B101" i="5" a="1"/>
  <c r="B101" i="5" s="1"/>
  <c r="B113" i="5" a="1"/>
  <c r="B113" i="5" s="1"/>
  <c r="B125" i="5" a="1"/>
  <c r="B125" i="5" s="1"/>
  <c r="B42" i="5" a="1"/>
  <c r="B42" i="5" s="1"/>
  <c r="B54" i="5" a="1"/>
  <c r="B54" i="5" s="1"/>
  <c r="B66" i="5" a="1"/>
  <c r="B66" i="5" s="1"/>
  <c r="B78" i="5" a="1"/>
  <c r="B78" i="5" s="1"/>
  <c r="B90" i="5" a="1"/>
  <c r="B90" i="5" s="1"/>
  <c r="B102" i="5" a="1"/>
  <c r="B102" i="5" s="1"/>
  <c r="B114" i="5" a="1"/>
  <c r="B114" i="5" s="1"/>
  <c r="B126" i="5" a="1"/>
  <c r="B126" i="5" s="1"/>
  <c r="B31" i="5" a="1"/>
  <c r="B31" i="5" s="1"/>
  <c r="B43" i="5" a="1"/>
  <c r="B43" i="5" s="1"/>
  <c r="B55" i="5" a="1"/>
  <c r="B55" i="5" s="1"/>
  <c r="B67" i="5" a="1"/>
  <c r="B67" i="5" s="1"/>
  <c r="B79" i="5" a="1"/>
  <c r="B79" i="5" s="1"/>
  <c r="B91" i="5" a="1"/>
  <c r="B91" i="5" s="1"/>
  <c r="B103" i="5" a="1"/>
  <c r="B103" i="5" s="1"/>
  <c r="B115" i="5" a="1"/>
  <c r="B115" i="5" s="1"/>
  <c r="B33" i="5" a="1"/>
  <c r="B33" i="5" s="1"/>
  <c r="B81" i="5" a="1"/>
  <c r="B81" i="5" s="1"/>
  <c r="B58" i="5" a="1"/>
  <c r="B58" i="5" s="1"/>
  <c r="B94" i="5" a="1"/>
  <c r="B94" i="5" s="1"/>
  <c r="B32" i="5" a="1"/>
  <c r="B32" i="5" s="1"/>
  <c r="B44" i="5" a="1"/>
  <c r="B44" i="5" s="1"/>
  <c r="B56" i="5" a="1"/>
  <c r="B56" i="5" s="1"/>
  <c r="B68" i="5" a="1"/>
  <c r="B68" i="5" s="1"/>
  <c r="B80" i="5" a="1"/>
  <c r="B80" i="5" s="1"/>
  <c r="B92" i="5" a="1"/>
  <c r="B92" i="5" s="1"/>
  <c r="B104" i="5" a="1"/>
  <c r="B104" i="5" s="1"/>
  <c r="B116" i="5" a="1"/>
  <c r="B116" i="5" s="1"/>
  <c r="B30" i="5" a="1"/>
  <c r="B30" i="5" s="1"/>
  <c r="B57" i="5" a="1"/>
  <c r="B57" i="5" s="1"/>
  <c r="B105" i="5" a="1"/>
  <c r="B105" i="5" s="1"/>
  <c r="J29" i="10" l="1"/>
  <c r="I29" i="10"/>
  <c r="K137" i="5"/>
  <c r="I35" i="10" s="1" a="1"/>
  <c r="I35" i="10" s="1"/>
  <c r="K35" i="10" a="1"/>
  <c r="K35" i="10" s="1"/>
  <c r="J35" i="10" a="1"/>
  <c r="J35" i="10" s="1"/>
  <c r="A6" i="10" a="1"/>
  <c r="A6" i="10" s="1"/>
  <c r="G137" i="5"/>
  <c r="E35" i="10" s="1" a="1"/>
  <c r="E35" i="10" s="1"/>
  <c r="G35" i="10" a="1"/>
  <c r="G35" i="10" s="1"/>
  <c r="F35" i="10" a="1"/>
  <c r="F35" i="10" s="1"/>
  <c r="C129" i="5" a="1"/>
  <c r="C129" i="5" s="1"/>
  <c r="B128" i="5"/>
  <c r="B129" i="5" s="1" a="1"/>
  <c r="B129" i="5" s="1"/>
  <c r="G6" i="10" a="1"/>
  <c r="G6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3B8DD1-6C5A-4974-A05D-BC59EDD03188}" keepAlive="1" name="Consulta - mani-serie-1927-2024" description="Conexión a la consulta 'mani-serie-1927-2024' en el libro." type="5" refreshedVersion="8" background="1" saveData="1">
    <dbPr connection="Provider=Microsoft.Mashup.OleDb.1;Data Source=$Workbook$;Location=mani-serie-1927-2024;Extended Properties=&quot;&quot;" command="SELECT * FROM [mani-serie-1927-2024]"/>
  </connection>
  <connection id="2" xr16:uid="{7D79B06A-B838-45F3-920D-7817D9FFECFD}" keepAlive="1" name="Consulta - mani-serie-1927-2024 (2)" description="Conexión a la consulta 'mani-serie-1927-2024 (2)' en el libro." type="5" refreshedVersion="8" background="1" saveData="1">
    <dbPr connection="Provider=Microsoft.Mashup.OleDb.1;Data Source=$Workbook$;Location=&quot;mani-serie-1927-2024 (2)&quot;;Extended Properties=&quot;&quot;" command="SELECT * FROM [mani-serie-1927-2024 (2)]"/>
  </connection>
  <connection id="3" xr16:uid="{CC9BC176-B89D-4398-981A-652D00AA13F3}" keepAlive="1" name="Consulta - mani-serie-1927-2024 (3)" description="Conexión a la consulta 'mani-serie-1927-2024 (3)' en el libro." type="5" refreshedVersion="8" background="1" saveData="1">
    <dbPr connection="Provider=Microsoft.Mashup.OleDb.1;Data Source=$Workbook$;Location=&quot;mani-serie-1927-2024 (3)&quot;;Extended Properties=&quot;&quot;" command="SELECT * FROM [mani-serie-1927-2024 (3)]"/>
  </connection>
  <connection id="4" xr16:uid="{1ACB3591-6715-4998-9270-39D1C004A9A2}" keepAlive="1" name="Consulta - mani-serie-1927-2024 (4)" description="Conexión a la consulta 'mani-serie-1927-2024 (4)' en el libro." type="5" refreshedVersion="8" background="1" saveData="1">
    <dbPr connection="Provider=Microsoft.Mashup.OleDb.1;Data Source=$Workbook$;Location=&quot;mani-serie-1927-2024 (4)&quot;;Extended Properties=&quot;&quot;" command="SELECT * FROM [mani-serie-1927-2024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<sst xmlns="http://schemas.openxmlformats.org/spreadsheetml/2006/main" count="21206" uniqueCount="417">
  <si>
    <t>id</t>
  </si>
  <si>
    <t>cultivo_nombre</t>
  </si>
  <si>
    <t>anio</t>
  </si>
  <si>
    <t>campania</t>
  </si>
  <si>
    <t>provincia_nombre</t>
  </si>
  <si>
    <t>provincia_id</t>
  </si>
  <si>
    <t>departamento_nombre</t>
  </si>
  <si>
    <t>departamento_id</t>
  </si>
  <si>
    <t>superficie_sembrada_ha</t>
  </si>
  <si>
    <t>superficie_cosechada_ha</t>
  </si>
  <si>
    <t>produccion_tm</t>
  </si>
  <si>
    <t>rendimiento_kgxha</t>
  </si>
  <si>
    <t>maní</t>
  </si>
  <si>
    <t>1927/1928</t>
  </si>
  <si>
    <t>Chaco</t>
  </si>
  <si>
    <t>Campo del Cielo</t>
  </si>
  <si>
    <t>Napalpí</t>
  </si>
  <si>
    <t>Resistencia</t>
  </si>
  <si>
    <t>Coronel Martínez de Hoz</t>
  </si>
  <si>
    <t>Bermejo</t>
  </si>
  <si>
    <t>Tobas</t>
  </si>
  <si>
    <t>Tapenagá</t>
  </si>
  <si>
    <t>Córdoba</t>
  </si>
  <si>
    <t>Santa María</t>
  </si>
  <si>
    <t>Río Segundo</t>
  </si>
  <si>
    <t>Río Primero</t>
  </si>
  <si>
    <t>Tercero Arriba</t>
  </si>
  <si>
    <t>Colón</t>
  </si>
  <si>
    <t>Capital</t>
  </si>
  <si>
    <t>Río Cuarto</t>
  </si>
  <si>
    <t>Corrientes</t>
  </si>
  <si>
    <t>otros departamentos</t>
  </si>
  <si>
    <t>Monte Caseros</t>
  </si>
  <si>
    <t>Lavalle</t>
  </si>
  <si>
    <t>Empedrado</t>
  </si>
  <si>
    <t>Esquina</t>
  </si>
  <si>
    <t>San Cosme</t>
  </si>
  <si>
    <t>San Martín</t>
  </si>
  <si>
    <t>Bella Vista</t>
  </si>
  <si>
    <t>Ituzaingó</t>
  </si>
  <si>
    <t>Saladas</t>
  </si>
  <si>
    <t>San Luis del Palmar</t>
  </si>
  <si>
    <t>Curuzu Cuatia</t>
  </si>
  <si>
    <t>Goya</t>
  </si>
  <si>
    <t>Santo Tomé</t>
  </si>
  <si>
    <t>Entre Ríos</t>
  </si>
  <si>
    <t>Federación</t>
  </si>
  <si>
    <t>Concordia</t>
  </si>
  <si>
    <t>Formosa</t>
  </si>
  <si>
    <t>Pilcomayo</t>
  </si>
  <si>
    <t>Laishí</t>
  </si>
  <si>
    <t>Pirané</t>
  </si>
  <si>
    <t>Patiño</t>
  </si>
  <si>
    <t>Jujuy</t>
  </si>
  <si>
    <t>El Carmen</t>
  </si>
  <si>
    <t>La Capital</t>
  </si>
  <si>
    <t>San Pedro</t>
  </si>
  <si>
    <t>San Antonio</t>
  </si>
  <si>
    <t>Misiones</t>
  </si>
  <si>
    <t>Apóstoles</t>
  </si>
  <si>
    <t>Candelaria</t>
  </si>
  <si>
    <t>San Ignacio</t>
  </si>
  <si>
    <t>San Javier</t>
  </si>
  <si>
    <t>Concepción</t>
  </si>
  <si>
    <t>Santa Fe</t>
  </si>
  <si>
    <t>General Obligado</t>
  </si>
  <si>
    <t>Garay</t>
  </si>
  <si>
    <t>San Justo</t>
  </si>
  <si>
    <t>Santiago del Estero</t>
  </si>
  <si>
    <t>28 de Marzo</t>
  </si>
  <si>
    <t>Matará</t>
  </si>
  <si>
    <t>Mitre</t>
  </si>
  <si>
    <t>Moreno</t>
  </si>
  <si>
    <t>Río Hondo</t>
  </si>
  <si>
    <t>Choya</t>
  </si>
  <si>
    <t>La Banda</t>
  </si>
  <si>
    <t>Robles</t>
  </si>
  <si>
    <t>Tucumán</t>
  </si>
  <si>
    <t>Burruyacú</t>
  </si>
  <si>
    <t>1928/1929</t>
  </si>
  <si>
    <t>Catamarca</t>
  </si>
  <si>
    <t>Pomán</t>
  </si>
  <si>
    <t>Paclín</t>
  </si>
  <si>
    <t>Santa Rosa</t>
  </si>
  <si>
    <t>Fray Mamerto Esquiú</t>
  </si>
  <si>
    <t>Valle Viejo</t>
  </si>
  <si>
    <t>Sauce</t>
  </si>
  <si>
    <t>Salta</t>
  </si>
  <si>
    <t/>
  </si>
  <si>
    <t>Famaillá</t>
  </si>
  <si>
    <t>Trancas</t>
  </si>
  <si>
    <t>Cruz Alta</t>
  </si>
  <si>
    <t>Leales</t>
  </si>
  <si>
    <t>Monteros</t>
  </si>
  <si>
    <t>Tafí Viejo</t>
  </si>
  <si>
    <t>Graneros</t>
  </si>
  <si>
    <t>1929/1930</t>
  </si>
  <si>
    <t>Calamuchita</t>
  </si>
  <si>
    <t>Mburucuyá</t>
  </si>
  <si>
    <t>General Paz</t>
  </si>
  <si>
    <t>Itatí</t>
  </si>
  <si>
    <t>San Roque</t>
  </si>
  <si>
    <t>Berón de Astrada</t>
  </si>
  <si>
    <t>San Miguel</t>
  </si>
  <si>
    <t>Paso de los Libres</t>
  </si>
  <si>
    <t>Mercedes</t>
  </si>
  <si>
    <t>Uruguay</t>
  </si>
  <si>
    <t>Gualeguaychú</t>
  </si>
  <si>
    <t>Pilagás</t>
  </si>
  <si>
    <t>Río Chico</t>
  </si>
  <si>
    <t>Chicligasta</t>
  </si>
  <si>
    <t>1930/1931</t>
  </si>
  <si>
    <t>San Juan</t>
  </si>
  <si>
    <t>1931/1932</t>
  </si>
  <si>
    <t>Totoral</t>
  </si>
  <si>
    <t>Pocito</t>
  </si>
  <si>
    <t>San Luis</t>
  </si>
  <si>
    <t>Coronel Pringles</t>
  </si>
  <si>
    <t>Chacabuco</t>
  </si>
  <si>
    <t>Libertador General San Martín</t>
  </si>
  <si>
    <t>1932/1933</t>
  </si>
  <si>
    <t>Tercero Abajo</t>
  </si>
  <si>
    <t>Unión</t>
  </si>
  <si>
    <t>Paraná</t>
  </si>
  <si>
    <t>La Paz</t>
  </si>
  <si>
    <t>Cerrillos</t>
  </si>
  <si>
    <t>General Pedernera</t>
  </si>
  <si>
    <t>Junín</t>
  </si>
  <si>
    <t>1933/1934</t>
  </si>
  <si>
    <t>General Roca</t>
  </si>
  <si>
    <t>Rosario de Lerma</t>
  </si>
  <si>
    <t>Campo santo</t>
  </si>
  <si>
    <t>La Candelaria</t>
  </si>
  <si>
    <t>Vera</t>
  </si>
  <si>
    <t>Las Colonias</t>
  </si>
  <si>
    <t>Pellegrini</t>
  </si>
  <si>
    <t>Jiménez</t>
  </si>
  <si>
    <t>1934/1935</t>
  </si>
  <si>
    <t>Mendoza</t>
  </si>
  <si>
    <t>San Rafael</t>
  </si>
  <si>
    <t>General Alvear</t>
  </si>
  <si>
    <t>Metán</t>
  </si>
  <si>
    <t>1935/1936</t>
  </si>
  <si>
    <t>Juárez Celman</t>
  </si>
  <si>
    <t>Nogoyá</t>
  </si>
  <si>
    <t>Victoria</t>
  </si>
  <si>
    <t>Feliciano</t>
  </si>
  <si>
    <t>Gualeguay</t>
  </si>
  <si>
    <t>Villaguay</t>
  </si>
  <si>
    <t>Tala</t>
  </si>
  <si>
    <t>Cainguás</t>
  </si>
  <si>
    <t>Guaraní</t>
  </si>
  <si>
    <t>Iguazú</t>
  </si>
  <si>
    <t>Anta</t>
  </si>
  <si>
    <t>San Cristóbal</t>
  </si>
  <si>
    <t>Castellanos</t>
  </si>
  <si>
    <t>Belgrano</t>
  </si>
  <si>
    <t>1936/1937</t>
  </si>
  <si>
    <t>Buenos Aires</t>
  </si>
  <si>
    <t>Bartolome Mitre</t>
  </si>
  <si>
    <t>General Pinto</t>
  </si>
  <si>
    <t>Rivadavia</t>
  </si>
  <si>
    <t>Bragado</t>
  </si>
  <si>
    <t>Chivilcoy</t>
  </si>
  <si>
    <t>Lincoln</t>
  </si>
  <si>
    <t>Pehuajó</t>
  </si>
  <si>
    <t>San Andrés de Giles</t>
  </si>
  <si>
    <t>Trenque Lauquen</t>
  </si>
  <si>
    <t>Río Teuco</t>
  </si>
  <si>
    <t>San Alberto</t>
  </si>
  <si>
    <t>Ischilín</t>
  </si>
  <si>
    <t>Río Seco</t>
  </si>
  <si>
    <t>Punilla</t>
  </si>
  <si>
    <t>Cruz del Eje</t>
  </si>
  <si>
    <t>Minas</t>
  </si>
  <si>
    <t>Ledesma</t>
  </si>
  <si>
    <t>La Pampa</t>
  </si>
  <si>
    <t>Quemú Quemú</t>
  </si>
  <si>
    <t>La Frontera</t>
  </si>
  <si>
    <t>Orán</t>
  </si>
  <si>
    <t>Ojo de Agua</t>
  </si>
  <si>
    <t>1937/1938</t>
  </si>
  <si>
    <t>1938/1939</t>
  </si>
  <si>
    <t>General Belgrano</t>
  </si>
  <si>
    <t>General San Martín</t>
  </si>
  <si>
    <t>1939/1940</t>
  </si>
  <si>
    <t>Tulumba</t>
  </si>
  <si>
    <t>Sobremonte</t>
  </si>
  <si>
    <t>Rosario de la Frontera</t>
  </si>
  <si>
    <t>La Caldera</t>
  </si>
  <si>
    <t>Figueroa</t>
  </si>
  <si>
    <t>Guasayán</t>
  </si>
  <si>
    <t>Quebrachos</t>
  </si>
  <si>
    <t>1940/1941</t>
  </si>
  <si>
    <t>Pocho</t>
  </si>
  <si>
    <t>Ayacucho</t>
  </si>
  <si>
    <t>1941/1942</t>
  </si>
  <si>
    <t>1942/1943</t>
  </si>
  <si>
    <t>Avellaneda</t>
  </si>
  <si>
    <t>Silípica</t>
  </si>
  <si>
    <t>Aguirre</t>
  </si>
  <si>
    <t>Copo</t>
  </si>
  <si>
    <t>Alberdi</t>
  </si>
  <si>
    <t>Salavina</t>
  </si>
  <si>
    <t>Sarmiento</t>
  </si>
  <si>
    <t>1943/1944</t>
  </si>
  <si>
    <t>Presidente Roque Sáenz Peña</t>
  </si>
  <si>
    <t>Diamante</t>
  </si>
  <si>
    <t>Ramón Lista</t>
  </si>
  <si>
    <t>1944/1945</t>
  </si>
  <si>
    <t>1945/1946</t>
  </si>
  <si>
    <t>1946/1947</t>
  </si>
  <si>
    <t>San Jerónimo</t>
  </si>
  <si>
    <t>1947/1948</t>
  </si>
  <si>
    <t>1948/1949</t>
  </si>
  <si>
    <t>1949/1950</t>
  </si>
  <si>
    <t>1950/1951</t>
  </si>
  <si>
    <t>1951/1952</t>
  </si>
  <si>
    <t>1952/1953</t>
  </si>
  <si>
    <t>Posadas</t>
  </si>
  <si>
    <t>1953/1954</t>
  </si>
  <si>
    <t>Villarino</t>
  </si>
  <si>
    <t>1954/1955</t>
  </si>
  <si>
    <t>1955/1956</t>
  </si>
  <si>
    <t>1956/1957</t>
  </si>
  <si>
    <t>Presidencia de la Plaza</t>
  </si>
  <si>
    <t>Sargento Cabral</t>
  </si>
  <si>
    <t>General Donovan</t>
  </si>
  <si>
    <t>1° de Mayo</t>
  </si>
  <si>
    <t>Libertad</t>
  </si>
  <si>
    <t>General José de San Martín</t>
  </si>
  <si>
    <t>1957/1958</t>
  </si>
  <si>
    <t>9 de Julio</t>
  </si>
  <si>
    <t>Quitilipi</t>
  </si>
  <si>
    <t>25 de Mayo</t>
  </si>
  <si>
    <t>San Fernando</t>
  </si>
  <si>
    <t>General Güemes</t>
  </si>
  <si>
    <t>Maipú</t>
  </si>
  <si>
    <t>12 de Octubre</t>
  </si>
  <si>
    <t>Fray Justo Santa María de Oro</t>
  </si>
  <si>
    <t>Comandante Fernández</t>
  </si>
  <si>
    <t>O'Higgins</t>
  </si>
  <si>
    <t>Oberá</t>
  </si>
  <si>
    <t>Leandro N. Alem</t>
  </si>
  <si>
    <t>Montecarlo</t>
  </si>
  <si>
    <t>El Dorado</t>
  </si>
  <si>
    <t>1958/1959</t>
  </si>
  <si>
    <t>Marcos Juárez</t>
  </si>
  <si>
    <t>Santa Victoria</t>
  </si>
  <si>
    <t>1959/1960</t>
  </si>
  <si>
    <t>Almirante Brown</t>
  </si>
  <si>
    <t>1960/1961</t>
  </si>
  <si>
    <t>1961/1962</t>
  </si>
  <si>
    <t>1962/1963</t>
  </si>
  <si>
    <t>San Lorenzo</t>
  </si>
  <si>
    <t>Independencia</t>
  </si>
  <si>
    <t>1963/1964</t>
  </si>
  <si>
    <t>General Villegas</t>
  </si>
  <si>
    <t>General Manuel Belgrano</t>
  </si>
  <si>
    <t>1964/1965</t>
  </si>
  <si>
    <t>Guachipas</t>
  </si>
  <si>
    <t>1965/1966</t>
  </si>
  <si>
    <t>1966/1967</t>
  </si>
  <si>
    <t>1967/1968</t>
  </si>
  <si>
    <t>1968/1969</t>
  </si>
  <si>
    <t>1969/1970</t>
  </si>
  <si>
    <t>El dorado</t>
  </si>
  <si>
    <t>1970/1971</t>
  </si>
  <si>
    <t>1971/1972</t>
  </si>
  <si>
    <t>1972/1973</t>
  </si>
  <si>
    <t>Santa Bárbara</t>
  </si>
  <si>
    <t>1973/1974</t>
  </si>
  <si>
    <t>General López</t>
  </si>
  <si>
    <t>1974/1975</t>
  </si>
  <si>
    <t>Federal</t>
  </si>
  <si>
    <t>1975/1976</t>
  </si>
  <si>
    <t>1976/1977</t>
  </si>
  <si>
    <t>Iriondo</t>
  </si>
  <si>
    <t>1977/1978</t>
  </si>
  <si>
    <t>1978/1979</t>
  </si>
  <si>
    <t>Guaymallén</t>
  </si>
  <si>
    <t>San Carlos</t>
  </si>
  <si>
    <t>Tupungato</t>
  </si>
  <si>
    <t>La Viña</t>
  </si>
  <si>
    <t>1979/1980</t>
  </si>
  <si>
    <t>Capayán</t>
  </si>
  <si>
    <t>1980/1981</t>
  </si>
  <si>
    <t>La Rioja</t>
  </si>
  <si>
    <t>1981/1982</t>
  </si>
  <si>
    <t>1982/1983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</si>
  <si>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</si>
  <si>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</si>
  <si>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</si>
  <si>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</si>
  <si>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</si>
  <si>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</si>
  <si>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</si>
  <si>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</si>
  <si>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</si>
  <si>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</si>
  <si>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</si>
  <si>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</si>
  <si>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</si>
  <si>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</si>
  <si>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</si>
  <si>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</si>
  <si>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</si>
  <si>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</si>
  <si>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</si>
  <si>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</si>
  <si>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</si>
  <si>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</si>
  <si>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</si>
  <si>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</si>
  <si>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Chapaleufú</t>
  </si>
  <si>
    <t>Rancul</t>
  </si>
  <si>
    <t>Realicó</t>
  </si>
  <si>
    <t>2007/2008</t>
  </si>
  <si>
    <t>2008/2009</t>
  </si>
  <si>
    <t>Catriló</t>
  </si>
  <si>
    <t>Trenel</t>
  </si>
  <si>
    <t>2009/2010</t>
  </si>
  <si>
    <t>Maracó</t>
  </si>
  <si>
    <t>2010/2011</t>
  </si>
  <si>
    <t>Conhelo</t>
  </si>
  <si>
    <t>2011/2012</t>
  </si>
  <si>
    <t>Gobernador Dupuy</t>
  </si>
  <si>
    <t>Juan Martín de Pueyrredón</t>
  </si>
  <si>
    <t>2012/2013</t>
  </si>
  <si>
    <t>2013/2014</t>
  </si>
  <si>
    <t>2014/2015</t>
  </si>
  <si>
    <t>2015/2016</t>
  </si>
  <si>
    <t>2016/2017</t>
  </si>
  <si>
    <t>2017/2018</t>
  </si>
  <si>
    <t>Adolfo Alsina</t>
  </si>
  <si>
    <t>2018/2019</t>
  </si>
  <si>
    <t>Carlos Tejedor</t>
  </si>
  <si>
    <t>Florentino Ameghino</t>
  </si>
  <si>
    <t>Salliqueló</t>
  </si>
  <si>
    <t>2019/2020</t>
  </si>
  <si>
    <t>2020/2021</t>
  </si>
  <si>
    <t>General Arenales</t>
  </si>
  <si>
    <t>Guaminí</t>
  </si>
  <si>
    <t>La Cocha</t>
  </si>
  <si>
    <t>2021/2022</t>
  </si>
  <si>
    <t>Bolívar</t>
  </si>
  <si>
    <t>Daireaux</t>
  </si>
  <si>
    <t>Hipólito Yrigoyen</t>
  </si>
  <si>
    <t>2022/2023</t>
  </si>
  <si>
    <t>2023/2024</t>
  </si>
  <si>
    <t>General Viamonte</t>
  </si>
  <si>
    <t>Saladillo</t>
  </si>
  <si>
    <t>2024/2025</t>
  </si>
  <si>
    <t>Carlos Casares</t>
  </si>
  <si>
    <t>Simoca</t>
  </si>
  <si>
    <t>Provincias</t>
  </si>
  <si>
    <t>Departamentos</t>
  </si>
  <si>
    <t>Campañas</t>
  </si>
  <si>
    <t>Departamento</t>
  </si>
  <si>
    <t>Hectareas sembradas</t>
  </si>
  <si>
    <t>Hectareas Cosechadas</t>
  </si>
  <si>
    <t>Toneladas producidas</t>
  </si>
  <si>
    <t>Rendimiento KG x HA</t>
  </si>
  <si>
    <t>DEPTOS</t>
  </si>
  <si>
    <t>HA_SEMBRADA</t>
  </si>
  <si>
    <t>HA_COSECHADA</t>
  </si>
  <si>
    <t>TN_PRODUCIDAS</t>
  </si>
  <si>
    <t>RENDIMIENTO_KGXHA</t>
  </si>
  <si>
    <t>Total general</t>
  </si>
  <si>
    <t>Superficie sembrada</t>
  </si>
  <si>
    <t>Superficie cosechada</t>
  </si>
  <si>
    <t>Rendimiento Kg x Ha</t>
  </si>
  <si>
    <t>Produccion por provincia</t>
  </si>
  <si>
    <t>provincias</t>
  </si>
  <si>
    <t>tn_historicas</t>
  </si>
  <si>
    <t>ha_sembradas_historicas</t>
  </si>
  <si>
    <t>ha_cosechadas_historicas</t>
  </si>
  <si>
    <t>OUTLIER</t>
  </si>
  <si>
    <t>Toneladas históricas</t>
  </si>
  <si>
    <t>Hectáreas sembradas</t>
  </si>
  <si>
    <t>Hectáreas cosechadas</t>
  </si>
  <si>
    <t xml:space="preserve"> </t>
  </si>
  <si>
    <t>MAXIMO</t>
  </si>
  <si>
    <t>CAMPAÑA</t>
  </si>
  <si>
    <t>Tn Producidas</t>
  </si>
  <si>
    <t>Campaña</t>
  </si>
  <si>
    <t>Toneladas</t>
  </si>
  <si>
    <t>PRODUCCIÓN HISTÓRICA POR PROVINCIA</t>
  </si>
  <si>
    <t>PROMEDIOS</t>
  </si>
  <si>
    <t>PROMEDIOS DE PRODUCCIÓN HISTÓRICOS POR PROVINCIA</t>
  </si>
  <si>
    <t>ANÁLISIS HISTÓRICO</t>
  </si>
  <si>
    <t>Provincia</t>
  </si>
  <si>
    <t>TN PROD X CAMP</t>
  </si>
  <si>
    <t>PROVINCIA</t>
  </si>
  <si>
    <t>MEJOR CAMPAÑA DE HA SEMBRADAS</t>
  </si>
  <si>
    <t>CANT</t>
  </si>
  <si>
    <t>Ha Sembradas</t>
  </si>
  <si>
    <t>Ha Cosechadas</t>
  </si>
  <si>
    <t>MEJOR CAMPAÑA DE CADA PROVINCIA (Ton)</t>
  </si>
  <si>
    <t>MEJOR CAMPAÑA DE CADA PROVINCIA (Ha Sem)</t>
  </si>
  <si>
    <t>MEJOR CAMPAÑA DE CADA PROVINCIA (Ha Cos)</t>
  </si>
  <si>
    <t>Cantidad de Deptos trabajados historicamente de la prvincia elegida en la hoja de Historical</t>
  </si>
  <si>
    <t>Departamentos Trabajados</t>
  </si>
  <si>
    <t>CAMAPAÑAS</t>
  </si>
  <si>
    <t>Campañas Trabajadas</t>
  </si>
  <si>
    <t>deptos</t>
  </si>
  <si>
    <t>cant</t>
  </si>
  <si>
    <t>veces trbajadas</t>
  </si>
  <si>
    <t>mas trabajado</t>
  </si>
  <si>
    <t>veces</t>
  </si>
  <si>
    <t>Departamento Más Trabajado</t>
  </si>
  <si>
    <t>Veces Trabajado</t>
  </si>
  <si>
    <t>total toneladas</t>
  </si>
  <si>
    <t>pct que representa</t>
  </si>
  <si>
    <t>% de Producción que Representa</t>
  </si>
  <si>
    <t>Top 5 Departamentos Según Campaña y Provincia</t>
  </si>
  <si>
    <t>RESUMEN DE DESEMPEÑO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</si>
</sst>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64" fontId="0" fillId="0" borderId="0" xfId="1" applyNumberFormat="1" applyFont="1"/>
    <xf numFmtId="0" fontId="0" fillId="3" borderId="0" xfId="0" applyFill="1" applyAlignment="1">
      <alignment horizontal="center"/>
    </xf>
    <xf numFmtId="164" fontId="0" fillId="3" borderId="1" xfId="1" applyNumberFormat="1" applyFont="1" applyFill="1" applyBorder="1"/>
    <xf numFmtId="0" fontId="5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164" fontId="0" fillId="0" borderId="0" xfId="0" applyNumberFormat="1"/>
    <xf numFmtId="0" fontId="6" fillId="0" borderId="0" xfId="0" pivotButton="1" applyFont="1" applyAlignment="1">
      <alignment horizontal="center"/>
    </xf>
    <xf numFmtId="0" fontId="6" fillId="0" borderId="0" xfId="0" applyFont="1" applyAlignment="1">
      <alignment horizontal="center"/>
    </xf>
    <xf numFmtId="0" fontId="2" fillId="8" borderId="1" xfId="0" applyFont="1" applyFill="1" applyBorder="1" applyAlignment="1">
      <alignment horizontal="center"/>
    </xf>
    <xf numFmtId="164" fontId="2" fillId="9" borderId="1" xfId="1" applyNumberFormat="1" applyFont="1" applyFill="1" applyBorder="1" applyAlignment="1">
      <alignment horizontal="center"/>
    </xf>
    <xf numFmtId="0" fontId="0" fillId="0" borderId="0" xfId="0" applyAlignment="1"/>
    <xf numFmtId="0" fontId="0" fillId="0" borderId="1" xfId="0" applyBorder="1"/>
    <xf numFmtId="43" fontId="0" fillId="0" borderId="1" xfId="1" applyFont="1" applyBorder="1"/>
    <xf numFmtId="0" fontId="8" fillId="0" borderId="0" xfId="0" applyFont="1" applyFill="1" applyBorder="1" applyAlignment="1"/>
    <xf numFmtId="0" fontId="7" fillId="0" borderId="0" xfId="0" applyFont="1" applyFill="1" applyBorder="1" applyAlignment="1"/>
    <xf numFmtId="164" fontId="2" fillId="9" borderId="1" xfId="1" applyNumberFormat="1" applyFont="1" applyFill="1" applyBorder="1" applyAlignment="1"/>
    <xf numFmtId="0" fontId="2" fillId="0" borderId="0" xfId="0" applyFont="1" applyFill="1" applyBorder="1" applyAlignment="1"/>
    <xf numFmtId="164" fontId="2" fillId="0" borderId="0" xfId="1" applyNumberFormat="1" applyFont="1" applyFill="1" applyBorder="1" applyAlignment="1"/>
    <xf numFmtId="0" fontId="0" fillId="0" borderId="5" xfId="0" applyBorder="1"/>
    <xf numFmtId="164" fontId="0" fillId="0" borderId="1" xfId="1" applyNumberFormat="1" applyFont="1" applyBorder="1"/>
    <xf numFmtId="164" fontId="0" fillId="0" borderId="1" xfId="0" applyNumberFormat="1" applyBorder="1"/>
    <xf numFmtId="43" fontId="0" fillId="0" borderId="1" xfId="1" applyNumberFormat="1" applyFont="1" applyBorder="1"/>
    <xf numFmtId="10" fontId="0" fillId="0" borderId="1" xfId="1" applyNumberFormat="1" applyFont="1" applyBorder="1"/>
    <xf numFmtId="9" fontId="0" fillId="0" borderId="0" xfId="2" applyFont="1"/>
    <xf numFmtId="1" fontId="0" fillId="9" borderId="1" xfId="1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0" fontId="0" fillId="9" borderId="1" xfId="0" applyNumberForma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43" fontId="2" fillId="9" borderId="1" xfId="1" applyFont="1" applyFill="1" applyBorder="1"/>
    <xf numFmtId="0" fontId="6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164" fontId="2" fillId="9" borderId="1" xfId="1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16">
    <dxf>
      <numFmt numFmtId="164" formatCode="_-* #,##0_-;\-* #,##0_-;_-* &quot;-&quot;??_-;_-@_-"/>
    </dxf>
    <dxf>
      <numFmt numFmtId="164" formatCode="_-* #,##0_-;\-* #,##0_-;_-* &quot;-&quot;??_-;_-@_-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707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microsoft.com/office/2007/relationships/slicerCache" Target="slicerCaches/slicerCache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[Peanut_Analysis.xlsx]Depts_Comparison!TablaDinámica3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Sembrado</a:t>
            </a:r>
            <a:r>
              <a:rPr lang="es-AR" baseline="0"/>
              <a:t> vs Cosechado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54383793067786"/>
          <c:y val="1.8923358410933601E-2"/>
          <c:w val="0.92233162062369323"/>
          <c:h val="0.882176510881876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Depts_Comparison!$C$11</c:f>
              <c:strCache>
                <c:ptCount val="1"/>
                <c:pt idx="0">
                  <c:v>Superficie sembrada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Depts_Comparison!$B$12:$B$22</c:f>
              <c:multiLvlStrCache>
                <c:ptCount val="8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</c:lvl>
                <c:lvl>
                  <c:pt idx="0">
                    <c:v>Río Cuarto</c:v>
                  </c:pt>
                  <c:pt idx="4">
                    <c:v>General Villegas</c:v>
                  </c:pt>
                </c:lvl>
              </c:multiLvlStrCache>
            </c:multiLvlStrRef>
          </c:cat>
          <c:val>
            <c:numRef>
              <c:f>Depts_Comparison!$C$12:$C$22</c:f>
              <c:numCache>
                <c:formatCode>_-* #,##0_-;\-* #,##0_-;_-* "-"??_-;_-@_-</c:formatCode>
                <c:ptCount val="8"/>
                <c:pt idx="0">
                  <c:v>89000</c:v>
                </c:pt>
                <c:pt idx="1">
                  <c:v>69000</c:v>
                </c:pt>
                <c:pt idx="2">
                  <c:v>81000</c:v>
                </c:pt>
                <c:pt idx="3">
                  <c:v>85000</c:v>
                </c:pt>
                <c:pt idx="4">
                  <c:v>11000</c:v>
                </c:pt>
                <c:pt idx="5">
                  <c:v>17000</c:v>
                </c:pt>
                <c:pt idx="6">
                  <c:v>12000</c:v>
                </c:pt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0E86-4CD1-92D7-F7311A30BB8E}"/>
            </c:ext>
          </c:extLst>
        </c:ser>
        <c:ser>
          <c:idx val="1"/>
          <c:order val="1"/>
          <c:tx>
            <c:strRef>
              <c:f>Depts_Comparison!$D$11</c:f>
              <c:strCache>
                <c:ptCount val="1"/>
                <c:pt idx="0">
                  <c:v>Superficie cosechada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Depts_Comparison!$B$12:$B$22</c:f>
              <c:multiLvlStrCache>
                <c:ptCount val="8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</c:lvl>
                <c:lvl>
                  <c:pt idx="0">
                    <c:v>Río Cuarto</c:v>
                  </c:pt>
                  <c:pt idx="4">
                    <c:v>General Villegas</c:v>
                  </c:pt>
                </c:lvl>
              </c:multiLvlStrCache>
            </c:multiLvlStrRef>
          </c:cat>
          <c:val>
            <c:numRef>
              <c:f>Depts_Comparison!$D$12:$D$22</c:f>
              <c:numCache>
                <c:formatCode>_-* #,##0_-;\-* #,##0_-;_-* "-"??_-;_-@_-</c:formatCode>
                <c:ptCount val="8"/>
                <c:pt idx="0">
                  <c:v>89000</c:v>
                </c:pt>
                <c:pt idx="1">
                  <c:v>69000</c:v>
                </c:pt>
                <c:pt idx="2">
                  <c:v>81000</c:v>
                </c:pt>
                <c:pt idx="3">
                  <c:v>85000</c:v>
                </c:pt>
                <c:pt idx="4">
                  <c:v>11000</c:v>
                </c:pt>
                <c:pt idx="5">
                  <c:v>17000</c:v>
                </c:pt>
                <c:pt idx="6">
                  <c:v>12000</c:v>
                </c:pt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0E86-4CD1-92D7-F7311A30B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49338031"/>
        <c:axId val="1649340431"/>
      </c:barChart>
      <c:catAx>
        <c:axId val="1649338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49340431"/>
        <c:crosses val="autoZero"/>
        <c:auto val="1"/>
        <c:lblAlgn val="ctr"/>
        <c:lblOffset val="100"/>
        <c:noMultiLvlLbl val="0"/>
      </c:catAx>
      <c:valAx>
        <c:axId val="164934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4933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¿Más Ha Sembradas = Más Ha Cosechadas?</a:t>
            </a:r>
          </a:p>
          <a:p>
            <a:pPr>
              <a:defRPr/>
            </a:pPr>
            <a:r>
              <a:rPr lang="es-AR"/>
              <a:t>(Avg Histórico)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Ha sembradas</c:v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Historical!$G$7:$G$20</c:f>
              <c:strCache>
                <c:ptCount val="14"/>
                <c:pt idx="0">
                  <c:v>La Pampa</c:v>
                </c:pt>
                <c:pt idx="1">
                  <c:v>Buenos Aires</c:v>
                </c:pt>
                <c:pt idx="2">
                  <c:v>San Luis</c:v>
                </c:pt>
                <c:pt idx="3">
                  <c:v>Santa Fe</c:v>
                </c:pt>
                <c:pt idx="4">
                  <c:v>Entre Ríos</c:v>
                </c:pt>
                <c:pt idx="5">
                  <c:v>Salta</c:v>
                </c:pt>
                <c:pt idx="6">
                  <c:v>Catamarca</c:v>
                </c:pt>
                <c:pt idx="7">
                  <c:v>Jujuy</c:v>
                </c:pt>
                <c:pt idx="8">
                  <c:v>Tucumán</c:v>
                </c:pt>
                <c:pt idx="9">
                  <c:v>Formosa</c:v>
                </c:pt>
                <c:pt idx="10">
                  <c:v>Chaco</c:v>
                </c:pt>
                <c:pt idx="11">
                  <c:v>Corrientes</c:v>
                </c:pt>
                <c:pt idx="12">
                  <c:v>Misiones</c:v>
                </c:pt>
                <c:pt idx="13">
                  <c:v>Mendoza</c:v>
                </c:pt>
              </c:strCache>
            </c:strRef>
          </c:cat>
          <c:val>
            <c:numRef>
              <c:f>Historical!$I$7:$I$20</c:f>
              <c:numCache>
                <c:formatCode>_(* #,##0.00_);_(* \(#,##0.00\);_(* "-"??_);_(@_)</c:formatCode>
                <c:ptCount val="14"/>
                <c:pt idx="0">
                  <c:v>3184.9237288135591</c:v>
                </c:pt>
                <c:pt idx="1">
                  <c:v>2317.8029197080291</c:v>
                </c:pt>
                <c:pt idx="2">
                  <c:v>1684.841059602649</c:v>
                </c:pt>
                <c:pt idx="3">
                  <c:v>1558.4533898305085</c:v>
                </c:pt>
                <c:pt idx="4">
                  <c:v>1013.490099009901</c:v>
                </c:pt>
                <c:pt idx="5">
                  <c:v>664.20198675496692</c:v>
                </c:pt>
                <c:pt idx="6">
                  <c:v>352.91304347826087</c:v>
                </c:pt>
                <c:pt idx="7">
                  <c:v>213.60714285714286</c:v>
                </c:pt>
                <c:pt idx="8">
                  <c:v>189.89935064935065</c:v>
                </c:pt>
                <c:pt idx="9">
                  <c:v>61.29139072847682</c:v>
                </c:pt>
                <c:pt idx="10">
                  <c:v>82.920903954802256</c:v>
                </c:pt>
                <c:pt idx="11">
                  <c:v>82.656999999999996</c:v>
                </c:pt>
                <c:pt idx="12">
                  <c:v>38.845827439886847</c:v>
                </c:pt>
                <c:pt idx="13">
                  <c:v>51.735294117647058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6-4F51-9D06-CE2EDC29F76B}"/>
            </c:ext>
          </c:extLst>
        </c:ser>
        <c:ser>
          <c:idx val="1"/>
          <c:order val="1"/>
          <c:tx>
            <c:v>Ha Cosechadas</c:v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Historical!$G$7:$G$20</c:f>
              <c:strCache>
                <c:ptCount val="14"/>
                <c:pt idx="0">
                  <c:v>La Pampa</c:v>
                </c:pt>
                <c:pt idx="1">
                  <c:v>Buenos Aires</c:v>
                </c:pt>
                <c:pt idx="2">
                  <c:v>San Luis</c:v>
                </c:pt>
                <c:pt idx="3">
                  <c:v>Santa Fe</c:v>
                </c:pt>
                <c:pt idx="4">
                  <c:v>Entre Ríos</c:v>
                </c:pt>
                <c:pt idx="5">
                  <c:v>Salta</c:v>
                </c:pt>
                <c:pt idx="6">
                  <c:v>Catamarca</c:v>
                </c:pt>
                <c:pt idx="7">
                  <c:v>Jujuy</c:v>
                </c:pt>
                <c:pt idx="8">
                  <c:v>Tucumán</c:v>
                </c:pt>
                <c:pt idx="9">
                  <c:v>Formosa</c:v>
                </c:pt>
                <c:pt idx="10">
                  <c:v>Chaco</c:v>
                </c:pt>
                <c:pt idx="11">
                  <c:v>Corrientes</c:v>
                </c:pt>
                <c:pt idx="12">
                  <c:v>Misiones</c:v>
                </c:pt>
                <c:pt idx="13">
                  <c:v>Mendoza</c:v>
                </c:pt>
              </c:strCache>
            </c:strRef>
          </c:cat>
          <c:val>
            <c:numRef>
              <c:f>Historical!$J$7:$J$20</c:f>
              <c:numCache>
                <c:formatCode>_(* #,##0.00_);_(* \(#,##0.00\);_(* "-"??_);_(@_)</c:formatCode>
                <c:ptCount val="14"/>
                <c:pt idx="0">
                  <c:v>3082.9576271186443</c:v>
                </c:pt>
                <c:pt idx="1">
                  <c:v>2314.8467153284673</c:v>
                </c:pt>
                <c:pt idx="2">
                  <c:v>1615.3576158940398</c:v>
                </c:pt>
                <c:pt idx="3">
                  <c:v>1372.1949152542372</c:v>
                </c:pt>
                <c:pt idx="4">
                  <c:v>865.20792079207922</c:v>
                </c:pt>
                <c:pt idx="5">
                  <c:v>628.73178807947022</c:v>
                </c:pt>
                <c:pt idx="6">
                  <c:v>333.78260869565219</c:v>
                </c:pt>
                <c:pt idx="7">
                  <c:v>204.08928571428572</c:v>
                </c:pt>
                <c:pt idx="8">
                  <c:v>159.27922077922079</c:v>
                </c:pt>
                <c:pt idx="9">
                  <c:v>56.784768211920529</c:v>
                </c:pt>
                <c:pt idx="10">
                  <c:v>75.409604519774007</c:v>
                </c:pt>
                <c:pt idx="11">
                  <c:v>69.954999999999998</c:v>
                </c:pt>
                <c:pt idx="12">
                  <c:v>32.060820367751063</c:v>
                </c:pt>
                <c:pt idx="13">
                  <c:v>33.617647058823529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6-4F51-9D06-CE2EDC29F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0376640"/>
        <c:axId val="1730377120"/>
      </c:barChart>
      <c:catAx>
        <c:axId val="173037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0377120"/>
        <c:crosses val="autoZero"/>
        <c:auto val="1"/>
        <c:lblAlgn val="ctr"/>
        <c:lblOffset val="100"/>
        <c:noMultiLvlLbl val="0"/>
      </c:catAx>
      <c:valAx>
        <c:axId val="173037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037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600" b="1"/>
              <a:t>¿Más Ha Sembradas = Más Tn Producidas?</a:t>
            </a:r>
          </a:p>
          <a:p>
            <a:pPr>
              <a:defRPr/>
            </a:pPr>
            <a:r>
              <a:rPr lang="es-AR" sz="1600" b="1"/>
              <a:t>(Avg Histórico)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Tn Producidas</c:v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Historical!$G$7:$G$21</c:f>
              <c:strCache>
                <c:ptCount val="15"/>
                <c:pt idx="0">
                  <c:v>La Pampa</c:v>
                </c:pt>
                <c:pt idx="1">
                  <c:v>Buenos Aires</c:v>
                </c:pt>
                <c:pt idx="2">
                  <c:v>San Luis</c:v>
                </c:pt>
                <c:pt idx="3">
                  <c:v>Santa Fe</c:v>
                </c:pt>
                <c:pt idx="4">
                  <c:v>Entre Ríos</c:v>
                </c:pt>
                <c:pt idx="5">
                  <c:v>Salta</c:v>
                </c:pt>
                <c:pt idx="6">
                  <c:v>Catamarca</c:v>
                </c:pt>
                <c:pt idx="7">
                  <c:v>Jujuy</c:v>
                </c:pt>
                <c:pt idx="8">
                  <c:v>Tucumán</c:v>
                </c:pt>
                <c:pt idx="9">
                  <c:v>Formosa</c:v>
                </c:pt>
                <c:pt idx="10">
                  <c:v>Chaco</c:v>
                </c:pt>
                <c:pt idx="11">
                  <c:v>Corrientes</c:v>
                </c:pt>
                <c:pt idx="12">
                  <c:v>Misiones</c:v>
                </c:pt>
                <c:pt idx="13">
                  <c:v>Mendoza</c:v>
                </c:pt>
                <c:pt idx="14">
                  <c:v>Santiago del Estero</c:v>
                </c:pt>
              </c:strCache>
            </c:strRef>
          </c:cat>
          <c:val>
            <c:numRef>
              <c:f>Historical!$H$7:$H$21</c:f>
              <c:numCache>
                <c:formatCode>_(* #,##0.00_);_(* \(#,##0.00\);_(* "-"??_);_(@_)</c:formatCode>
                <c:ptCount val="15"/>
                <c:pt idx="0">
                  <c:v>8992.7288135593226</c:v>
                </c:pt>
                <c:pt idx="1">
                  <c:v>7809.6131386861316</c:v>
                </c:pt>
                <c:pt idx="2">
                  <c:v>4752.0860927152316</c:v>
                </c:pt>
                <c:pt idx="3">
                  <c:v>2238.648305084746</c:v>
                </c:pt>
                <c:pt idx="4">
                  <c:v>921.66831683168311</c:v>
                </c:pt>
                <c:pt idx="5">
                  <c:v>831.52649006622516</c:v>
                </c:pt>
                <c:pt idx="6">
                  <c:v>501.60869565217394</c:v>
                </c:pt>
                <c:pt idx="7">
                  <c:v>248.39285714285714</c:v>
                </c:pt>
                <c:pt idx="8">
                  <c:v>183.87337662337663</c:v>
                </c:pt>
                <c:pt idx="9">
                  <c:v>71.58278145695364</c:v>
                </c:pt>
                <c:pt idx="10">
                  <c:v>69.923728813559322</c:v>
                </c:pt>
                <c:pt idx="11">
                  <c:v>66.650999999999996</c:v>
                </c:pt>
                <c:pt idx="12">
                  <c:v>28.656294200848656</c:v>
                </c:pt>
                <c:pt idx="13">
                  <c:v>27.5</c:v>
                </c:pt>
                <c:pt idx="14">
                  <c:v>20.25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E-4F5F-A6FE-38AD1DF49D9D}"/>
            </c:ext>
          </c:extLst>
        </c:ser>
        <c:ser>
          <c:idx val="1"/>
          <c:order val="1"/>
          <c:tx>
            <c:v>Ha Sembradas</c:v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Historical!$G$7:$G$21</c:f>
              <c:strCache>
                <c:ptCount val="15"/>
                <c:pt idx="0">
                  <c:v>La Pampa</c:v>
                </c:pt>
                <c:pt idx="1">
                  <c:v>Buenos Aires</c:v>
                </c:pt>
                <c:pt idx="2">
                  <c:v>San Luis</c:v>
                </c:pt>
                <c:pt idx="3">
                  <c:v>Santa Fe</c:v>
                </c:pt>
                <c:pt idx="4">
                  <c:v>Entre Ríos</c:v>
                </c:pt>
                <c:pt idx="5">
                  <c:v>Salta</c:v>
                </c:pt>
                <c:pt idx="6">
                  <c:v>Catamarca</c:v>
                </c:pt>
                <c:pt idx="7">
                  <c:v>Jujuy</c:v>
                </c:pt>
                <c:pt idx="8">
                  <c:v>Tucumán</c:v>
                </c:pt>
                <c:pt idx="9">
                  <c:v>Formosa</c:v>
                </c:pt>
                <c:pt idx="10">
                  <c:v>Chaco</c:v>
                </c:pt>
                <c:pt idx="11">
                  <c:v>Corrientes</c:v>
                </c:pt>
                <c:pt idx="12">
                  <c:v>Misiones</c:v>
                </c:pt>
                <c:pt idx="13">
                  <c:v>Mendoza</c:v>
                </c:pt>
                <c:pt idx="14">
                  <c:v>Santiago del Estero</c:v>
                </c:pt>
              </c:strCache>
            </c:strRef>
          </c:cat>
          <c:val>
            <c:numRef>
              <c:f>Historical!$I$7:$I$21</c:f>
              <c:numCache>
                <c:formatCode>_(* #,##0.00_);_(* \(#,##0.00\);_(* "-"??_);_(@_)</c:formatCode>
                <c:ptCount val="15"/>
                <c:pt idx="0">
                  <c:v>3184.9237288135591</c:v>
                </c:pt>
                <c:pt idx="1">
                  <c:v>2317.8029197080291</c:v>
                </c:pt>
                <c:pt idx="2">
                  <c:v>1684.841059602649</c:v>
                </c:pt>
                <c:pt idx="3">
                  <c:v>1558.4533898305085</c:v>
                </c:pt>
                <c:pt idx="4">
                  <c:v>1013.490099009901</c:v>
                </c:pt>
                <c:pt idx="5">
                  <c:v>664.20198675496692</c:v>
                </c:pt>
                <c:pt idx="6">
                  <c:v>352.91304347826087</c:v>
                </c:pt>
                <c:pt idx="7">
                  <c:v>213.60714285714286</c:v>
                </c:pt>
                <c:pt idx="8">
                  <c:v>189.89935064935065</c:v>
                </c:pt>
                <c:pt idx="9">
                  <c:v>61.29139072847682</c:v>
                </c:pt>
                <c:pt idx="10">
                  <c:v>82.920903954802256</c:v>
                </c:pt>
                <c:pt idx="11">
                  <c:v>82.656999999999996</c:v>
                </c:pt>
                <c:pt idx="12">
                  <c:v>38.845827439886847</c:v>
                </c:pt>
                <c:pt idx="13">
                  <c:v>51.735294117647058</c:v>
                </c:pt>
                <c:pt idx="14">
                  <c:v>22.536764705882351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E-4F5F-A6FE-38AD1DF49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9184736"/>
        <c:axId val="609190016"/>
      </c:barChart>
      <c:catAx>
        <c:axId val="60918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9190016"/>
        <c:crosses val="autoZero"/>
        <c:auto val="1"/>
        <c:lblAlgn val="ctr"/>
        <c:lblOffset val="100"/>
        <c:noMultiLvlLbl val="0"/>
      </c:catAx>
      <c:valAx>
        <c:axId val="6091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918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Data_Validation!$Q$2</c:f>
              <c:strCache>
                <c:ptCount val="1"/>
                <c:pt idx="0">
                  <c:v>Hectareas sembradas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[0]!Eje_deptos</c:f>
              <c:strCache>
                <c:ptCount val="5"/>
                <c:pt idx="0">
                  <c:v>Tercero Arriba</c:v>
                </c:pt>
                <c:pt idx="1">
                  <c:v>Presidente Roque Sáenz Peña</c:v>
                </c:pt>
                <c:pt idx="2">
                  <c:v>Juárez Celman</c:v>
                </c:pt>
                <c:pt idx="3">
                  <c:v>Río Cuarto</c:v>
                </c:pt>
                <c:pt idx="4">
                  <c:v>General Roca</c:v>
                </c:pt>
              </c:strCache>
            </c:strRef>
          </c:cat>
          <c:val>
            <c:numRef>
              <c:f>[0]!Ha_semb</c:f>
              <c:numCache>
                <c:formatCode>_-* #,##0_-;\-* #,##0_-;_-* "-"??_-;_-@_-</c:formatCode>
                <c:ptCount val="5"/>
                <c:pt idx="0">
                  <c:v>18000</c:v>
                </c:pt>
                <c:pt idx="1">
                  <c:v>23940</c:v>
                </c:pt>
                <c:pt idx="2">
                  <c:v>32500</c:v>
                </c:pt>
                <c:pt idx="3">
                  <c:v>89000</c:v>
                </c:pt>
                <c:pt idx="4">
                  <c:v>90060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1-4E3A-AA2E-68862A8CFC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6927647"/>
        <c:axId val="676931487"/>
      </c:barChart>
      <c:catAx>
        <c:axId val="67692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76931487"/>
        <c:crosses val="autoZero"/>
        <c:auto val="1"/>
        <c:lblAlgn val="ctr"/>
        <c:lblOffset val="100"/>
        <c:noMultiLvlLbl val="0"/>
      </c:catAx>
      <c:valAx>
        <c:axId val="6769314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7692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Data_Validation!$R$2</c:f>
              <c:strCache>
                <c:ptCount val="1"/>
                <c:pt idx="0">
                  <c:v>Hectareas Cosechadas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[0]!Eje_deptos</c:f>
              <c:strCache>
                <c:ptCount val="5"/>
                <c:pt idx="0">
                  <c:v>Tercero Arriba</c:v>
                </c:pt>
                <c:pt idx="1">
                  <c:v>Presidente Roque Sáenz Peña</c:v>
                </c:pt>
                <c:pt idx="2">
                  <c:v>Juárez Celman</c:v>
                </c:pt>
                <c:pt idx="3">
                  <c:v>Río Cuarto</c:v>
                </c:pt>
                <c:pt idx="4">
                  <c:v>General Roca</c:v>
                </c:pt>
              </c:strCache>
            </c:strRef>
          </c:cat>
          <c:val>
            <c:numRef>
              <c:f>[0]!Ha_cosechada</c:f>
              <c:numCache>
                <c:formatCode>_-* #,##0_-;\-* #,##0_-;_-* "-"??_-;_-@_-</c:formatCode>
                <c:ptCount val="5"/>
                <c:pt idx="0">
                  <c:v>18000</c:v>
                </c:pt>
                <c:pt idx="1">
                  <c:v>23666</c:v>
                </c:pt>
                <c:pt idx="2">
                  <c:v>32500</c:v>
                </c:pt>
                <c:pt idx="3">
                  <c:v>89000</c:v>
                </c:pt>
                <c:pt idx="4">
                  <c:v>89878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5-4744-81F8-15D0A6D7DF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49679951"/>
        <c:axId val="1649678031"/>
      </c:barChart>
      <c:catAx>
        <c:axId val="164967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49678031"/>
        <c:crosses val="autoZero"/>
        <c:auto val="1"/>
        <c:lblAlgn val="ctr"/>
        <c:lblOffset val="100"/>
        <c:noMultiLvlLbl val="0"/>
      </c:catAx>
      <c:valAx>
        <c:axId val="16496780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4967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Data_Validation!$S$2</c:f>
              <c:strCache>
                <c:ptCount val="1"/>
                <c:pt idx="0">
                  <c:v>Toneladas producidas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[0]!Eje_deptos</c:f>
              <c:strCache>
                <c:ptCount val="5"/>
                <c:pt idx="0">
                  <c:v>Tercero Arriba</c:v>
                </c:pt>
                <c:pt idx="1">
                  <c:v>Presidente Roque Sáenz Peña</c:v>
                </c:pt>
                <c:pt idx="2">
                  <c:v>Juárez Celman</c:v>
                </c:pt>
                <c:pt idx="3">
                  <c:v>Río Cuarto</c:v>
                </c:pt>
                <c:pt idx="4">
                  <c:v>General Roca</c:v>
                </c:pt>
              </c:strCache>
            </c:strRef>
          </c:cat>
          <c:val>
            <c:numRef>
              <c:f>[0]!Tn_producidas</c:f>
              <c:numCache>
                <c:formatCode>_-* #,##0_-;\-* #,##0_-;_-* "-"??_-;_-@_-</c:formatCode>
                <c:ptCount val="5"/>
                <c:pt idx="0">
                  <c:v>63000</c:v>
                </c:pt>
                <c:pt idx="1">
                  <c:v>82831</c:v>
                </c:pt>
                <c:pt idx="2">
                  <c:v>116675</c:v>
                </c:pt>
                <c:pt idx="3">
                  <c:v>319510</c:v>
                </c:pt>
                <c:pt idx="4">
                  <c:v>314573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D-4FA8-AD7E-6FF1125661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782191"/>
        <c:axId val="108781711"/>
      </c:barChart>
      <c:catAx>
        <c:axId val="10878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8781711"/>
        <c:crosses val="autoZero"/>
        <c:auto val="1"/>
        <c:lblAlgn val="ctr"/>
        <c:lblOffset val="100"/>
        <c:noMultiLvlLbl val="0"/>
      </c:catAx>
      <c:valAx>
        <c:axId val="1087817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878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Data_Validation!$T$2</c:f>
              <c:strCache>
                <c:ptCount val="1"/>
                <c:pt idx="0">
                  <c:v>Rendimiento KG x HA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[0]!Eje_deptos</c:f>
              <c:strCache>
                <c:ptCount val="5"/>
                <c:pt idx="0">
                  <c:v>Tercero Arriba</c:v>
                </c:pt>
                <c:pt idx="1">
                  <c:v>Presidente Roque Sáenz Peña</c:v>
                </c:pt>
                <c:pt idx="2">
                  <c:v>Juárez Celman</c:v>
                </c:pt>
                <c:pt idx="3">
                  <c:v>Río Cuarto</c:v>
                </c:pt>
                <c:pt idx="4">
                  <c:v>General Roca</c:v>
                </c:pt>
              </c:strCache>
            </c:strRef>
          </c:cat>
          <c:val>
            <c:numRef>
              <c:f>[0]!Rendimiento_kgxha</c:f>
              <c:numCache>
                <c:formatCode>_-* #,##0_-;\-* #,##0_-;_-* "-"??_-;_-@_-</c:formatCode>
                <c:ptCount val="5"/>
                <c:pt idx="0">
                  <c:v>3500</c:v>
                </c:pt>
                <c:pt idx="1">
                  <c:v>3500</c:v>
                </c:pt>
                <c:pt idx="2">
                  <c:v>3590</c:v>
                </c:pt>
                <c:pt idx="3">
                  <c:v>3590</c:v>
                </c:pt>
                <c:pt idx="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2-48A4-9B20-D4D86652AB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50012447"/>
        <c:axId val="1150011967"/>
      </c:barChart>
      <c:catAx>
        <c:axId val="1150012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0011967"/>
        <c:crosses val="autoZero"/>
        <c:auto val="1"/>
        <c:lblAlgn val="ctr"/>
        <c:lblOffset val="100"/>
        <c:noMultiLvlLbl val="0"/>
      </c:catAx>
      <c:valAx>
        <c:axId val="11500119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001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10</xdr:row>
      <xdr:rowOff>28575</xdr:rowOff>
    </xdr:from>
    <xdr:to>
      <xdr:col>5</xdr:col>
      <xdr:colOff>1838325</xdr:colOff>
      <xdr:row>20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mpaña">
              <a:extLst>
                <a:ext uri="{FF2B5EF4-FFF2-40B4-BE49-F238E27FC236}">
                  <a16:creationId xmlns:a16="http://schemas.microsoft.com/office/drawing/2014/main" id="{720581D6-BAD6-48F5-D2D8-A3CBE88BDF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ñ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2038350"/>
              <a:ext cx="1828800" cy="1990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9525</xdr:colOff>
      <xdr:row>0</xdr:row>
      <xdr:rowOff>0</xdr:rowOff>
    </xdr:from>
    <xdr:to>
      <xdr:col>5</xdr:col>
      <xdr:colOff>1838325</xdr:colOff>
      <xdr:row>9</xdr:row>
      <xdr:rowOff>190499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vincia">
              <a:extLst>
                <a:ext uri="{FF2B5EF4-FFF2-40B4-BE49-F238E27FC236}">
                  <a16:creationId xmlns:a16="http://schemas.microsoft.com/office/drawing/2014/main" id="{AD6BB6B9-2976-2484-1667-9919500D3F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0"/>
              <a:ext cx="1828800" cy="20097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714373</xdr:colOff>
      <xdr:row>0</xdr:row>
      <xdr:rowOff>38099</xdr:rowOff>
    </xdr:from>
    <xdr:to>
      <xdr:col>14</xdr:col>
      <xdr:colOff>295274</xdr:colOff>
      <xdr:row>22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8A7352-6AE8-D23C-99AE-9E24DC65D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257175</xdr:colOff>
      <xdr:row>0</xdr:row>
      <xdr:rowOff>0</xdr:rowOff>
    </xdr:from>
    <xdr:to>
      <xdr:col>3</xdr:col>
      <xdr:colOff>771525</xdr:colOff>
      <xdr:row>9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vincia 1">
              <a:extLst>
                <a:ext uri="{FF2B5EF4-FFF2-40B4-BE49-F238E27FC236}">
                  <a16:creationId xmlns:a16="http://schemas.microsoft.com/office/drawing/2014/main" id="{C6A0A65A-1C51-4E6F-118C-7E4F370126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4575" y="0"/>
              <a:ext cx="1828800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1057275</xdr:colOff>
      <xdr:row>9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ño">
              <a:extLst>
                <a:ext uri="{FF2B5EF4-FFF2-40B4-BE49-F238E27FC236}">
                  <a16:creationId xmlns:a16="http://schemas.microsoft.com/office/drawing/2014/main" id="{5C9D5431-11C5-E2A8-DBFB-25742D0085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800100</xdr:colOff>
      <xdr:row>0</xdr:row>
      <xdr:rowOff>0</xdr:rowOff>
    </xdr:from>
    <xdr:to>
      <xdr:col>5</xdr:col>
      <xdr:colOff>352425</xdr:colOff>
      <xdr:row>9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epartamento">
              <a:extLst>
                <a:ext uri="{FF2B5EF4-FFF2-40B4-BE49-F238E27FC236}">
                  <a16:creationId xmlns:a16="http://schemas.microsoft.com/office/drawing/2014/main" id="{54973312-D6EE-32D8-80DD-6D44C95224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71950" y="0"/>
              <a:ext cx="1828800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52</xdr:row>
      <xdr:rowOff>180975</xdr:rowOff>
    </xdr:from>
    <xdr:to>
      <xdr:col>11</xdr:col>
      <xdr:colOff>0</xdr:colOff>
      <xdr:row>76</xdr:row>
      <xdr:rowOff>9526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07AA71E-648B-785B-E5DE-5DF905530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53</xdr:row>
      <xdr:rowOff>28575</xdr:rowOff>
    </xdr:from>
    <xdr:to>
      <xdr:col>5</xdr:col>
      <xdr:colOff>0</xdr:colOff>
      <xdr:row>76</xdr:row>
      <xdr:rowOff>19049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2F39C02-EB10-B279-1B95-D1DEAD8B4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7</xdr:row>
      <xdr:rowOff>19049</xdr:rowOff>
    </xdr:from>
    <xdr:to>
      <xdr:col>8</xdr:col>
      <xdr:colOff>600075</xdr:colOff>
      <xdr:row>20</xdr:row>
      <xdr:rowOff>171449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04B227F-0A0A-42FE-9B68-5BB4B6BAE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609599</xdr:colOff>
      <xdr:row>7</xdr:row>
      <xdr:rowOff>0</xdr:rowOff>
    </xdr:from>
    <xdr:to>
      <xdr:col>17</xdr:col>
      <xdr:colOff>600075</xdr:colOff>
      <xdr:row>20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D98B4E-A4B2-489A-9E70-C50F251F0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22</xdr:row>
      <xdr:rowOff>9525</xdr:rowOff>
    </xdr:from>
    <xdr:to>
      <xdr:col>18</xdr:col>
      <xdr:colOff>19050</xdr:colOff>
      <xdr:row>37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5CAFC12-1D1E-484F-B94E-4A8D07A33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600075</xdr:colOff>
      <xdr:row>22</xdr:row>
      <xdr:rowOff>9525</xdr:rowOff>
    </xdr:from>
    <xdr:to>
      <xdr:col>8</xdr:col>
      <xdr:colOff>600075</xdr:colOff>
      <xdr:row>36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4EDF23-EFFA-4198-AF1B-1631E3794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Lombardi" refreshedDate="46028.669273842592" backgroundQuery="1" createdVersion="8" refreshedVersion="8" minRefreshableVersion="3" recordCount="5257" xr:uid="{49AAC2DB-5EC4-44C0-88E9-024E508BD204}">
  <cacheSource type="external" connectionId="2"/>
  <cacheFields count="12">
    <cacheField name="id" numFmtId="0">
      <sharedItems containsSemiMixedTypes="0" containsString="0" containsNumber="1" containsInteger="1" minValue="1" maxValue="5257"/>
    </cacheField>
    <cacheField name="cultivo_nombre" numFmtId="0">
      <sharedItems count="1">
        <s v="maní"/>
      </sharedItems>
    </cacheField>
    <cacheField name="anio" numFmtId="0">
      <sharedItems containsSemiMixedTypes="0" containsString="0" containsNumber="1" containsInteger="1" minValue="1927" maxValue="2024" count="98"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mpania" numFmtId="0">
      <sharedItems count="98">
        <s v="1927/1928"/>
        <s v="1928/1929"/>
        <s v="1929/1930"/>
        <s v="1930/1931"/>
        <s v="1931/1932"/>
        <s v="1932/1933"/>
        <s v="1933/1934"/>
        <s v="1934/1935"/>
        <s v="1935/1936"/>
        <s v="1936/1937"/>
        <s v="1937/1938"/>
        <s v="1938/1939"/>
        <s v="1939/1940"/>
        <s v="1940/1941"/>
        <s v="1941/1942"/>
        <s v="1942/1943"/>
        <s v="1943/1944"/>
        <s v="1944/1945"/>
        <s v="1945/1946"/>
        <s v="1946/1947"/>
        <s v="1947/1948"/>
        <s v="1948/1949"/>
        <s v="1949/1950"/>
        <s v="1950/1951"/>
        <s v="1951/1952"/>
        <s v="1952/1953"/>
        <s v="1953/1954"/>
        <s v="1954/1955"/>
        <s v="1955/1956"/>
        <s v="1956/1957"/>
        <s v="1957/1958"/>
        <s v="1958/1959"/>
        <s v="1959/1960"/>
        <s v="1960/1961"/>
        <s v="1961/1962"/>
        <s v="1962/1963"/>
        <s v="1963/1964"/>
        <s v="1964/1965"/>
        <s v="1965/1966"/>
        <s v="1966/1967"/>
        <s v="1967/1968"/>
        <s v="1968/1969"/>
        <s v="1969/1970"/>
        <s v="1970/1971"/>
        <s v="1971/1972"/>
        <s v="1972/1973"/>
        <s v="1973/1974"/>
        <s v="1974/1975"/>
        <s v="1975/1976"/>
        <s v="1976/1977"/>
        <s v="1977/1978"/>
        <s v="1978/1979"/>
        <s v="1979/1980"/>
        <s v="1980/1981"/>
        <s v="1981/1982"/>
        <s v="1982/1983"/>
        <s v="1983/1984"/>
        <s v="1984/1985"/>
        <s v="1985/1986"/>
        <s v="1986/1987"/>
        <s v="1987/1988"/>
        <s v="1988/1989"/>
        <s v="1989/1990"/>
        <s v="1990/1991"/>
        <s v="1991/1992"/>
        <s v="1992/1993"/>
        <s v="1993/1994"/>
        <s v="1994/1995"/>
        <s v="1995/1996"/>
        <s v="1996/1997"/>
        <s v="1997/1998"/>
        <s v="1998/1999"/>
        <s v="1999/2000"/>
        <s v="2000/2001"/>
        <s v="2001/2002"/>
        <s v="2002/2003"/>
        <s v="2003/2004"/>
        <s v="2004/2005"/>
        <s v="2005/2006"/>
        <s v="2006/2007"/>
        <s v="2007/2008"/>
        <s v="2008/2009"/>
        <s v="2009/2010"/>
        <s v="2010/2011"/>
        <s v="2011/2012"/>
        <s v="2012/2013"/>
        <s v="2013/2014"/>
        <s v="2014/2015"/>
        <s v="2015/2016"/>
        <s v="2016/2017"/>
        <s v="2017/2018"/>
        <s v="2018/2019"/>
        <s v="2019/2020"/>
        <s v="2020/2021"/>
        <s v="2021/2022"/>
        <s v="2022/2023"/>
        <s v="2023/2024"/>
        <s v="2024/2025"/>
      </sharedItems>
    </cacheField>
    <cacheField name="provincia_nombre" numFmtId="0">
      <sharedItems count="18">
        <s v="Chaco"/>
        <s v="Córdoba"/>
        <s v="Corrientes"/>
        <s v="Entre Ríos"/>
        <s v="Formosa"/>
        <s v="Jujuy"/>
        <s v="Misiones"/>
        <s v="Santa Fe"/>
        <s v="Santiago del Estero"/>
        <s v="Tucumán"/>
        <s v="Catamarca"/>
        <s v="Salta"/>
        <s v="San Juan"/>
        <s v="San Luis"/>
        <s v="Mendoza"/>
        <s v="Buenos Aires"/>
        <s v="La Pampa"/>
        <s v="La Rioja"/>
      </sharedItems>
    </cacheField>
    <cacheField name="provincia_id" numFmtId="0">
      <sharedItems containsSemiMixedTypes="0" containsString="0" containsNumber="1" containsInteger="1" minValue="6" maxValue="90" count="18">
        <n v="22"/>
        <n v="14"/>
        <n v="18"/>
        <n v="30"/>
        <n v="34"/>
        <n v="38"/>
        <n v="54"/>
        <n v="82"/>
        <n v="86"/>
        <n v="90"/>
        <n v="10"/>
        <n v="66"/>
        <n v="70"/>
        <n v="74"/>
        <n v="50"/>
        <n v="6"/>
        <n v="42"/>
        <n v="46"/>
      </sharedItems>
    </cacheField>
    <cacheField name="departamento_nombre" numFmtId="0">
      <sharedItems count="226">
        <s v="Campo del Cielo"/>
        <s v="Napalpí"/>
        <s v="Resistencia"/>
        <s v="Coronel Martínez de Hoz"/>
        <s v="Bermejo"/>
        <s v="Tobas"/>
        <s v="Tapenagá"/>
        <s v="Santa María"/>
        <s v="Río Segundo"/>
        <s v="Río Primero"/>
        <s v="Tercero Arriba"/>
        <s v="Colón"/>
        <s v="Capital"/>
        <s v="Río Cuarto"/>
        <s v="otros departamentos"/>
        <s v="Monte Caseros"/>
        <s v="Lavalle"/>
        <s v="Empedrado"/>
        <s v="Esquina"/>
        <s v="San Cosme"/>
        <s v="San Martín"/>
        <s v="Bella Vista"/>
        <s v="Ituzaingó"/>
        <s v="Saladas"/>
        <s v="San Luis del Palmar"/>
        <s v="Curuzu Cuatia"/>
        <s v="Goya"/>
        <s v="Santo Tomé"/>
        <s v="Federación"/>
        <s v="Concordia"/>
        <s v="Pilcomayo"/>
        <s v="Laishí"/>
        <s v="Formosa"/>
        <s v="Pirané"/>
        <s v="Patiño"/>
        <s v="El Carmen"/>
        <s v="La Capital"/>
        <s v="San Pedro"/>
        <s v="San Antonio"/>
        <s v="Apóstoles"/>
        <s v="Candelaria"/>
        <s v="San Ignacio"/>
        <s v="San Javier"/>
        <s v="Concepción"/>
        <s v="General Obligado"/>
        <s v="Garay"/>
        <s v="San Justo"/>
        <s v="28 de Marzo"/>
        <s v="Matará"/>
        <s v="Mitre"/>
        <s v="Moreno"/>
        <s v="Río Hondo"/>
        <s v="Choya"/>
        <s v="La Banda"/>
        <s v="Robles"/>
        <s v="Burruyacú"/>
        <s v="Pomán"/>
        <s v="Paclín"/>
        <s v="Santa Rosa"/>
        <s v="Fray Mamerto Esquiú"/>
        <s v="Valle Viejo"/>
        <s v="Sauce"/>
        <s v=""/>
        <s v="Famaillá"/>
        <s v="Trancas"/>
        <s v="Cruz Alta"/>
        <s v="Leales"/>
        <s v="Monteros"/>
        <s v="Tafí Viejo"/>
        <s v="Graneros"/>
        <s v="Calamuchita"/>
        <s v="Mburucuyá"/>
        <s v="General Paz"/>
        <s v="Itatí"/>
        <s v="San Roque"/>
        <s v="Berón de Astrada"/>
        <s v="San Miguel"/>
        <s v="Paso de los Libres"/>
        <s v="Mercedes"/>
        <s v="Uruguay"/>
        <s v="Gualeguaychú"/>
        <s v="Pilagás"/>
        <s v="Río Chico"/>
        <s v="Chicligasta"/>
        <s v="Totoral"/>
        <s v="Pocito"/>
        <s v="Coronel Pringles"/>
        <s v="Chacabuco"/>
        <s v="Libertador General San Martín"/>
        <s v="Tercero Abajo"/>
        <s v="Unión"/>
        <s v="Paraná"/>
        <s v="La Paz"/>
        <s v="Cerrillos"/>
        <s v="General Pedernera"/>
        <s v="Junín"/>
        <s v="General Roca"/>
        <s v="Rosario de Lerma"/>
        <s v="Campo santo"/>
        <s v="La Candelaria"/>
        <s v="Vera"/>
        <s v="Las Colonias"/>
        <s v="Pellegrini"/>
        <s v="Jiménez"/>
        <s v="San Rafael"/>
        <s v="General Alvear"/>
        <s v="Metán"/>
        <s v="Juárez Celman"/>
        <s v="Nogoyá"/>
        <s v="Victoria"/>
        <s v="Feliciano"/>
        <s v="Gualeguay"/>
        <s v="Villaguay"/>
        <s v="Tala"/>
        <s v="Cainguás"/>
        <s v="Guaraní"/>
        <s v="Iguazú"/>
        <s v="Anta"/>
        <s v="San Cristóbal"/>
        <s v="Castellanos"/>
        <s v="Belgrano"/>
        <s v="Bartolome Mitre"/>
        <s v="General Pinto"/>
        <s v="Rivadavia"/>
        <s v="Bragado"/>
        <s v="Chivilcoy"/>
        <s v="Lincoln"/>
        <s v="Pehuajó"/>
        <s v="San Andrés de Giles"/>
        <s v="Trenque Lauquen"/>
        <s v="Río Teuco"/>
        <s v="San Alberto"/>
        <s v="Ischilín"/>
        <s v="Río Seco"/>
        <s v="Punilla"/>
        <s v="Cruz del Eje"/>
        <s v="Minas"/>
        <s v="Ledesma"/>
        <s v="Quemú Quemú"/>
        <s v="La Frontera"/>
        <s v="Orán"/>
        <s v="Ojo de Agua"/>
        <s v="General Belgrano"/>
        <s v="General San Martín"/>
        <s v="Tulumba"/>
        <s v="Sobremonte"/>
        <s v="Rosario de la Frontera"/>
        <s v="La Caldera"/>
        <s v="Figueroa"/>
        <s v="Guasayán"/>
        <s v="Quebrachos"/>
        <s v="Pocho"/>
        <s v="Ayacucho"/>
        <s v="Avellaneda"/>
        <s v="Silípica"/>
        <s v="Aguirre"/>
        <s v="Copo"/>
        <s v="Alberdi"/>
        <s v="Salavina"/>
        <s v="Sarmiento"/>
        <s v="Presidente Roque Sáenz Peña"/>
        <s v="Diamante"/>
        <s v="Ramón Lista"/>
        <s v="San Jerónimo"/>
        <s v="Posadas"/>
        <s v="Villarino"/>
        <s v="Presidencia de la Plaza"/>
        <s v="Sargento Cabral"/>
        <s v="General Donovan"/>
        <s v="1° de Mayo"/>
        <s v="Libertad"/>
        <s v="General José de San Martín"/>
        <s v="9 de Julio"/>
        <s v="Quitilipi"/>
        <s v="25 de Mayo"/>
        <s v="San Fernando"/>
        <s v="General Güemes"/>
        <s v="Maipú"/>
        <s v="12 de Octubre"/>
        <s v="Fray Justo Santa María de Oro"/>
        <s v="Comandante Fernández"/>
        <s v="O'Higgins"/>
        <s v="Oberá"/>
        <s v="Leandro N. Alem"/>
        <s v="Montecarlo"/>
        <s v="El Dorado"/>
        <s v="Marcos Juárez"/>
        <s v="Santa Victoria"/>
        <s v="Almirante Brown"/>
        <s v="San Lorenzo"/>
        <s v="Independencia"/>
        <s v="General Villegas"/>
        <s v="General Manuel Belgrano"/>
        <s v="Guachipas"/>
        <s v="Santa Bárbara"/>
        <s v="General López"/>
        <s v="Federal"/>
        <s v="Iriondo"/>
        <s v="Guaymallén"/>
        <s v="San Carlos"/>
        <s v="Tupungato"/>
        <s v="La Viña"/>
        <s v="Capayán"/>
        <s v="Chapaleufú"/>
        <s v="Rancul"/>
        <s v="Realicó"/>
        <s v="Catriló"/>
        <s v="Trenel"/>
        <s v="Maracó"/>
        <s v="Conhelo"/>
        <s v="Gobernador Dupuy"/>
        <s v="Juan Martín de Pueyrredón"/>
        <s v="Adolfo Alsina"/>
        <s v="Carlos Tejedor"/>
        <s v="Florentino Ameghino"/>
        <s v="Salliqueló"/>
        <s v="General Arenales"/>
        <s v="Guaminí"/>
        <s v="La Cocha"/>
        <s v="Bolívar"/>
        <s v="Daireaux"/>
        <s v="Hipólito Yrigoyen"/>
        <s v="General Viamonte"/>
        <s v="Saladillo"/>
        <s v="Carlos Casares"/>
        <s v="Simoca"/>
      </sharedItems>
    </cacheField>
    <cacheField name="departamento_id" numFmtId="0">
      <sharedItems containsString="0" containsBlank="1" containsNumber="1" containsInteger="1" minValue="6007" maxValue="90112"/>
    </cacheField>
    <cacheField name="superficie_sembrada_ha" numFmtId="0">
      <sharedItems containsSemiMixedTypes="0" containsString="0" containsNumber="1" containsInteger="1" minValue="1" maxValue="190000" count="761">
        <n v="4213"/>
        <n v="465"/>
        <n v="192"/>
        <n v="71"/>
        <n v="36"/>
        <n v="33"/>
        <n v="24"/>
        <n v="9800"/>
        <n v="9200"/>
        <n v="1700"/>
        <n v="1100"/>
        <n v="1000"/>
        <n v="300"/>
        <n v="12"/>
        <n v="500"/>
        <n v="410"/>
        <n v="350"/>
        <n v="260"/>
        <n v="200"/>
        <n v="170"/>
        <n v="150"/>
        <n v="140"/>
        <n v="134"/>
        <n v="100"/>
        <n v="7300"/>
        <n v="3200"/>
        <n v="400"/>
        <n v="65"/>
        <n v="44"/>
        <n v="7"/>
        <n v="3"/>
        <n v="15"/>
        <n v="10"/>
        <n v="5"/>
        <n v="2"/>
        <n v="174"/>
        <n v="125"/>
        <n v="109"/>
        <n v="55"/>
        <n v="45"/>
        <n v="21"/>
        <n v="9300"/>
        <n v="2650"/>
        <n v="820"/>
        <n v="50"/>
        <n v="20"/>
        <n v="19"/>
        <n v="4"/>
        <n v="1"/>
        <n v="184"/>
        <n v="11"/>
        <n v="687"/>
        <n v="151"/>
        <n v="9"/>
        <n v="10000"/>
        <n v="9500"/>
        <n v="1600"/>
        <n v="1200"/>
        <n v="700"/>
        <n v="480"/>
        <n v="310"/>
        <n v="250"/>
        <n v="220"/>
        <n v="180"/>
        <n v="7600"/>
        <n v="3350"/>
        <n v="420"/>
        <n v="80"/>
        <n v="320"/>
        <n v="160"/>
        <n v="135"/>
        <n v="85"/>
        <n v="30"/>
        <n v="9765"/>
        <n v="2000"/>
        <n v="750"/>
        <n v="27"/>
        <n v="8"/>
        <n v="6"/>
        <n v="12000"/>
        <n v="1800"/>
        <n v="1500"/>
        <n v="610"/>
        <n v="440"/>
        <n v="280"/>
        <n v="225"/>
        <n v="108"/>
        <n v="81"/>
        <n v="76"/>
        <n v="75"/>
        <n v="62"/>
        <n v="61"/>
        <n v="25"/>
        <n v="23"/>
        <n v="22"/>
        <n v="18"/>
        <n v="32"/>
        <n v="205"/>
        <n v="131"/>
        <n v="84"/>
        <n v="42"/>
        <n v="34"/>
        <n v="5394"/>
        <n v="2783"/>
        <n v="237"/>
        <n v="26"/>
        <n v="2058"/>
        <n v="17"/>
        <n v="1300"/>
        <n v="365"/>
        <n v="348"/>
        <n v="265"/>
        <n v="202"/>
        <n v="158"/>
        <n v="157"/>
        <n v="145"/>
        <n v="106"/>
        <n v="88"/>
        <n v="53"/>
        <n v="47"/>
        <n v="4500"/>
        <n v="385"/>
        <n v="266"/>
        <n v="120"/>
        <n v="49"/>
        <n v="40"/>
        <n v="2400"/>
        <n v="70"/>
        <n v="13"/>
        <n v="422"/>
        <n v="39"/>
        <n v="35"/>
        <n v="16"/>
        <n v="13500"/>
        <n v="11000"/>
        <n v="1900"/>
        <n v="958"/>
        <n v="738"/>
        <n v="592"/>
        <n v="567"/>
        <n v="537"/>
        <n v="203"/>
        <n v="132"/>
        <n v="130"/>
        <n v="97"/>
        <n v="29"/>
        <n v="28"/>
        <n v="3000"/>
        <n v="324"/>
        <n v="305"/>
        <n v="112"/>
        <n v="7500"/>
        <n v="2115"/>
        <n v="800"/>
        <n v="2100"/>
        <n v="18000"/>
        <n v="16000"/>
        <n v="6000"/>
        <n v="4000"/>
        <n v="3500"/>
        <n v="570"/>
        <n v="484"/>
        <n v="402"/>
        <n v="355"/>
        <n v="230"/>
        <n v="179"/>
        <n v="143"/>
        <n v="127"/>
        <n v="94"/>
        <n v="123"/>
        <n v="14"/>
        <n v="411"/>
        <n v="372"/>
        <n v="194"/>
        <n v="69"/>
        <n v="54"/>
        <n v="14670"/>
        <n v="5520"/>
        <n v="430"/>
        <n v="900"/>
        <n v="600"/>
        <n v="64"/>
        <n v="46"/>
        <n v="521"/>
        <n v="407"/>
        <n v="358"/>
        <n v="301"/>
        <n v="209"/>
        <n v="105"/>
        <n v="8500"/>
        <n v="351"/>
        <n v="312"/>
        <n v="59"/>
        <n v="13074"/>
        <n v="5317"/>
        <n v="159"/>
        <n v="56"/>
        <n v="43"/>
        <n v="166"/>
        <n v="52"/>
        <n v="3400"/>
        <n v="3300"/>
        <n v="366"/>
        <n v="242"/>
        <n v="232"/>
        <n v="204"/>
        <n v="188"/>
        <n v="144"/>
        <n v="124"/>
        <n v="86"/>
        <n v="9000"/>
        <n v="2150"/>
        <n v="165"/>
        <n v="441"/>
        <n v="333"/>
        <n v="186"/>
        <n v="1050"/>
        <n v="545"/>
        <n v="850"/>
        <n v="190"/>
        <n v="48"/>
        <n v="22000"/>
        <n v="14000"/>
        <n v="110"/>
        <n v="90"/>
        <n v="60"/>
        <n v="5000"/>
        <n v="299"/>
        <n v="9450"/>
        <n v="5500"/>
        <n v="496"/>
        <n v="450"/>
        <n v="1400"/>
        <n v="43257"/>
        <n v="27278"/>
        <n v="12180"/>
        <n v="8922"/>
        <n v="5294"/>
        <n v="1541"/>
        <n v="1295"/>
        <n v="896"/>
        <n v="444"/>
        <n v="229"/>
        <n v="1064"/>
        <n v="284"/>
        <n v="114"/>
        <n v="101"/>
        <n v="91"/>
        <n v="79"/>
        <n v="74"/>
        <n v="58"/>
        <n v="4008"/>
        <n v="1769"/>
        <n v="95"/>
        <n v="87"/>
        <n v="66"/>
        <n v="73"/>
        <n v="9563"/>
        <n v="3541"/>
        <n v="861"/>
        <n v="751"/>
        <n v="694"/>
        <n v="27100"/>
        <n v="22870"/>
        <n v="14600"/>
        <n v="8100"/>
        <n v="6500"/>
        <n v="653"/>
        <n v="560"/>
        <n v="317"/>
        <n v="172"/>
        <n v="153"/>
        <n v="129"/>
        <n v="72"/>
        <n v="41"/>
        <n v="37"/>
        <n v="8800"/>
        <n v="870"/>
        <n v="20200"/>
        <n v="18500"/>
        <n v="8600"/>
        <n v="1320"/>
        <n v="2500"/>
        <n v="191"/>
        <n v="31"/>
        <n v="594"/>
        <n v="497"/>
        <n v="22534"/>
        <n v="15700"/>
        <n v="11600"/>
        <n v="1716"/>
        <n v="345"/>
        <n v="630"/>
        <n v="3440"/>
        <n v="346"/>
        <n v="520"/>
        <n v="514"/>
        <n v="208"/>
        <n v="17950"/>
        <n v="12812"/>
        <n v="8280"/>
        <n v="3600"/>
        <n v="270"/>
        <n v="380"/>
        <n v="7818"/>
        <n v="650"/>
        <n v="6600"/>
        <n v="620"/>
        <n v="555"/>
        <n v="530"/>
        <n v="16500"/>
        <n v="11308"/>
        <n v="7452"/>
        <n v="3240"/>
        <n v="490"/>
        <n v="8000"/>
        <n v="3319"/>
        <n v="618"/>
        <n v="63"/>
        <n v="427"/>
        <n v="340"/>
        <n v="128"/>
        <n v="29218"/>
        <n v="28086"/>
        <n v="21008"/>
        <n v="5617"/>
        <n v="3370"/>
        <n v="2246"/>
        <n v="1685"/>
        <n v="561"/>
        <n v="303"/>
        <n v="89"/>
        <n v="67"/>
        <n v="595"/>
        <n v="6522"/>
        <n v="3260"/>
        <n v="536"/>
        <n v="57"/>
        <n v="640"/>
        <n v="121"/>
        <n v="3800"/>
        <n v="720"/>
        <n v="428"/>
        <n v="38592"/>
        <n v="34000"/>
        <n v="32325"/>
        <n v="11940"/>
        <n v="6656"/>
        <n v="3980"/>
        <n v="1097"/>
        <n v="244"/>
        <n v="290"/>
        <n v="210"/>
        <n v="141"/>
        <n v="115"/>
        <n v="55491"/>
        <n v="35700"/>
        <n v="35100"/>
        <n v="13100"/>
        <n v="5821"/>
        <n v="4900"/>
        <n v="1850"/>
        <n v="1168"/>
        <n v="142"/>
        <n v="147"/>
        <n v="60000"/>
        <n v="40000"/>
        <n v="35000"/>
        <n v="5900"/>
        <n v="1150"/>
        <n v="580"/>
        <n v="92"/>
        <n v="5800"/>
        <n v="68"/>
        <n v="2900"/>
        <n v="30000"/>
        <n v="5200"/>
        <n v="950"/>
        <n v="3850"/>
        <n v="3900"/>
        <n v="32000"/>
        <n v="27000"/>
        <n v="7000"/>
        <n v="4700"/>
        <n v="2700"/>
        <n v="42000"/>
        <n v="25000"/>
        <n v="20000"/>
        <n v="5600"/>
        <n v="1220"/>
        <n v="38000"/>
        <n v="17000"/>
        <n v="5582"/>
        <n v="1225"/>
        <n v="54980"/>
        <n v="23000"/>
        <n v="253"/>
        <n v="70000"/>
        <n v="44200"/>
        <n v="4200"/>
        <n v="384"/>
        <n v="550"/>
        <n v="77000"/>
        <n v="46000"/>
        <n v="43945"/>
        <n v="965"/>
        <n v="175"/>
        <n v="80000"/>
        <n v="48000"/>
        <n v="47000"/>
        <n v="893"/>
        <n v="235"/>
        <n v="72000"/>
        <n v="103000"/>
        <n v="56000"/>
        <n v="100000"/>
        <n v="65000"/>
        <n v="31000"/>
        <n v="2300"/>
        <n v="185"/>
        <n v="44000"/>
        <n v="12480"/>
        <n v="370"/>
        <n v="66120"/>
        <n v="50000"/>
        <n v="21600"/>
        <n v="38"/>
        <n v="77"/>
        <n v="72700"/>
        <n v="55000"/>
        <n v="23700"/>
        <n v="22500"/>
        <n v="4030"/>
        <n v="470"/>
        <n v="256"/>
        <n v="51"/>
        <n v="85000"/>
        <n v="20900"/>
        <n v="17500"/>
        <n v="15000"/>
        <n v="4600"/>
        <n v="156"/>
        <n v="33000"/>
        <n v="17430"/>
        <n v="8400"/>
        <n v="259"/>
        <n v="535"/>
        <n v="150000"/>
        <n v="90000"/>
        <n v="18300"/>
        <n v="680"/>
        <n v="330"/>
        <n v="96"/>
        <n v="83"/>
        <n v="140000"/>
        <n v="92000"/>
        <n v="240"/>
        <n v="285"/>
        <n v="134000"/>
        <n v="74000"/>
        <n v="28000"/>
        <n v="26000"/>
        <n v="8700"/>
        <n v="255"/>
        <n v="138000"/>
        <n v="31500"/>
        <n v="24000"/>
        <n v="1340"/>
        <n v="1195"/>
        <n v="110000"/>
        <n v="75000"/>
        <n v="12600"/>
        <n v="1040"/>
        <n v="97000"/>
        <n v="64000"/>
        <n v="12500"/>
        <n v="531"/>
        <n v="95000"/>
        <n v="120000"/>
        <n v="3032"/>
        <n v="980"/>
        <n v="88000"/>
        <n v="145000"/>
        <n v="540"/>
        <n v="45000"/>
        <n v="108000"/>
        <n v="173000"/>
        <n v="562"/>
        <n v="815"/>
        <n v="11500"/>
        <n v="19500"/>
        <n v="36000"/>
        <n v="92500"/>
        <n v="10500"/>
        <n v="163000"/>
        <n v="13000"/>
        <n v="172000"/>
        <n v="21000"/>
        <n v="133"/>
        <n v="23300"/>
        <n v="54200"/>
        <n v="4100"/>
        <n v="95700"/>
        <n v="13300"/>
        <n v="154600"/>
        <n v="146"/>
        <n v="155"/>
        <n v="810"/>
        <n v="115300"/>
        <n v="190000"/>
        <n v="335"/>
        <n v="83000"/>
        <n v="84000"/>
        <n v="126000"/>
        <n v="2080"/>
        <n v="90100"/>
        <n v="2800"/>
        <n v="1550"/>
        <n v="1110"/>
        <n v="15750"/>
        <n v="39300"/>
        <n v="9140"/>
        <n v="67350"/>
        <n v="1350"/>
        <n v="54000"/>
        <n v="3700"/>
        <n v="58100"/>
        <n v="43000"/>
        <n v="8300"/>
        <n v="61000"/>
        <n v="14700"/>
        <n v="38500"/>
        <n v="49000"/>
        <n v="20600"/>
        <n v="62000"/>
        <n v="37000"/>
        <n v="59500"/>
        <n v="153000"/>
        <n v="50600"/>
        <n v="27600"/>
        <n v="49400"/>
        <n v="26600"/>
        <n v="38700"/>
        <n v="10200"/>
        <n v="6100"/>
        <n v="17400"/>
        <n v="56700"/>
        <n v="36500"/>
        <n v="7200"/>
        <n v="15400"/>
        <n v="65200"/>
        <n v="41850"/>
        <n v="26200"/>
        <n v="94700"/>
        <n v="83300"/>
        <n v="19700"/>
        <n v="51450"/>
        <n v="108950"/>
        <n v="95800"/>
        <n v="50510"/>
        <n v="63600"/>
        <n v="128600"/>
        <n v="113100"/>
        <n v="65400"/>
        <n v="109700"/>
        <n v="85300"/>
        <n v="22600"/>
        <n v="55500"/>
        <n v="68000"/>
        <n v="53000"/>
        <n v="15500"/>
        <n v="40500"/>
        <n v="40300"/>
        <n v="77800"/>
        <n v="48100"/>
        <n v="18200"/>
        <n v="41100"/>
        <n v="7400"/>
        <n v="37900"/>
        <n v="38820"/>
        <n v="70150"/>
        <n v="27300"/>
        <n v="27700"/>
        <n v="56300"/>
        <n v="11800"/>
        <n v="17100"/>
        <n v="1126"/>
        <n v="14500"/>
        <n v="20300"/>
        <n v="62160"/>
        <n v="1003"/>
        <n v="2600"/>
        <n v="23200"/>
        <n v="79800"/>
        <n v="12800"/>
        <n v="5100"/>
        <n v="27800"/>
        <n v="19400"/>
        <n v="830"/>
        <n v="48102"/>
        <n v="10400"/>
        <n v="6920"/>
        <n v="41000"/>
        <n v="24620"/>
        <n v="61990"/>
        <n v="11350"/>
        <n v="15600"/>
        <n v="4400"/>
        <n v="1950"/>
        <n v="22900"/>
        <n v="51800"/>
        <n v="11150"/>
        <n v="27400"/>
        <n v="61800"/>
        <n v="13200"/>
        <n v="19300"/>
        <n v="46800"/>
        <n v="12950"/>
        <n v="392"/>
        <n v="196"/>
        <n v="5300"/>
        <n v="12400"/>
        <n v="58000"/>
        <n v="15300"/>
        <n v="10300"/>
        <n v="14300"/>
        <n v="115000"/>
        <n v="16800"/>
        <n v="25500"/>
        <n v="66000"/>
        <n v="2200"/>
        <n v="116650"/>
        <n v="53300"/>
        <n v="28200"/>
        <n v="122150"/>
        <n v="11200"/>
        <n v="2090"/>
        <n v="2530"/>
        <n v="1035"/>
        <n v="133000"/>
        <n v="30850"/>
        <n v="11100"/>
        <n v="6400"/>
        <n v="2480"/>
        <n v="30100"/>
        <n v="50850"/>
        <n v="124300"/>
        <n v="25280"/>
        <n v="2450"/>
        <n v="7700"/>
        <n v="65450"/>
        <n v="3020"/>
        <n v="74100"/>
        <n v="32200"/>
        <n v="8200"/>
        <n v="3100"/>
        <n v="54286"/>
        <n v="662"/>
        <n v="91619"/>
        <n v="4637"/>
        <n v="809"/>
        <n v="5629"/>
        <n v="5400"/>
        <n v="5641"/>
        <n v="1710"/>
        <n v="6526"/>
        <n v="69329"/>
        <n v="2955"/>
        <n v="5907"/>
        <n v="12811"/>
        <n v="2950"/>
        <n v="4310"/>
        <n v="1570"/>
        <n v="880"/>
        <n v="1430"/>
        <n v="1460"/>
        <n v="22790"/>
        <n v="12300"/>
        <n v="35500"/>
        <n v="12047"/>
        <n v="96000"/>
        <n v="3343"/>
        <n v="914"/>
        <n v="22700"/>
        <n v="10922"/>
        <n v="360"/>
        <n v="5450"/>
        <n v="90060"/>
        <n v="32500"/>
        <n v="8908"/>
        <n v="23940"/>
        <n v="89000"/>
        <n v="4882"/>
        <n v="1364"/>
        <n v="9674"/>
        <n v="2212"/>
        <n v="3271"/>
        <n v="4800"/>
        <n v="8159"/>
        <n v="78800"/>
        <n v="42500"/>
        <n v="3530"/>
        <n v="1885"/>
        <n v="2119"/>
        <n v="772"/>
        <n v="7950"/>
        <n v="4050"/>
        <n v="643"/>
        <n v="1748"/>
        <n v="6700"/>
        <n v="216"/>
        <n v="2971"/>
        <n v="1603"/>
        <n v="973"/>
        <n v="10272"/>
        <n v="765"/>
        <n v="67759"/>
        <n v="19981"/>
        <n v="992"/>
        <n v="790"/>
        <n v="2010"/>
        <n v="9400"/>
        <n v="505"/>
        <n v="1650"/>
        <n v="64656"/>
        <n v="8900"/>
        <n v="16738"/>
        <n v="69000"/>
        <n v="677"/>
        <n v="1290"/>
        <n v="1090"/>
        <n v="3116"/>
        <n v="1096"/>
        <n v="8156"/>
        <n v="99"/>
        <n v="74474"/>
        <n v="19000"/>
        <n v="21020"/>
        <n v="81000"/>
        <n v="6200"/>
        <n v="1218"/>
        <n v="998"/>
        <n v="1494"/>
        <n v="10800"/>
        <n v="17309"/>
        <n v="215"/>
        <n v="466"/>
        <n v="9539"/>
        <n v="1250"/>
        <n v="3613"/>
        <n v="18119"/>
        <n v="83050"/>
        <n v="22300"/>
        <n v="51600"/>
        <n v="12150"/>
        <n v="27683"/>
        <n v="17300"/>
        <n v="24150"/>
        <n v="12100"/>
        <n v="1294"/>
        <n v="18275"/>
      </sharedItems>
    </cacheField>
    <cacheField name="superficie_cosechada_ha" numFmtId="0">
      <sharedItems containsString="0" containsBlank="1" containsNumber="1" containsInteger="1" minValue="0" maxValue="180000" count="850">
        <n v="4213"/>
        <n v="465"/>
        <n v="192"/>
        <n v="71"/>
        <n v="36"/>
        <n v="33"/>
        <n v="24"/>
        <n v="9800"/>
        <n v="9200"/>
        <n v="1700"/>
        <n v="1100"/>
        <n v="1000"/>
        <n v="300"/>
        <n v="12"/>
        <n v="500"/>
        <n v="410"/>
        <n v="350"/>
        <n v="260"/>
        <n v="200"/>
        <n v="170"/>
        <n v="150"/>
        <n v="140"/>
        <n v="134"/>
        <n v="100"/>
        <n v="7100"/>
        <n v="3110"/>
        <n v="390"/>
        <n v="65"/>
        <n v="44"/>
        <n v="7"/>
        <n v="3"/>
        <n v="15"/>
        <n v="10"/>
        <n v="5"/>
        <n v="2"/>
        <n v="174"/>
        <n v="125"/>
        <n v="109"/>
        <n v="55"/>
        <n v="45"/>
        <n v="21"/>
        <n v="8463"/>
        <n v="2518"/>
        <n v="771"/>
        <n v="80"/>
        <n v="40"/>
        <n v="4"/>
        <n v="1"/>
        <n v="184"/>
        <n v="6"/>
        <n v="687"/>
        <n v="151"/>
        <n v="9"/>
        <n v="10000"/>
        <n v="9500"/>
        <n v="1600"/>
        <n v="1200"/>
        <n v="700"/>
        <n v="480"/>
        <n v="400"/>
        <n v="310"/>
        <n v="250"/>
        <n v="220"/>
        <n v="180"/>
        <n v="7365"/>
        <n v="3250"/>
        <n v="405"/>
        <n v="8"/>
        <n v="320"/>
        <n v="160"/>
        <n v="135"/>
        <n v="85"/>
        <n v="30"/>
        <n v="8984"/>
        <n v="1895"/>
        <n v="710"/>
        <n v="75"/>
        <n v="14"/>
        <n v="25"/>
        <n v="16"/>
        <n v="20"/>
        <n v="12000"/>
        <n v="1800"/>
        <n v="1500"/>
        <n v="603"/>
        <n v="430"/>
        <n v="221"/>
        <n v="186"/>
        <n v="175"/>
        <n v="149"/>
        <n v="121"/>
        <n v="104"/>
        <n v="83"/>
        <n v="81"/>
        <n v="76"/>
        <n v="61"/>
        <n v="62"/>
        <n v="48"/>
        <n v="23"/>
        <n v="22"/>
        <n v="17"/>
        <n v="3000"/>
        <n v="32"/>
        <n v="205"/>
        <n v="131"/>
        <n v="84"/>
        <n v="42"/>
        <n v="34"/>
        <n v="5124"/>
        <n v="2783"/>
        <n v="237"/>
        <n v="50"/>
        <n v="19"/>
        <n v="2058"/>
        <n v="1300"/>
        <n v="280"/>
        <n v="365"/>
        <n v="348"/>
        <n v="265"/>
        <n v="202"/>
        <n v="158"/>
        <n v="157"/>
        <n v="145"/>
        <n v="106"/>
        <n v="88"/>
        <n v="53"/>
        <n v="47"/>
        <n v="4500"/>
        <n v="2000"/>
        <n v="385"/>
        <n v="266"/>
        <n v="120"/>
        <n v="49"/>
        <n v="2352"/>
        <n v="70"/>
        <n v="13"/>
        <n v="11"/>
        <n v="422"/>
        <n v="39"/>
        <n v="35"/>
        <n v="18"/>
        <n v="13500"/>
        <n v="11000"/>
        <n v="1900"/>
        <n v="920"/>
        <n v="720"/>
        <n v="559"/>
        <n v="540"/>
        <n v="530"/>
        <n v="190"/>
        <n v="130"/>
        <n v="90"/>
        <n v="2700"/>
        <n v="900"/>
        <n v="311"/>
        <n v="271"/>
        <n v="115"/>
        <n v="27"/>
        <n v="650"/>
        <n v="2100"/>
        <n v="18000"/>
        <n v="16000"/>
        <n v="5000"/>
        <n v="4000"/>
        <n v="3500"/>
        <n v="570"/>
        <n v="484"/>
        <n v="402"/>
        <n v="355"/>
        <n v="230"/>
        <n v="179"/>
        <n v="143"/>
        <n v="127"/>
        <n v="94"/>
        <n v="4400"/>
        <n v="1350"/>
        <n v="116"/>
        <n v="411"/>
        <n v="372"/>
        <n v="194"/>
        <n v="69"/>
        <n v="54"/>
        <n v="26"/>
        <m/>
        <n v="10269"/>
        <n v="4968"/>
        <n v="323"/>
        <n v="173"/>
        <n v="77"/>
        <n v="470"/>
        <n v="345"/>
        <n v="318"/>
        <n v="270"/>
        <n v="225"/>
        <n v="210"/>
        <n v="187"/>
        <n v="114"/>
        <n v="95"/>
        <n v="8500"/>
        <n v="317"/>
        <n v="117"/>
        <n v="43"/>
        <n v="28"/>
        <n v="9804"/>
        <n v="4517"/>
        <n v="305"/>
        <n v="119"/>
        <n v="600"/>
        <n v="96"/>
        <n v="6000"/>
        <n v="3400"/>
        <n v="3300"/>
        <n v="450"/>
        <n v="296"/>
        <n v="240"/>
        <n v="185"/>
        <n v="163"/>
        <n v="152"/>
        <n v="147"/>
        <n v="56"/>
        <n v="7000"/>
        <n v="97"/>
        <n v="395"/>
        <n v="288"/>
        <n v="154"/>
        <n v="60"/>
        <n v="8042"/>
        <n v="3800"/>
        <n v="893"/>
        <n v="485"/>
        <n v="750"/>
        <n v="52"/>
        <n v="22000"/>
        <n v="14000"/>
        <n v="8100"/>
        <n v="155"/>
        <n v="72"/>
        <n v="57"/>
        <n v="273"/>
        <n v="78"/>
        <n v="8029"/>
        <n v="440"/>
        <n v="38605"/>
        <n v="19929"/>
        <n v="6520"/>
        <n v="8571"/>
        <n v="5121"/>
        <n v="1314"/>
        <n v="1173"/>
        <n v="862"/>
        <n v="376"/>
        <n v="332"/>
        <n v="1022"/>
        <n v="251"/>
        <n v="162"/>
        <n v="129"/>
        <n v="59"/>
        <n v="68"/>
        <n v="29"/>
        <n v="46"/>
        <n v="3912"/>
        <n v="1675"/>
        <n v="41"/>
        <n v="66"/>
        <n v="8618"/>
        <n v="794"/>
        <n v="99"/>
        <n v="533"/>
        <n v="544"/>
        <n v="19000"/>
        <n v="8800"/>
        <n v="5700"/>
        <n v="6500"/>
        <n v="830"/>
        <n v="110"/>
        <n v="602"/>
        <n v="560"/>
        <n v="290"/>
        <n v="195"/>
        <n v="138"/>
        <n v="6800"/>
        <n v="4600"/>
        <n v="800"/>
        <n v="870"/>
        <n v="833"/>
        <n v="37"/>
        <n v="12700"/>
        <n v="1080"/>
        <n v="2500"/>
        <n v="165"/>
        <n v="31"/>
        <n v="8000"/>
        <n v="594"/>
        <n v="497"/>
        <n v="20300"/>
        <n v="13345"/>
        <n v="1545"/>
        <n v="136"/>
        <n v="128"/>
        <n v="64"/>
        <n v="326"/>
        <n v="4300"/>
        <n v="16250"/>
        <n v="10360"/>
        <n v="7180"/>
        <n v="3100"/>
        <n v="346"/>
        <n v="620"/>
        <n v="555"/>
        <n v="735"/>
        <n v="550"/>
        <n v="460"/>
        <n v="15100"/>
        <n v="10604"/>
        <n v="6852"/>
        <n v="2740"/>
        <n v="7200"/>
        <n v="58"/>
        <n v="5500"/>
        <n v="4250"/>
        <n v="105"/>
        <n v="63"/>
        <n v="27358"/>
        <n v="26272"/>
        <n v="19182"/>
        <n v="5247"/>
        <n v="3151"/>
        <n v="2098"/>
        <n v="1685"/>
        <n v="896"/>
        <n v="524"/>
        <n v="283"/>
        <n v="101"/>
        <n v="370"/>
        <n v="3862"/>
        <n v="2222"/>
        <n v="452"/>
        <n v="640"/>
        <n v="428"/>
        <n v="36000"/>
        <n v="30599"/>
        <n v="30000"/>
        <n v="3980"/>
        <n v="1097"/>
        <n v="244"/>
        <n v="67"/>
        <n v="4450"/>
        <n v="124"/>
        <n v="49942"/>
        <n v="32000"/>
        <n v="24500"/>
        <n v="2898"/>
        <n v="2450"/>
        <n v="925"/>
        <n v="850"/>
        <n v="112"/>
        <n v="2600"/>
        <n v="142"/>
        <n v="51000"/>
        <n v="34000"/>
        <n v="29000"/>
        <n v="5100"/>
        <n v="1050"/>
        <n v="4365"/>
        <n v="2800"/>
        <n v="26000"/>
        <n v="27300"/>
        <n v="6400"/>
        <n v="3900"/>
        <n v="475"/>
        <n v="5520"/>
        <n v="3542"/>
        <n v="27155"/>
        <n v="27000"/>
        <n v="24850"/>
        <n v="6300"/>
        <n v="3995"/>
        <n v="3200"/>
        <n v="810"/>
        <n v="680"/>
        <n v="380"/>
        <n v="39000"/>
        <n v="18200"/>
        <n v="4820"/>
        <n v="4050"/>
        <n v="950"/>
        <n v="92"/>
        <n v="1552"/>
        <n v="1588"/>
        <n v="33100"/>
        <n v="10330"/>
        <n v="3150"/>
        <n v="967"/>
        <n v="707"/>
        <n v="86"/>
        <n v="52000"/>
        <n v="18800"/>
        <n v="19500"/>
        <n v="199"/>
        <n v="68600"/>
        <n v="35300"/>
        <n v="25000"/>
        <n v="4200"/>
        <n v="423"/>
        <n v="304"/>
        <n v="75845"/>
        <n v="41400"/>
        <n v="43295"/>
        <n v="4950"/>
        <n v="4150"/>
        <n v="960"/>
        <n v="360"/>
        <n v="490"/>
        <n v="79200"/>
        <n v="42240"/>
        <n v="45500"/>
        <n v="890"/>
        <n v="298"/>
        <n v="72000"/>
        <n v="39100"/>
        <n v="24000"/>
        <n v="73"/>
        <n v="100000"/>
        <n v="53200"/>
        <n v="97000"/>
        <n v="65000"/>
        <n v="1959"/>
        <n v="330"/>
        <n v="691"/>
        <n v="98000"/>
        <n v="60000"/>
        <n v="30400"/>
        <n v="23000"/>
        <n v="1400"/>
        <n v="95000"/>
        <n v="58500"/>
        <n v="41000"/>
        <n v="27280"/>
        <n v="10625"/>
        <n v="269"/>
        <n v="66070"/>
        <n v="47000"/>
        <n v="21600"/>
        <n v="9000"/>
        <n v="5400"/>
        <n v="268"/>
        <n v="496"/>
        <n v="71000"/>
        <n v="53900"/>
        <n v="17775"/>
        <n v="21500"/>
        <n v="3700"/>
        <n v="420"/>
        <n v="520"/>
        <n v="38"/>
        <n v="85000"/>
        <n v="20000"/>
        <n v="17500"/>
        <n v="14200"/>
        <n v="156"/>
        <n v="514"/>
        <n v="93000"/>
        <n v="31500"/>
        <n v="15750"/>
        <n v="8400"/>
        <n v="2400"/>
        <n v="51"/>
        <n v="535"/>
        <n v="140000"/>
        <n v="90000"/>
        <n v="18300"/>
        <n v="3680"/>
        <n v="325"/>
        <n v="505"/>
        <n v="138500"/>
        <n v="89250"/>
        <n v="38000"/>
        <n v="34650"/>
        <n v="575"/>
        <n v="127500"/>
        <n v="74000"/>
        <n v="31400"/>
        <n v="8200"/>
        <n v="137000"/>
        <n v="70000"/>
        <n v="33000"/>
        <n v="31200"/>
        <n v="13000"/>
        <n v="1340"/>
        <n v="1013"/>
        <n v="110000"/>
        <n v="70500"/>
        <n v="24700"/>
        <n v="12600"/>
        <n v="1040"/>
        <n v="92500"/>
        <n v="69000"/>
        <n v="15500"/>
        <n v="6450"/>
        <n v="62000"/>
        <n v="75000"/>
        <n v="486"/>
        <n v="15000"/>
        <n v="120000"/>
        <n v="1809"/>
        <n v="880"/>
        <n v="6790"/>
        <n v="19600"/>
        <n v="36100"/>
        <n v="74800"/>
        <n v="137800"/>
        <n v="760"/>
        <n v="0"/>
        <n v="89"/>
        <n v="1280"/>
        <n v="8600"/>
        <n v="23700"/>
        <n v="43500"/>
        <n v="5300"/>
        <n v="105500"/>
        <n v="14700"/>
        <n v="169000"/>
        <n v="541"/>
        <n v="815"/>
        <n v="1030"/>
        <n v="11500"/>
        <n v="35500"/>
        <n v="91500"/>
        <n v="10500"/>
        <n v="160000"/>
        <n v="49000"/>
        <n v="87000"/>
        <n v="162000"/>
        <n v="281"/>
        <n v="77000"/>
        <n v="135000"/>
        <n v="995"/>
        <n v="54000"/>
        <n v="7500"/>
        <n v="95500"/>
        <n v="13200"/>
        <n v="154000"/>
        <n v="118"/>
        <n v="35000"/>
        <n v="66000"/>
        <n v="105400"/>
        <n v="180000"/>
        <n v="243"/>
        <n v="335"/>
        <n v="81000"/>
        <n v="28000"/>
        <n v="82000"/>
        <n v="123000"/>
        <n v="2080"/>
        <n v="58000"/>
        <n v="87100"/>
        <n v="17000"/>
        <n v="32023"/>
        <n v="11997"/>
        <n v="79980"/>
        <n v="1550"/>
        <n v="82"/>
        <n v="15600"/>
        <n v="39150"/>
        <n v="13400"/>
        <n v="67000"/>
        <n v="58100"/>
        <n v="43000"/>
        <n v="55000"/>
        <n v="245"/>
        <n v="60100"/>
        <n v="14450"/>
        <n v="1960"/>
        <n v="37780"/>
        <n v="48150"/>
        <n v="980"/>
        <n v="20500"/>
        <n v="79000"/>
        <n v="20800"/>
        <n v="49900"/>
        <n v="61400"/>
        <n v="50000"/>
        <n v="37000"/>
        <n v="59500"/>
        <n v="153000"/>
        <n v="41500"/>
        <n v="43010"/>
        <n v="23010"/>
        <n v="14500"/>
        <n v="47500"/>
        <n v="49400"/>
        <n v="26600"/>
        <n v="38700"/>
        <n v="10200"/>
        <n v="6100"/>
        <n v="17400"/>
        <n v="56700"/>
        <n v="36500"/>
        <n v="15400"/>
        <n v="20900"/>
        <n v="65200"/>
        <n v="41850"/>
        <n v="340"/>
        <n v="26200"/>
        <n v="94700"/>
        <n v="83300"/>
        <n v="19700"/>
        <n v="51150"/>
        <n v="92950"/>
        <n v="81650"/>
        <n v="50510"/>
        <n v="63500"/>
        <n v="118600"/>
        <n v="101100"/>
        <n v="65400"/>
        <n v="53950"/>
        <n v="107550"/>
        <n v="81950"/>
        <n v="22600"/>
        <n v="54400"/>
        <n v="68000"/>
        <n v="53000"/>
        <n v="40500"/>
        <n v="6200"/>
        <n v="40300"/>
        <n v="77800"/>
        <n v="48100"/>
        <n v="41100"/>
        <n v="7400"/>
        <n v="37900"/>
        <n v="38820"/>
        <n v="70150"/>
        <n v="16500"/>
        <n v="9700"/>
        <n v="27700"/>
        <n v="56300"/>
        <n v="11800"/>
        <n v="17100"/>
        <n v="1126"/>
        <n v="61160"/>
        <n v="11600"/>
        <n v="1003"/>
        <n v="21800"/>
        <n v="23200"/>
        <n v="31000"/>
        <n v="79800"/>
        <n v="12800"/>
        <n v="630"/>
        <n v="22240"/>
        <n v="20600"/>
        <n v="19400"/>
        <n v="11700"/>
        <n v="48102"/>
        <n v="10400"/>
        <n v="6920"/>
        <n v="580"/>
        <n v="40900"/>
        <n v="24620"/>
        <n v="19950"/>
        <n v="61990"/>
        <n v="11350"/>
        <n v="1950"/>
        <n v="44700"/>
        <n v="22900"/>
        <n v="22800"/>
        <n v="51800"/>
        <n v="11150"/>
        <n v="27400"/>
        <n v="24800"/>
        <n v="61800"/>
        <n v="18500"/>
        <n v="42000"/>
        <n v="19300"/>
        <n v="16200"/>
        <n v="44800"/>
        <n v="12950"/>
        <n v="392"/>
        <n v="196"/>
        <n v="5200"/>
        <n v="12300"/>
        <n v="15300"/>
        <n v="10300"/>
        <n v="14300"/>
        <n v="115000"/>
        <n v="16800"/>
        <n v="25500"/>
        <n v="13300"/>
        <n v="528"/>
        <n v="2200"/>
        <n v="115050"/>
        <n v="52300"/>
        <n v="25700"/>
        <n v="119650"/>
        <n v="11200"/>
        <n v="374"/>
        <n v="2090"/>
        <n v="6600"/>
        <n v="4860"/>
        <n v="2530"/>
        <n v="10350"/>
        <n v="1035"/>
        <n v="133000"/>
        <n v="30600"/>
        <n v="45000"/>
        <n v="21000"/>
        <n v="10950"/>
        <n v="18120"/>
        <n v="2900"/>
        <n v="7300"/>
        <n v="2480"/>
        <n v="114700"/>
        <n v="29600"/>
        <n v="50850"/>
        <n v="124300"/>
        <n v="13100"/>
        <n v="25280"/>
        <n v="7700"/>
        <n v="55450"/>
        <n v="2820"/>
        <n v="66100"/>
        <n v="9400"/>
        <n v="32200"/>
        <n v="85500"/>
        <n v="50086"/>
        <n v="512"/>
        <n v="85419"/>
        <n v="4637"/>
        <n v="809"/>
        <n v="5329"/>
        <n v="3950"/>
        <n v="1710"/>
        <n v="6526"/>
        <n v="69329"/>
        <n v="2555"/>
        <n v="163000"/>
        <n v="5671"/>
        <n v="11311"/>
        <n v="2850"/>
        <n v="4310"/>
        <n v="1570"/>
        <n v="1430"/>
        <n v="1460"/>
        <n v="22790"/>
        <n v="3350"/>
        <n v="1070"/>
        <n v="4660"/>
        <n v="94500"/>
        <n v="11697"/>
        <n v="96000"/>
        <n v="3343"/>
        <n v="914"/>
        <n v="22700"/>
        <n v="10322"/>
        <n v="432"/>
        <n v="1067"/>
        <n v="5395"/>
        <n v="198"/>
        <n v="89878"/>
        <n v="32500"/>
        <n v="8808"/>
        <n v="23666"/>
        <n v="89000"/>
        <n v="4882"/>
        <n v="9300"/>
        <n v="1364"/>
        <n v="4100"/>
        <n v="9474"/>
        <n v="3600"/>
        <n v="2212"/>
        <n v="3271"/>
        <n v="4800"/>
        <n v="8159"/>
        <n v="75648"/>
        <n v="42500"/>
        <n v="3870"/>
        <n v="18912"/>
        <n v="3530"/>
        <n v="1885"/>
        <n v="1150"/>
        <n v="2119"/>
        <n v="18100"/>
        <n v="772"/>
        <n v="7850"/>
        <n v="643"/>
        <n v="1748"/>
        <n v="6700"/>
        <n v="216"/>
        <n v="2971"/>
        <n v="284"/>
        <n v="779"/>
        <n v="1603"/>
        <n v="973"/>
        <n v="10272"/>
        <n v="765"/>
        <n v="59485"/>
        <n v="17912"/>
        <n v="992"/>
        <n v="790"/>
        <n v="2010"/>
        <n v="299"/>
        <n v="399"/>
        <n v="1650"/>
        <n v="2300"/>
        <n v="64656"/>
        <n v="8650"/>
        <n v="16738"/>
        <n v="820"/>
        <n v="15330"/>
        <n v="677"/>
        <n v="1290"/>
        <n v="1090"/>
        <n v="351"/>
        <n v="3116"/>
        <n v="1096"/>
        <n v="8156"/>
        <n v="1168"/>
        <n v="74474"/>
        <n v="44000"/>
        <n v="21020"/>
        <n v="1218"/>
        <n v="998"/>
        <n v="1494"/>
        <n v="10800"/>
        <n v="15709"/>
        <n v="295"/>
        <n v="738"/>
        <n v="215"/>
        <n v="386"/>
        <n v="9539"/>
        <n v="7600"/>
        <n v="1250"/>
        <n v="3613"/>
        <n v="18119"/>
        <n v="3440"/>
        <n v="83050"/>
        <n v="22300"/>
        <n v="51600"/>
        <n v="12150"/>
        <n v="27683"/>
        <n v="17300"/>
        <n v="23650"/>
        <n v="17238"/>
        <n v="1281"/>
        <n v="11918"/>
        <n v="2462"/>
        <n v="197"/>
        <n v="1379"/>
        <n v="1294"/>
        <n v="18275"/>
        <n v="285"/>
      </sharedItems>
    </cacheField>
    <cacheField name="produccion_tm" numFmtId="0">
      <sharedItems containsString="0" containsBlank="1" containsNumber="1" containsInteger="1" minValue="0" maxValue="399000"/>
    </cacheField>
    <cacheField name="rendimiento_kgxha" numFmtId="0">
      <sharedItems containsString="0" containsBlank="1" containsNumber="1" containsInteger="1" minValue="0" maxValue="13000"/>
    </cacheField>
  </cacheFields>
  <extLst>
    <ext xmlns:x14="http://schemas.microsoft.com/office/spreadsheetml/2009/9/main" uri="{725AE2AE-9491-48be-B2B4-4EB974FC3084}">
      <x14:pivotCacheDefinition pivotCacheId="10950733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7">
  <r>
    <n v="1"/>
    <x v="0"/>
    <x v="0"/>
    <x v="0"/>
    <x v="0"/>
    <x v="0"/>
    <x v="0"/>
    <n v="22105"/>
    <x v="0"/>
    <x v="0"/>
    <n v="3160"/>
    <n v="750"/>
  </r>
  <r>
    <n v="2"/>
    <x v="0"/>
    <x v="0"/>
    <x v="0"/>
    <x v="0"/>
    <x v="0"/>
    <x v="1"/>
    <n v="22049"/>
    <x v="1"/>
    <x v="1"/>
    <n v="348"/>
    <n v="750"/>
  </r>
  <r>
    <n v="3"/>
    <x v="0"/>
    <x v="0"/>
    <x v="0"/>
    <x v="0"/>
    <x v="0"/>
    <x v="2"/>
    <n v="22140"/>
    <x v="2"/>
    <x v="2"/>
    <n v="144"/>
    <n v="750"/>
  </r>
  <r>
    <n v="4"/>
    <x v="0"/>
    <x v="0"/>
    <x v="0"/>
    <x v="0"/>
    <x v="0"/>
    <x v="3"/>
    <n v="22084"/>
    <x v="3"/>
    <x v="3"/>
    <n v="53"/>
    <n v="750"/>
  </r>
  <r>
    <n v="5"/>
    <x v="0"/>
    <x v="0"/>
    <x v="0"/>
    <x v="0"/>
    <x v="0"/>
    <x v="4"/>
    <n v="22014"/>
    <x v="4"/>
    <x v="4"/>
    <n v="27"/>
    <n v="750"/>
  </r>
  <r>
    <n v="6"/>
    <x v="0"/>
    <x v="0"/>
    <x v="0"/>
    <x v="0"/>
    <x v="0"/>
    <x v="5"/>
    <n v="22091"/>
    <x v="5"/>
    <x v="5"/>
    <n v="25"/>
    <n v="750"/>
  </r>
  <r>
    <n v="7"/>
    <x v="0"/>
    <x v="0"/>
    <x v="0"/>
    <x v="0"/>
    <x v="0"/>
    <x v="6"/>
    <n v="22161"/>
    <x v="6"/>
    <x v="6"/>
    <n v="18"/>
    <n v="750"/>
  </r>
  <r>
    <n v="8"/>
    <x v="0"/>
    <x v="0"/>
    <x v="0"/>
    <x v="1"/>
    <x v="1"/>
    <x v="7"/>
    <n v="14147"/>
    <x v="7"/>
    <x v="7"/>
    <n v="13720"/>
    <n v="1400"/>
  </r>
  <r>
    <n v="9"/>
    <x v="0"/>
    <x v="0"/>
    <x v="0"/>
    <x v="1"/>
    <x v="1"/>
    <x v="8"/>
    <n v="14119"/>
    <x v="8"/>
    <x v="8"/>
    <n v="13800"/>
    <n v="1500"/>
  </r>
  <r>
    <n v="10"/>
    <x v="0"/>
    <x v="0"/>
    <x v="0"/>
    <x v="1"/>
    <x v="1"/>
    <x v="9"/>
    <n v="14105"/>
    <x v="9"/>
    <x v="9"/>
    <n v="1870"/>
    <n v="1100"/>
  </r>
  <r>
    <n v="11"/>
    <x v="0"/>
    <x v="0"/>
    <x v="0"/>
    <x v="1"/>
    <x v="1"/>
    <x v="10"/>
    <n v="14161"/>
    <x v="10"/>
    <x v="10"/>
    <n v="1650"/>
    <n v="1500"/>
  </r>
  <r>
    <n v="12"/>
    <x v="0"/>
    <x v="0"/>
    <x v="0"/>
    <x v="1"/>
    <x v="1"/>
    <x v="11"/>
    <n v="14021"/>
    <x v="11"/>
    <x v="11"/>
    <n v="1300"/>
    <n v="1300"/>
  </r>
  <r>
    <n v="13"/>
    <x v="0"/>
    <x v="0"/>
    <x v="0"/>
    <x v="1"/>
    <x v="1"/>
    <x v="12"/>
    <n v="14014"/>
    <x v="12"/>
    <x v="12"/>
    <n v="390"/>
    <n v="1300"/>
  </r>
  <r>
    <n v="14"/>
    <x v="0"/>
    <x v="0"/>
    <x v="0"/>
    <x v="1"/>
    <x v="1"/>
    <x v="13"/>
    <n v="14098"/>
    <x v="13"/>
    <x v="13"/>
    <n v="12"/>
    <n v="1000"/>
  </r>
  <r>
    <n v="15"/>
    <x v="0"/>
    <x v="0"/>
    <x v="0"/>
    <x v="2"/>
    <x v="2"/>
    <x v="14"/>
    <m/>
    <x v="14"/>
    <x v="14"/>
    <n v="350"/>
    <n v="700"/>
  </r>
  <r>
    <n v="16"/>
    <x v="0"/>
    <x v="0"/>
    <x v="0"/>
    <x v="2"/>
    <x v="2"/>
    <x v="15"/>
    <n v="18112"/>
    <x v="15"/>
    <x v="15"/>
    <n v="328"/>
    <n v="800"/>
  </r>
  <r>
    <n v="17"/>
    <x v="0"/>
    <x v="0"/>
    <x v="0"/>
    <x v="2"/>
    <x v="2"/>
    <x v="16"/>
    <n v="18091"/>
    <x v="16"/>
    <x v="16"/>
    <n v="245"/>
    <n v="700"/>
  </r>
  <r>
    <n v="18"/>
    <x v="0"/>
    <x v="0"/>
    <x v="0"/>
    <x v="2"/>
    <x v="2"/>
    <x v="17"/>
    <n v="18042"/>
    <x v="12"/>
    <x v="12"/>
    <n v="360"/>
    <n v="1200"/>
  </r>
  <r>
    <n v="19"/>
    <x v="0"/>
    <x v="0"/>
    <x v="0"/>
    <x v="2"/>
    <x v="2"/>
    <x v="18"/>
    <n v="18049"/>
    <x v="12"/>
    <x v="12"/>
    <n v="300"/>
    <n v="1000"/>
  </r>
  <r>
    <n v="20"/>
    <x v="0"/>
    <x v="0"/>
    <x v="0"/>
    <x v="2"/>
    <x v="2"/>
    <x v="19"/>
    <n v="18133"/>
    <x v="17"/>
    <x v="17"/>
    <n v="260"/>
    <n v="1000"/>
  </r>
  <r>
    <n v="21"/>
    <x v="0"/>
    <x v="0"/>
    <x v="0"/>
    <x v="2"/>
    <x v="2"/>
    <x v="20"/>
    <n v="18147"/>
    <x v="18"/>
    <x v="18"/>
    <n v="180"/>
    <n v="900"/>
  </r>
  <r>
    <n v="22"/>
    <x v="0"/>
    <x v="0"/>
    <x v="0"/>
    <x v="2"/>
    <x v="2"/>
    <x v="21"/>
    <n v="18007"/>
    <x v="19"/>
    <x v="19"/>
    <n v="119"/>
    <n v="700"/>
  </r>
  <r>
    <n v="23"/>
    <x v="0"/>
    <x v="0"/>
    <x v="0"/>
    <x v="2"/>
    <x v="2"/>
    <x v="22"/>
    <n v="18084"/>
    <x v="20"/>
    <x v="20"/>
    <n v="75"/>
    <n v="500"/>
  </r>
  <r>
    <n v="24"/>
    <x v="0"/>
    <x v="0"/>
    <x v="0"/>
    <x v="2"/>
    <x v="2"/>
    <x v="23"/>
    <n v="18126"/>
    <x v="20"/>
    <x v="20"/>
    <n v="90"/>
    <n v="600"/>
  </r>
  <r>
    <n v="25"/>
    <x v="0"/>
    <x v="0"/>
    <x v="0"/>
    <x v="2"/>
    <x v="2"/>
    <x v="24"/>
    <n v="18140"/>
    <x v="21"/>
    <x v="21"/>
    <n v="140"/>
    <n v="1000"/>
  </r>
  <r>
    <n v="26"/>
    <x v="0"/>
    <x v="0"/>
    <x v="0"/>
    <x v="2"/>
    <x v="2"/>
    <x v="12"/>
    <n v="18021"/>
    <x v="22"/>
    <x v="22"/>
    <n v="67"/>
    <n v="500"/>
  </r>
  <r>
    <n v="27"/>
    <x v="0"/>
    <x v="0"/>
    <x v="0"/>
    <x v="2"/>
    <x v="2"/>
    <x v="25"/>
    <n v="18035"/>
    <x v="23"/>
    <x v="23"/>
    <n v="100"/>
    <n v="1000"/>
  </r>
  <r>
    <n v="28"/>
    <x v="0"/>
    <x v="0"/>
    <x v="0"/>
    <x v="2"/>
    <x v="2"/>
    <x v="26"/>
    <n v="18070"/>
    <x v="23"/>
    <x v="23"/>
    <n v="40"/>
    <n v="400"/>
  </r>
  <r>
    <n v="29"/>
    <x v="0"/>
    <x v="0"/>
    <x v="0"/>
    <x v="2"/>
    <x v="2"/>
    <x v="27"/>
    <n v="18168"/>
    <x v="23"/>
    <x v="23"/>
    <n v="70"/>
    <n v="700"/>
  </r>
  <r>
    <n v="30"/>
    <x v="0"/>
    <x v="0"/>
    <x v="0"/>
    <x v="3"/>
    <x v="3"/>
    <x v="28"/>
    <n v="30028"/>
    <x v="24"/>
    <x v="24"/>
    <n v="7810"/>
    <n v="1100"/>
  </r>
  <r>
    <n v="31"/>
    <x v="0"/>
    <x v="0"/>
    <x v="0"/>
    <x v="3"/>
    <x v="3"/>
    <x v="29"/>
    <n v="30015"/>
    <x v="25"/>
    <x v="25"/>
    <n v="3421"/>
    <n v="1100"/>
  </r>
  <r>
    <n v="32"/>
    <x v="0"/>
    <x v="0"/>
    <x v="0"/>
    <x v="3"/>
    <x v="3"/>
    <x v="11"/>
    <n v="30008"/>
    <x v="26"/>
    <x v="26"/>
    <n v="409"/>
    <n v="1050"/>
  </r>
  <r>
    <n v="33"/>
    <x v="0"/>
    <x v="0"/>
    <x v="0"/>
    <x v="4"/>
    <x v="4"/>
    <x v="30"/>
    <n v="34049"/>
    <x v="27"/>
    <x v="27"/>
    <n v="51"/>
    <n v="784"/>
  </r>
  <r>
    <n v="34"/>
    <x v="0"/>
    <x v="0"/>
    <x v="0"/>
    <x v="4"/>
    <x v="4"/>
    <x v="31"/>
    <n v="34021"/>
    <x v="28"/>
    <x v="28"/>
    <n v="35"/>
    <n v="800"/>
  </r>
  <r>
    <n v="35"/>
    <x v="0"/>
    <x v="0"/>
    <x v="0"/>
    <x v="4"/>
    <x v="4"/>
    <x v="32"/>
    <n v="34014"/>
    <x v="29"/>
    <x v="29"/>
    <n v="6"/>
    <n v="800"/>
  </r>
  <r>
    <n v="36"/>
    <x v="0"/>
    <x v="0"/>
    <x v="0"/>
    <x v="4"/>
    <x v="4"/>
    <x v="33"/>
    <n v="34056"/>
    <x v="29"/>
    <x v="29"/>
    <n v="6"/>
    <n v="800"/>
  </r>
  <r>
    <n v="37"/>
    <x v="0"/>
    <x v="0"/>
    <x v="0"/>
    <x v="4"/>
    <x v="4"/>
    <x v="34"/>
    <n v="34035"/>
    <x v="30"/>
    <x v="30"/>
    <n v="2"/>
    <n v="800"/>
  </r>
  <r>
    <n v="38"/>
    <x v="0"/>
    <x v="0"/>
    <x v="0"/>
    <x v="5"/>
    <x v="5"/>
    <x v="35"/>
    <n v="38014"/>
    <x v="31"/>
    <x v="31"/>
    <n v="12"/>
    <n v="800"/>
  </r>
  <r>
    <n v="39"/>
    <x v="0"/>
    <x v="0"/>
    <x v="0"/>
    <x v="5"/>
    <x v="5"/>
    <x v="36"/>
    <n v="38021"/>
    <x v="32"/>
    <x v="32"/>
    <n v="8"/>
    <n v="800"/>
  </r>
  <r>
    <n v="40"/>
    <x v="0"/>
    <x v="0"/>
    <x v="0"/>
    <x v="5"/>
    <x v="5"/>
    <x v="37"/>
    <n v="38063"/>
    <x v="33"/>
    <x v="33"/>
    <n v="5"/>
    <n v="1000"/>
  </r>
  <r>
    <n v="41"/>
    <x v="0"/>
    <x v="0"/>
    <x v="0"/>
    <x v="5"/>
    <x v="5"/>
    <x v="38"/>
    <n v="38056"/>
    <x v="34"/>
    <x v="34"/>
    <n v="2"/>
    <n v="800"/>
  </r>
  <r>
    <n v="42"/>
    <x v="0"/>
    <x v="0"/>
    <x v="0"/>
    <x v="6"/>
    <x v="6"/>
    <x v="39"/>
    <n v="54007"/>
    <x v="35"/>
    <x v="35"/>
    <n v="174"/>
    <n v="1000"/>
  </r>
  <r>
    <n v="43"/>
    <x v="0"/>
    <x v="0"/>
    <x v="0"/>
    <x v="6"/>
    <x v="6"/>
    <x v="40"/>
    <n v="54021"/>
    <x v="36"/>
    <x v="36"/>
    <n v="125"/>
    <n v="1000"/>
  </r>
  <r>
    <n v="44"/>
    <x v="0"/>
    <x v="0"/>
    <x v="0"/>
    <x v="6"/>
    <x v="6"/>
    <x v="41"/>
    <n v="54098"/>
    <x v="37"/>
    <x v="37"/>
    <n v="109"/>
    <n v="1000"/>
  </r>
  <r>
    <n v="45"/>
    <x v="0"/>
    <x v="0"/>
    <x v="0"/>
    <x v="6"/>
    <x v="6"/>
    <x v="42"/>
    <n v="54105"/>
    <x v="38"/>
    <x v="38"/>
    <n v="55"/>
    <n v="1000"/>
  </r>
  <r>
    <n v="46"/>
    <x v="0"/>
    <x v="0"/>
    <x v="0"/>
    <x v="6"/>
    <x v="6"/>
    <x v="43"/>
    <n v="54035"/>
    <x v="39"/>
    <x v="39"/>
    <n v="45"/>
    <n v="1000"/>
  </r>
  <r>
    <n v="47"/>
    <x v="0"/>
    <x v="0"/>
    <x v="0"/>
    <x v="6"/>
    <x v="6"/>
    <x v="12"/>
    <n v="54028"/>
    <x v="40"/>
    <x v="40"/>
    <n v="21"/>
    <n v="1000"/>
  </r>
  <r>
    <n v="48"/>
    <x v="0"/>
    <x v="0"/>
    <x v="0"/>
    <x v="7"/>
    <x v="7"/>
    <x v="44"/>
    <n v="82049"/>
    <x v="41"/>
    <x v="41"/>
    <n v="8675"/>
    <n v="1025"/>
  </r>
  <r>
    <n v="49"/>
    <x v="0"/>
    <x v="0"/>
    <x v="0"/>
    <x v="7"/>
    <x v="7"/>
    <x v="45"/>
    <n v="82035"/>
    <x v="42"/>
    <x v="42"/>
    <n v="3399"/>
    <n v="1350"/>
  </r>
  <r>
    <n v="50"/>
    <x v="0"/>
    <x v="0"/>
    <x v="0"/>
    <x v="7"/>
    <x v="7"/>
    <x v="42"/>
    <n v="82098"/>
    <x v="43"/>
    <x v="43"/>
    <n v="732"/>
    <n v="950"/>
  </r>
  <r>
    <n v="51"/>
    <x v="0"/>
    <x v="0"/>
    <x v="0"/>
    <x v="7"/>
    <x v="7"/>
    <x v="12"/>
    <n v="82063"/>
    <x v="23"/>
    <x v="44"/>
    <n v="64"/>
    <n v="800"/>
  </r>
  <r>
    <n v="52"/>
    <x v="0"/>
    <x v="0"/>
    <x v="0"/>
    <x v="7"/>
    <x v="7"/>
    <x v="46"/>
    <n v="82112"/>
    <x v="44"/>
    <x v="39"/>
    <n v="36"/>
    <n v="800"/>
  </r>
  <r>
    <n v="53"/>
    <x v="0"/>
    <x v="0"/>
    <x v="0"/>
    <x v="8"/>
    <x v="8"/>
    <x v="47"/>
    <n v="86077"/>
    <x v="44"/>
    <x v="45"/>
    <n v="39"/>
    <n v="980"/>
  </r>
  <r>
    <n v="54"/>
    <x v="0"/>
    <x v="0"/>
    <x v="0"/>
    <x v="8"/>
    <x v="8"/>
    <x v="48"/>
    <n v="86098"/>
    <x v="45"/>
    <x v="31"/>
    <n v="16"/>
    <n v="1050"/>
  </r>
  <r>
    <n v="55"/>
    <x v="0"/>
    <x v="0"/>
    <x v="0"/>
    <x v="8"/>
    <x v="8"/>
    <x v="49"/>
    <n v="86112"/>
    <x v="46"/>
    <x v="31"/>
    <n v="16"/>
    <n v="1100"/>
  </r>
  <r>
    <n v="56"/>
    <x v="0"/>
    <x v="0"/>
    <x v="0"/>
    <x v="8"/>
    <x v="8"/>
    <x v="50"/>
    <n v="86119"/>
    <x v="32"/>
    <x v="32"/>
    <n v="10"/>
    <n v="1000"/>
  </r>
  <r>
    <n v="57"/>
    <x v="0"/>
    <x v="0"/>
    <x v="0"/>
    <x v="8"/>
    <x v="8"/>
    <x v="51"/>
    <n v="86147"/>
    <x v="38"/>
    <x v="38"/>
    <n v="6"/>
    <n v="1150"/>
  </r>
  <r>
    <n v="58"/>
    <x v="0"/>
    <x v="0"/>
    <x v="0"/>
    <x v="8"/>
    <x v="8"/>
    <x v="12"/>
    <n v="86049"/>
    <x v="47"/>
    <x v="46"/>
    <n v="6"/>
    <n v="1400"/>
  </r>
  <r>
    <n v="59"/>
    <x v="0"/>
    <x v="0"/>
    <x v="0"/>
    <x v="8"/>
    <x v="8"/>
    <x v="52"/>
    <n v="86063"/>
    <x v="34"/>
    <x v="34"/>
    <n v="2"/>
    <n v="1000"/>
  </r>
  <r>
    <n v="60"/>
    <x v="0"/>
    <x v="0"/>
    <x v="0"/>
    <x v="8"/>
    <x v="8"/>
    <x v="53"/>
    <n v="86035"/>
    <x v="31"/>
    <x v="31"/>
    <n v="2"/>
    <n v="1400"/>
  </r>
  <r>
    <n v="61"/>
    <x v="0"/>
    <x v="0"/>
    <x v="0"/>
    <x v="8"/>
    <x v="8"/>
    <x v="54"/>
    <n v="86161"/>
    <x v="48"/>
    <x v="47"/>
    <n v="1"/>
    <n v="1000"/>
  </r>
  <r>
    <n v="62"/>
    <x v="0"/>
    <x v="0"/>
    <x v="0"/>
    <x v="9"/>
    <x v="9"/>
    <x v="55"/>
    <n v="90007"/>
    <x v="49"/>
    <x v="48"/>
    <n v="183"/>
    <n v="994"/>
  </r>
  <r>
    <n v="63"/>
    <x v="0"/>
    <x v="1"/>
    <x v="1"/>
    <x v="10"/>
    <x v="10"/>
    <x v="56"/>
    <n v="10084"/>
    <x v="50"/>
    <x v="49"/>
    <n v="7"/>
    <n v="1166"/>
  </r>
  <r>
    <n v="64"/>
    <x v="0"/>
    <x v="1"/>
    <x v="1"/>
    <x v="10"/>
    <x v="10"/>
    <x v="12"/>
    <n v="10049"/>
    <x v="32"/>
    <x v="49"/>
    <n v="9"/>
    <n v="1500"/>
  </r>
  <r>
    <n v="65"/>
    <x v="0"/>
    <x v="1"/>
    <x v="1"/>
    <x v="10"/>
    <x v="10"/>
    <x v="57"/>
    <n v="10077"/>
    <x v="29"/>
    <x v="33"/>
    <n v="5"/>
    <n v="1000"/>
  </r>
  <r>
    <n v="66"/>
    <x v="0"/>
    <x v="1"/>
    <x v="1"/>
    <x v="10"/>
    <x v="10"/>
    <x v="58"/>
    <n v="10098"/>
    <x v="47"/>
    <x v="47"/>
    <n v="1"/>
    <n v="1000"/>
  </r>
  <r>
    <n v="67"/>
    <x v="0"/>
    <x v="1"/>
    <x v="1"/>
    <x v="10"/>
    <x v="10"/>
    <x v="59"/>
    <n v="10063"/>
    <x v="30"/>
    <x v="34"/>
    <n v="2"/>
    <n v="1000"/>
  </r>
  <r>
    <n v="68"/>
    <x v="0"/>
    <x v="1"/>
    <x v="1"/>
    <x v="10"/>
    <x v="10"/>
    <x v="60"/>
    <n v="10112"/>
    <x v="30"/>
    <x v="47"/>
    <n v="1"/>
    <n v="1000"/>
  </r>
  <r>
    <n v="69"/>
    <x v="0"/>
    <x v="1"/>
    <x v="1"/>
    <x v="0"/>
    <x v="0"/>
    <x v="0"/>
    <n v="22105"/>
    <x v="51"/>
    <x v="50"/>
    <n v="962"/>
    <n v="1400"/>
  </r>
  <r>
    <n v="70"/>
    <x v="0"/>
    <x v="1"/>
    <x v="1"/>
    <x v="0"/>
    <x v="0"/>
    <x v="1"/>
    <n v="22049"/>
    <x v="52"/>
    <x v="51"/>
    <n v="213"/>
    <n v="1410"/>
  </r>
  <r>
    <n v="71"/>
    <x v="0"/>
    <x v="1"/>
    <x v="1"/>
    <x v="0"/>
    <x v="0"/>
    <x v="6"/>
    <n v="22161"/>
    <x v="53"/>
    <x v="52"/>
    <n v="12"/>
    <n v="1333"/>
  </r>
  <r>
    <n v="72"/>
    <x v="0"/>
    <x v="1"/>
    <x v="1"/>
    <x v="0"/>
    <x v="0"/>
    <x v="5"/>
    <n v="22091"/>
    <x v="29"/>
    <x v="29"/>
    <n v="9"/>
    <n v="1285"/>
  </r>
  <r>
    <n v="73"/>
    <x v="0"/>
    <x v="1"/>
    <x v="1"/>
    <x v="0"/>
    <x v="0"/>
    <x v="2"/>
    <n v="22140"/>
    <x v="47"/>
    <x v="46"/>
    <n v="5"/>
    <n v="1250"/>
  </r>
  <r>
    <n v="74"/>
    <x v="0"/>
    <x v="1"/>
    <x v="1"/>
    <x v="0"/>
    <x v="0"/>
    <x v="4"/>
    <n v="22014"/>
    <x v="30"/>
    <x v="30"/>
    <n v="4"/>
    <n v="1333"/>
  </r>
  <r>
    <n v="75"/>
    <x v="0"/>
    <x v="1"/>
    <x v="1"/>
    <x v="1"/>
    <x v="1"/>
    <x v="7"/>
    <n v="14147"/>
    <x v="54"/>
    <x v="53"/>
    <n v="5500"/>
    <n v="550"/>
  </r>
  <r>
    <n v="76"/>
    <x v="0"/>
    <x v="1"/>
    <x v="1"/>
    <x v="1"/>
    <x v="1"/>
    <x v="8"/>
    <n v="14119"/>
    <x v="55"/>
    <x v="54"/>
    <n v="4750"/>
    <n v="500"/>
  </r>
  <r>
    <n v="77"/>
    <x v="0"/>
    <x v="1"/>
    <x v="1"/>
    <x v="1"/>
    <x v="1"/>
    <x v="9"/>
    <n v="14105"/>
    <x v="56"/>
    <x v="55"/>
    <n v="960"/>
    <n v="600"/>
  </r>
  <r>
    <n v="78"/>
    <x v="0"/>
    <x v="1"/>
    <x v="1"/>
    <x v="1"/>
    <x v="1"/>
    <x v="10"/>
    <n v="14161"/>
    <x v="57"/>
    <x v="56"/>
    <n v="720"/>
    <n v="600"/>
  </r>
  <r>
    <n v="79"/>
    <x v="0"/>
    <x v="1"/>
    <x v="1"/>
    <x v="2"/>
    <x v="2"/>
    <x v="26"/>
    <n v="18070"/>
    <x v="58"/>
    <x v="57"/>
    <n v="490"/>
    <n v="700"/>
  </r>
  <r>
    <n v="80"/>
    <x v="0"/>
    <x v="1"/>
    <x v="1"/>
    <x v="2"/>
    <x v="2"/>
    <x v="15"/>
    <n v="18112"/>
    <x v="59"/>
    <x v="58"/>
    <n v="480"/>
    <n v="1000"/>
  </r>
  <r>
    <n v="81"/>
    <x v="0"/>
    <x v="1"/>
    <x v="1"/>
    <x v="2"/>
    <x v="2"/>
    <x v="16"/>
    <n v="18091"/>
    <x v="26"/>
    <x v="59"/>
    <n v="280"/>
    <n v="700"/>
  </r>
  <r>
    <n v="82"/>
    <x v="0"/>
    <x v="1"/>
    <x v="1"/>
    <x v="2"/>
    <x v="2"/>
    <x v="17"/>
    <n v="18042"/>
    <x v="60"/>
    <x v="60"/>
    <n v="279"/>
    <n v="900"/>
  </r>
  <r>
    <n v="83"/>
    <x v="0"/>
    <x v="1"/>
    <x v="1"/>
    <x v="2"/>
    <x v="2"/>
    <x v="19"/>
    <n v="18133"/>
    <x v="61"/>
    <x v="61"/>
    <n v="125"/>
    <n v="500"/>
  </r>
  <r>
    <n v="84"/>
    <x v="0"/>
    <x v="1"/>
    <x v="1"/>
    <x v="2"/>
    <x v="2"/>
    <x v="20"/>
    <n v="18147"/>
    <x v="62"/>
    <x v="62"/>
    <n v="220"/>
    <n v="1000"/>
  </r>
  <r>
    <n v="85"/>
    <x v="0"/>
    <x v="1"/>
    <x v="1"/>
    <x v="2"/>
    <x v="2"/>
    <x v="22"/>
    <n v="18084"/>
    <x v="18"/>
    <x v="18"/>
    <n v="100"/>
    <n v="500"/>
  </r>
  <r>
    <n v="86"/>
    <x v="0"/>
    <x v="1"/>
    <x v="1"/>
    <x v="2"/>
    <x v="2"/>
    <x v="23"/>
    <n v="18126"/>
    <x v="18"/>
    <x v="18"/>
    <n v="140"/>
    <n v="700"/>
  </r>
  <r>
    <n v="87"/>
    <x v="0"/>
    <x v="1"/>
    <x v="1"/>
    <x v="2"/>
    <x v="2"/>
    <x v="14"/>
    <m/>
    <x v="18"/>
    <x v="18"/>
    <n v="140"/>
    <n v="700"/>
  </r>
  <r>
    <n v="88"/>
    <x v="0"/>
    <x v="1"/>
    <x v="1"/>
    <x v="2"/>
    <x v="2"/>
    <x v="21"/>
    <n v="18007"/>
    <x v="63"/>
    <x v="63"/>
    <n v="108"/>
    <n v="600"/>
  </r>
  <r>
    <n v="89"/>
    <x v="0"/>
    <x v="1"/>
    <x v="1"/>
    <x v="2"/>
    <x v="2"/>
    <x v="61"/>
    <n v="18175"/>
    <x v="63"/>
    <x v="63"/>
    <n v="180"/>
    <n v="1000"/>
  </r>
  <r>
    <n v="90"/>
    <x v="0"/>
    <x v="1"/>
    <x v="1"/>
    <x v="2"/>
    <x v="2"/>
    <x v="25"/>
    <n v="18035"/>
    <x v="21"/>
    <x v="21"/>
    <n v="112"/>
    <n v="800"/>
  </r>
  <r>
    <n v="91"/>
    <x v="0"/>
    <x v="1"/>
    <x v="1"/>
    <x v="2"/>
    <x v="2"/>
    <x v="24"/>
    <n v="18140"/>
    <x v="23"/>
    <x v="23"/>
    <n v="60"/>
    <n v="600"/>
  </r>
  <r>
    <n v="92"/>
    <x v="0"/>
    <x v="1"/>
    <x v="1"/>
    <x v="2"/>
    <x v="2"/>
    <x v="27"/>
    <n v="18168"/>
    <x v="23"/>
    <x v="23"/>
    <n v="60"/>
    <n v="600"/>
  </r>
  <r>
    <n v="93"/>
    <x v="0"/>
    <x v="1"/>
    <x v="1"/>
    <x v="3"/>
    <x v="3"/>
    <x v="28"/>
    <n v="30028"/>
    <x v="64"/>
    <x v="64"/>
    <n v="9575"/>
    <n v="1300"/>
  </r>
  <r>
    <n v="94"/>
    <x v="0"/>
    <x v="1"/>
    <x v="1"/>
    <x v="3"/>
    <x v="3"/>
    <x v="29"/>
    <n v="30015"/>
    <x v="65"/>
    <x v="65"/>
    <n v="3900"/>
    <n v="1200"/>
  </r>
  <r>
    <n v="95"/>
    <x v="0"/>
    <x v="1"/>
    <x v="1"/>
    <x v="3"/>
    <x v="3"/>
    <x v="11"/>
    <n v="30008"/>
    <x v="66"/>
    <x v="66"/>
    <n v="445"/>
    <n v="1100"/>
  </r>
  <r>
    <n v="96"/>
    <x v="0"/>
    <x v="1"/>
    <x v="1"/>
    <x v="4"/>
    <x v="4"/>
    <x v="30"/>
    <n v="34049"/>
    <x v="67"/>
    <x v="27"/>
    <n v="13"/>
    <n v="200"/>
  </r>
  <r>
    <n v="97"/>
    <x v="0"/>
    <x v="1"/>
    <x v="1"/>
    <x v="4"/>
    <x v="4"/>
    <x v="33"/>
    <n v="34056"/>
    <x v="50"/>
    <x v="67"/>
    <n v="2"/>
    <n v="250"/>
  </r>
  <r>
    <n v="98"/>
    <x v="0"/>
    <x v="1"/>
    <x v="1"/>
    <x v="4"/>
    <x v="4"/>
    <x v="34"/>
    <n v="34035"/>
    <x v="33"/>
    <x v="30"/>
    <n v="1"/>
    <n v="300"/>
  </r>
  <r>
    <n v="99"/>
    <x v="0"/>
    <x v="1"/>
    <x v="1"/>
    <x v="6"/>
    <x v="6"/>
    <x v="39"/>
    <n v="54007"/>
    <x v="68"/>
    <x v="68"/>
    <n v="291"/>
    <n v="909"/>
  </r>
  <r>
    <n v="100"/>
    <x v="0"/>
    <x v="1"/>
    <x v="1"/>
    <x v="6"/>
    <x v="6"/>
    <x v="42"/>
    <n v="54105"/>
    <x v="69"/>
    <x v="69"/>
    <n v="115"/>
    <n v="719"/>
  </r>
  <r>
    <n v="101"/>
    <x v="0"/>
    <x v="1"/>
    <x v="1"/>
    <x v="6"/>
    <x v="6"/>
    <x v="41"/>
    <n v="54098"/>
    <x v="70"/>
    <x v="70"/>
    <n v="130"/>
    <n v="963"/>
  </r>
  <r>
    <n v="102"/>
    <x v="0"/>
    <x v="1"/>
    <x v="1"/>
    <x v="6"/>
    <x v="6"/>
    <x v="43"/>
    <n v="54035"/>
    <x v="71"/>
    <x v="71"/>
    <n v="75"/>
    <n v="882"/>
  </r>
  <r>
    <n v="103"/>
    <x v="0"/>
    <x v="1"/>
    <x v="1"/>
    <x v="11"/>
    <x v="11"/>
    <x v="62"/>
    <m/>
    <x v="72"/>
    <x v="72"/>
    <n v="45"/>
    <n v="1500"/>
  </r>
  <r>
    <n v="104"/>
    <x v="0"/>
    <x v="1"/>
    <x v="1"/>
    <x v="7"/>
    <x v="7"/>
    <x v="44"/>
    <n v="82049"/>
    <x v="73"/>
    <x v="73"/>
    <n v="11230"/>
    <n v="1250"/>
  </r>
  <r>
    <n v="105"/>
    <x v="0"/>
    <x v="1"/>
    <x v="1"/>
    <x v="7"/>
    <x v="7"/>
    <x v="45"/>
    <n v="82035"/>
    <x v="74"/>
    <x v="74"/>
    <n v="3411"/>
    <n v="1800"/>
  </r>
  <r>
    <n v="106"/>
    <x v="0"/>
    <x v="1"/>
    <x v="1"/>
    <x v="7"/>
    <x v="7"/>
    <x v="42"/>
    <n v="82098"/>
    <x v="75"/>
    <x v="75"/>
    <n v="852"/>
    <n v="1200"/>
  </r>
  <r>
    <n v="107"/>
    <x v="0"/>
    <x v="1"/>
    <x v="1"/>
    <x v="7"/>
    <x v="7"/>
    <x v="12"/>
    <n v="82063"/>
    <x v="67"/>
    <x v="76"/>
    <n v="64"/>
    <n v="853"/>
  </r>
  <r>
    <n v="108"/>
    <x v="0"/>
    <x v="1"/>
    <x v="1"/>
    <x v="7"/>
    <x v="7"/>
    <x v="46"/>
    <n v="82112"/>
    <x v="31"/>
    <x v="77"/>
    <n v="11"/>
    <n v="786"/>
  </r>
  <r>
    <n v="109"/>
    <x v="0"/>
    <x v="1"/>
    <x v="1"/>
    <x v="8"/>
    <x v="8"/>
    <x v="48"/>
    <n v="86098"/>
    <x v="76"/>
    <x v="78"/>
    <n v="27"/>
    <n v="1080"/>
  </r>
  <r>
    <n v="110"/>
    <x v="0"/>
    <x v="1"/>
    <x v="1"/>
    <x v="8"/>
    <x v="8"/>
    <x v="49"/>
    <n v="86112"/>
    <x v="13"/>
    <x v="52"/>
    <n v="9"/>
    <n v="1000"/>
  </r>
  <r>
    <n v="111"/>
    <x v="0"/>
    <x v="1"/>
    <x v="1"/>
    <x v="8"/>
    <x v="8"/>
    <x v="50"/>
    <n v="86119"/>
    <x v="77"/>
    <x v="29"/>
    <n v="7"/>
    <n v="1000"/>
  </r>
  <r>
    <n v="112"/>
    <x v="0"/>
    <x v="1"/>
    <x v="1"/>
    <x v="8"/>
    <x v="8"/>
    <x v="12"/>
    <n v="86049"/>
    <x v="33"/>
    <x v="33"/>
    <n v="8"/>
    <n v="1600"/>
  </r>
  <r>
    <n v="113"/>
    <x v="0"/>
    <x v="1"/>
    <x v="1"/>
    <x v="8"/>
    <x v="8"/>
    <x v="53"/>
    <n v="86035"/>
    <x v="30"/>
    <x v="30"/>
    <n v="4"/>
    <n v="1333"/>
  </r>
  <r>
    <n v="114"/>
    <x v="0"/>
    <x v="1"/>
    <x v="1"/>
    <x v="8"/>
    <x v="8"/>
    <x v="51"/>
    <n v="86147"/>
    <x v="34"/>
    <x v="34"/>
    <n v="2"/>
    <n v="1000"/>
  </r>
  <r>
    <n v="115"/>
    <x v="0"/>
    <x v="1"/>
    <x v="1"/>
    <x v="8"/>
    <x v="8"/>
    <x v="52"/>
    <n v="86063"/>
    <x v="48"/>
    <x v="47"/>
    <n v="1"/>
    <n v="1000"/>
  </r>
  <r>
    <n v="116"/>
    <x v="0"/>
    <x v="1"/>
    <x v="1"/>
    <x v="9"/>
    <x v="9"/>
    <x v="63"/>
    <n v="90028"/>
    <x v="45"/>
    <x v="79"/>
    <n v="11"/>
    <n v="688"/>
  </r>
  <r>
    <n v="117"/>
    <x v="0"/>
    <x v="1"/>
    <x v="1"/>
    <x v="9"/>
    <x v="9"/>
    <x v="64"/>
    <n v="90112"/>
    <x v="13"/>
    <x v="67"/>
    <n v="6"/>
    <n v="750"/>
  </r>
  <r>
    <n v="118"/>
    <x v="0"/>
    <x v="1"/>
    <x v="1"/>
    <x v="9"/>
    <x v="9"/>
    <x v="12"/>
    <n v="90084"/>
    <x v="53"/>
    <x v="49"/>
    <n v="4"/>
    <n v="667"/>
  </r>
  <r>
    <n v="119"/>
    <x v="0"/>
    <x v="1"/>
    <x v="1"/>
    <x v="9"/>
    <x v="9"/>
    <x v="65"/>
    <n v="90014"/>
    <x v="77"/>
    <x v="46"/>
    <n v="4"/>
    <n v="1000"/>
  </r>
  <r>
    <n v="120"/>
    <x v="0"/>
    <x v="1"/>
    <x v="1"/>
    <x v="9"/>
    <x v="9"/>
    <x v="66"/>
    <n v="90056"/>
    <x v="78"/>
    <x v="33"/>
    <n v="3"/>
    <n v="600"/>
  </r>
  <r>
    <n v="121"/>
    <x v="0"/>
    <x v="1"/>
    <x v="1"/>
    <x v="9"/>
    <x v="9"/>
    <x v="67"/>
    <n v="90070"/>
    <x v="47"/>
    <x v="30"/>
    <n v="2"/>
    <n v="667"/>
  </r>
  <r>
    <n v="122"/>
    <x v="0"/>
    <x v="1"/>
    <x v="1"/>
    <x v="9"/>
    <x v="9"/>
    <x v="68"/>
    <n v="90105"/>
    <x v="47"/>
    <x v="46"/>
    <n v="3"/>
    <n v="750"/>
  </r>
  <r>
    <n v="123"/>
    <x v="0"/>
    <x v="1"/>
    <x v="1"/>
    <x v="9"/>
    <x v="9"/>
    <x v="69"/>
    <n v="90035"/>
    <x v="34"/>
    <x v="47"/>
    <n v="1"/>
    <n v="1000"/>
  </r>
  <r>
    <n v="124"/>
    <x v="0"/>
    <x v="2"/>
    <x v="2"/>
    <x v="10"/>
    <x v="10"/>
    <x v="57"/>
    <n v="10077"/>
    <x v="45"/>
    <x v="80"/>
    <n v="20"/>
    <n v="1000"/>
  </r>
  <r>
    <n v="125"/>
    <x v="0"/>
    <x v="2"/>
    <x v="2"/>
    <x v="0"/>
    <x v="0"/>
    <x v="0"/>
    <n v="22105"/>
    <x v="26"/>
    <x v="59"/>
    <n v="450"/>
    <n v="1125"/>
  </r>
  <r>
    <n v="126"/>
    <x v="0"/>
    <x v="2"/>
    <x v="2"/>
    <x v="0"/>
    <x v="0"/>
    <x v="1"/>
    <n v="22049"/>
    <x v="26"/>
    <x v="59"/>
    <n v="520"/>
    <n v="1300"/>
  </r>
  <r>
    <n v="127"/>
    <x v="0"/>
    <x v="2"/>
    <x v="2"/>
    <x v="0"/>
    <x v="0"/>
    <x v="3"/>
    <n v="22084"/>
    <x v="23"/>
    <x v="23"/>
    <n v="130"/>
    <n v="1300"/>
  </r>
  <r>
    <n v="128"/>
    <x v="0"/>
    <x v="2"/>
    <x v="2"/>
    <x v="0"/>
    <x v="0"/>
    <x v="2"/>
    <n v="22140"/>
    <x v="23"/>
    <x v="23"/>
    <n v="100"/>
    <n v="1000"/>
  </r>
  <r>
    <n v="129"/>
    <x v="0"/>
    <x v="2"/>
    <x v="2"/>
    <x v="1"/>
    <x v="1"/>
    <x v="7"/>
    <n v="14147"/>
    <x v="79"/>
    <x v="81"/>
    <n v="19200"/>
    <n v="1600"/>
  </r>
  <r>
    <n v="130"/>
    <x v="0"/>
    <x v="2"/>
    <x v="2"/>
    <x v="1"/>
    <x v="1"/>
    <x v="8"/>
    <n v="14119"/>
    <x v="54"/>
    <x v="53"/>
    <n v="16000"/>
    <n v="1600"/>
  </r>
  <r>
    <n v="131"/>
    <x v="0"/>
    <x v="2"/>
    <x v="2"/>
    <x v="1"/>
    <x v="1"/>
    <x v="9"/>
    <n v="14105"/>
    <x v="80"/>
    <x v="82"/>
    <n v="2520"/>
    <n v="1400"/>
  </r>
  <r>
    <n v="132"/>
    <x v="0"/>
    <x v="2"/>
    <x v="2"/>
    <x v="1"/>
    <x v="1"/>
    <x v="10"/>
    <n v="14161"/>
    <x v="81"/>
    <x v="83"/>
    <n v="2400"/>
    <n v="1600"/>
  </r>
  <r>
    <n v="133"/>
    <x v="0"/>
    <x v="2"/>
    <x v="2"/>
    <x v="1"/>
    <x v="1"/>
    <x v="11"/>
    <n v="14021"/>
    <x v="57"/>
    <x v="56"/>
    <n v="1800"/>
    <n v="1500"/>
  </r>
  <r>
    <n v="134"/>
    <x v="0"/>
    <x v="2"/>
    <x v="2"/>
    <x v="1"/>
    <x v="1"/>
    <x v="12"/>
    <n v="14014"/>
    <x v="26"/>
    <x v="59"/>
    <n v="600"/>
    <n v="1500"/>
  </r>
  <r>
    <n v="135"/>
    <x v="0"/>
    <x v="2"/>
    <x v="2"/>
    <x v="1"/>
    <x v="1"/>
    <x v="70"/>
    <n v="14007"/>
    <x v="20"/>
    <x v="20"/>
    <n v="210"/>
    <n v="1400"/>
  </r>
  <r>
    <n v="136"/>
    <x v="0"/>
    <x v="2"/>
    <x v="2"/>
    <x v="2"/>
    <x v="2"/>
    <x v="15"/>
    <n v="18112"/>
    <x v="82"/>
    <x v="84"/>
    <n v="460"/>
    <n v="763"/>
  </r>
  <r>
    <n v="137"/>
    <x v="0"/>
    <x v="2"/>
    <x v="2"/>
    <x v="2"/>
    <x v="2"/>
    <x v="16"/>
    <n v="18091"/>
    <x v="83"/>
    <x v="85"/>
    <n v="350"/>
    <n v="814"/>
  </r>
  <r>
    <n v="138"/>
    <x v="0"/>
    <x v="2"/>
    <x v="2"/>
    <x v="2"/>
    <x v="2"/>
    <x v="18"/>
    <n v="18049"/>
    <x v="84"/>
    <x v="17"/>
    <n v="213"/>
    <n v="819"/>
  </r>
  <r>
    <n v="139"/>
    <x v="0"/>
    <x v="2"/>
    <x v="2"/>
    <x v="2"/>
    <x v="2"/>
    <x v="24"/>
    <n v="18140"/>
    <x v="85"/>
    <x v="86"/>
    <n v="174"/>
    <n v="787"/>
  </r>
  <r>
    <n v="140"/>
    <x v="0"/>
    <x v="2"/>
    <x v="2"/>
    <x v="2"/>
    <x v="2"/>
    <x v="12"/>
    <n v="18021"/>
    <x v="18"/>
    <x v="87"/>
    <n v="149"/>
    <n v="800"/>
  </r>
  <r>
    <n v="141"/>
    <x v="0"/>
    <x v="2"/>
    <x v="2"/>
    <x v="2"/>
    <x v="2"/>
    <x v="17"/>
    <n v="18042"/>
    <x v="63"/>
    <x v="88"/>
    <n v="131"/>
    <n v="749"/>
  </r>
  <r>
    <n v="142"/>
    <x v="0"/>
    <x v="2"/>
    <x v="2"/>
    <x v="2"/>
    <x v="2"/>
    <x v="22"/>
    <n v="18084"/>
    <x v="20"/>
    <x v="89"/>
    <n v="112"/>
    <n v="752"/>
  </r>
  <r>
    <n v="143"/>
    <x v="0"/>
    <x v="2"/>
    <x v="2"/>
    <x v="2"/>
    <x v="2"/>
    <x v="19"/>
    <n v="18133"/>
    <x v="36"/>
    <x v="90"/>
    <n v="99"/>
    <n v="818"/>
  </r>
  <r>
    <n v="144"/>
    <x v="0"/>
    <x v="2"/>
    <x v="2"/>
    <x v="2"/>
    <x v="2"/>
    <x v="71"/>
    <n v="18098"/>
    <x v="86"/>
    <x v="91"/>
    <n v="83"/>
    <n v="798"/>
  </r>
  <r>
    <n v="145"/>
    <x v="0"/>
    <x v="2"/>
    <x v="2"/>
    <x v="2"/>
    <x v="2"/>
    <x v="23"/>
    <n v="18126"/>
    <x v="71"/>
    <x v="92"/>
    <n v="62"/>
    <n v="747"/>
  </r>
  <r>
    <n v="146"/>
    <x v="0"/>
    <x v="2"/>
    <x v="2"/>
    <x v="2"/>
    <x v="2"/>
    <x v="27"/>
    <n v="18168"/>
    <x v="87"/>
    <x v="93"/>
    <n v="61"/>
    <n v="753"/>
  </r>
  <r>
    <n v="147"/>
    <x v="0"/>
    <x v="2"/>
    <x v="2"/>
    <x v="2"/>
    <x v="2"/>
    <x v="72"/>
    <n v="18063"/>
    <x v="88"/>
    <x v="94"/>
    <n v="60"/>
    <n v="790"/>
  </r>
  <r>
    <n v="148"/>
    <x v="0"/>
    <x v="2"/>
    <x v="2"/>
    <x v="2"/>
    <x v="2"/>
    <x v="43"/>
    <n v="18028"/>
    <x v="89"/>
    <x v="76"/>
    <n v="59"/>
    <n v="787"/>
  </r>
  <r>
    <n v="149"/>
    <x v="0"/>
    <x v="2"/>
    <x v="2"/>
    <x v="2"/>
    <x v="2"/>
    <x v="26"/>
    <n v="18070"/>
    <x v="27"/>
    <x v="27"/>
    <n v="52"/>
    <n v="800"/>
  </r>
  <r>
    <n v="150"/>
    <x v="0"/>
    <x v="2"/>
    <x v="2"/>
    <x v="2"/>
    <x v="2"/>
    <x v="20"/>
    <n v="18147"/>
    <x v="27"/>
    <x v="95"/>
    <n v="46"/>
    <n v="754"/>
  </r>
  <r>
    <n v="151"/>
    <x v="0"/>
    <x v="2"/>
    <x v="2"/>
    <x v="2"/>
    <x v="2"/>
    <x v="21"/>
    <n v="18007"/>
    <x v="90"/>
    <x v="96"/>
    <n v="48"/>
    <n v="774"/>
  </r>
  <r>
    <n v="152"/>
    <x v="0"/>
    <x v="2"/>
    <x v="2"/>
    <x v="2"/>
    <x v="2"/>
    <x v="73"/>
    <n v="18077"/>
    <x v="91"/>
    <x v="95"/>
    <n v="49"/>
    <n v="803"/>
  </r>
  <r>
    <n v="153"/>
    <x v="0"/>
    <x v="2"/>
    <x v="2"/>
    <x v="2"/>
    <x v="2"/>
    <x v="74"/>
    <n v="18161"/>
    <x v="44"/>
    <x v="97"/>
    <n v="38"/>
    <n v="792"/>
  </r>
  <r>
    <n v="154"/>
    <x v="0"/>
    <x v="2"/>
    <x v="2"/>
    <x v="2"/>
    <x v="2"/>
    <x v="75"/>
    <n v="18014"/>
    <x v="92"/>
    <x v="78"/>
    <n v="18"/>
    <n v="720"/>
  </r>
  <r>
    <n v="155"/>
    <x v="0"/>
    <x v="2"/>
    <x v="2"/>
    <x v="2"/>
    <x v="2"/>
    <x v="76"/>
    <n v="18154"/>
    <x v="93"/>
    <x v="98"/>
    <n v="18"/>
    <n v="783"/>
  </r>
  <r>
    <n v="156"/>
    <x v="0"/>
    <x v="2"/>
    <x v="2"/>
    <x v="2"/>
    <x v="2"/>
    <x v="25"/>
    <n v="18035"/>
    <x v="94"/>
    <x v="99"/>
    <n v="17"/>
    <n v="772"/>
  </r>
  <r>
    <n v="157"/>
    <x v="0"/>
    <x v="2"/>
    <x v="2"/>
    <x v="2"/>
    <x v="2"/>
    <x v="77"/>
    <n v="18119"/>
    <x v="40"/>
    <x v="40"/>
    <n v="17"/>
    <n v="809"/>
  </r>
  <r>
    <n v="158"/>
    <x v="0"/>
    <x v="2"/>
    <x v="2"/>
    <x v="2"/>
    <x v="2"/>
    <x v="61"/>
    <n v="18175"/>
    <x v="95"/>
    <x v="100"/>
    <n v="14"/>
    <n v="823"/>
  </r>
  <r>
    <n v="159"/>
    <x v="0"/>
    <x v="2"/>
    <x v="2"/>
    <x v="2"/>
    <x v="2"/>
    <x v="78"/>
    <n v="18105"/>
    <x v="33"/>
    <x v="33"/>
    <n v="4"/>
    <n v="800"/>
  </r>
  <r>
    <n v="160"/>
    <x v="0"/>
    <x v="2"/>
    <x v="2"/>
    <x v="3"/>
    <x v="3"/>
    <x v="28"/>
    <n v="30028"/>
    <x v="25"/>
    <x v="101"/>
    <n v="3000"/>
    <n v="1000"/>
  </r>
  <r>
    <n v="161"/>
    <x v="0"/>
    <x v="2"/>
    <x v="2"/>
    <x v="3"/>
    <x v="3"/>
    <x v="29"/>
    <n v="30015"/>
    <x v="80"/>
    <x v="9"/>
    <n v="1700"/>
    <n v="1000"/>
  </r>
  <r>
    <n v="162"/>
    <x v="0"/>
    <x v="2"/>
    <x v="2"/>
    <x v="3"/>
    <x v="3"/>
    <x v="11"/>
    <n v="30008"/>
    <x v="17"/>
    <x v="62"/>
    <n v="220"/>
    <n v="1000"/>
  </r>
  <r>
    <n v="163"/>
    <x v="0"/>
    <x v="2"/>
    <x v="2"/>
    <x v="3"/>
    <x v="3"/>
    <x v="79"/>
    <n v="30098"/>
    <x v="96"/>
    <x v="102"/>
    <n v="32"/>
    <n v="1000"/>
  </r>
  <r>
    <n v="164"/>
    <x v="0"/>
    <x v="2"/>
    <x v="2"/>
    <x v="3"/>
    <x v="3"/>
    <x v="80"/>
    <n v="30056"/>
    <x v="92"/>
    <x v="78"/>
    <n v="20"/>
    <n v="800"/>
  </r>
  <r>
    <n v="165"/>
    <x v="0"/>
    <x v="2"/>
    <x v="2"/>
    <x v="4"/>
    <x v="4"/>
    <x v="34"/>
    <n v="34035"/>
    <x v="94"/>
    <x v="99"/>
    <n v="11"/>
    <n v="500"/>
  </r>
  <r>
    <n v="166"/>
    <x v="0"/>
    <x v="2"/>
    <x v="2"/>
    <x v="4"/>
    <x v="4"/>
    <x v="30"/>
    <n v="34049"/>
    <x v="94"/>
    <x v="99"/>
    <n v="12"/>
    <n v="545"/>
  </r>
  <r>
    <n v="167"/>
    <x v="0"/>
    <x v="2"/>
    <x v="2"/>
    <x v="4"/>
    <x v="4"/>
    <x v="32"/>
    <n v="34014"/>
    <x v="45"/>
    <x v="80"/>
    <n v="10"/>
    <n v="500"/>
  </r>
  <r>
    <n v="168"/>
    <x v="0"/>
    <x v="2"/>
    <x v="2"/>
    <x v="4"/>
    <x v="4"/>
    <x v="81"/>
    <n v="34042"/>
    <x v="45"/>
    <x v="80"/>
    <n v="9"/>
    <n v="450"/>
  </r>
  <r>
    <n v="169"/>
    <x v="0"/>
    <x v="2"/>
    <x v="2"/>
    <x v="4"/>
    <x v="4"/>
    <x v="33"/>
    <n v="34056"/>
    <x v="32"/>
    <x v="32"/>
    <n v="5"/>
    <n v="500"/>
  </r>
  <r>
    <n v="170"/>
    <x v="0"/>
    <x v="2"/>
    <x v="2"/>
    <x v="4"/>
    <x v="4"/>
    <x v="31"/>
    <n v="34021"/>
    <x v="78"/>
    <x v="49"/>
    <n v="3"/>
    <n v="500"/>
  </r>
  <r>
    <n v="171"/>
    <x v="0"/>
    <x v="2"/>
    <x v="2"/>
    <x v="6"/>
    <x v="6"/>
    <x v="39"/>
    <n v="54007"/>
    <x v="97"/>
    <x v="103"/>
    <n v="217"/>
    <n v="1059"/>
  </r>
  <r>
    <n v="172"/>
    <x v="0"/>
    <x v="2"/>
    <x v="2"/>
    <x v="6"/>
    <x v="6"/>
    <x v="42"/>
    <n v="54105"/>
    <x v="98"/>
    <x v="104"/>
    <n v="181"/>
    <n v="1382"/>
  </r>
  <r>
    <n v="173"/>
    <x v="0"/>
    <x v="2"/>
    <x v="2"/>
    <x v="6"/>
    <x v="6"/>
    <x v="40"/>
    <n v="54021"/>
    <x v="99"/>
    <x v="105"/>
    <n v="102"/>
    <n v="1214"/>
  </r>
  <r>
    <n v="174"/>
    <x v="0"/>
    <x v="2"/>
    <x v="2"/>
    <x v="6"/>
    <x v="6"/>
    <x v="43"/>
    <n v="54035"/>
    <x v="100"/>
    <x v="106"/>
    <n v="55"/>
    <n v="1310"/>
  </r>
  <r>
    <n v="175"/>
    <x v="0"/>
    <x v="2"/>
    <x v="2"/>
    <x v="6"/>
    <x v="6"/>
    <x v="41"/>
    <n v="54098"/>
    <x v="101"/>
    <x v="107"/>
    <n v="41"/>
    <n v="1206"/>
  </r>
  <r>
    <n v="176"/>
    <x v="0"/>
    <x v="2"/>
    <x v="2"/>
    <x v="6"/>
    <x v="6"/>
    <x v="12"/>
    <n v="54028"/>
    <x v="47"/>
    <x v="46"/>
    <n v="4"/>
    <n v="1000"/>
  </r>
  <r>
    <n v="177"/>
    <x v="0"/>
    <x v="2"/>
    <x v="2"/>
    <x v="7"/>
    <x v="7"/>
    <x v="44"/>
    <n v="82049"/>
    <x v="102"/>
    <x v="108"/>
    <n v="6661"/>
    <n v="1300"/>
  </r>
  <r>
    <n v="178"/>
    <x v="0"/>
    <x v="2"/>
    <x v="2"/>
    <x v="7"/>
    <x v="7"/>
    <x v="45"/>
    <n v="82035"/>
    <x v="103"/>
    <x v="109"/>
    <n v="6401"/>
    <n v="2300"/>
  </r>
  <r>
    <n v="179"/>
    <x v="0"/>
    <x v="2"/>
    <x v="2"/>
    <x v="7"/>
    <x v="7"/>
    <x v="42"/>
    <n v="82098"/>
    <x v="104"/>
    <x v="110"/>
    <n v="284"/>
    <n v="1200"/>
  </r>
  <r>
    <n v="180"/>
    <x v="0"/>
    <x v="2"/>
    <x v="2"/>
    <x v="7"/>
    <x v="7"/>
    <x v="12"/>
    <n v="82063"/>
    <x v="44"/>
    <x v="111"/>
    <n v="75"/>
    <n v="1500"/>
  </r>
  <r>
    <n v="181"/>
    <x v="0"/>
    <x v="2"/>
    <x v="2"/>
    <x v="8"/>
    <x v="8"/>
    <x v="48"/>
    <n v="86098"/>
    <x v="6"/>
    <x v="6"/>
    <n v="24"/>
    <n v="1000"/>
  </r>
  <r>
    <n v="182"/>
    <x v="0"/>
    <x v="2"/>
    <x v="2"/>
    <x v="8"/>
    <x v="8"/>
    <x v="49"/>
    <n v="86112"/>
    <x v="13"/>
    <x v="13"/>
    <n v="12"/>
    <n v="1000"/>
  </r>
  <r>
    <n v="183"/>
    <x v="0"/>
    <x v="2"/>
    <x v="2"/>
    <x v="8"/>
    <x v="8"/>
    <x v="12"/>
    <n v="86049"/>
    <x v="33"/>
    <x v="33"/>
    <n v="5"/>
    <n v="1000"/>
  </r>
  <r>
    <n v="184"/>
    <x v="0"/>
    <x v="2"/>
    <x v="2"/>
    <x v="8"/>
    <x v="8"/>
    <x v="50"/>
    <n v="86119"/>
    <x v="33"/>
    <x v="33"/>
    <n v="5"/>
    <n v="1000"/>
  </r>
  <r>
    <n v="185"/>
    <x v="0"/>
    <x v="2"/>
    <x v="2"/>
    <x v="8"/>
    <x v="8"/>
    <x v="53"/>
    <n v="86035"/>
    <x v="34"/>
    <x v="34"/>
    <n v="2"/>
    <n v="1000"/>
  </r>
  <r>
    <n v="186"/>
    <x v="0"/>
    <x v="2"/>
    <x v="2"/>
    <x v="8"/>
    <x v="8"/>
    <x v="52"/>
    <n v="86063"/>
    <x v="48"/>
    <x v="47"/>
    <n v="1"/>
    <n v="1000"/>
  </r>
  <r>
    <n v="187"/>
    <x v="0"/>
    <x v="2"/>
    <x v="2"/>
    <x v="8"/>
    <x v="8"/>
    <x v="51"/>
    <n v="86147"/>
    <x v="48"/>
    <x v="47"/>
    <n v="1"/>
    <n v="1000"/>
  </r>
  <r>
    <n v="188"/>
    <x v="0"/>
    <x v="2"/>
    <x v="2"/>
    <x v="9"/>
    <x v="9"/>
    <x v="66"/>
    <n v="90056"/>
    <x v="105"/>
    <x v="112"/>
    <n v="15"/>
    <n v="789"/>
  </r>
  <r>
    <n v="189"/>
    <x v="0"/>
    <x v="2"/>
    <x v="2"/>
    <x v="9"/>
    <x v="9"/>
    <x v="69"/>
    <n v="90035"/>
    <x v="31"/>
    <x v="13"/>
    <n v="10"/>
    <n v="833"/>
  </r>
  <r>
    <n v="190"/>
    <x v="0"/>
    <x v="2"/>
    <x v="2"/>
    <x v="9"/>
    <x v="9"/>
    <x v="65"/>
    <n v="90014"/>
    <x v="29"/>
    <x v="33"/>
    <n v="4"/>
    <n v="800"/>
  </r>
  <r>
    <n v="191"/>
    <x v="0"/>
    <x v="2"/>
    <x v="2"/>
    <x v="9"/>
    <x v="9"/>
    <x v="82"/>
    <n v="90077"/>
    <x v="30"/>
    <x v="34"/>
    <n v="2"/>
    <n v="1000"/>
  </r>
  <r>
    <n v="192"/>
    <x v="0"/>
    <x v="2"/>
    <x v="2"/>
    <x v="9"/>
    <x v="9"/>
    <x v="83"/>
    <n v="90021"/>
    <x v="34"/>
    <x v="34"/>
    <n v="2"/>
    <n v="1000"/>
  </r>
  <r>
    <n v="193"/>
    <x v="0"/>
    <x v="3"/>
    <x v="3"/>
    <x v="0"/>
    <x v="0"/>
    <x v="0"/>
    <n v="22105"/>
    <x v="106"/>
    <x v="113"/>
    <n v="3499"/>
    <n v="1700"/>
  </r>
  <r>
    <n v="194"/>
    <x v="0"/>
    <x v="3"/>
    <x v="3"/>
    <x v="0"/>
    <x v="0"/>
    <x v="3"/>
    <n v="22084"/>
    <x v="92"/>
    <x v="78"/>
    <n v="45"/>
    <n v="1800"/>
  </r>
  <r>
    <n v="195"/>
    <x v="0"/>
    <x v="3"/>
    <x v="3"/>
    <x v="0"/>
    <x v="0"/>
    <x v="1"/>
    <n v="22049"/>
    <x v="107"/>
    <x v="100"/>
    <n v="26"/>
    <n v="1530"/>
  </r>
  <r>
    <n v="196"/>
    <x v="0"/>
    <x v="3"/>
    <x v="3"/>
    <x v="1"/>
    <x v="1"/>
    <x v="8"/>
    <n v="14119"/>
    <x v="54"/>
    <x v="53"/>
    <n v="15000"/>
    <n v="1500"/>
  </r>
  <r>
    <n v="197"/>
    <x v="0"/>
    <x v="3"/>
    <x v="3"/>
    <x v="1"/>
    <x v="1"/>
    <x v="7"/>
    <n v="14147"/>
    <x v="54"/>
    <x v="53"/>
    <n v="13500"/>
    <n v="1350"/>
  </r>
  <r>
    <n v="198"/>
    <x v="0"/>
    <x v="3"/>
    <x v="3"/>
    <x v="1"/>
    <x v="1"/>
    <x v="9"/>
    <n v="14105"/>
    <x v="56"/>
    <x v="55"/>
    <n v="2000"/>
    <n v="1250"/>
  </r>
  <r>
    <n v="199"/>
    <x v="0"/>
    <x v="3"/>
    <x v="3"/>
    <x v="1"/>
    <x v="1"/>
    <x v="10"/>
    <n v="14161"/>
    <x v="108"/>
    <x v="114"/>
    <n v="1690"/>
    <n v="1300"/>
  </r>
  <r>
    <n v="200"/>
    <x v="0"/>
    <x v="3"/>
    <x v="3"/>
    <x v="1"/>
    <x v="1"/>
    <x v="11"/>
    <n v="14021"/>
    <x v="11"/>
    <x v="11"/>
    <n v="1300"/>
    <n v="1300"/>
  </r>
  <r>
    <n v="201"/>
    <x v="0"/>
    <x v="3"/>
    <x v="3"/>
    <x v="1"/>
    <x v="1"/>
    <x v="12"/>
    <n v="14014"/>
    <x v="26"/>
    <x v="59"/>
    <n v="480"/>
    <n v="1200"/>
  </r>
  <r>
    <n v="202"/>
    <x v="0"/>
    <x v="3"/>
    <x v="3"/>
    <x v="1"/>
    <x v="1"/>
    <x v="70"/>
    <n v="14007"/>
    <x v="84"/>
    <x v="115"/>
    <n v="442"/>
    <n v="1580"/>
  </r>
  <r>
    <n v="203"/>
    <x v="0"/>
    <x v="3"/>
    <x v="3"/>
    <x v="2"/>
    <x v="2"/>
    <x v="12"/>
    <n v="18021"/>
    <x v="109"/>
    <x v="116"/>
    <n v="347"/>
    <n v="950"/>
  </r>
  <r>
    <n v="204"/>
    <x v="0"/>
    <x v="3"/>
    <x v="3"/>
    <x v="2"/>
    <x v="2"/>
    <x v="24"/>
    <n v="18140"/>
    <x v="109"/>
    <x v="116"/>
    <n v="347"/>
    <n v="950"/>
  </r>
  <r>
    <n v="205"/>
    <x v="0"/>
    <x v="3"/>
    <x v="3"/>
    <x v="2"/>
    <x v="2"/>
    <x v="16"/>
    <n v="18091"/>
    <x v="110"/>
    <x v="117"/>
    <n v="333"/>
    <n v="957"/>
  </r>
  <r>
    <n v="206"/>
    <x v="0"/>
    <x v="3"/>
    <x v="3"/>
    <x v="2"/>
    <x v="2"/>
    <x v="17"/>
    <n v="18042"/>
    <x v="111"/>
    <x v="118"/>
    <n v="252"/>
    <n v="950"/>
  </r>
  <r>
    <n v="207"/>
    <x v="0"/>
    <x v="3"/>
    <x v="3"/>
    <x v="2"/>
    <x v="2"/>
    <x v="71"/>
    <n v="18098"/>
    <x v="61"/>
    <x v="61"/>
    <n v="250"/>
    <n v="1000"/>
  </r>
  <r>
    <n v="208"/>
    <x v="0"/>
    <x v="3"/>
    <x v="3"/>
    <x v="2"/>
    <x v="2"/>
    <x v="19"/>
    <n v="18133"/>
    <x v="112"/>
    <x v="119"/>
    <n v="192"/>
    <n v="950"/>
  </r>
  <r>
    <n v="209"/>
    <x v="0"/>
    <x v="3"/>
    <x v="3"/>
    <x v="2"/>
    <x v="2"/>
    <x v="72"/>
    <n v="18063"/>
    <x v="113"/>
    <x v="120"/>
    <n v="158"/>
    <n v="1000"/>
  </r>
  <r>
    <n v="210"/>
    <x v="0"/>
    <x v="3"/>
    <x v="3"/>
    <x v="2"/>
    <x v="2"/>
    <x v="23"/>
    <n v="18126"/>
    <x v="113"/>
    <x v="120"/>
    <n v="142"/>
    <n v="897"/>
  </r>
  <r>
    <n v="211"/>
    <x v="0"/>
    <x v="3"/>
    <x v="3"/>
    <x v="2"/>
    <x v="2"/>
    <x v="26"/>
    <n v="18070"/>
    <x v="114"/>
    <x v="121"/>
    <n v="149"/>
    <n v="950"/>
  </r>
  <r>
    <n v="212"/>
    <x v="0"/>
    <x v="3"/>
    <x v="3"/>
    <x v="2"/>
    <x v="2"/>
    <x v="18"/>
    <n v="18049"/>
    <x v="115"/>
    <x v="122"/>
    <n v="138"/>
    <n v="952"/>
  </r>
  <r>
    <n v="213"/>
    <x v="0"/>
    <x v="3"/>
    <x v="3"/>
    <x v="2"/>
    <x v="2"/>
    <x v="43"/>
    <n v="18028"/>
    <x v="116"/>
    <x v="123"/>
    <n v="101"/>
    <n v="953"/>
  </r>
  <r>
    <n v="214"/>
    <x v="0"/>
    <x v="3"/>
    <x v="3"/>
    <x v="2"/>
    <x v="2"/>
    <x v="21"/>
    <n v="18007"/>
    <x v="117"/>
    <x v="124"/>
    <n v="79"/>
    <n v="898"/>
  </r>
  <r>
    <n v="215"/>
    <x v="0"/>
    <x v="3"/>
    <x v="3"/>
    <x v="2"/>
    <x v="2"/>
    <x v="74"/>
    <n v="18161"/>
    <x v="117"/>
    <x v="124"/>
    <n v="75"/>
    <n v="852"/>
  </r>
  <r>
    <n v="216"/>
    <x v="0"/>
    <x v="3"/>
    <x v="3"/>
    <x v="2"/>
    <x v="2"/>
    <x v="76"/>
    <n v="18154"/>
    <x v="118"/>
    <x v="125"/>
    <n v="50"/>
    <n v="943"/>
  </r>
  <r>
    <n v="217"/>
    <x v="0"/>
    <x v="3"/>
    <x v="3"/>
    <x v="2"/>
    <x v="2"/>
    <x v="73"/>
    <n v="18077"/>
    <x v="119"/>
    <x v="126"/>
    <n v="42"/>
    <n v="893"/>
  </r>
  <r>
    <n v="218"/>
    <x v="0"/>
    <x v="3"/>
    <x v="3"/>
    <x v="2"/>
    <x v="2"/>
    <x v="75"/>
    <n v="18014"/>
    <x v="33"/>
    <x v="33"/>
    <n v="5"/>
    <n v="1000"/>
  </r>
  <r>
    <n v="219"/>
    <x v="0"/>
    <x v="3"/>
    <x v="3"/>
    <x v="3"/>
    <x v="3"/>
    <x v="28"/>
    <n v="30028"/>
    <x v="120"/>
    <x v="127"/>
    <n v="4969"/>
    <n v="1104"/>
  </r>
  <r>
    <n v="220"/>
    <x v="0"/>
    <x v="3"/>
    <x v="3"/>
    <x v="3"/>
    <x v="3"/>
    <x v="29"/>
    <n v="30015"/>
    <x v="74"/>
    <x v="128"/>
    <n v="2000"/>
    <n v="1000"/>
  </r>
  <r>
    <n v="221"/>
    <x v="0"/>
    <x v="3"/>
    <x v="3"/>
    <x v="3"/>
    <x v="3"/>
    <x v="11"/>
    <n v="30008"/>
    <x v="18"/>
    <x v="18"/>
    <n v="200"/>
    <n v="1000"/>
  </r>
  <r>
    <n v="222"/>
    <x v="0"/>
    <x v="3"/>
    <x v="3"/>
    <x v="4"/>
    <x v="4"/>
    <x v="34"/>
    <n v="34035"/>
    <x v="13"/>
    <x v="13"/>
    <n v="6"/>
    <n v="500"/>
  </r>
  <r>
    <n v="223"/>
    <x v="0"/>
    <x v="3"/>
    <x v="3"/>
    <x v="4"/>
    <x v="4"/>
    <x v="32"/>
    <n v="34014"/>
    <x v="32"/>
    <x v="32"/>
    <n v="4"/>
    <n v="400"/>
  </r>
  <r>
    <n v="224"/>
    <x v="0"/>
    <x v="3"/>
    <x v="3"/>
    <x v="4"/>
    <x v="4"/>
    <x v="81"/>
    <n v="34042"/>
    <x v="32"/>
    <x v="32"/>
    <n v="5"/>
    <n v="500"/>
  </r>
  <r>
    <n v="225"/>
    <x v="0"/>
    <x v="3"/>
    <x v="3"/>
    <x v="4"/>
    <x v="4"/>
    <x v="30"/>
    <n v="34049"/>
    <x v="32"/>
    <x v="32"/>
    <n v="5"/>
    <n v="500"/>
  </r>
  <r>
    <n v="226"/>
    <x v="0"/>
    <x v="3"/>
    <x v="3"/>
    <x v="4"/>
    <x v="4"/>
    <x v="33"/>
    <n v="34056"/>
    <x v="33"/>
    <x v="33"/>
    <n v="3"/>
    <n v="600"/>
  </r>
  <r>
    <n v="227"/>
    <x v="0"/>
    <x v="3"/>
    <x v="3"/>
    <x v="4"/>
    <x v="4"/>
    <x v="31"/>
    <n v="34021"/>
    <x v="30"/>
    <x v="30"/>
    <n v="2"/>
    <n v="500"/>
  </r>
  <r>
    <n v="228"/>
    <x v="0"/>
    <x v="3"/>
    <x v="3"/>
    <x v="6"/>
    <x v="6"/>
    <x v="40"/>
    <n v="54021"/>
    <x v="121"/>
    <x v="129"/>
    <n v="373"/>
    <n v="970"/>
  </r>
  <r>
    <n v="229"/>
    <x v="0"/>
    <x v="3"/>
    <x v="3"/>
    <x v="6"/>
    <x v="6"/>
    <x v="39"/>
    <n v="54007"/>
    <x v="122"/>
    <x v="130"/>
    <n v="263"/>
    <n v="990"/>
  </r>
  <r>
    <n v="230"/>
    <x v="0"/>
    <x v="3"/>
    <x v="3"/>
    <x v="6"/>
    <x v="6"/>
    <x v="42"/>
    <n v="54105"/>
    <x v="123"/>
    <x v="131"/>
    <n v="135"/>
    <n v="1125"/>
  </r>
  <r>
    <n v="231"/>
    <x v="0"/>
    <x v="3"/>
    <x v="3"/>
    <x v="6"/>
    <x v="6"/>
    <x v="41"/>
    <n v="54098"/>
    <x v="124"/>
    <x v="132"/>
    <n v="49"/>
    <n v="1000"/>
  </r>
  <r>
    <n v="232"/>
    <x v="0"/>
    <x v="3"/>
    <x v="3"/>
    <x v="6"/>
    <x v="6"/>
    <x v="43"/>
    <n v="54035"/>
    <x v="125"/>
    <x v="45"/>
    <n v="40"/>
    <n v="1000"/>
  </r>
  <r>
    <n v="233"/>
    <x v="0"/>
    <x v="3"/>
    <x v="3"/>
    <x v="12"/>
    <x v="12"/>
    <x v="62"/>
    <m/>
    <x v="34"/>
    <x v="34"/>
    <n v="2"/>
    <n v="1000"/>
  </r>
  <r>
    <n v="234"/>
    <x v="0"/>
    <x v="3"/>
    <x v="3"/>
    <x v="7"/>
    <x v="7"/>
    <x v="44"/>
    <n v="82049"/>
    <x v="54"/>
    <x v="7"/>
    <n v="13610"/>
    <n v="1390"/>
  </r>
  <r>
    <n v="235"/>
    <x v="0"/>
    <x v="3"/>
    <x v="3"/>
    <x v="7"/>
    <x v="7"/>
    <x v="45"/>
    <n v="82035"/>
    <x v="126"/>
    <x v="133"/>
    <n v="3410"/>
    <n v="1450"/>
  </r>
  <r>
    <n v="236"/>
    <x v="0"/>
    <x v="3"/>
    <x v="3"/>
    <x v="7"/>
    <x v="7"/>
    <x v="42"/>
    <n v="82098"/>
    <x v="20"/>
    <x v="20"/>
    <n v="196"/>
    <n v="1307"/>
  </r>
  <r>
    <n v="237"/>
    <x v="0"/>
    <x v="3"/>
    <x v="3"/>
    <x v="7"/>
    <x v="7"/>
    <x v="12"/>
    <n v="82063"/>
    <x v="127"/>
    <x v="134"/>
    <n v="105"/>
    <n v="1500"/>
  </r>
  <r>
    <n v="238"/>
    <x v="0"/>
    <x v="3"/>
    <x v="3"/>
    <x v="8"/>
    <x v="8"/>
    <x v="53"/>
    <n v="86035"/>
    <x v="128"/>
    <x v="135"/>
    <n v="17"/>
    <n v="1308"/>
  </r>
  <r>
    <n v="239"/>
    <x v="0"/>
    <x v="3"/>
    <x v="3"/>
    <x v="8"/>
    <x v="8"/>
    <x v="12"/>
    <n v="86049"/>
    <x v="50"/>
    <x v="136"/>
    <n v="13"/>
    <n v="1182"/>
  </r>
  <r>
    <n v="240"/>
    <x v="0"/>
    <x v="3"/>
    <x v="3"/>
    <x v="8"/>
    <x v="8"/>
    <x v="49"/>
    <n v="86112"/>
    <x v="33"/>
    <x v="33"/>
    <n v="5"/>
    <n v="1000"/>
  </r>
  <r>
    <n v="241"/>
    <x v="0"/>
    <x v="3"/>
    <x v="3"/>
    <x v="8"/>
    <x v="8"/>
    <x v="52"/>
    <n v="86063"/>
    <x v="48"/>
    <x v="47"/>
    <n v="1"/>
    <n v="1000"/>
  </r>
  <r>
    <n v="242"/>
    <x v="0"/>
    <x v="3"/>
    <x v="3"/>
    <x v="9"/>
    <x v="9"/>
    <x v="55"/>
    <n v="90007"/>
    <x v="129"/>
    <x v="137"/>
    <n v="303"/>
    <n v="718"/>
  </r>
  <r>
    <n v="243"/>
    <x v="0"/>
    <x v="3"/>
    <x v="3"/>
    <x v="9"/>
    <x v="9"/>
    <x v="63"/>
    <n v="90028"/>
    <x v="130"/>
    <x v="138"/>
    <n v="19"/>
    <n v="487"/>
  </r>
  <r>
    <n v="244"/>
    <x v="0"/>
    <x v="3"/>
    <x v="3"/>
    <x v="9"/>
    <x v="9"/>
    <x v="82"/>
    <n v="90077"/>
    <x v="131"/>
    <x v="139"/>
    <n v="21"/>
    <n v="600"/>
  </r>
  <r>
    <n v="245"/>
    <x v="0"/>
    <x v="3"/>
    <x v="3"/>
    <x v="9"/>
    <x v="9"/>
    <x v="64"/>
    <n v="90112"/>
    <x v="93"/>
    <x v="98"/>
    <n v="9"/>
    <n v="391"/>
  </r>
  <r>
    <n v="246"/>
    <x v="0"/>
    <x v="3"/>
    <x v="3"/>
    <x v="9"/>
    <x v="9"/>
    <x v="12"/>
    <n v="90084"/>
    <x v="95"/>
    <x v="140"/>
    <n v="11"/>
    <n v="611"/>
  </r>
  <r>
    <n v="247"/>
    <x v="0"/>
    <x v="3"/>
    <x v="3"/>
    <x v="9"/>
    <x v="9"/>
    <x v="65"/>
    <n v="90014"/>
    <x v="132"/>
    <x v="79"/>
    <n v="8"/>
    <n v="500"/>
  </r>
  <r>
    <n v="248"/>
    <x v="0"/>
    <x v="3"/>
    <x v="3"/>
    <x v="9"/>
    <x v="9"/>
    <x v="66"/>
    <n v="90056"/>
    <x v="13"/>
    <x v="13"/>
    <n v="5"/>
    <n v="417"/>
  </r>
  <r>
    <n v="249"/>
    <x v="0"/>
    <x v="3"/>
    <x v="3"/>
    <x v="9"/>
    <x v="9"/>
    <x v="67"/>
    <n v="90070"/>
    <x v="77"/>
    <x v="67"/>
    <n v="5"/>
    <n v="625"/>
  </r>
  <r>
    <n v="250"/>
    <x v="0"/>
    <x v="3"/>
    <x v="3"/>
    <x v="9"/>
    <x v="9"/>
    <x v="68"/>
    <n v="90105"/>
    <x v="77"/>
    <x v="67"/>
    <n v="5"/>
    <n v="625"/>
  </r>
  <r>
    <n v="251"/>
    <x v="0"/>
    <x v="3"/>
    <x v="3"/>
    <x v="9"/>
    <x v="9"/>
    <x v="69"/>
    <n v="90035"/>
    <x v="33"/>
    <x v="33"/>
    <n v="2"/>
    <n v="400"/>
  </r>
  <r>
    <n v="252"/>
    <x v="0"/>
    <x v="3"/>
    <x v="3"/>
    <x v="9"/>
    <x v="9"/>
    <x v="83"/>
    <n v="90021"/>
    <x v="47"/>
    <x v="46"/>
    <n v="2"/>
    <n v="500"/>
  </r>
  <r>
    <n v="253"/>
    <x v="0"/>
    <x v="4"/>
    <x v="4"/>
    <x v="0"/>
    <x v="0"/>
    <x v="0"/>
    <n v="22105"/>
    <x v="14"/>
    <x v="14"/>
    <n v="500"/>
    <n v="1000"/>
  </r>
  <r>
    <n v="254"/>
    <x v="0"/>
    <x v="4"/>
    <x v="4"/>
    <x v="0"/>
    <x v="0"/>
    <x v="1"/>
    <n v="22049"/>
    <x v="128"/>
    <x v="135"/>
    <n v="13"/>
    <n v="1000"/>
  </r>
  <r>
    <n v="255"/>
    <x v="0"/>
    <x v="4"/>
    <x v="4"/>
    <x v="0"/>
    <x v="0"/>
    <x v="3"/>
    <n v="22084"/>
    <x v="33"/>
    <x v="33"/>
    <n v="5"/>
    <n v="1000"/>
  </r>
  <r>
    <n v="256"/>
    <x v="0"/>
    <x v="4"/>
    <x v="4"/>
    <x v="0"/>
    <x v="0"/>
    <x v="2"/>
    <n v="22140"/>
    <x v="34"/>
    <x v="34"/>
    <n v="2"/>
    <n v="1000"/>
  </r>
  <r>
    <n v="257"/>
    <x v="0"/>
    <x v="4"/>
    <x v="4"/>
    <x v="1"/>
    <x v="1"/>
    <x v="7"/>
    <n v="14147"/>
    <x v="133"/>
    <x v="141"/>
    <n v="17550"/>
    <n v="1300"/>
  </r>
  <r>
    <n v="258"/>
    <x v="0"/>
    <x v="4"/>
    <x v="4"/>
    <x v="1"/>
    <x v="1"/>
    <x v="8"/>
    <n v="14119"/>
    <x v="134"/>
    <x v="142"/>
    <n v="16500"/>
    <n v="1500"/>
  </r>
  <r>
    <n v="259"/>
    <x v="0"/>
    <x v="4"/>
    <x v="4"/>
    <x v="1"/>
    <x v="1"/>
    <x v="10"/>
    <n v="14161"/>
    <x v="74"/>
    <x v="128"/>
    <n v="3800"/>
    <n v="1900"/>
  </r>
  <r>
    <n v="260"/>
    <x v="0"/>
    <x v="4"/>
    <x v="4"/>
    <x v="1"/>
    <x v="1"/>
    <x v="9"/>
    <n v="14105"/>
    <x v="135"/>
    <x v="143"/>
    <n v="2660"/>
    <n v="1400"/>
  </r>
  <r>
    <n v="261"/>
    <x v="0"/>
    <x v="4"/>
    <x v="4"/>
    <x v="1"/>
    <x v="1"/>
    <x v="11"/>
    <n v="14021"/>
    <x v="57"/>
    <x v="56"/>
    <n v="1704"/>
    <n v="1420"/>
  </r>
  <r>
    <n v="262"/>
    <x v="0"/>
    <x v="4"/>
    <x v="4"/>
    <x v="1"/>
    <x v="1"/>
    <x v="12"/>
    <n v="14014"/>
    <x v="14"/>
    <x v="14"/>
    <n v="700"/>
    <n v="1400"/>
  </r>
  <r>
    <n v="263"/>
    <x v="0"/>
    <x v="4"/>
    <x v="4"/>
    <x v="1"/>
    <x v="1"/>
    <x v="70"/>
    <n v="14007"/>
    <x v="16"/>
    <x v="16"/>
    <n v="630"/>
    <n v="1800"/>
  </r>
  <r>
    <n v="264"/>
    <x v="0"/>
    <x v="4"/>
    <x v="4"/>
    <x v="1"/>
    <x v="1"/>
    <x v="84"/>
    <n v="14168"/>
    <x v="44"/>
    <x v="111"/>
    <n v="71"/>
    <n v="1420"/>
  </r>
  <r>
    <n v="265"/>
    <x v="0"/>
    <x v="4"/>
    <x v="4"/>
    <x v="2"/>
    <x v="2"/>
    <x v="12"/>
    <n v="18021"/>
    <x v="136"/>
    <x v="144"/>
    <n v="607"/>
    <n v="660"/>
  </r>
  <r>
    <n v="266"/>
    <x v="0"/>
    <x v="4"/>
    <x v="4"/>
    <x v="2"/>
    <x v="2"/>
    <x v="15"/>
    <n v="18112"/>
    <x v="137"/>
    <x v="145"/>
    <n v="490"/>
    <n v="680"/>
  </r>
  <r>
    <n v="267"/>
    <x v="0"/>
    <x v="4"/>
    <x v="4"/>
    <x v="2"/>
    <x v="2"/>
    <x v="18"/>
    <n v="18049"/>
    <x v="138"/>
    <x v="146"/>
    <n v="442"/>
    <n v="790"/>
  </r>
  <r>
    <n v="268"/>
    <x v="0"/>
    <x v="4"/>
    <x v="4"/>
    <x v="2"/>
    <x v="2"/>
    <x v="26"/>
    <n v="18070"/>
    <x v="139"/>
    <x v="147"/>
    <n v="378"/>
    <n v="700"/>
  </r>
  <r>
    <n v="269"/>
    <x v="0"/>
    <x v="4"/>
    <x v="4"/>
    <x v="2"/>
    <x v="2"/>
    <x v="16"/>
    <n v="18091"/>
    <x v="140"/>
    <x v="148"/>
    <n v="509"/>
    <n v="960"/>
  </r>
  <r>
    <n v="270"/>
    <x v="0"/>
    <x v="4"/>
    <x v="4"/>
    <x v="2"/>
    <x v="2"/>
    <x v="74"/>
    <n v="18161"/>
    <x v="141"/>
    <x v="149"/>
    <n v="133"/>
    <n v="700"/>
  </r>
  <r>
    <n v="271"/>
    <x v="0"/>
    <x v="4"/>
    <x v="4"/>
    <x v="2"/>
    <x v="2"/>
    <x v="17"/>
    <n v="18042"/>
    <x v="142"/>
    <x v="36"/>
    <n v="106"/>
    <n v="848"/>
  </r>
  <r>
    <n v="272"/>
    <x v="0"/>
    <x v="4"/>
    <x v="4"/>
    <x v="2"/>
    <x v="2"/>
    <x v="23"/>
    <n v="18126"/>
    <x v="142"/>
    <x v="131"/>
    <n v="84"/>
    <n v="700"/>
  </r>
  <r>
    <n v="273"/>
    <x v="0"/>
    <x v="4"/>
    <x v="4"/>
    <x v="2"/>
    <x v="2"/>
    <x v="43"/>
    <n v="18028"/>
    <x v="143"/>
    <x v="150"/>
    <n v="130"/>
    <n v="1000"/>
  </r>
  <r>
    <n v="274"/>
    <x v="0"/>
    <x v="4"/>
    <x v="4"/>
    <x v="2"/>
    <x v="2"/>
    <x v="71"/>
    <n v="18098"/>
    <x v="144"/>
    <x v="151"/>
    <n v="67"/>
    <n v="744"/>
  </r>
  <r>
    <n v="275"/>
    <x v="0"/>
    <x v="4"/>
    <x v="4"/>
    <x v="2"/>
    <x v="2"/>
    <x v="76"/>
    <n v="18154"/>
    <x v="89"/>
    <x v="76"/>
    <n v="75"/>
    <n v="1000"/>
  </r>
  <r>
    <n v="276"/>
    <x v="0"/>
    <x v="4"/>
    <x v="4"/>
    <x v="2"/>
    <x v="2"/>
    <x v="73"/>
    <n v="18077"/>
    <x v="27"/>
    <x v="27"/>
    <n v="65"/>
    <n v="1000"/>
  </r>
  <r>
    <n v="277"/>
    <x v="0"/>
    <x v="4"/>
    <x v="4"/>
    <x v="2"/>
    <x v="2"/>
    <x v="21"/>
    <n v="18007"/>
    <x v="145"/>
    <x v="78"/>
    <n v="20"/>
    <n v="800"/>
  </r>
  <r>
    <n v="278"/>
    <x v="0"/>
    <x v="4"/>
    <x v="4"/>
    <x v="2"/>
    <x v="2"/>
    <x v="72"/>
    <n v="18063"/>
    <x v="146"/>
    <x v="80"/>
    <n v="16"/>
    <n v="800"/>
  </r>
  <r>
    <n v="279"/>
    <x v="0"/>
    <x v="4"/>
    <x v="4"/>
    <x v="2"/>
    <x v="2"/>
    <x v="24"/>
    <n v="18140"/>
    <x v="40"/>
    <x v="80"/>
    <n v="15"/>
    <n v="750"/>
  </r>
  <r>
    <n v="280"/>
    <x v="0"/>
    <x v="4"/>
    <x v="4"/>
    <x v="2"/>
    <x v="2"/>
    <x v="19"/>
    <n v="18133"/>
    <x v="78"/>
    <x v="49"/>
    <n v="5"/>
    <n v="833"/>
  </r>
  <r>
    <n v="281"/>
    <x v="0"/>
    <x v="4"/>
    <x v="4"/>
    <x v="3"/>
    <x v="3"/>
    <x v="28"/>
    <n v="30028"/>
    <x v="147"/>
    <x v="152"/>
    <n v="2295"/>
    <n v="850"/>
  </r>
  <r>
    <n v="282"/>
    <x v="0"/>
    <x v="4"/>
    <x v="4"/>
    <x v="3"/>
    <x v="3"/>
    <x v="29"/>
    <n v="30015"/>
    <x v="11"/>
    <x v="153"/>
    <n v="733"/>
    <n v="815"/>
  </r>
  <r>
    <n v="283"/>
    <x v="0"/>
    <x v="4"/>
    <x v="4"/>
    <x v="3"/>
    <x v="3"/>
    <x v="11"/>
    <n v="30008"/>
    <x v="72"/>
    <x v="72"/>
    <n v="21"/>
    <n v="700"/>
  </r>
  <r>
    <n v="284"/>
    <x v="0"/>
    <x v="4"/>
    <x v="4"/>
    <x v="4"/>
    <x v="4"/>
    <x v="81"/>
    <n v="34042"/>
    <x v="32"/>
    <x v="32"/>
    <n v="7"/>
    <n v="700"/>
  </r>
  <r>
    <n v="285"/>
    <x v="0"/>
    <x v="4"/>
    <x v="4"/>
    <x v="4"/>
    <x v="4"/>
    <x v="30"/>
    <n v="34049"/>
    <x v="29"/>
    <x v="29"/>
    <n v="4"/>
    <n v="571"/>
  </r>
  <r>
    <n v="286"/>
    <x v="0"/>
    <x v="4"/>
    <x v="4"/>
    <x v="4"/>
    <x v="4"/>
    <x v="34"/>
    <n v="34035"/>
    <x v="78"/>
    <x v="49"/>
    <n v="3"/>
    <n v="500"/>
  </r>
  <r>
    <n v="287"/>
    <x v="0"/>
    <x v="4"/>
    <x v="4"/>
    <x v="4"/>
    <x v="4"/>
    <x v="32"/>
    <n v="34014"/>
    <x v="30"/>
    <x v="30"/>
    <n v="2"/>
    <n v="667"/>
  </r>
  <r>
    <n v="288"/>
    <x v="0"/>
    <x v="4"/>
    <x v="4"/>
    <x v="4"/>
    <x v="4"/>
    <x v="31"/>
    <n v="34021"/>
    <x v="34"/>
    <x v="34"/>
    <n v="1"/>
    <n v="500"/>
  </r>
  <r>
    <n v="289"/>
    <x v="0"/>
    <x v="4"/>
    <x v="4"/>
    <x v="4"/>
    <x v="4"/>
    <x v="33"/>
    <n v="34056"/>
    <x v="34"/>
    <x v="34"/>
    <n v="1"/>
    <n v="500"/>
  </r>
  <r>
    <n v="290"/>
    <x v="0"/>
    <x v="4"/>
    <x v="4"/>
    <x v="6"/>
    <x v="6"/>
    <x v="40"/>
    <n v="54021"/>
    <x v="148"/>
    <x v="154"/>
    <n v="559"/>
    <n v="1797"/>
  </r>
  <r>
    <n v="291"/>
    <x v="0"/>
    <x v="4"/>
    <x v="4"/>
    <x v="6"/>
    <x v="6"/>
    <x v="39"/>
    <n v="54007"/>
    <x v="149"/>
    <x v="155"/>
    <n v="525"/>
    <n v="1937"/>
  </r>
  <r>
    <n v="292"/>
    <x v="0"/>
    <x v="4"/>
    <x v="4"/>
    <x v="6"/>
    <x v="6"/>
    <x v="42"/>
    <n v="54105"/>
    <x v="150"/>
    <x v="91"/>
    <n v="251"/>
    <n v="2413"/>
  </r>
  <r>
    <n v="293"/>
    <x v="0"/>
    <x v="4"/>
    <x v="4"/>
    <x v="6"/>
    <x v="6"/>
    <x v="43"/>
    <n v="54035"/>
    <x v="39"/>
    <x v="45"/>
    <n v="78"/>
    <n v="1950"/>
  </r>
  <r>
    <n v="294"/>
    <x v="0"/>
    <x v="4"/>
    <x v="4"/>
    <x v="6"/>
    <x v="6"/>
    <x v="41"/>
    <n v="54098"/>
    <x v="28"/>
    <x v="138"/>
    <n v="79"/>
    <n v="2026"/>
  </r>
  <r>
    <n v="295"/>
    <x v="0"/>
    <x v="4"/>
    <x v="4"/>
    <x v="12"/>
    <x v="12"/>
    <x v="85"/>
    <n v="70070"/>
    <x v="34"/>
    <x v="34"/>
    <n v="3"/>
    <n v="1300"/>
  </r>
  <r>
    <n v="296"/>
    <x v="0"/>
    <x v="4"/>
    <x v="4"/>
    <x v="12"/>
    <x v="12"/>
    <x v="12"/>
    <n v="70028"/>
    <x v="48"/>
    <x v="47"/>
    <n v="1"/>
    <n v="1200"/>
  </r>
  <r>
    <n v="297"/>
    <x v="0"/>
    <x v="4"/>
    <x v="4"/>
    <x v="13"/>
    <x v="13"/>
    <x v="12"/>
    <n v="74056"/>
    <x v="45"/>
    <x v="13"/>
    <n v="8"/>
    <n v="667"/>
  </r>
  <r>
    <n v="298"/>
    <x v="0"/>
    <x v="4"/>
    <x v="4"/>
    <x v="13"/>
    <x v="13"/>
    <x v="86"/>
    <n v="74021"/>
    <x v="31"/>
    <x v="52"/>
    <n v="5"/>
    <n v="556"/>
  </r>
  <r>
    <n v="299"/>
    <x v="0"/>
    <x v="4"/>
    <x v="4"/>
    <x v="13"/>
    <x v="13"/>
    <x v="87"/>
    <n v="74028"/>
    <x v="33"/>
    <x v="33"/>
    <n v="4"/>
    <n v="800"/>
  </r>
  <r>
    <n v="300"/>
    <x v="0"/>
    <x v="4"/>
    <x v="4"/>
    <x v="13"/>
    <x v="13"/>
    <x v="14"/>
    <m/>
    <x v="33"/>
    <x v="46"/>
    <n v="3"/>
    <n v="750"/>
  </r>
  <r>
    <n v="301"/>
    <x v="0"/>
    <x v="4"/>
    <x v="4"/>
    <x v="13"/>
    <x v="13"/>
    <x v="88"/>
    <n v="74063"/>
    <x v="33"/>
    <x v="33"/>
    <n v="4"/>
    <n v="800"/>
  </r>
  <r>
    <n v="302"/>
    <x v="0"/>
    <x v="4"/>
    <x v="4"/>
    <x v="7"/>
    <x v="7"/>
    <x v="44"/>
    <n v="82049"/>
    <x v="151"/>
    <x v="127"/>
    <n v="3375"/>
    <n v="750"/>
  </r>
  <r>
    <n v="303"/>
    <x v="0"/>
    <x v="4"/>
    <x v="4"/>
    <x v="7"/>
    <x v="7"/>
    <x v="45"/>
    <n v="82035"/>
    <x v="152"/>
    <x v="9"/>
    <n v="2023"/>
    <n v="1190"/>
  </r>
  <r>
    <n v="304"/>
    <x v="0"/>
    <x v="4"/>
    <x v="4"/>
    <x v="7"/>
    <x v="7"/>
    <x v="42"/>
    <n v="82098"/>
    <x v="143"/>
    <x v="156"/>
    <n v="92"/>
    <n v="800"/>
  </r>
  <r>
    <n v="305"/>
    <x v="0"/>
    <x v="4"/>
    <x v="4"/>
    <x v="7"/>
    <x v="7"/>
    <x v="12"/>
    <n v="82063"/>
    <x v="92"/>
    <x v="80"/>
    <n v="21"/>
    <n v="1050"/>
  </r>
  <r>
    <n v="306"/>
    <x v="0"/>
    <x v="4"/>
    <x v="4"/>
    <x v="8"/>
    <x v="8"/>
    <x v="62"/>
    <m/>
    <x v="76"/>
    <x v="157"/>
    <n v="38"/>
    <n v="1407"/>
  </r>
  <r>
    <n v="307"/>
    <x v="0"/>
    <x v="4"/>
    <x v="4"/>
    <x v="9"/>
    <x v="9"/>
    <x v="55"/>
    <n v="90007"/>
    <x v="153"/>
    <x v="158"/>
    <n v="880"/>
    <n v="1354"/>
  </r>
  <r>
    <n v="308"/>
    <x v="0"/>
    <x v="4"/>
    <x v="4"/>
    <x v="9"/>
    <x v="9"/>
    <x v="14"/>
    <m/>
    <x v="16"/>
    <x v="61"/>
    <n v="250"/>
    <n v="1000"/>
  </r>
  <r>
    <n v="309"/>
    <x v="0"/>
    <x v="4"/>
    <x v="4"/>
    <x v="9"/>
    <x v="9"/>
    <x v="65"/>
    <n v="90014"/>
    <x v="20"/>
    <x v="23"/>
    <n v="120"/>
    <n v="1200"/>
  </r>
  <r>
    <n v="310"/>
    <x v="0"/>
    <x v="5"/>
    <x v="5"/>
    <x v="0"/>
    <x v="0"/>
    <x v="0"/>
    <n v="22105"/>
    <x v="154"/>
    <x v="159"/>
    <n v="3427"/>
    <n v="1632"/>
  </r>
  <r>
    <n v="311"/>
    <x v="0"/>
    <x v="5"/>
    <x v="5"/>
    <x v="0"/>
    <x v="0"/>
    <x v="3"/>
    <n v="22084"/>
    <x v="125"/>
    <x v="45"/>
    <n v="76"/>
    <n v="1900"/>
  </r>
  <r>
    <n v="312"/>
    <x v="0"/>
    <x v="5"/>
    <x v="5"/>
    <x v="0"/>
    <x v="0"/>
    <x v="1"/>
    <n v="22049"/>
    <x v="125"/>
    <x v="45"/>
    <n v="72"/>
    <n v="1800"/>
  </r>
  <r>
    <n v="313"/>
    <x v="0"/>
    <x v="5"/>
    <x v="5"/>
    <x v="1"/>
    <x v="1"/>
    <x v="7"/>
    <n v="14147"/>
    <x v="155"/>
    <x v="160"/>
    <n v="16200"/>
    <n v="900"/>
  </r>
  <r>
    <n v="314"/>
    <x v="0"/>
    <x v="5"/>
    <x v="5"/>
    <x v="1"/>
    <x v="1"/>
    <x v="8"/>
    <n v="14119"/>
    <x v="156"/>
    <x v="161"/>
    <n v="16000"/>
    <n v="1000"/>
  </r>
  <r>
    <n v="315"/>
    <x v="0"/>
    <x v="5"/>
    <x v="5"/>
    <x v="1"/>
    <x v="1"/>
    <x v="10"/>
    <n v="14161"/>
    <x v="157"/>
    <x v="162"/>
    <n v="3282"/>
    <n v="656"/>
  </r>
  <r>
    <n v="316"/>
    <x v="0"/>
    <x v="5"/>
    <x v="5"/>
    <x v="1"/>
    <x v="1"/>
    <x v="9"/>
    <n v="14105"/>
    <x v="158"/>
    <x v="163"/>
    <n v="4000"/>
    <n v="1000"/>
  </r>
  <r>
    <n v="317"/>
    <x v="0"/>
    <x v="5"/>
    <x v="5"/>
    <x v="1"/>
    <x v="1"/>
    <x v="11"/>
    <n v="14021"/>
    <x v="159"/>
    <x v="164"/>
    <n v="3150"/>
    <n v="900"/>
  </r>
  <r>
    <n v="318"/>
    <x v="0"/>
    <x v="5"/>
    <x v="5"/>
    <x v="1"/>
    <x v="1"/>
    <x v="12"/>
    <n v="14014"/>
    <x v="58"/>
    <x v="57"/>
    <n v="700"/>
    <n v="1000"/>
  </r>
  <r>
    <n v="319"/>
    <x v="0"/>
    <x v="5"/>
    <x v="5"/>
    <x v="1"/>
    <x v="1"/>
    <x v="89"/>
    <n v="14042"/>
    <x v="12"/>
    <x v="12"/>
    <n v="360"/>
    <n v="1200"/>
  </r>
  <r>
    <n v="320"/>
    <x v="0"/>
    <x v="5"/>
    <x v="5"/>
    <x v="1"/>
    <x v="1"/>
    <x v="84"/>
    <n v="14168"/>
    <x v="12"/>
    <x v="12"/>
    <n v="270"/>
    <n v="900"/>
  </r>
  <r>
    <n v="321"/>
    <x v="0"/>
    <x v="5"/>
    <x v="5"/>
    <x v="1"/>
    <x v="1"/>
    <x v="90"/>
    <n v="14182"/>
    <x v="44"/>
    <x v="111"/>
    <n v="60"/>
    <n v="1200"/>
  </r>
  <r>
    <n v="322"/>
    <x v="0"/>
    <x v="5"/>
    <x v="5"/>
    <x v="2"/>
    <x v="2"/>
    <x v="12"/>
    <n v="18021"/>
    <x v="160"/>
    <x v="165"/>
    <n v="559"/>
    <n v="980"/>
  </r>
  <r>
    <n v="323"/>
    <x v="0"/>
    <x v="5"/>
    <x v="5"/>
    <x v="2"/>
    <x v="2"/>
    <x v="15"/>
    <n v="18112"/>
    <x v="161"/>
    <x v="166"/>
    <n v="474"/>
    <n v="979"/>
  </r>
  <r>
    <n v="324"/>
    <x v="0"/>
    <x v="5"/>
    <x v="5"/>
    <x v="2"/>
    <x v="2"/>
    <x v="16"/>
    <n v="18091"/>
    <x v="162"/>
    <x v="167"/>
    <n v="386"/>
    <n v="960"/>
  </r>
  <r>
    <n v="325"/>
    <x v="0"/>
    <x v="5"/>
    <x v="5"/>
    <x v="2"/>
    <x v="2"/>
    <x v="17"/>
    <n v="18042"/>
    <x v="163"/>
    <x v="168"/>
    <n v="336"/>
    <n v="946"/>
  </r>
  <r>
    <n v="326"/>
    <x v="0"/>
    <x v="5"/>
    <x v="5"/>
    <x v="2"/>
    <x v="2"/>
    <x v="71"/>
    <n v="18098"/>
    <x v="16"/>
    <x v="16"/>
    <n v="343"/>
    <n v="980"/>
  </r>
  <r>
    <n v="327"/>
    <x v="0"/>
    <x v="5"/>
    <x v="5"/>
    <x v="2"/>
    <x v="2"/>
    <x v="22"/>
    <n v="18084"/>
    <x v="12"/>
    <x v="12"/>
    <n v="297"/>
    <n v="990"/>
  </r>
  <r>
    <n v="328"/>
    <x v="0"/>
    <x v="5"/>
    <x v="5"/>
    <x v="2"/>
    <x v="2"/>
    <x v="19"/>
    <n v="18133"/>
    <x v="104"/>
    <x v="110"/>
    <n v="225"/>
    <n v="949"/>
  </r>
  <r>
    <n v="329"/>
    <x v="0"/>
    <x v="5"/>
    <x v="5"/>
    <x v="2"/>
    <x v="2"/>
    <x v="26"/>
    <n v="18070"/>
    <x v="164"/>
    <x v="169"/>
    <n v="219"/>
    <n v="952"/>
  </r>
  <r>
    <n v="330"/>
    <x v="0"/>
    <x v="5"/>
    <x v="5"/>
    <x v="2"/>
    <x v="2"/>
    <x v="72"/>
    <n v="18063"/>
    <x v="97"/>
    <x v="103"/>
    <n v="195"/>
    <n v="951"/>
  </r>
  <r>
    <n v="331"/>
    <x v="0"/>
    <x v="5"/>
    <x v="5"/>
    <x v="2"/>
    <x v="2"/>
    <x v="74"/>
    <n v="18161"/>
    <x v="165"/>
    <x v="170"/>
    <n v="174"/>
    <n v="972"/>
  </r>
  <r>
    <n v="332"/>
    <x v="0"/>
    <x v="5"/>
    <x v="5"/>
    <x v="2"/>
    <x v="2"/>
    <x v="23"/>
    <n v="18126"/>
    <x v="166"/>
    <x v="171"/>
    <n v="131"/>
    <n v="916"/>
  </r>
  <r>
    <n v="333"/>
    <x v="0"/>
    <x v="5"/>
    <x v="5"/>
    <x v="2"/>
    <x v="2"/>
    <x v="18"/>
    <n v="18049"/>
    <x v="21"/>
    <x v="21"/>
    <n v="135"/>
    <n v="964"/>
  </r>
  <r>
    <n v="334"/>
    <x v="0"/>
    <x v="5"/>
    <x v="5"/>
    <x v="2"/>
    <x v="2"/>
    <x v="78"/>
    <n v="18105"/>
    <x v="167"/>
    <x v="172"/>
    <n v="121"/>
    <n v="953"/>
  </r>
  <r>
    <n v="335"/>
    <x v="0"/>
    <x v="5"/>
    <x v="5"/>
    <x v="2"/>
    <x v="2"/>
    <x v="43"/>
    <n v="18028"/>
    <x v="36"/>
    <x v="36"/>
    <n v="132"/>
    <n v="1056"/>
  </r>
  <r>
    <n v="336"/>
    <x v="0"/>
    <x v="5"/>
    <x v="5"/>
    <x v="2"/>
    <x v="2"/>
    <x v="21"/>
    <n v="18007"/>
    <x v="23"/>
    <x v="23"/>
    <n v="85"/>
    <n v="850"/>
  </r>
  <r>
    <n v="337"/>
    <x v="0"/>
    <x v="5"/>
    <x v="5"/>
    <x v="2"/>
    <x v="2"/>
    <x v="73"/>
    <n v="18077"/>
    <x v="168"/>
    <x v="173"/>
    <n v="75"/>
    <n v="798"/>
  </r>
  <r>
    <n v="338"/>
    <x v="0"/>
    <x v="5"/>
    <x v="5"/>
    <x v="2"/>
    <x v="2"/>
    <x v="24"/>
    <n v="18140"/>
    <x v="76"/>
    <x v="157"/>
    <n v="23"/>
    <n v="852"/>
  </r>
  <r>
    <n v="339"/>
    <x v="0"/>
    <x v="5"/>
    <x v="5"/>
    <x v="2"/>
    <x v="2"/>
    <x v="75"/>
    <n v="18014"/>
    <x v="132"/>
    <x v="79"/>
    <n v="13"/>
    <n v="812"/>
  </r>
  <r>
    <n v="340"/>
    <x v="0"/>
    <x v="5"/>
    <x v="5"/>
    <x v="2"/>
    <x v="2"/>
    <x v="25"/>
    <n v="18035"/>
    <x v="132"/>
    <x v="79"/>
    <n v="13"/>
    <n v="812"/>
  </r>
  <r>
    <n v="341"/>
    <x v="0"/>
    <x v="5"/>
    <x v="5"/>
    <x v="3"/>
    <x v="3"/>
    <x v="28"/>
    <n v="30028"/>
    <x v="120"/>
    <x v="174"/>
    <n v="4400"/>
    <n v="1000"/>
  </r>
  <r>
    <n v="342"/>
    <x v="0"/>
    <x v="5"/>
    <x v="5"/>
    <x v="3"/>
    <x v="3"/>
    <x v="29"/>
    <n v="30015"/>
    <x v="81"/>
    <x v="175"/>
    <n v="1376"/>
    <n v="1019"/>
  </r>
  <r>
    <n v="343"/>
    <x v="0"/>
    <x v="5"/>
    <x v="5"/>
    <x v="3"/>
    <x v="3"/>
    <x v="91"/>
    <n v="30084"/>
    <x v="169"/>
    <x v="176"/>
    <n v="83"/>
    <n v="715"/>
  </r>
  <r>
    <n v="344"/>
    <x v="0"/>
    <x v="5"/>
    <x v="5"/>
    <x v="3"/>
    <x v="3"/>
    <x v="11"/>
    <n v="30008"/>
    <x v="45"/>
    <x v="140"/>
    <n v="16"/>
    <n v="889"/>
  </r>
  <r>
    <n v="345"/>
    <x v="0"/>
    <x v="5"/>
    <x v="5"/>
    <x v="3"/>
    <x v="3"/>
    <x v="92"/>
    <n v="30070"/>
    <x v="29"/>
    <x v="49"/>
    <n v="15"/>
    <n v="2500"/>
  </r>
  <r>
    <n v="346"/>
    <x v="0"/>
    <x v="5"/>
    <x v="5"/>
    <x v="4"/>
    <x v="4"/>
    <x v="30"/>
    <n v="34049"/>
    <x v="132"/>
    <x v="32"/>
    <n v="4"/>
    <n v="400"/>
  </r>
  <r>
    <n v="347"/>
    <x v="0"/>
    <x v="5"/>
    <x v="5"/>
    <x v="4"/>
    <x v="4"/>
    <x v="34"/>
    <n v="34035"/>
    <x v="170"/>
    <x v="49"/>
    <n v="3"/>
    <n v="500"/>
  </r>
  <r>
    <n v="348"/>
    <x v="0"/>
    <x v="5"/>
    <x v="5"/>
    <x v="4"/>
    <x v="4"/>
    <x v="32"/>
    <n v="34014"/>
    <x v="13"/>
    <x v="13"/>
    <n v="5"/>
    <n v="417"/>
  </r>
  <r>
    <n v="349"/>
    <x v="0"/>
    <x v="5"/>
    <x v="5"/>
    <x v="4"/>
    <x v="4"/>
    <x v="81"/>
    <n v="34042"/>
    <x v="13"/>
    <x v="67"/>
    <n v="3"/>
    <n v="375"/>
  </r>
  <r>
    <n v="350"/>
    <x v="0"/>
    <x v="5"/>
    <x v="5"/>
    <x v="4"/>
    <x v="4"/>
    <x v="33"/>
    <n v="34056"/>
    <x v="77"/>
    <x v="49"/>
    <n v="3"/>
    <n v="500"/>
  </r>
  <r>
    <n v="351"/>
    <x v="0"/>
    <x v="5"/>
    <x v="5"/>
    <x v="4"/>
    <x v="4"/>
    <x v="31"/>
    <n v="34021"/>
    <x v="30"/>
    <x v="34"/>
    <n v="1"/>
    <n v="500"/>
  </r>
  <r>
    <n v="352"/>
    <x v="0"/>
    <x v="5"/>
    <x v="5"/>
    <x v="5"/>
    <x v="5"/>
    <x v="35"/>
    <n v="38014"/>
    <x v="46"/>
    <x v="79"/>
    <n v="16"/>
    <n v="1000"/>
  </r>
  <r>
    <n v="353"/>
    <x v="0"/>
    <x v="5"/>
    <x v="5"/>
    <x v="6"/>
    <x v="6"/>
    <x v="40"/>
    <n v="54021"/>
    <x v="171"/>
    <x v="177"/>
    <n v="358"/>
    <n v="871"/>
  </r>
  <r>
    <n v="354"/>
    <x v="0"/>
    <x v="5"/>
    <x v="5"/>
    <x v="6"/>
    <x v="6"/>
    <x v="39"/>
    <n v="54007"/>
    <x v="172"/>
    <x v="178"/>
    <n v="335"/>
    <n v="900"/>
  </r>
  <r>
    <n v="355"/>
    <x v="0"/>
    <x v="5"/>
    <x v="5"/>
    <x v="6"/>
    <x v="6"/>
    <x v="42"/>
    <n v="54105"/>
    <x v="173"/>
    <x v="179"/>
    <n v="167"/>
    <n v="860"/>
  </r>
  <r>
    <n v="356"/>
    <x v="0"/>
    <x v="5"/>
    <x v="5"/>
    <x v="6"/>
    <x v="6"/>
    <x v="41"/>
    <n v="54098"/>
    <x v="174"/>
    <x v="180"/>
    <n v="55"/>
    <n v="797"/>
  </r>
  <r>
    <n v="357"/>
    <x v="0"/>
    <x v="5"/>
    <x v="5"/>
    <x v="6"/>
    <x v="6"/>
    <x v="43"/>
    <n v="54035"/>
    <x v="175"/>
    <x v="181"/>
    <n v="53"/>
    <n v="981"/>
  </r>
  <r>
    <n v="358"/>
    <x v="0"/>
    <x v="5"/>
    <x v="5"/>
    <x v="11"/>
    <x v="11"/>
    <x v="93"/>
    <n v="66035"/>
    <x v="34"/>
    <x v="34"/>
    <n v="2"/>
    <n v="1000"/>
  </r>
  <r>
    <n v="359"/>
    <x v="0"/>
    <x v="5"/>
    <x v="5"/>
    <x v="13"/>
    <x v="13"/>
    <x v="94"/>
    <n v="74035"/>
    <x v="101"/>
    <x v="182"/>
    <n v="18"/>
    <n v="692"/>
  </r>
  <r>
    <n v="360"/>
    <x v="0"/>
    <x v="5"/>
    <x v="5"/>
    <x v="13"/>
    <x v="13"/>
    <x v="95"/>
    <n v="74049"/>
    <x v="29"/>
    <x v="46"/>
    <n v="3"/>
    <n v="750"/>
  </r>
  <r>
    <n v="361"/>
    <x v="0"/>
    <x v="5"/>
    <x v="5"/>
    <x v="13"/>
    <x v="13"/>
    <x v="86"/>
    <n v="74021"/>
    <x v="78"/>
    <x v="183"/>
    <m/>
    <m/>
  </r>
  <r>
    <n v="362"/>
    <x v="0"/>
    <x v="5"/>
    <x v="5"/>
    <x v="13"/>
    <x v="13"/>
    <x v="12"/>
    <n v="74056"/>
    <x v="30"/>
    <x v="183"/>
    <m/>
    <m/>
  </r>
  <r>
    <n v="363"/>
    <x v="0"/>
    <x v="5"/>
    <x v="5"/>
    <x v="7"/>
    <x v="7"/>
    <x v="44"/>
    <n v="82049"/>
    <x v="176"/>
    <x v="184"/>
    <n v="11361"/>
    <n v="1106"/>
  </r>
  <r>
    <n v="364"/>
    <x v="0"/>
    <x v="5"/>
    <x v="5"/>
    <x v="7"/>
    <x v="7"/>
    <x v="45"/>
    <n v="82035"/>
    <x v="177"/>
    <x v="185"/>
    <n v="6210"/>
    <n v="1250"/>
  </r>
  <r>
    <n v="365"/>
    <x v="0"/>
    <x v="5"/>
    <x v="5"/>
    <x v="7"/>
    <x v="7"/>
    <x v="42"/>
    <n v="82098"/>
    <x v="178"/>
    <x v="186"/>
    <n v="323"/>
    <n v="1000"/>
  </r>
  <r>
    <n v="366"/>
    <x v="0"/>
    <x v="5"/>
    <x v="5"/>
    <x v="8"/>
    <x v="8"/>
    <x v="53"/>
    <n v="86035"/>
    <x v="89"/>
    <x v="76"/>
    <n v="86"/>
    <n v="1147"/>
  </r>
  <r>
    <n v="367"/>
    <x v="0"/>
    <x v="5"/>
    <x v="5"/>
    <x v="8"/>
    <x v="8"/>
    <x v="12"/>
    <n v="86049"/>
    <x v="31"/>
    <x v="31"/>
    <n v="21"/>
    <n v="1400"/>
  </r>
  <r>
    <n v="368"/>
    <x v="0"/>
    <x v="5"/>
    <x v="5"/>
    <x v="8"/>
    <x v="8"/>
    <x v="54"/>
    <n v="86161"/>
    <x v="30"/>
    <x v="30"/>
    <n v="3"/>
    <n v="1100"/>
  </r>
  <r>
    <n v="369"/>
    <x v="0"/>
    <x v="5"/>
    <x v="5"/>
    <x v="9"/>
    <x v="9"/>
    <x v="55"/>
    <n v="90007"/>
    <x v="11"/>
    <x v="57"/>
    <n v="1050"/>
    <n v="1500"/>
  </r>
  <r>
    <n v="370"/>
    <x v="0"/>
    <x v="5"/>
    <x v="5"/>
    <x v="9"/>
    <x v="9"/>
    <x v="14"/>
    <m/>
    <x v="179"/>
    <x v="12"/>
    <n v="300"/>
    <n v="1000"/>
  </r>
  <r>
    <n v="371"/>
    <x v="0"/>
    <x v="5"/>
    <x v="5"/>
    <x v="9"/>
    <x v="9"/>
    <x v="65"/>
    <n v="90014"/>
    <x v="180"/>
    <x v="59"/>
    <n v="484"/>
    <n v="1210"/>
  </r>
  <r>
    <n v="372"/>
    <x v="0"/>
    <x v="6"/>
    <x v="6"/>
    <x v="0"/>
    <x v="0"/>
    <x v="1"/>
    <n v="22049"/>
    <x v="113"/>
    <x v="20"/>
    <n v="135"/>
    <n v="900"/>
  </r>
  <r>
    <n v="373"/>
    <x v="0"/>
    <x v="6"/>
    <x v="6"/>
    <x v="0"/>
    <x v="0"/>
    <x v="2"/>
    <n v="22140"/>
    <x v="181"/>
    <x v="125"/>
    <n v="53"/>
    <n v="1000"/>
  </r>
  <r>
    <n v="374"/>
    <x v="0"/>
    <x v="6"/>
    <x v="6"/>
    <x v="0"/>
    <x v="0"/>
    <x v="3"/>
    <n v="22084"/>
    <x v="182"/>
    <x v="45"/>
    <n v="36"/>
    <n v="900"/>
  </r>
  <r>
    <n v="375"/>
    <x v="0"/>
    <x v="6"/>
    <x v="6"/>
    <x v="0"/>
    <x v="0"/>
    <x v="4"/>
    <n v="22014"/>
    <x v="13"/>
    <x v="52"/>
    <n v="8"/>
    <n v="889"/>
  </r>
  <r>
    <n v="376"/>
    <x v="0"/>
    <x v="6"/>
    <x v="6"/>
    <x v="0"/>
    <x v="0"/>
    <x v="5"/>
    <n v="22091"/>
    <x v="13"/>
    <x v="32"/>
    <n v="9"/>
    <n v="900"/>
  </r>
  <r>
    <n v="377"/>
    <x v="0"/>
    <x v="6"/>
    <x v="6"/>
    <x v="0"/>
    <x v="0"/>
    <x v="0"/>
    <n v="22105"/>
    <x v="77"/>
    <x v="67"/>
    <n v="8"/>
    <n v="1000"/>
  </r>
  <r>
    <n v="378"/>
    <x v="0"/>
    <x v="6"/>
    <x v="6"/>
    <x v="1"/>
    <x v="1"/>
    <x v="8"/>
    <n v="14119"/>
    <x v="155"/>
    <x v="160"/>
    <n v="32400"/>
    <n v="1800"/>
  </r>
  <r>
    <n v="379"/>
    <x v="0"/>
    <x v="6"/>
    <x v="6"/>
    <x v="1"/>
    <x v="1"/>
    <x v="7"/>
    <n v="14147"/>
    <x v="134"/>
    <x v="142"/>
    <n v="16500"/>
    <n v="1500"/>
  </r>
  <r>
    <n v="380"/>
    <x v="0"/>
    <x v="6"/>
    <x v="6"/>
    <x v="1"/>
    <x v="1"/>
    <x v="10"/>
    <n v="14161"/>
    <x v="55"/>
    <x v="54"/>
    <n v="9500"/>
    <n v="1000"/>
  </r>
  <r>
    <n v="381"/>
    <x v="0"/>
    <x v="6"/>
    <x v="6"/>
    <x v="1"/>
    <x v="1"/>
    <x v="12"/>
    <n v="14014"/>
    <x v="158"/>
    <x v="163"/>
    <n v="8000"/>
    <n v="2000"/>
  </r>
  <r>
    <n v="382"/>
    <x v="0"/>
    <x v="6"/>
    <x v="6"/>
    <x v="1"/>
    <x v="1"/>
    <x v="11"/>
    <n v="14021"/>
    <x v="147"/>
    <x v="101"/>
    <n v="4800"/>
    <n v="1600"/>
  </r>
  <r>
    <n v="383"/>
    <x v="0"/>
    <x v="6"/>
    <x v="6"/>
    <x v="1"/>
    <x v="1"/>
    <x v="9"/>
    <n v="14105"/>
    <x v="147"/>
    <x v="101"/>
    <n v="4800"/>
    <n v="1600"/>
  </r>
  <r>
    <n v="384"/>
    <x v="0"/>
    <x v="6"/>
    <x v="6"/>
    <x v="1"/>
    <x v="1"/>
    <x v="84"/>
    <n v="14168"/>
    <x v="14"/>
    <x v="14"/>
    <n v="800"/>
    <n v="1600"/>
  </r>
  <r>
    <n v="385"/>
    <x v="0"/>
    <x v="6"/>
    <x v="6"/>
    <x v="1"/>
    <x v="1"/>
    <x v="70"/>
    <n v="14007"/>
    <x v="26"/>
    <x v="12"/>
    <n v="300"/>
    <n v="1000"/>
  </r>
  <r>
    <n v="386"/>
    <x v="0"/>
    <x v="6"/>
    <x v="6"/>
    <x v="1"/>
    <x v="1"/>
    <x v="13"/>
    <n v="14098"/>
    <x v="16"/>
    <x v="187"/>
    <n v="149"/>
    <n v="861"/>
  </r>
  <r>
    <n v="387"/>
    <x v="0"/>
    <x v="6"/>
    <x v="6"/>
    <x v="1"/>
    <x v="1"/>
    <x v="42"/>
    <n v="14133"/>
    <x v="23"/>
    <x v="188"/>
    <n v="69"/>
    <n v="896"/>
  </r>
  <r>
    <n v="388"/>
    <x v="0"/>
    <x v="6"/>
    <x v="6"/>
    <x v="1"/>
    <x v="1"/>
    <x v="96"/>
    <n v="14035"/>
    <x v="44"/>
    <x v="32"/>
    <n v="7"/>
    <n v="700"/>
  </r>
  <r>
    <n v="389"/>
    <x v="0"/>
    <x v="6"/>
    <x v="6"/>
    <x v="2"/>
    <x v="2"/>
    <x v="12"/>
    <n v="18021"/>
    <x v="180"/>
    <x v="148"/>
    <n v="451"/>
    <n v="850"/>
  </r>
  <r>
    <n v="390"/>
    <x v="0"/>
    <x v="6"/>
    <x v="6"/>
    <x v="2"/>
    <x v="2"/>
    <x v="15"/>
    <n v="18112"/>
    <x v="183"/>
    <x v="189"/>
    <n v="400"/>
    <n v="850"/>
  </r>
  <r>
    <n v="391"/>
    <x v="0"/>
    <x v="6"/>
    <x v="6"/>
    <x v="2"/>
    <x v="2"/>
    <x v="16"/>
    <n v="18091"/>
    <x v="184"/>
    <x v="116"/>
    <n v="329"/>
    <n v="900"/>
  </r>
  <r>
    <n v="392"/>
    <x v="0"/>
    <x v="6"/>
    <x v="6"/>
    <x v="2"/>
    <x v="2"/>
    <x v="17"/>
    <n v="18042"/>
    <x v="121"/>
    <x v="190"/>
    <n v="276"/>
    <n v="800"/>
  </r>
  <r>
    <n v="393"/>
    <x v="0"/>
    <x v="6"/>
    <x v="6"/>
    <x v="2"/>
    <x v="2"/>
    <x v="71"/>
    <n v="18098"/>
    <x v="185"/>
    <x v="191"/>
    <n v="286"/>
    <n v="900"/>
  </r>
  <r>
    <n v="394"/>
    <x v="0"/>
    <x v="6"/>
    <x v="6"/>
    <x v="2"/>
    <x v="2"/>
    <x v="22"/>
    <n v="18084"/>
    <x v="186"/>
    <x v="192"/>
    <n v="230"/>
    <n v="852"/>
  </r>
  <r>
    <n v="395"/>
    <x v="0"/>
    <x v="6"/>
    <x v="6"/>
    <x v="2"/>
    <x v="2"/>
    <x v="26"/>
    <n v="18070"/>
    <x v="61"/>
    <x v="193"/>
    <n v="191"/>
    <n v="849"/>
  </r>
  <r>
    <n v="396"/>
    <x v="0"/>
    <x v="6"/>
    <x v="6"/>
    <x v="2"/>
    <x v="2"/>
    <x v="19"/>
    <n v="18133"/>
    <x v="104"/>
    <x v="194"/>
    <n v="168"/>
    <n v="800"/>
  </r>
  <r>
    <n v="397"/>
    <x v="0"/>
    <x v="6"/>
    <x v="6"/>
    <x v="2"/>
    <x v="2"/>
    <x v="72"/>
    <n v="18063"/>
    <x v="187"/>
    <x v="195"/>
    <n v="159"/>
    <n v="850"/>
  </r>
  <r>
    <n v="398"/>
    <x v="0"/>
    <x v="6"/>
    <x v="6"/>
    <x v="2"/>
    <x v="2"/>
    <x v="74"/>
    <n v="18161"/>
    <x v="165"/>
    <x v="69"/>
    <n v="128"/>
    <n v="800"/>
  </r>
  <r>
    <n v="399"/>
    <x v="0"/>
    <x v="6"/>
    <x v="6"/>
    <x v="2"/>
    <x v="2"/>
    <x v="23"/>
    <n v="18126"/>
    <x v="166"/>
    <x v="150"/>
    <n v="110"/>
    <n v="846"/>
  </r>
  <r>
    <n v="400"/>
    <x v="0"/>
    <x v="6"/>
    <x v="6"/>
    <x v="2"/>
    <x v="2"/>
    <x v="18"/>
    <n v="18049"/>
    <x v="21"/>
    <x v="36"/>
    <n v="106"/>
    <n v="848"/>
  </r>
  <r>
    <n v="401"/>
    <x v="0"/>
    <x v="6"/>
    <x v="6"/>
    <x v="2"/>
    <x v="2"/>
    <x v="43"/>
    <n v="18028"/>
    <x v="70"/>
    <x v="131"/>
    <n v="108"/>
    <n v="900"/>
  </r>
  <r>
    <n v="402"/>
    <x v="0"/>
    <x v="6"/>
    <x v="6"/>
    <x v="2"/>
    <x v="2"/>
    <x v="78"/>
    <n v="18105"/>
    <x v="167"/>
    <x v="196"/>
    <n v="97"/>
    <n v="850"/>
  </r>
  <r>
    <n v="403"/>
    <x v="0"/>
    <x v="6"/>
    <x v="6"/>
    <x v="2"/>
    <x v="2"/>
    <x v="21"/>
    <n v="18007"/>
    <x v="188"/>
    <x v="197"/>
    <n v="81"/>
    <n v="853"/>
  </r>
  <r>
    <n v="404"/>
    <x v="0"/>
    <x v="6"/>
    <x v="6"/>
    <x v="2"/>
    <x v="2"/>
    <x v="73"/>
    <n v="18077"/>
    <x v="168"/>
    <x v="105"/>
    <n v="67"/>
    <n v="798"/>
  </r>
  <r>
    <n v="405"/>
    <x v="0"/>
    <x v="6"/>
    <x v="6"/>
    <x v="2"/>
    <x v="2"/>
    <x v="24"/>
    <n v="18140"/>
    <x v="76"/>
    <x v="6"/>
    <n v="19"/>
    <n v="791"/>
  </r>
  <r>
    <n v="406"/>
    <x v="0"/>
    <x v="6"/>
    <x v="6"/>
    <x v="2"/>
    <x v="2"/>
    <x v="75"/>
    <n v="18014"/>
    <x v="132"/>
    <x v="77"/>
    <n v="12"/>
    <n v="857"/>
  </r>
  <r>
    <n v="407"/>
    <x v="0"/>
    <x v="6"/>
    <x v="6"/>
    <x v="2"/>
    <x v="2"/>
    <x v="25"/>
    <n v="18035"/>
    <x v="132"/>
    <x v="77"/>
    <n v="12"/>
    <n v="857"/>
  </r>
  <r>
    <n v="408"/>
    <x v="0"/>
    <x v="6"/>
    <x v="6"/>
    <x v="3"/>
    <x v="3"/>
    <x v="28"/>
    <n v="30028"/>
    <x v="189"/>
    <x v="198"/>
    <n v="6800"/>
    <n v="800"/>
  </r>
  <r>
    <n v="409"/>
    <x v="0"/>
    <x v="6"/>
    <x v="6"/>
    <x v="3"/>
    <x v="3"/>
    <x v="29"/>
    <n v="30015"/>
    <x v="74"/>
    <x v="128"/>
    <n v="1600"/>
    <n v="800"/>
  </r>
  <r>
    <n v="410"/>
    <x v="0"/>
    <x v="6"/>
    <x v="6"/>
    <x v="3"/>
    <x v="3"/>
    <x v="91"/>
    <n v="30084"/>
    <x v="123"/>
    <x v="131"/>
    <n v="84"/>
    <n v="700"/>
  </r>
  <r>
    <n v="411"/>
    <x v="0"/>
    <x v="6"/>
    <x v="6"/>
    <x v="3"/>
    <x v="3"/>
    <x v="11"/>
    <n v="30008"/>
    <x v="72"/>
    <x v="72"/>
    <n v="24"/>
    <n v="800"/>
  </r>
  <r>
    <n v="412"/>
    <x v="0"/>
    <x v="6"/>
    <x v="6"/>
    <x v="4"/>
    <x v="4"/>
    <x v="81"/>
    <n v="34042"/>
    <x v="132"/>
    <x v="77"/>
    <n v="7"/>
    <n v="500"/>
  </r>
  <r>
    <n v="413"/>
    <x v="0"/>
    <x v="6"/>
    <x v="6"/>
    <x v="4"/>
    <x v="4"/>
    <x v="30"/>
    <n v="34049"/>
    <x v="170"/>
    <x v="52"/>
    <n v="4"/>
    <n v="444"/>
  </r>
  <r>
    <n v="414"/>
    <x v="0"/>
    <x v="6"/>
    <x v="6"/>
    <x v="4"/>
    <x v="4"/>
    <x v="34"/>
    <n v="34035"/>
    <x v="32"/>
    <x v="67"/>
    <n v="3"/>
    <n v="375"/>
  </r>
  <r>
    <n v="415"/>
    <x v="0"/>
    <x v="6"/>
    <x v="6"/>
    <x v="4"/>
    <x v="4"/>
    <x v="32"/>
    <n v="34014"/>
    <x v="77"/>
    <x v="33"/>
    <n v="2"/>
    <n v="400"/>
  </r>
  <r>
    <n v="416"/>
    <x v="0"/>
    <x v="6"/>
    <x v="6"/>
    <x v="4"/>
    <x v="4"/>
    <x v="33"/>
    <n v="34056"/>
    <x v="47"/>
    <x v="34"/>
    <n v="1"/>
    <n v="500"/>
  </r>
  <r>
    <n v="417"/>
    <x v="0"/>
    <x v="6"/>
    <x v="6"/>
    <x v="4"/>
    <x v="4"/>
    <x v="31"/>
    <n v="34021"/>
    <x v="30"/>
    <x v="34"/>
    <n v="1"/>
    <n v="500"/>
  </r>
  <r>
    <n v="418"/>
    <x v="0"/>
    <x v="6"/>
    <x v="6"/>
    <x v="5"/>
    <x v="5"/>
    <x v="35"/>
    <n v="38014"/>
    <x v="33"/>
    <x v="30"/>
    <n v="4"/>
    <n v="1333"/>
  </r>
  <r>
    <n v="419"/>
    <x v="0"/>
    <x v="6"/>
    <x v="6"/>
    <x v="6"/>
    <x v="6"/>
    <x v="40"/>
    <n v="54021"/>
    <x v="190"/>
    <x v="199"/>
    <n v="513"/>
    <n v="1618"/>
  </r>
  <r>
    <n v="420"/>
    <x v="0"/>
    <x v="6"/>
    <x v="6"/>
    <x v="6"/>
    <x v="6"/>
    <x v="39"/>
    <n v="54007"/>
    <x v="191"/>
    <x v="17"/>
    <n v="407"/>
    <n v="1565"/>
  </r>
  <r>
    <n v="421"/>
    <x v="0"/>
    <x v="6"/>
    <x v="6"/>
    <x v="6"/>
    <x v="6"/>
    <x v="42"/>
    <n v="54105"/>
    <x v="22"/>
    <x v="200"/>
    <n v="224"/>
    <n v="1915"/>
  </r>
  <r>
    <n v="422"/>
    <x v="0"/>
    <x v="6"/>
    <x v="6"/>
    <x v="6"/>
    <x v="6"/>
    <x v="41"/>
    <n v="54098"/>
    <x v="192"/>
    <x v="201"/>
    <n v="68"/>
    <n v="1581"/>
  </r>
  <r>
    <n v="423"/>
    <x v="0"/>
    <x v="6"/>
    <x v="6"/>
    <x v="6"/>
    <x v="6"/>
    <x v="43"/>
    <n v="54035"/>
    <x v="28"/>
    <x v="202"/>
    <n v="53"/>
    <n v="1893"/>
  </r>
  <r>
    <n v="424"/>
    <x v="0"/>
    <x v="6"/>
    <x v="6"/>
    <x v="11"/>
    <x v="11"/>
    <x v="97"/>
    <n v="66147"/>
    <x v="95"/>
    <x v="140"/>
    <n v="27"/>
    <n v="1500"/>
  </r>
  <r>
    <n v="425"/>
    <x v="0"/>
    <x v="6"/>
    <x v="6"/>
    <x v="11"/>
    <x v="11"/>
    <x v="98"/>
    <n v="66049"/>
    <x v="32"/>
    <x v="32"/>
    <n v="16"/>
    <n v="1600"/>
  </r>
  <r>
    <n v="426"/>
    <x v="0"/>
    <x v="6"/>
    <x v="6"/>
    <x v="11"/>
    <x v="11"/>
    <x v="99"/>
    <n v="66084"/>
    <x v="29"/>
    <x v="29"/>
    <n v="11"/>
    <n v="1571"/>
  </r>
  <r>
    <n v="427"/>
    <x v="0"/>
    <x v="6"/>
    <x v="6"/>
    <x v="12"/>
    <x v="12"/>
    <x v="85"/>
    <n v="70070"/>
    <x v="29"/>
    <x v="29"/>
    <n v="8"/>
    <n v="1200"/>
  </r>
  <r>
    <n v="428"/>
    <x v="0"/>
    <x v="6"/>
    <x v="6"/>
    <x v="12"/>
    <x v="12"/>
    <x v="12"/>
    <n v="70028"/>
    <x v="30"/>
    <x v="30"/>
    <n v="4"/>
    <n v="1200"/>
  </r>
  <r>
    <n v="429"/>
    <x v="0"/>
    <x v="6"/>
    <x v="6"/>
    <x v="13"/>
    <x v="13"/>
    <x v="94"/>
    <n v="74035"/>
    <x v="130"/>
    <x v="79"/>
    <n v="11"/>
    <n v="688"/>
  </r>
  <r>
    <n v="430"/>
    <x v="0"/>
    <x v="6"/>
    <x v="6"/>
    <x v="13"/>
    <x v="13"/>
    <x v="95"/>
    <n v="74049"/>
    <x v="29"/>
    <x v="46"/>
    <n v="3"/>
    <n v="750"/>
  </r>
  <r>
    <n v="431"/>
    <x v="0"/>
    <x v="6"/>
    <x v="6"/>
    <x v="13"/>
    <x v="13"/>
    <x v="86"/>
    <n v="74021"/>
    <x v="78"/>
    <x v="183"/>
    <m/>
    <m/>
  </r>
  <r>
    <n v="432"/>
    <x v="0"/>
    <x v="6"/>
    <x v="6"/>
    <x v="13"/>
    <x v="13"/>
    <x v="12"/>
    <n v="74056"/>
    <x v="30"/>
    <x v="183"/>
    <m/>
    <m/>
  </r>
  <r>
    <n v="433"/>
    <x v="0"/>
    <x v="6"/>
    <x v="6"/>
    <x v="7"/>
    <x v="7"/>
    <x v="44"/>
    <n v="82049"/>
    <x v="193"/>
    <x v="203"/>
    <n v="5841"/>
    <n v="596"/>
  </r>
  <r>
    <n v="434"/>
    <x v="0"/>
    <x v="6"/>
    <x v="6"/>
    <x v="7"/>
    <x v="7"/>
    <x v="45"/>
    <n v="82035"/>
    <x v="194"/>
    <x v="204"/>
    <n v="3388"/>
    <n v="750"/>
  </r>
  <r>
    <n v="435"/>
    <x v="0"/>
    <x v="6"/>
    <x v="6"/>
    <x v="7"/>
    <x v="7"/>
    <x v="42"/>
    <n v="82098"/>
    <x v="178"/>
    <x v="205"/>
    <n v="267"/>
    <n v="875"/>
  </r>
  <r>
    <n v="436"/>
    <x v="0"/>
    <x v="6"/>
    <x v="6"/>
    <x v="7"/>
    <x v="7"/>
    <x v="12"/>
    <n v="82063"/>
    <x v="18"/>
    <x v="69"/>
    <n v="144"/>
    <n v="900"/>
  </r>
  <r>
    <n v="437"/>
    <x v="0"/>
    <x v="6"/>
    <x v="6"/>
    <x v="7"/>
    <x v="7"/>
    <x v="46"/>
    <n v="82112"/>
    <x v="195"/>
    <x v="206"/>
    <n v="100"/>
    <n v="840"/>
  </r>
  <r>
    <n v="438"/>
    <x v="0"/>
    <x v="6"/>
    <x v="6"/>
    <x v="7"/>
    <x v="7"/>
    <x v="100"/>
    <n v="82133"/>
    <x v="196"/>
    <x v="39"/>
    <n v="38"/>
    <n v="844"/>
  </r>
  <r>
    <n v="439"/>
    <x v="0"/>
    <x v="6"/>
    <x v="6"/>
    <x v="7"/>
    <x v="7"/>
    <x v="101"/>
    <n v="82070"/>
    <x v="170"/>
    <x v="32"/>
    <n v="9"/>
    <n v="900"/>
  </r>
  <r>
    <n v="440"/>
    <x v="0"/>
    <x v="6"/>
    <x v="6"/>
    <x v="8"/>
    <x v="8"/>
    <x v="53"/>
    <n v="86035"/>
    <x v="197"/>
    <x v="4"/>
    <n v="32"/>
    <n v="889"/>
  </r>
  <r>
    <n v="441"/>
    <x v="0"/>
    <x v="6"/>
    <x v="6"/>
    <x v="8"/>
    <x v="8"/>
    <x v="12"/>
    <n v="86049"/>
    <x v="31"/>
    <x v="31"/>
    <n v="15"/>
    <n v="1000"/>
  </r>
  <r>
    <n v="442"/>
    <x v="0"/>
    <x v="6"/>
    <x v="6"/>
    <x v="8"/>
    <x v="8"/>
    <x v="52"/>
    <n v="86063"/>
    <x v="32"/>
    <x v="29"/>
    <n v="8"/>
    <n v="1142"/>
  </r>
  <r>
    <n v="443"/>
    <x v="0"/>
    <x v="6"/>
    <x v="6"/>
    <x v="8"/>
    <x v="8"/>
    <x v="102"/>
    <n v="86133"/>
    <x v="47"/>
    <x v="46"/>
    <n v="4"/>
    <n v="1000"/>
  </r>
  <r>
    <n v="444"/>
    <x v="0"/>
    <x v="6"/>
    <x v="6"/>
    <x v="8"/>
    <x v="8"/>
    <x v="54"/>
    <n v="86161"/>
    <x v="47"/>
    <x v="46"/>
    <n v="4"/>
    <n v="1000"/>
  </r>
  <r>
    <n v="445"/>
    <x v="0"/>
    <x v="6"/>
    <x v="6"/>
    <x v="8"/>
    <x v="8"/>
    <x v="103"/>
    <n v="86091"/>
    <x v="30"/>
    <x v="30"/>
    <n v="3"/>
    <n v="1000"/>
  </r>
  <r>
    <n v="446"/>
    <x v="0"/>
    <x v="6"/>
    <x v="6"/>
    <x v="8"/>
    <x v="8"/>
    <x v="20"/>
    <n v="86175"/>
    <x v="48"/>
    <x v="47"/>
    <n v="1"/>
    <n v="1000"/>
  </r>
  <r>
    <n v="447"/>
    <x v="0"/>
    <x v="6"/>
    <x v="6"/>
    <x v="9"/>
    <x v="9"/>
    <x v="55"/>
    <n v="90007"/>
    <x v="81"/>
    <x v="114"/>
    <n v="1755"/>
    <n v="1350"/>
  </r>
  <r>
    <n v="448"/>
    <x v="0"/>
    <x v="6"/>
    <x v="6"/>
    <x v="9"/>
    <x v="9"/>
    <x v="65"/>
    <n v="90014"/>
    <x v="179"/>
    <x v="158"/>
    <n v="780"/>
    <n v="1200"/>
  </r>
  <r>
    <n v="449"/>
    <x v="0"/>
    <x v="6"/>
    <x v="6"/>
    <x v="9"/>
    <x v="9"/>
    <x v="66"/>
    <n v="90056"/>
    <x v="75"/>
    <x v="207"/>
    <n v="600"/>
    <n v="1000"/>
  </r>
  <r>
    <n v="450"/>
    <x v="0"/>
    <x v="6"/>
    <x v="6"/>
    <x v="9"/>
    <x v="9"/>
    <x v="14"/>
    <m/>
    <x v="26"/>
    <x v="20"/>
    <n v="105"/>
    <n v="700"/>
  </r>
  <r>
    <n v="451"/>
    <x v="0"/>
    <x v="6"/>
    <x v="6"/>
    <x v="9"/>
    <x v="9"/>
    <x v="64"/>
    <n v="90112"/>
    <x v="61"/>
    <x v="150"/>
    <n v="114"/>
    <n v="877"/>
  </r>
  <r>
    <n v="452"/>
    <x v="0"/>
    <x v="6"/>
    <x v="6"/>
    <x v="9"/>
    <x v="9"/>
    <x v="82"/>
    <n v="90077"/>
    <x v="18"/>
    <x v="23"/>
    <n v="90"/>
    <n v="900"/>
  </r>
  <r>
    <n v="453"/>
    <x v="0"/>
    <x v="6"/>
    <x v="6"/>
    <x v="9"/>
    <x v="9"/>
    <x v="69"/>
    <n v="90035"/>
    <x v="23"/>
    <x v="44"/>
    <n v="80"/>
    <n v="1000"/>
  </r>
  <r>
    <n v="454"/>
    <x v="0"/>
    <x v="7"/>
    <x v="7"/>
    <x v="10"/>
    <x v="10"/>
    <x v="57"/>
    <n v="10077"/>
    <x v="34"/>
    <x v="34"/>
    <n v="2"/>
    <n v="1000"/>
  </r>
  <r>
    <n v="455"/>
    <x v="0"/>
    <x v="7"/>
    <x v="7"/>
    <x v="0"/>
    <x v="0"/>
    <x v="1"/>
    <n v="22049"/>
    <x v="198"/>
    <x v="208"/>
    <n v="96"/>
    <n v="1000"/>
  </r>
  <r>
    <n v="456"/>
    <x v="0"/>
    <x v="7"/>
    <x v="7"/>
    <x v="0"/>
    <x v="0"/>
    <x v="2"/>
    <n v="22140"/>
    <x v="199"/>
    <x v="106"/>
    <n v="42"/>
    <n v="1000"/>
  </r>
  <r>
    <n v="457"/>
    <x v="0"/>
    <x v="7"/>
    <x v="7"/>
    <x v="0"/>
    <x v="0"/>
    <x v="3"/>
    <n v="22084"/>
    <x v="182"/>
    <x v="4"/>
    <n v="36"/>
    <n v="1000"/>
  </r>
  <r>
    <n v="458"/>
    <x v="0"/>
    <x v="7"/>
    <x v="7"/>
    <x v="0"/>
    <x v="0"/>
    <x v="4"/>
    <n v="22014"/>
    <x v="13"/>
    <x v="32"/>
    <n v="10"/>
    <n v="1000"/>
  </r>
  <r>
    <n v="459"/>
    <x v="0"/>
    <x v="7"/>
    <x v="7"/>
    <x v="0"/>
    <x v="0"/>
    <x v="5"/>
    <n v="22091"/>
    <x v="13"/>
    <x v="32"/>
    <n v="10"/>
    <n v="1000"/>
  </r>
  <r>
    <n v="460"/>
    <x v="0"/>
    <x v="7"/>
    <x v="7"/>
    <x v="0"/>
    <x v="0"/>
    <x v="0"/>
    <n v="22105"/>
    <x v="78"/>
    <x v="49"/>
    <n v="6"/>
    <n v="1000"/>
  </r>
  <r>
    <n v="461"/>
    <x v="0"/>
    <x v="7"/>
    <x v="7"/>
    <x v="1"/>
    <x v="1"/>
    <x v="8"/>
    <n v="14119"/>
    <x v="155"/>
    <x v="160"/>
    <n v="25228"/>
    <n v="1401"/>
  </r>
  <r>
    <n v="462"/>
    <x v="0"/>
    <x v="7"/>
    <x v="7"/>
    <x v="1"/>
    <x v="1"/>
    <x v="7"/>
    <n v="14147"/>
    <x v="54"/>
    <x v="53"/>
    <n v="14500"/>
    <n v="1450"/>
  </r>
  <r>
    <n v="463"/>
    <x v="0"/>
    <x v="7"/>
    <x v="7"/>
    <x v="1"/>
    <x v="1"/>
    <x v="10"/>
    <n v="14161"/>
    <x v="157"/>
    <x v="209"/>
    <n v="4800"/>
    <n v="800"/>
  </r>
  <r>
    <n v="464"/>
    <x v="0"/>
    <x v="7"/>
    <x v="7"/>
    <x v="1"/>
    <x v="1"/>
    <x v="9"/>
    <n v="14105"/>
    <x v="159"/>
    <x v="164"/>
    <n v="3850"/>
    <n v="1100"/>
  </r>
  <r>
    <n v="465"/>
    <x v="0"/>
    <x v="7"/>
    <x v="7"/>
    <x v="1"/>
    <x v="1"/>
    <x v="12"/>
    <n v="14014"/>
    <x v="200"/>
    <x v="210"/>
    <n v="4760"/>
    <n v="1400"/>
  </r>
  <r>
    <n v="466"/>
    <x v="0"/>
    <x v="7"/>
    <x v="7"/>
    <x v="1"/>
    <x v="1"/>
    <x v="11"/>
    <n v="14021"/>
    <x v="201"/>
    <x v="211"/>
    <n v="4620"/>
    <n v="1400"/>
  </r>
  <r>
    <n v="467"/>
    <x v="0"/>
    <x v="7"/>
    <x v="7"/>
    <x v="1"/>
    <x v="1"/>
    <x v="13"/>
    <n v="14098"/>
    <x v="14"/>
    <x v="212"/>
    <n v="495"/>
    <n v="1100"/>
  </r>
  <r>
    <n v="468"/>
    <x v="0"/>
    <x v="7"/>
    <x v="7"/>
    <x v="1"/>
    <x v="1"/>
    <x v="70"/>
    <n v="14007"/>
    <x v="26"/>
    <x v="16"/>
    <n v="350"/>
    <n v="1000"/>
  </r>
  <r>
    <n v="469"/>
    <x v="0"/>
    <x v="7"/>
    <x v="7"/>
    <x v="1"/>
    <x v="1"/>
    <x v="84"/>
    <n v="14168"/>
    <x v="26"/>
    <x v="59"/>
    <n v="480"/>
    <n v="1200"/>
  </r>
  <r>
    <n v="470"/>
    <x v="0"/>
    <x v="7"/>
    <x v="7"/>
    <x v="1"/>
    <x v="1"/>
    <x v="96"/>
    <n v="14035"/>
    <x v="23"/>
    <x v="151"/>
    <n v="81"/>
    <n v="900"/>
  </r>
  <r>
    <n v="471"/>
    <x v="0"/>
    <x v="7"/>
    <x v="7"/>
    <x v="1"/>
    <x v="1"/>
    <x v="42"/>
    <n v="14133"/>
    <x v="23"/>
    <x v="151"/>
    <n v="90"/>
    <n v="1000"/>
  </r>
  <r>
    <n v="472"/>
    <x v="0"/>
    <x v="7"/>
    <x v="7"/>
    <x v="2"/>
    <x v="2"/>
    <x v="23"/>
    <n v="18126"/>
    <x v="202"/>
    <x v="213"/>
    <n v="296"/>
    <n v="1000"/>
  </r>
  <r>
    <n v="473"/>
    <x v="0"/>
    <x v="7"/>
    <x v="7"/>
    <x v="2"/>
    <x v="2"/>
    <x v="26"/>
    <n v="18070"/>
    <x v="12"/>
    <x v="214"/>
    <n v="264"/>
    <n v="1100"/>
  </r>
  <r>
    <n v="474"/>
    <x v="0"/>
    <x v="7"/>
    <x v="7"/>
    <x v="2"/>
    <x v="2"/>
    <x v="16"/>
    <n v="18091"/>
    <x v="203"/>
    <x v="179"/>
    <n v="194"/>
    <n v="1000"/>
  </r>
  <r>
    <n v="475"/>
    <x v="0"/>
    <x v="7"/>
    <x v="7"/>
    <x v="2"/>
    <x v="2"/>
    <x v="12"/>
    <n v="18021"/>
    <x v="204"/>
    <x v="215"/>
    <n v="173"/>
    <n v="935"/>
  </r>
  <r>
    <n v="476"/>
    <x v="0"/>
    <x v="7"/>
    <x v="7"/>
    <x v="2"/>
    <x v="2"/>
    <x v="17"/>
    <n v="18042"/>
    <x v="205"/>
    <x v="216"/>
    <n v="147"/>
    <m/>
  </r>
  <r>
    <n v="477"/>
    <x v="0"/>
    <x v="7"/>
    <x v="7"/>
    <x v="2"/>
    <x v="2"/>
    <x v="22"/>
    <n v="18084"/>
    <x v="18"/>
    <x v="69"/>
    <n v="160"/>
    <n v="1000"/>
  </r>
  <r>
    <n v="478"/>
    <x v="0"/>
    <x v="7"/>
    <x v="7"/>
    <x v="2"/>
    <x v="2"/>
    <x v="43"/>
    <n v="18028"/>
    <x v="2"/>
    <x v="217"/>
    <n v="167"/>
    <n v="1099"/>
  </r>
  <r>
    <n v="479"/>
    <x v="0"/>
    <x v="7"/>
    <x v="7"/>
    <x v="2"/>
    <x v="2"/>
    <x v="24"/>
    <n v="18140"/>
    <x v="2"/>
    <x v="217"/>
    <n v="137"/>
    <n v="901"/>
  </r>
  <r>
    <n v="480"/>
    <x v="0"/>
    <x v="7"/>
    <x v="7"/>
    <x v="2"/>
    <x v="2"/>
    <x v="72"/>
    <n v="18063"/>
    <x v="206"/>
    <x v="20"/>
    <n v="165"/>
    <n v="1100"/>
  </r>
  <r>
    <n v="481"/>
    <x v="0"/>
    <x v="7"/>
    <x v="7"/>
    <x v="2"/>
    <x v="2"/>
    <x v="18"/>
    <n v="18049"/>
    <x v="49"/>
    <x v="218"/>
    <n v="147"/>
    <n v="1000"/>
  </r>
  <r>
    <n v="482"/>
    <x v="0"/>
    <x v="7"/>
    <x v="7"/>
    <x v="2"/>
    <x v="2"/>
    <x v="21"/>
    <n v="18007"/>
    <x v="207"/>
    <x v="196"/>
    <n v="114"/>
    <n v="1000"/>
  </r>
  <r>
    <n v="483"/>
    <x v="0"/>
    <x v="7"/>
    <x v="7"/>
    <x v="2"/>
    <x v="2"/>
    <x v="19"/>
    <n v="18133"/>
    <x v="207"/>
    <x v="176"/>
    <n v="104"/>
    <n v="897"/>
  </r>
  <r>
    <n v="484"/>
    <x v="0"/>
    <x v="7"/>
    <x v="7"/>
    <x v="2"/>
    <x v="2"/>
    <x v="71"/>
    <n v="18098"/>
    <x v="208"/>
    <x v="23"/>
    <n v="110"/>
    <n v="1100"/>
  </r>
  <r>
    <n v="485"/>
    <x v="0"/>
    <x v="7"/>
    <x v="7"/>
    <x v="2"/>
    <x v="2"/>
    <x v="73"/>
    <n v="18077"/>
    <x v="23"/>
    <x v="44"/>
    <n v="72"/>
    <n v="900"/>
  </r>
  <r>
    <n v="486"/>
    <x v="0"/>
    <x v="7"/>
    <x v="7"/>
    <x v="2"/>
    <x v="2"/>
    <x v="74"/>
    <n v="18161"/>
    <x v="209"/>
    <x v="180"/>
    <n v="62"/>
    <n v="899"/>
  </r>
  <r>
    <n v="487"/>
    <x v="0"/>
    <x v="7"/>
    <x v="7"/>
    <x v="2"/>
    <x v="2"/>
    <x v="76"/>
    <n v="18154"/>
    <x v="127"/>
    <x v="219"/>
    <n v="62"/>
    <n v="1107"/>
  </r>
  <r>
    <n v="488"/>
    <x v="0"/>
    <x v="7"/>
    <x v="7"/>
    <x v="2"/>
    <x v="2"/>
    <x v="75"/>
    <n v="18014"/>
    <x v="96"/>
    <x v="182"/>
    <n v="26"/>
    <n v="1000"/>
  </r>
  <r>
    <n v="489"/>
    <x v="0"/>
    <x v="7"/>
    <x v="7"/>
    <x v="3"/>
    <x v="3"/>
    <x v="28"/>
    <n v="30028"/>
    <x v="210"/>
    <x v="220"/>
    <n v="11200"/>
    <n v="1600"/>
  </r>
  <r>
    <n v="490"/>
    <x v="0"/>
    <x v="7"/>
    <x v="7"/>
    <x v="3"/>
    <x v="3"/>
    <x v="29"/>
    <n v="30015"/>
    <x v="211"/>
    <x v="128"/>
    <n v="3200"/>
    <n v="1600"/>
  </r>
  <r>
    <n v="491"/>
    <x v="0"/>
    <x v="7"/>
    <x v="7"/>
    <x v="3"/>
    <x v="3"/>
    <x v="11"/>
    <n v="30008"/>
    <x v="44"/>
    <x v="45"/>
    <n v="64"/>
    <n v="1600"/>
  </r>
  <r>
    <n v="492"/>
    <x v="0"/>
    <x v="7"/>
    <x v="7"/>
    <x v="4"/>
    <x v="4"/>
    <x v="81"/>
    <n v="34042"/>
    <x v="72"/>
    <x v="157"/>
    <n v="19"/>
    <n v="704"/>
  </r>
  <r>
    <n v="493"/>
    <x v="0"/>
    <x v="7"/>
    <x v="7"/>
    <x v="4"/>
    <x v="4"/>
    <x v="30"/>
    <n v="34049"/>
    <x v="94"/>
    <x v="80"/>
    <n v="14"/>
    <n v="700"/>
  </r>
  <r>
    <n v="494"/>
    <x v="0"/>
    <x v="7"/>
    <x v="7"/>
    <x v="4"/>
    <x v="4"/>
    <x v="34"/>
    <n v="34035"/>
    <x v="46"/>
    <x v="100"/>
    <n v="12"/>
    <n v="706"/>
  </r>
  <r>
    <n v="495"/>
    <x v="0"/>
    <x v="7"/>
    <x v="7"/>
    <x v="4"/>
    <x v="4"/>
    <x v="32"/>
    <n v="34014"/>
    <x v="31"/>
    <x v="135"/>
    <n v="9"/>
    <n v="692"/>
  </r>
  <r>
    <n v="496"/>
    <x v="0"/>
    <x v="7"/>
    <x v="7"/>
    <x v="4"/>
    <x v="4"/>
    <x v="33"/>
    <n v="34056"/>
    <x v="77"/>
    <x v="29"/>
    <n v="5"/>
    <n v="714"/>
  </r>
  <r>
    <n v="497"/>
    <x v="0"/>
    <x v="7"/>
    <x v="7"/>
    <x v="4"/>
    <x v="4"/>
    <x v="31"/>
    <n v="34021"/>
    <x v="78"/>
    <x v="49"/>
    <n v="4"/>
    <n v="667"/>
  </r>
  <r>
    <n v="498"/>
    <x v="0"/>
    <x v="7"/>
    <x v="7"/>
    <x v="14"/>
    <x v="14"/>
    <x v="104"/>
    <n v="50105"/>
    <x v="212"/>
    <x v="221"/>
    <n v="97"/>
    <n v="1000"/>
  </r>
  <r>
    <n v="499"/>
    <x v="0"/>
    <x v="7"/>
    <x v="7"/>
    <x v="14"/>
    <x v="14"/>
    <x v="105"/>
    <n v="50014"/>
    <x v="31"/>
    <x v="31"/>
    <n v="15"/>
    <n v="1000"/>
  </r>
  <r>
    <n v="500"/>
    <x v="0"/>
    <x v="7"/>
    <x v="7"/>
    <x v="6"/>
    <x v="6"/>
    <x v="40"/>
    <n v="54021"/>
    <x v="213"/>
    <x v="222"/>
    <n v="350"/>
    <n v="886"/>
  </r>
  <r>
    <n v="501"/>
    <x v="0"/>
    <x v="7"/>
    <x v="7"/>
    <x v="6"/>
    <x v="6"/>
    <x v="39"/>
    <n v="54007"/>
    <x v="214"/>
    <x v="223"/>
    <n v="261"/>
    <n v="905"/>
  </r>
  <r>
    <n v="502"/>
    <x v="0"/>
    <x v="7"/>
    <x v="7"/>
    <x v="6"/>
    <x v="6"/>
    <x v="42"/>
    <n v="54105"/>
    <x v="215"/>
    <x v="224"/>
    <n v="148"/>
    <n v="961"/>
  </r>
  <r>
    <n v="503"/>
    <x v="0"/>
    <x v="7"/>
    <x v="7"/>
    <x v="6"/>
    <x v="6"/>
    <x v="41"/>
    <n v="54098"/>
    <x v="89"/>
    <x v="125"/>
    <n v="42"/>
    <n v="792"/>
  </r>
  <r>
    <n v="504"/>
    <x v="0"/>
    <x v="7"/>
    <x v="7"/>
    <x v="6"/>
    <x v="6"/>
    <x v="43"/>
    <n v="54035"/>
    <x v="27"/>
    <x v="225"/>
    <n v="54"/>
    <n v="900"/>
  </r>
  <r>
    <n v="505"/>
    <x v="0"/>
    <x v="7"/>
    <x v="7"/>
    <x v="11"/>
    <x v="11"/>
    <x v="12"/>
    <n v="66028"/>
    <x v="45"/>
    <x v="112"/>
    <n v="16"/>
    <n v="842"/>
  </r>
  <r>
    <n v="506"/>
    <x v="0"/>
    <x v="7"/>
    <x v="7"/>
    <x v="11"/>
    <x v="11"/>
    <x v="93"/>
    <n v="66035"/>
    <x v="31"/>
    <x v="135"/>
    <n v="9"/>
    <n v="692"/>
  </r>
  <r>
    <n v="507"/>
    <x v="0"/>
    <x v="7"/>
    <x v="7"/>
    <x v="11"/>
    <x v="11"/>
    <x v="106"/>
    <n v="66112"/>
    <x v="53"/>
    <x v="67"/>
    <n v="8"/>
    <n v="1000"/>
  </r>
  <r>
    <n v="508"/>
    <x v="0"/>
    <x v="7"/>
    <x v="7"/>
    <x v="11"/>
    <x v="11"/>
    <x v="97"/>
    <n v="66147"/>
    <x v="30"/>
    <x v="30"/>
    <n v="2"/>
    <n v="667"/>
  </r>
  <r>
    <n v="509"/>
    <x v="0"/>
    <x v="7"/>
    <x v="7"/>
    <x v="12"/>
    <x v="12"/>
    <x v="85"/>
    <n v="70070"/>
    <x v="53"/>
    <x v="49"/>
    <n v="7"/>
    <n v="1167"/>
  </r>
  <r>
    <n v="510"/>
    <x v="0"/>
    <x v="7"/>
    <x v="7"/>
    <x v="12"/>
    <x v="12"/>
    <x v="12"/>
    <n v="70028"/>
    <x v="78"/>
    <x v="46"/>
    <n v="5"/>
    <n v="1250"/>
  </r>
  <r>
    <n v="511"/>
    <x v="0"/>
    <x v="7"/>
    <x v="7"/>
    <x v="7"/>
    <x v="7"/>
    <x v="44"/>
    <n v="82049"/>
    <x v="210"/>
    <x v="226"/>
    <n v="7840"/>
    <n v="975"/>
  </r>
  <r>
    <n v="512"/>
    <x v="0"/>
    <x v="7"/>
    <x v="7"/>
    <x v="7"/>
    <x v="7"/>
    <x v="45"/>
    <n v="82035"/>
    <x v="158"/>
    <x v="227"/>
    <n v="4685"/>
    <n v="1233"/>
  </r>
  <r>
    <n v="513"/>
    <x v="0"/>
    <x v="7"/>
    <x v="7"/>
    <x v="7"/>
    <x v="7"/>
    <x v="42"/>
    <n v="82098"/>
    <x v="216"/>
    <x v="228"/>
    <n v="893"/>
    <n v="1000"/>
  </r>
  <r>
    <n v="514"/>
    <x v="0"/>
    <x v="7"/>
    <x v="7"/>
    <x v="7"/>
    <x v="7"/>
    <x v="12"/>
    <n v="82063"/>
    <x v="217"/>
    <x v="229"/>
    <n v="485"/>
    <n v="1000"/>
  </r>
  <r>
    <n v="515"/>
    <x v="0"/>
    <x v="7"/>
    <x v="7"/>
    <x v="7"/>
    <x v="7"/>
    <x v="100"/>
    <n v="82133"/>
    <x v="61"/>
    <x v="193"/>
    <n v="225"/>
    <n v="1000"/>
  </r>
  <r>
    <n v="516"/>
    <x v="0"/>
    <x v="7"/>
    <x v="7"/>
    <x v="7"/>
    <x v="7"/>
    <x v="46"/>
    <n v="82112"/>
    <x v="38"/>
    <x v="38"/>
    <n v="47"/>
    <n v="854"/>
  </r>
  <r>
    <n v="517"/>
    <x v="0"/>
    <x v="7"/>
    <x v="7"/>
    <x v="9"/>
    <x v="9"/>
    <x v="65"/>
    <n v="90014"/>
    <x v="216"/>
    <x v="230"/>
    <n v="620"/>
    <n v="827"/>
  </r>
  <r>
    <n v="518"/>
    <x v="0"/>
    <x v="7"/>
    <x v="7"/>
    <x v="9"/>
    <x v="9"/>
    <x v="66"/>
    <n v="90056"/>
    <x v="11"/>
    <x v="23"/>
    <n v="75"/>
    <n v="750"/>
  </r>
  <r>
    <n v="519"/>
    <x v="0"/>
    <x v="7"/>
    <x v="7"/>
    <x v="9"/>
    <x v="9"/>
    <x v="55"/>
    <n v="90007"/>
    <x v="218"/>
    <x v="59"/>
    <n v="300"/>
    <n v="750"/>
  </r>
  <r>
    <n v="520"/>
    <x v="0"/>
    <x v="7"/>
    <x v="7"/>
    <x v="9"/>
    <x v="9"/>
    <x v="82"/>
    <n v="90077"/>
    <x v="61"/>
    <x v="111"/>
    <n v="42"/>
    <n v="840"/>
  </r>
  <r>
    <n v="521"/>
    <x v="0"/>
    <x v="7"/>
    <x v="7"/>
    <x v="9"/>
    <x v="9"/>
    <x v="64"/>
    <n v="90112"/>
    <x v="18"/>
    <x v="23"/>
    <n v="85"/>
    <n v="850"/>
  </r>
  <r>
    <n v="522"/>
    <x v="0"/>
    <x v="7"/>
    <x v="7"/>
    <x v="9"/>
    <x v="9"/>
    <x v="69"/>
    <n v="90035"/>
    <x v="23"/>
    <x v="111"/>
    <n v="43"/>
    <n v="860"/>
  </r>
  <r>
    <n v="523"/>
    <x v="0"/>
    <x v="7"/>
    <x v="7"/>
    <x v="9"/>
    <x v="9"/>
    <x v="67"/>
    <n v="90070"/>
    <x v="44"/>
    <x v="111"/>
    <n v="35"/>
    <n v="700"/>
  </r>
  <r>
    <n v="524"/>
    <x v="0"/>
    <x v="8"/>
    <x v="8"/>
    <x v="10"/>
    <x v="10"/>
    <x v="57"/>
    <n v="10077"/>
    <x v="47"/>
    <x v="46"/>
    <n v="4"/>
    <n v="1000"/>
  </r>
  <r>
    <n v="525"/>
    <x v="0"/>
    <x v="8"/>
    <x v="8"/>
    <x v="0"/>
    <x v="0"/>
    <x v="1"/>
    <n v="22049"/>
    <x v="219"/>
    <x v="149"/>
    <n v="161"/>
    <n v="848"/>
  </r>
  <r>
    <n v="526"/>
    <x v="0"/>
    <x v="8"/>
    <x v="8"/>
    <x v="0"/>
    <x v="0"/>
    <x v="2"/>
    <n v="22140"/>
    <x v="199"/>
    <x v="231"/>
    <n v="42"/>
    <n v="810"/>
  </r>
  <r>
    <n v="527"/>
    <x v="0"/>
    <x v="8"/>
    <x v="8"/>
    <x v="0"/>
    <x v="0"/>
    <x v="3"/>
    <n v="22084"/>
    <x v="220"/>
    <x v="97"/>
    <n v="37"/>
    <n v="800"/>
  </r>
  <r>
    <n v="528"/>
    <x v="0"/>
    <x v="8"/>
    <x v="8"/>
    <x v="0"/>
    <x v="0"/>
    <x v="0"/>
    <n v="22105"/>
    <x v="45"/>
    <x v="80"/>
    <n v="18"/>
    <n v="900"/>
  </r>
  <r>
    <n v="529"/>
    <x v="0"/>
    <x v="8"/>
    <x v="8"/>
    <x v="0"/>
    <x v="0"/>
    <x v="4"/>
    <n v="22014"/>
    <x v="45"/>
    <x v="80"/>
    <n v="16"/>
    <n v="800"/>
  </r>
  <r>
    <n v="530"/>
    <x v="0"/>
    <x v="8"/>
    <x v="8"/>
    <x v="0"/>
    <x v="0"/>
    <x v="5"/>
    <n v="22091"/>
    <x v="45"/>
    <x v="80"/>
    <n v="16"/>
    <n v="800"/>
  </r>
  <r>
    <n v="531"/>
    <x v="0"/>
    <x v="8"/>
    <x v="8"/>
    <x v="1"/>
    <x v="1"/>
    <x v="8"/>
    <n v="14119"/>
    <x v="221"/>
    <x v="232"/>
    <n v="35200"/>
    <n v="1600"/>
  </r>
  <r>
    <n v="532"/>
    <x v="0"/>
    <x v="8"/>
    <x v="8"/>
    <x v="1"/>
    <x v="1"/>
    <x v="7"/>
    <n v="14147"/>
    <x v="222"/>
    <x v="233"/>
    <n v="15400"/>
    <n v="1100"/>
  </r>
  <r>
    <n v="533"/>
    <x v="0"/>
    <x v="8"/>
    <x v="8"/>
    <x v="1"/>
    <x v="1"/>
    <x v="11"/>
    <n v="14021"/>
    <x v="79"/>
    <x v="81"/>
    <n v="15600"/>
    <n v="1300"/>
  </r>
  <r>
    <n v="534"/>
    <x v="0"/>
    <x v="8"/>
    <x v="8"/>
    <x v="1"/>
    <x v="1"/>
    <x v="10"/>
    <n v="14161"/>
    <x v="41"/>
    <x v="234"/>
    <n v="10518"/>
    <n v="1298"/>
  </r>
  <r>
    <n v="535"/>
    <x v="0"/>
    <x v="8"/>
    <x v="8"/>
    <x v="1"/>
    <x v="1"/>
    <x v="9"/>
    <n v="14105"/>
    <x v="120"/>
    <x v="127"/>
    <n v="5850"/>
    <n v="1300"/>
  </r>
  <r>
    <n v="536"/>
    <x v="0"/>
    <x v="8"/>
    <x v="8"/>
    <x v="1"/>
    <x v="1"/>
    <x v="12"/>
    <n v="14014"/>
    <x v="158"/>
    <x v="163"/>
    <n v="5200"/>
    <n v="1300"/>
  </r>
  <r>
    <n v="537"/>
    <x v="0"/>
    <x v="8"/>
    <x v="8"/>
    <x v="1"/>
    <x v="1"/>
    <x v="13"/>
    <n v="14098"/>
    <x v="11"/>
    <x v="14"/>
    <n v="425"/>
    <n v="850"/>
  </r>
  <r>
    <n v="538"/>
    <x v="0"/>
    <x v="8"/>
    <x v="8"/>
    <x v="1"/>
    <x v="1"/>
    <x v="70"/>
    <n v="14007"/>
    <x v="153"/>
    <x v="59"/>
    <n v="360"/>
    <n v="900"/>
  </r>
  <r>
    <n v="539"/>
    <x v="0"/>
    <x v="8"/>
    <x v="8"/>
    <x v="1"/>
    <x v="1"/>
    <x v="84"/>
    <n v="14168"/>
    <x v="14"/>
    <x v="14"/>
    <n v="650"/>
    <n v="1300"/>
  </r>
  <r>
    <n v="540"/>
    <x v="0"/>
    <x v="8"/>
    <x v="8"/>
    <x v="1"/>
    <x v="1"/>
    <x v="96"/>
    <n v="14035"/>
    <x v="18"/>
    <x v="20"/>
    <n v="127"/>
    <n v="850"/>
  </r>
  <r>
    <n v="541"/>
    <x v="0"/>
    <x v="8"/>
    <x v="8"/>
    <x v="1"/>
    <x v="1"/>
    <x v="107"/>
    <n v="14056"/>
    <x v="23"/>
    <x v="183"/>
    <m/>
    <m/>
  </r>
  <r>
    <n v="542"/>
    <x v="0"/>
    <x v="8"/>
    <x v="8"/>
    <x v="1"/>
    <x v="1"/>
    <x v="42"/>
    <n v="14133"/>
    <x v="23"/>
    <x v="111"/>
    <n v="40"/>
    <n v="800"/>
  </r>
  <r>
    <n v="543"/>
    <x v="0"/>
    <x v="8"/>
    <x v="8"/>
    <x v="2"/>
    <x v="2"/>
    <x v="15"/>
    <n v="18112"/>
    <x v="12"/>
    <x v="17"/>
    <n v="197"/>
    <n v="758"/>
  </r>
  <r>
    <n v="544"/>
    <x v="0"/>
    <x v="8"/>
    <x v="8"/>
    <x v="2"/>
    <x v="2"/>
    <x v="26"/>
    <n v="18070"/>
    <x v="63"/>
    <x v="20"/>
    <n v="120"/>
    <n v="800"/>
  </r>
  <r>
    <n v="545"/>
    <x v="0"/>
    <x v="8"/>
    <x v="8"/>
    <x v="2"/>
    <x v="2"/>
    <x v="23"/>
    <n v="18126"/>
    <x v="19"/>
    <x v="235"/>
    <n v="155"/>
    <n v="1000"/>
  </r>
  <r>
    <n v="546"/>
    <x v="0"/>
    <x v="8"/>
    <x v="8"/>
    <x v="2"/>
    <x v="2"/>
    <x v="16"/>
    <n v="18091"/>
    <x v="223"/>
    <x v="197"/>
    <n v="95"/>
    <n v="1000"/>
  </r>
  <r>
    <n v="547"/>
    <x v="0"/>
    <x v="8"/>
    <x v="8"/>
    <x v="2"/>
    <x v="2"/>
    <x v="20"/>
    <n v="18147"/>
    <x v="223"/>
    <x v="151"/>
    <n v="67"/>
    <n v="744"/>
  </r>
  <r>
    <n v="548"/>
    <x v="0"/>
    <x v="8"/>
    <x v="8"/>
    <x v="2"/>
    <x v="2"/>
    <x v="12"/>
    <n v="18021"/>
    <x v="188"/>
    <x v="197"/>
    <n v="81"/>
    <n v="850"/>
  </r>
  <r>
    <n v="549"/>
    <x v="0"/>
    <x v="8"/>
    <x v="8"/>
    <x v="2"/>
    <x v="2"/>
    <x v="72"/>
    <n v="18063"/>
    <x v="23"/>
    <x v="151"/>
    <n v="108"/>
    <n v="1200"/>
  </r>
  <r>
    <n v="550"/>
    <x v="0"/>
    <x v="8"/>
    <x v="8"/>
    <x v="2"/>
    <x v="2"/>
    <x v="43"/>
    <n v="18028"/>
    <x v="224"/>
    <x v="93"/>
    <n v="72"/>
    <n v="888"/>
  </r>
  <r>
    <n v="551"/>
    <x v="0"/>
    <x v="8"/>
    <x v="8"/>
    <x v="2"/>
    <x v="2"/>
    <x v="17"/>
    <n v="18042"/>
    <x v="224"/>
    <x v="44"/>
    <n v="72"/>
    <n v="900"/>
  </r>
  <r>
    <n v="552"/>
    <x v="0"/>
    <x v="8"/>
    <x v="8"/>
    <x v="2"/>
    <x v="2"/>
    <x v="22"/>
    <n v="18084"/>
    <x v="224"/>
    <x v="44"/>
    <n v="68"/>
    <n v="850"/>
  </r>
  <r>
    <n v="553"/>
    <x v="0"/>
    <x v="8"/>
    <x v="8"/>
    <x v="2"/>
    <x v="2"/>
    <x v="24"/>
    <n v="18140"/>
    <x v="67"/>
    <x v="236"/>
    <n v="65"/>
    <n v="900"/>
  </r>
  <r>
    <n v="554"/>
    <x v="0"/>
    <x v="8"/>
    <x v="8"/>
    <x v="2"/>
    <x v="2"/>
    <x v="78"/>
    <n v="18105"/>
    <x v="89"/>
    <x v="134"/>
    <n v="49"/>
    <n v="700"/>
  </r>
  <r>
    <n v="555"/>
    <x v="0"/>
    <x v="8"/>
    <x v="8"/>
    <x v="2"/>
    <x v="2"/>
    <x v="27"/>
    <n v="18168"/>
    <x v="89"/>
    <x v="134"/>
    <n v="49"/>
    <n v="700"/>
  </r>
  <r>
    <n v="556"/>
    <x v="0"/>
    <x v="8"/>
    <x v="8"/>
    <x v="2"/>
    <x v="2"/>
    <x v="21"/>
    <n v="18007"/>
    <x v="127"/>
    <x v="134"/>
    <n v="70"/>
    <n v="1000"/>
  </r>
  <r>
    <n v="557"/>
    <x v="0"/>
    <x v="8"/>
    <x v="8"/>
    <x v="2"/>
    <x v="2"/>
    <x v="19"/>
    <n v="18133"/>
    <x v="225"/>
    <x v="237"/>
    <n v="48"/>
    <n v="850"/>
  </r>
  <r>
    <n v="558"/>
    <x v="0"/>
    <x v="8"/>
    <x v="8"/>
    <x v="2"/>
    <x v="2"/>
    <x v="73"/>
    <n v="18077"/>
    <x v="44"/>
    <x v="39"/>
    <n v="38"/>
    <n v="850"/>
  </r>
  <r>
    <n v="559"/>
    <x v="0"/>
    <x v="8"/>
    <x v="8"/>
    <x v="2"/>
    <x v="2"/>
    <x v="71"/>
    <n v="18098"/>
    <x v="44"/>
    <x v="111"/>
    <n v="50"/>
    <n v="1000"/>
  </r>
  <r>
    <n v="560"/>
    <x v="0"/>
    <x v="8"/>
    <x v="8"/>
    <x v="2"/>
    <x v="2"/>
    <x v="74"/>
    <n v="18161"/>
    <x v="39"/>
    <x v="45"/>
    <n v="34"/>
    <n v="850"/>
  </r>
  <r>
    <n v="561"/>
    <x v="0"/>
    <x v="8"/>
    <x v="8"/>
    <x v="2"/>
    <x v="2"/>
    <x v="25"/>
    <n v="18035"/>
    <x v="125"/>
    <x v="45"/>
    <n v="28"/>
    <n v="700"/>
  </r>
  <r>
    <n v="562"/>
    <x v="0"/>
    <x v="8"/>
    <x v="8"/>
    <x v="2"/>
    <x v="2"/>
    <x v="77"/>
    <n v="18119"/>
    <x v="125"/>
    <x v="45"/>
    <n v="28"/>
    <n v="700"/>
  </r>
  <r>
    <n v="563"/>
    <x v="0"/>
    <x v="8"/>
    <x v="8"/>
    <x v="2"/>
    <x v="2"/>
    <x v="76"/>
    <n v="18154"/>
    <x v="131"/>
    <x v="139"/>
    <n v="42"/>
    <n v="1200"/>
  </r>
  <r>
    <n v="564"/>
    <x v="0"/>
    <x v="8"/>
    <x v="8"/>
    <x v="2"/>
    <x v="2"/>
    <x v="61"/>
    <n v="18175"/>
    <x v="72"/>
    <x v="72"/>
    <n v="24"/>
    <n v="800"/>
  </r>
  <r>
    <n v="565"/>
    <x v="0"/>
    <x v="8"/>
    <x v="8"/>
    <x v="2"/>
    <x v="2"/>
    <x v="75"/>
    <n v="18014"/>
    <x v="33"/>
    <x v="33"/>
    <n v="6"/>
    <n v="1200"/>
  </r>
  <r>
    <n v="566"/>
    <x v="0"/>
    <x v="8"/>
    <x v="8"/>
    <x v="3"/>
    <x v="3"/>
    <x v="28"/>
    <n v="30028"/>
    <x v="226"/>
    <x v="101"/>
    <n v="2100"/>
    <n v="700"/>
  </r>
  <r>
    <n v="567"/>
    <x v="0"/>
    <x v="8"/>
    <x v="8"/>
    <x v="3"/>
    <x v="3"/>
    <x v="29"/>
    <n v="30015"/>
    <x v="74"/>
    <x v="56"/>
    <n v="720"/>
    <n v="600"/>
  </r>
  <r>
    <n v="568"/>
    <x v="0"/>
    <x v="8"/>
    <x v="8"/>
    <x v="3"/>
    <x v="3"/>
    <x v="108"/>
    <n v="30077"/>
    <x v="23"/>
    <x v="183"/>
    <m/>
    <m/>
  </r>
  <r>
    <n v="569"/>
    <x v="0"/>
    <x v="8"/>
    <x v="8"/>
    <x v="3"/>
    <x v="3"/>
    <x v="92"/>
    <n v="30070"/>
    <x v="181"/>
    <x v="79"/>
    <n v="8"/>
    <n v="500"/>
  </r>
  <r>
    <n v="570"/>
    <x v="0"/>
    <x v="8"/>
    <x v="8"/>
    <x v="3"/>
    <x v="3"/>
    <x v="109"/>
    <n v="30105"/>
    <x v="44"/>
    <x v="183"/>
    <m/>
    <m/>
  </r>
  <r>
    <n v="571"/>
    <x v="0"/>
    <x v="8"/>
    <x v="8"/>
    <x v="3"/>
    <x v="3"/>
    <x v="80"/>
    <n v="30056"/>
    <x v="146"/>
    <x v="183"/>
    <m/>
    <m/>
  </r>
  <r>
    <n v="572"/>
    <x v="0"/>
    <x v="8"/>
    <x v="8"/>
    <x v="3"/>
    <x v="3"/>
    <x v="11"/>
    <n v="30008"/>
    <x v="92"/>
    <x v="13"/>
    <n v="7"/>
    <n v="600"/>
  </r>
  <r>
    <n v="573"/>
    <x v="0"/>
    <x v="8"/>
    <x v="8"/>
    <x v="3"/>
    <x v="3"/>
    <x v="110"/>
    <n v="30042"/>
    <x v="92"/>
    <x v="13"/>
    <n v="6"/>
    <n v="500"/>
  </r>
  <r>
    <n v="574"/>
    <x v="0"/>
    <x v="8"/>
    <x v="8"/>
    <x v="3"/>
    <x v="3"/>
    <x v="111"/>
    <n v="30049"/>
    <x v="29"/>
    <x v="183"/>
    <m/>
    <m/>
  </r>
  <r>
    <n v="575"/>
    <x v="0"/>
    <x v="8"/>
    <x v="8"/>
    <x v="3"/>
    <x v="3"/>
    <x v="112"/>
    <n v="30113"/>
    <x v="33"/>
    <x v="183"/>
    <m/>
    <m/>
  </r>
  <r>
    <n v="576"/>
    <x v="0"/>
    <x v="8"/>
    <x v="8"/>
    <x v="3"/>
    <x v="3"/>
    <x v="91"/>
    <n v="30084"/>
    <x v="30"/>
    <x v="183"/>
    <m/>
    <m/>
  </r>
  <r>
    <n v="577"/>
    <x v="0"/>
    <x v="8"/>
    <x v="8"/>
    <x v="3"/>
    <x v="3"/>
    <x v="79"/>
    <n v="30098"/>
    <x v="34"/>
    <x v="183"/>
    <m/>
    <m/>
  </r>
  <r>
    <n v="578"/>
    <x v="0"/>
    <x v="8"/>
    <x v="8"/>
    <x v="3"/>
    <x v="3"/>
    <x v="113"/>
    <n v="30091"/>
    <x v="48"/>
    <x v="183"/>
    <m/>
    <m/>
  </r>
  <r>
    <n v="579"/>
    <x v="0"/>
    <x v="8"/>
    <x v="8"/>
    <x v="4"/>
    <x v="4"/>
    <x v="81"/>
    <n v="34042"/>
    <x v="50"/>
    <x v="136"/>
    <n v="8"/>
    <n v="727"/>
  </r>
  <r>
    <n v="580"/>
    <x v="0"/>
    <x v="8"/>
    <x v="8"/>
    <x v="4"/>
    <x v="4"/>
    <x v="31"/>
    <n v="34021"/>
    <x v="32"/>
    <x v="32"/>
    <n v="7"/>
    <n v="700"/>
  </r>
  <r>
    <n v="581"/>
    <x v="0"/>
    <x v="8"/>
    <x v="8"/>
    <x v="4"/>
    <x v="4"/>
    <x v="34"/>
    <n v="34035"/>
    <x v="78"/>
    <x v="49"/>
    <n v="4"/>
    <n v="667"/>
  </r>
  <r>
    <n v="582"/>
    <x v="0"/>
    <x v="8"/>
    <x v="8"/>
    <x v="4"/>
    <x v="4"/>
    <x v="30"/>
    <n v="34049"/>
    <x v="78"/>
    <x v="49"/>
    <n v="4"/>
    <n v="667"/>
  </r>
  <r>
    <n v="583"/>
    <x v="0"/>
    <x v="8"/>
    <x v="8"/>
    <x v="5"/>
    <x v="5"/>
    <x v="35"/>
    <n v="38014"/>
    <x v="30"/>
    <x v="30"/>
    <n v="3"/>
    <n v="900"/>
  </r>
  <r>
    <n v="584"/>
    <x v="0"/>
    <x v="8"/>
    <x v="8"/>
    <x v="14"/>
    <x v="14"/>
    <x v="104"/>
    <n v="50105"/>
    <x v="85"/>
    <x v="215"/>
    <n v="148"/>
    <n v="800"/>
  </r>
  <r>
    <n v="585"/>
    <x v="0"/>
    <x v="8"/>
    <x v="8"/>
    <x v="14"/>
    <x v="14"/>
    <x v="105"/>
    <n v="50014"/>
    <x v="89"/>
    <x v="39"/>
    <n v="36"/>
    <n v="800"/>
  </r>
  <r>
    <n v="586"/>
    <x v="0"/>
    <x v="8"/>
    <x v="8"/>
    <x v="6"/>
    <x v="6"/>
    <x v="40"/>
    <n v="54021"/>
    <x v="227"/>
    <x v="238"/>
    <n v="397"/>
    <n v="1454"/>
  </r>
  <r>
    <n v="587"/>
    <x v="0"/>
    <x v="8"/>
    <x v="8"/>
    <x v="6"/>
    <x v="6"/>
    <x v="114"/>
    <n v="54014"/>
    <x v="173"/>
    <x v="63"/>
    <n v="324"/>
    <n v="1800"/>
  </r>
  <r>
    <n v="588"/>
    <x v="0"/>
    <x v="8"/>
    <x v="8"/>
    <x v="6"/>
    <x v="6"/>
    <x v="41"/>
    <n v="54098"/>
    <x v="86"/>
    <x v="239"/>
    <n v="109"/>
    <n v="1400"/>
  </r>
  <r>
    <n v="589"/>
    <x v="0"/>
    <x v="8"/>
    <x v="8"/>
    <x v="6"/>
    <x v="6"/>
    <x v="39"/>
    <n v="54007"/>
    <x v="168"/>
    <x v="173"/>
    <n v="169"/>
    <n v="1800"/>
  </r>
  <r>
    <n v="590"/>
    <x v="0"/>
    <x v="8"/>
    <x v="8"/>
    <x v="6"/>
    <x v="6"/>
    <x v="42"/>
    <n v="54105"/>
    <x v="220"/>
    <x v="45"/>
    <n v="56"/>
    <n v="1400"/>
  </r>
  <r>
    <n v="591"/>
    <x v="0"/>
    <x v="8"/>
    <x v="8"/>
    <x v="6"/>
    <x v="6"/>
    <x v="115"/>
    <n v="54056"/>
    <x v="76"/>
    <x v="157"/>
    <n v="40"/>
    <n v="1500"/>
  </r>
  <r>
    <n v="592"/>
    <x v="0"/>
    <x v="8"/>
    <x v="8"/>
    <x v="6"/>
    <x v="6"/>
    <x v="37"/>
    <n v="54112"/>
    <x v="40"/>
    <x v="40"/>
    <n v="40"/>
    <n v="1900"/>
  </r>
  <r>
    <n v="593"/>
    <x v="0"/>
    <x v="8"/>
    <x v="8"/>
    <x v="6"/>
    <x v="6"/>
    <x v="43"/>
    <n v="54035"/>
    <x v="95"/>
    <x v="79"/>
    <n v="29"/>
    <n v="1800"/>
  </r>
  <r>
    <n v="594"/>
    <x v="0"/>
    <x v="8"/>
    <x v="8"/>
    <x v="6"/>
    <x v="6"/>
    <x v="116"/>
    <n v="54063"/>
    <x v="31"/>
    <x v="31"/>
    <n v="27"/>
    <n v="1800"/>
  </r>
  <r>
    <n v="595"/>
    <x v="0"/>
    <x v="8"/>
    <x v="8"/>
    <x v="6"/>
    <x v="6"/>
    <x v="12"/>
    <n v="54028"/>
    <x v="78"/>
    <x v="49"/>
    <n v="9"/>
    <n v="1500"/>
  </r>
  <r>
    <n v="596"/>
    <x v="0"/>
    <x v="8"/>
    <x v="8"/>
    <x v="11"/>
    <x v="11"/>
    <x v="12"/>
    <n v="66028"/>
    <x v="92"/>
    <x v="98"/>
    <n v="21"/>
    <n v="913"/>
  </r>
  <r>
    <n v="597"/>
    <x v="0"/>
    <x v="8"/>
    <x v="8"/>
    <x v="11"/>
    <x v="11"/>
    <x v="93"/>
    <n v="66035"/>
    <x v="32"/>
    <x v="52"/>
    <n v="7"/>
    <n v="800"/>
  </r>
  <r>
    <n v="598"/>
    <x v="0"/>
    <x v="8"/>
    <x v="8"/>
    <x v="11"/>
    <x v="11"/>
    <x v="106"/>
    <n v="66112"/>
    <x v="32"/>
    <x v="32"/>
    <n v="10"/>
    <n v="1000"/>
  </r>
  <r>
    <n v="599"/>
    <x v="0"/>
    <x v="8"/>
    <x v="8"/>
    <x v="11"/>
    <x v="11"/>
    <x v="97"/>
    <n v="66147"/>
    <x v="33"/>
    <x v="33"/>
    <n v="4"/>
    <n v="900"/>
  </r>
  <r>
    <n v="600"/>
    <x v="0"/>
    <x v="8"/>
    <x v="8"/>
    <x v="11"/>
    <x v="11"/>
    <x v="98"/>
    <n v="66049"/>
    <x v="34"/>
    <x v="34"/>
    <n v="2"/>
    <n v="1000"/>
  </r>
  <r>
    <n v="601"/>
    <x v="0"/>
    <x v="8"/>
    <x v="8"/>
    <x v="11"/>
    <x v="11"/>
    <x v="117"/>
    <n v="66007"/>
    <x v="48"/>
    <x v="47"/>
    <n v="1"/>
    <n v="1000"/>
  </r>
  <r>
    <n v="602"/>
    <x v="0"/>
    <x v="8"/>
    <x v="8"/>
    <x v="12"/>
    <x v="12"/>
    <x v="85"/>
    <n v="70070"/>
    <x v="29"/>
    <x v="29"/>
    <n v="6"/>
    <n v="900"/>
  </r>
  <r>
    <n v="603"/>
    <x v="0"/>
    <x v="8"/>
    <x v="8"/>
    <x v="13"/>
    <x v="13"/>
    <x v="94"/>
    <n v="74035"/>
    <x v="96"/>
    <x v="183"/>
    <m/>
    <m/>
  </r>
  <r>
    <n v="604"/>
    <x v="0"/>
    <x v="8"/>
    <x v="8"/>
    <x v="13"/>
    <x v="13"/>
    <x v="87"/>
    <n v="74028"/>
    <x v="146"/>
    <x v="183"/>
    <m/>
    <m/>
  </r>
  <r>
    <n v="605"/>
    <x v="0"/>
    <x v="8"/>
    <x v="8"/>
    <x v="13"/>
    <x v="13"/>
    <x v="86"/>
    <n v="74021"/>
    <x v="31"/>
    <x v="183"/>
    <m/>
    <m/>
  </r>
  <r>
    <n v="606"/>
    <x v="0"/>
    <x v="8"/>
    <x v="8"/>
    <x v="13"/>
    <x v="13"/>
    <x v="95"/>
    <n v="74049"/>
    <x v="32"/>
    <x v="183"/>
    <m/>
    <m/>
  </r>
  <r>
    <n v="607"/>
    <x v="0"/>
    <x v="8"/>
    <x v="8"/>
    <x v="13"/>
    <x v="13"/>
    <x v="88"/>
    <n v="74063"/>
    <x v="33"/>
    <x v="183"/>
    <m/>
    <m/>
  </r>
  <r>
    <n v="608"/>
    <x v="0"/>
    <x v="8"/>
    <x v="8"/>
    <x v="7"/>
    <x v="7"/>
    <x v="44"/>
    <n v="82049"/>
    <x v="228"/>
    <x v="240"/>
    <n v="9173"/>
    <n v="1142"/>
  </r>
  <r>
    <n v="609"/>
    <x v="0"/>
    <x v="8"/>
    <x v="8"/>
    <x v="7"/>
    <x v="7"/>
    <x v="45"/>
    <n v="82035"/>
    <x v="229"/>
    <x v="174"/>
    <n v="5500"/>
    <n v="1250"/>
  </r>
  <r>
    <n v="610"/>
    <x v="0"/>
    <x v="8"/>
    <x v="8"/>
    <x v="7"/>
    <x v="7"/>
    <x v="42"/>
    <n v="82098"/>
    <x v="230"/>
    <x v="241"/>
    <n v="484"/>
    <n v="1100"/>
  </r>
  <r>
    <n v="611"/>
    <x v="0"/>
    <x v="8"/>
    <x v="8"/>
    <x v="7"/>
    <x v="7"/>
    <x v="100"/>
    <n v="82133"/>
    <x v="231"/>
    <x v="59"/>
    <n v="400"/>
    <n v="1000"/>
  </r>
  <r>
    <n v="612"/>
    <x v="0"/>
    <x v="8"/>
    <x v="8"/>
    <x v="7"/>
    <x v="7"/>
    <x v="12"/>
    <n v="82063"/>
    <x v="86"/>
    <x v="151"/>
    <n v="90"/>
    <n v="1000"/>
  </r>
  <r>
    <n v="613"/>
    <x v="0"/>
    <x v="8"/>
    <x v="8"/>
    <x v="7"/>
    <x v="7"/>
    <x v="46"/>
    <n v="82112"/>
    <x v="89"/>
    <x v="134"/>
    <n v="70"/>
    <n v="1000"/>
  </r>
  <r>
    <n v="614"/>
    <x v="0"/>
    <x v="8"/>
    <x v="8"/>
    <x v="7"/>
    <x v="7"/>
    <x v="118"/>
    <n v="82091"/>
    <x v="31"/>
    <x v="31"/>
    <n v="14"/>
    <n v="950"/>
  </r>
  <r>
    <n v="615"/>
    <x v="0"/>
    <x v="8"/>
    <x v="8"/>
    <x v="7"/>
    <x v="7"/>
    <x v="119"/>
    <n v="82021"/>
    <x v="78"/>
    <x v="49"/>
    <n v="5"/>
    <n v="820"/>
  </r>
  <r>
    <n v="616"/>
    <x v="0"/>
    <x v="8"/>
    <x v="8"/>
    <x v="8"/>
    <x v="8"/>
    <x v="120"/>
    <n v="86042"/>
    <x v="13"/>
    <x v="29"/>
    <n v="7"/>
    <n v="1000"/>
  </r>
  <r>
    <n v="617"/>
    <x v="0"/>
    <x v="8"/>
    <x v="8"/>
    <x v="8"/>
    <x v="8"/>
    <x v="48"/>
    <n v="86098"/>
    <x v="77"/>
    <x v="49"/>
    <n v="6"/>
    <n v="1000"/>
  </r>
  <r>
    <n v="618"/>
    <x v="0"/>
    <x v="8"/>
    <x v="8"/>
    <x v="9"/>
    <x v="9"/>
    <x v="65"/>
    <n v="90014"/>
    <x v="232"/>
    <x v="11"/>
    <n v="1338"/>
    <n v="1338"/>
  </r>
  <r>
    <n v="619"/>
    <x v="0"/>
    <x v="8"/>
    <x v="8"/>
    <x v="9"/>
    <x v="9"/>
    <x v="55"/>
    <n v="90007"/>
    <x v="58"/>
    <x v="14"/>
    <n v="500"/>
    <n v="1000"/>
  </r>
  <r>
    <n v="620"/>
    <x v="0"/>
    <x v="8"/>
    <x v="8"/>
    <x v="9"/>
    <x v="9"/>
    <x v="66"/>
    <n v="90056"/>
    <x v="14"/>
    <x v="61"/>
    <n v="225"/>
    <n v="900"/>
  </r>
  <r>
    <n v="621"/>
    <x v="0"/>
    <x v="8"/>
    <x v="8"/>
    <x v="9"/>
    <x v="9"/>
    <x v="82"/>
    <n v="90077"/>
    <x v="18"/>
    <x v="23"/>
    <n v="80"/>
    <n v="800"/>
  </r>
  <r>
    <n v="622"/>
    <x v="0"/>
    <x v="8"/>
    <x v="8"/>
    <x v="9"/>
    <x v="9"/>
    <x v="64"/>
    <n v="90112"/>
    <x v="20"/>
    <x v="134"/>
    <n v="84"/>
    <n v="1200"/>
  </r>
  <r>
    <n v="623"/>
    <x v="0"/>
    <x v="9"/>
    <x v="9"/>
    <x v="15"/>
    <x v="15"/>
    <x v="37"/>
    <n v="6770"/>
    <x v="118"/>
    <x v="125"/>
    <n v="76"/>
    <n v="1434"/>
  </r>
  <r>
    <n v="624"/>
    <x v="0"/>
    <x v="9"/>
    <x v="9"/>
    <x v="15"/>
    <x v="15"/>
    <x v="121"/>
    <n v="6077"/>
    <x v="34"/>
    <x v="34"/>
    <n v="2"/>
    <n v="1000"/>
  </r>
  <r>
    <n v="625"/>
    <x v="0"/>
    <x v="9"/>
    <x v="9"/>
    <x v="15"/>
    <x v="15"/>
    <x v="122"/>
    <n v="6351"/>
    <x v="34"/>
    <x v="34"/>
    <n v="1"/>
    <n v="500"/>
  </r>
  <r>
    <n v="626"/>
    <x v="0"/>
    <x v="9"/>
    <x v="9"/>
    <x v="15"/>
    <x v="15"/>
    <x v="123"/>
    <n v="6679"/>
    <x v="34"/>
    <x v="183"/>
    <m/>
    <m/>
  </r>
  <r>
    <n v="627"/>
    <x v="0"/>
    <x v="9"/>
    <x v="9"/>
    <x v="15"/>
    <x v="15"/>
    <x v="124"/>
    <n v="6112"/>
    <x v="48"/>
    <x v="47"/>
    <n v="1"/>
    <n v="1000"/>
  </r>
  <r>
    <n v="628"/>
    <x v="0"/>
    <x v="9"/>
    <x v="9"/>
    <x v="15"/>
    <x v="15"/>
    <x v="125"/>
    <n v="6224"/>
    <x v="48"/>
    <x v="183"/>
    <m/>
    <m/>
  </r>
  <r>
    <n v="629"/>
    <x v="0"/>
    <x v="9"/>
    <x v="9"/>
    <x v="15"/>
    <x v="15"/>
    <x v="126"/>
    <n v="6469"/>
    <x v="48"/>
    <x v="183"/>
    <m/>
    <m/>
  </r>
  <r>
    <n v="630"/>
    <x v="0"/>
    <x v="9"/>
    <x v="9"/>
    <x v="15"/>
    <x v="15"/>
    <x v="127"/>
    <n v="6609"/>
    <x v="48"/>
    <x v="183"/>
    <m/>
    <m/>
  </r>
  <r>
    <n v="631"/>
    <x v="0"/>
    <x v="9"/>
    <x v="9"/>
    <x v="15"/>
    <x v="15"/>
    <x v="128"/>
    <n v="6728"/>
    <x v="48"/>
    <x v="47"/>
    <n v="1"/>
    <n v="1000"/>
  </r>
  <r>
    <n v="632"/>
    <x v="0"/>
    <x v="9"/>
    <x v="9"/>
    <x v="15"/>
    <x v="15"/>
    <x v="129"/>
    <n v="6826"/>
    <x v="48"/>
    <x v="183"/>
    <m/>
    <m/>
  </r>
  <r>
    <n v="633"/>
    <x v="0"/>
    <x v="9"/>
    <x v="9"/>
    <x v="10"/>
    <x v="10"/>
    <x v="57"/>
    <n v="10077"/>
    <x v="34"/>
    <x v="183"/>
    <m/>
    <m/>
  </r>
  <r>
    <n v="634"/>
    <x v="0"/>
    <x v="9"/>
    <x v="9"/>
    <x v="10"/>
    <x v="10"/>
    <x v="92"/>
    <n v="10070"/>
    <x v="48"/>
    <x v="183"/>
    <m/>
    <m/>
  </r>
  <r>
    <n v="635"/>
    <x v="0"/>
    <x v="9"/>
    <x v="9"/>
    <x v="0"/>
    <x v="0"/>
    <x v="2"/>
    <n v="22140"/>
    <x v="71"/>
    <x v="236"/>
    <n v="57"/>
    <n v="792"/>
  </r>
  <r>
    <n v="636"/>
    <x v="0"/>
    <x v="9"/>
    <x v="9"/>
    <x v="0"/>
    <x v="0"/>
    <x v="1"/>
    <n v="22049"/>
    <x v="119"/>
    <x v="30"/>
    <n v="1"/>
    <n v="333"/>
  </r>
  <r>
    <n v="637"/>
    <x v="0"/>
    <x v="9"/>
    <x v="9"/>
    <x v="0"/>
    <x v="0"/>
    <x v="0"/>
    <n v="22105"/>
    <x v="170"/>
    <x v="34"/>
    <n v="1"/>
    <n v="500"/>
  </r>
  <r>
    <n v="638"/>
    <x v="0"/>
    <x v="9"/>
    <x v="9"/>
    <x v="0"/>
    <x v="0"/>
    <x v="4"/>
    <n v="22014"/>
    <x v="170"/>
    <x v="77"/>
    <n v="8"/>
    <n v="571"/>
  </r>
  <r>
    <n v="639"/>
    <x v="0"/>
    <x v="9"/>
    <x v="9"/>
    <x v="0"/>
    <x v="0"/>
    <x v="130"/>
    <n v="22063"/>
    <x v="29"/>
    <x v="183"/>
    <m/>
    <m/>
  </r>
  <r>
    <n v="640"/>
    <x v="0"/>
    <x v="9"/>
    <x v="9"/>
    <x v="0"/>
    <x v="0"/>
    <x v="5"/>
    <n v="22091"/>
    <x v="29"/>
    <x v="33"/>
    <n v="2"/>
    <n v="400"/>
  </r>
  <r>
    <n v="641"/>
    <x v="0"/>
    <x v="9"/>
    <x v="9"/>
    <x v="0"/>
    <x v="0"/>
    <x v="3"/>
    <n v="22084"/>
    <x v="34"/>
    <x v="183"/>
    <m/>
    <m/>
  </r>
  <r>
    <n v="642"/>
    <x v="0"/>
    <x v="9"/>
    <x v="9"/>
    <x v="0"/>
    <x v="0"/>
    <x v="6"/>
    <n v="22161"/>
    <x v="48"/>
    <x v="183"/>
    <m/>
    <m/>
  </r>
  <r>
    <n v="643"/>
    <x v="0"/>
    <x v="9"/>
    <x v="9"/>
    <x v="1"/>
    <x v="1"/>
    <x v="7"/>
    <n v="14147"/>
    <x v="233"/>
    <x v="242"/>
    <n v="22051"/>
    <n v="571"/>
  </r>
  <r>
    <n v="644"/>
    <x v="0"/>
    <x v="9"/>
    <x v="9"/>
    <x v="1"/>
    <x v="1"/>
    <x v="8"/>
    <n v="14119"/>
    <x v="234"/>
    <x v="243"/>
    <n v="12920"/>
    <n v="648"/>
  </r>
  <r>
    <n v="645"/>
    <x v="0"/>
    <x v="9"/>
    <x v="9"/>
    <x v="1"/>
    <x v="1"/>
    <x v="9"/>
    <n v="14105"/>
    <x v="235"/>
    <x v="244"/>
    <n v="3305"/>
    <n v="507"/>
  </r>
  <r>
    <n v="646"/>
    <x v="0"/>
    <x v="9"/>
    <x v="9"/>
    <x v="1"/>
    <x v="1"/>
    <x v="10"/>
    <n v="14161"/>
    <x v="236"/>
    <x v="245"/>
    <n v="10106"/>
    <n v="1179"/>
  </r>
  <r>
    <n v="647"/>
    <x v="0"/>
    <x v="9"/>
    <x v="9"/>
    <x v="1"/>
    <x v="1"/>
    <x v="70"/>
    <n v="14007"/>
    <x v="237"/>
    <x v="246"/>
    <n v="6413"/>
    <n v="1252"/>
  </r>
  <r>
    <n v="648"/>
    <x v="0"/>
    <x v="9"/>
    <x v="9"/>
    <x v="1"/>
    <x v="1"/>
    <x v="12"/>
    <n v="14014"/>
    <x v="238"/>
    <x v="247"/>
    <n v="969"/>
    <n v="737"/>
  </r>
  <r>
    <n v="649"/>
    <x v="0"/>
    <x v="9"/>
    <x v="9"/>
    <x v="1"/>
    <x v="1"/>
    <x v="11"/>
    <n v="14021"/>
    <x v="239"/>
    <x v="248"/>
    <n v="640"/>
    <n v="546"/>
  </r>
  <r>
    <n v="650"/>
    <x v="0"/>
    <x v="9"/>
    <x v="9"/>
    <x v="1"/>
    <x v="1"/>
    <x v="13"/>
    <n v="14098"/>
    <x v="240"/>
    <x v="249"/>
    <n v="658"/>
    <n v="763"/>
  </r>
  <r>
    <n v="651"/>
    <x v="0"/>
    <x v="9"/>
    <x v="9"/>
    <x v="1"/>
    <x v="1"/>
    <x v="131"/>
    <n v="14126"/>
    <x v="241"/>
    <x v="250"/>
    <n v="418"/>
    <n v="1112"/>
  </r>
  <r>
    <n v="652"/>
    <x v="0"/>
    <x v="9"/>
    <x v="9"/>
    <x v="1"/>
    <x v="1"/>
    <x v="89"/>
    <n v="14042"/>
    <x v="190"/>
    <x v="251"/>
    <n v="207"/>
    <n v="623"/>
  </r>
  <r>
    <n v="653"/>
    <x v="0"/>
    <x v="9"/>
    <x v="9"/>
    <x v="1"/>
    <x v="1"/>
    <x v="84"/>
    <n v="14168"/>
    <x v="242"/>
    <x v="18"/>
    <n v="93"/>
    <n v="465"/>
  </r>
  <r>
    <n v="654"/>
    <x v="0"/>
    <x v="9"/>
    <x v="9"/>
    <x v="1"/>
    <x v="1"/>
    <x v="42"/>
    <n v="14133"/>
    <x v="166"/>
    <x v="21"/>
    <n v="141"/>
    <n v="1007"/>
  </r>
  <r>
    <n v="655"/>
    <x v="0"/>
    <x v="9"/>
    <x v="9"/>
    <x v="1"/>
    <x v="1"/>
    <x v="46"/>
    <n v="14140"/>
    <x v="39"/>
    <x v="49"/>
    <n v="3"/>
    <n v="500"/>
  </r>
  <r>
    <n v="656"/>
    <x v="0"/>
    <x v="9"/>
    <x v="9"/>
    <x v="1"/>
    <x v="1"/>
    <x v="132"/>
    <n v="14049"/>
    <x v="101"/>
    <x v="102"/>
    <n v="22"/>
    <n v="687"/>
  </r>
  <r>
    <n v="657"/>
    <x v="0"/>
    <x v="9"/>
    <x v="9"/>
    <x v="1"/>
    <x v="1"/>
    <x v="133"/>
    <n v="14112"/>
    <x v="132"/>
    <x v="31"/>
    <n v="2"/>
    <n v="133"/>
  </r>
  <r>
    <n v="658"/>
    <x v="0"/>
    <x v="9"/>
    <x v="9"/>
    <x v="1"/>
    <x v="1"/>
    <x v="134"/>
    <n v="14091"/>
    <x v="50"/>
    <x v="33"/>
    <n v="6"/>
    <n v="1200"/>
  </r>
  <r>
    <n v="659"/>
    <x v="0"/>
    <x v="9"/>
    <x v="9"/>
    <x v="1"/>
    <x v="1"/>
    <x v="90"/>
    <n v="14182"/>
    <x v="53"/>
    <x v="46"/>
    <n v="9"/>
    <n v="2250"/>
  </r>
  <r>
    <n v="660"/>
    <x v="0"/>
    <x v="9"/>
    <x v="9"/>
    <x v="1"/>
    <x v="1"/>
    <x v="107"/>
    <n v="14056"/>
    <x v="34"/>
    <x v="34"/>
    <n v="2"/>
    <n v="1000"/>
  </r>
  <r>
    <n v="661"/>
    <x v="0"/>
    <x v="9"/>
    <x v="9"/>
    <x v="1"/>
    <x v="1"/>
    <x v="135"/>
    <n v="14028"/>
    <x v="48"/>
    <x v="183"/>
    <m/>
    <m/>
  </r>
  <r>
    <n v="662"/>
    <x v="0"/>
    <x v="9"/>
    <x v="9"/>
    <x v="1"/>
    <x v="1"/>
    <x v="136"/>
    <n v="14070"/>
    <x v="48"/>
    <x v="183"/>
    <m/>
    <m/>
  </r>
  <r>
    <n v="663"/>
    <x v="0"/>
    <x v="9"/>
    <x v="9"/>
    <x v="2"/>
    <x v="2"/>
    <x v="15"/>
    <n v="18112"/>
    <x v="243"/>
    <x v="252"/>
    <n v="726"/>
    <n v="710"/>
  </r>
  <r>
    <n v="664"/>
    <x v="0"/>
    <x v="9"/>
    <x v="9"/>
    <x v="2"/>
    <x v="2"/>
    <x v="26"/>
    <n v="18070"/>
    <x v="244"/>
    <x v="253"/>
    <n v="98"/>
    <n v="390"/>
  </r>
  <r>
    <n v="665"/>
    <x v="0"/>
    <x v="9"/>
    <x v="9"/>
    <x v="2"/>
    <x v="2"/>
    <x v="18"/>
    <n v="18049"/>
    <x v="206"/>
    <x v="254"/>
    <n v="174"/>
    <n v="1074"/>
  </r>
  <r>
    <n v="666"/>
    <x v="0"/>
    <x v="9"/>
    <x v="9"/>
    <x v="2"/>
    <x v="2"/>
    <x v="77"/>
    <n v="18119"/>
    <x v="22"/>
    <x v="255"/>
    <n v="76"/>
    <n v="589"/>
  </r>
  <r>
    <n v="667"/>
    <x v="0"/>
    <x v="9"/>
    <x v="9"/>
    <x v="2"/>
    <x v="2"/>
    <x v="24"/>
    <n v="18140"/>
    <x v="245"/>
    <x v="173"/>
    <n v="48"/>
    <n v="511"/>
  </r>
  <r>
    <n v="668"/>
    <x v="0"/>
    <x v="9"/>
    <x v="9"/>
    <x v="2"/>
    <x v="2"/>
    <x v="20"/>
    <n v="18147"/>
    <x v="246"/>
    <x v="256"/>
    <n v="22"/>
    <n v="373"/>
  </r>
  <r>
    <n v="669"/>
    <x v="0"/>
    <x v="9"/>
    <x v="9"/>
    <x v="2"/>
    <x v="2"/>
    <x v="71"/>
    <n v="18098"/>
    <x v="144"/>
    <x v="97"/>
    <n v="21"/>
    <n v="437"/>
  </r>
  <r>
    <n v="670"/>
    <x v="0"/>
    <x v="9"/>
    <x v="9"/>
    <x v="2"/>
    <x v="2"/>
    <x v="16"/>
    <n v="18091"/>
    <x v="247"/>
    <x v="105"/>
    <n v="63"/>
    <n v="750"/>
  </r>
  <r>
    <n v="671"/>
    <x v="0"/>
    <x v="9"/>
    <x v="9"/>
    <x v="2"/>
    <x v="2"/>
    <x v="17"/>
    <n v="18042"/>
    <x v="67"/>
    <x v="257"/>
    <n v="43"/>
    <n v="632"/>
  </r>
  <r>
    <n v="672"/>
    <x v="0"/>
    <x v="9"/>
    <x v="9"/>
    <x v="2"/>
    <x v="2"/>
    <x v="12"/>
    <n v="18021"/>
    <x v="248"/>
    <x v="258"/>
    <n v="25"/>
    <n v="862"/>
  </r>
  <r>
    <n v="673"/>
    <x v="0"/>
    <x v="9"/>
    <x v="9"/>
    <x v="2"/>
    <x v="2"/>
    <x v="23"/>
    <n v="18126"/>
    <x v="249"/>
    <x v="27"/>
    <n v="43"/>
    <n v="662"/>
  </r>
  <r>
    <n v="674"/>
    <x v="0"/>
    <x v="9"/>
    <x v="9"/>
    <x v="2"/>
    <x v="2"/>
    <x v="74"/>
    <n v="18161"/>
    <x v="250"/>
    <x v="139"/>
    <n v="21"/>
    <n v="600"/>
  </r>
  <r>
    <n v="675"/>
    <x v="0"/>
    <x v="9"/>
    <x v="9"/>
    <x v="2"/>
    <x v="2"/>
    <x v="76"/>
    <n v="18154"/>
    <x v="38"/>
    <x v="5"/>
    <n v="11"/>
    <n v="333"/>
  </r>
  <r>
    <n v="676"/>
    <x v="0"/>
    <x v="9"/>
    <x v="9"/>
    <x v="2"/>
    <x v="2"/>
    <x v="21"/>
    <n v="18007"/>
    <x v="175"/>
    <x v="259"/>
    <n v="17"/>
    <n v="370"/>
  </r>
  <r>
    <n v="677"/>
    <x v="0"/>
    <x v="9"/>
    <x v="9"/>
    <x v="2"/>
    <x v="2"/>
    <x v="22"/>
    <n v="18084"/>
    <x v="119"/>
    <x v="39"/>
    <n v="25"/>
    <n v="556"/>
  </r>
  <r>
    <n v="678"/>
    <x v="0"/>
    <x v="9"/>
    <x v="9"/>
    <x v="2"/>
    <x v="2"/>
    <x v="43"/>
    <n v="18028"/>
    <x v="182"/>
    <x v="40"/>
    <n v="12"/>
    <n v="571"/>
  </r>
  <r>
    <n v="679"/>
    <x v="0"/>
    <x v="9"/>
    <x v="9"/>
    <x v="2"/>
    <x v="2"/>
    <x v="78"/>
    <n v="18105"/>
    <x v="39"/>
    <x v="5"/>
    <n v="12"/>
    <n v="364"/>
  </r>
  <r>
    <n v="680"/>
    <x v="0"/>
    <x v="9"/>
    <x v="9"/>
    <x v="2"/>
    <x v="2"/>
    <x v="27"/>
    <n v="18168"/>
    <x v="28"/>
    <x v="72"/>
    <n v="10"/>
    <n v="333"/>
  </r>
  <r>
    <n v="681"/>
    <x v="0"/>
    <x v="9"/>
    <x v="9"/>
    <x v="2"/>
    <x v="2"/>
    <x v="25"/>
    <n v="18035"/>
    <x v="146"/>
    <x v="98"/>
    <n v="13"/>
    <n v="565"/>
  </r>
  <r>
    <n v="682"/>
    <x v="0"/>
    <x v="9"/>
    <x v="9"/>
    <x v="2"/>
    <x v="2"/>
    <x v="72"/>
    <n v="18063"/>
    <x v="6"/>
    <x v="98"/>
    <n v="13"/>
    <n v="565"/>
  </r>
  <r>
    <n v="683"/>
    <x v="0"/>
    <x v="9"/>
    <x v="9"/>
    <x v="2"/>
    <x v="2"/>
    <x v="19"/>
    <n v="18133"/>
    <x v="6"/>
    <x v="6"/>
    <n v="10"/>
    <n v="417"/>
  </r>
  <r>
    <n v="684"/>
    <x v="0"/>
    <x v="9"/>
    <x v="9"/>
    <x v="2"/>
    <x v="2"/>
    <x v="73"/>
    <n v="18077"/>
    <x v="13"/>
    <x v="52"/>
    <n v="6"/>
    <n v="667"/>
  </r>
  <r>
    <n v="685"/>
    <x v="0"/>
    <x v="9"/>
    <x v="9"/>
    <x v="2"/>
    <x v="2"/>
    <x v="61"/>
    <n v="18175"/>
    <x v="77"/>
    <x v="29"/>
    <n v="4"/>
    <n v="571"/>
  </r>
  <r>
    <n v="686"/>
    <x v="0"/>
    <x v="9"/>
    <x v="9"/>
    <x v="2"/>
    <x v="2"/>
    <x v="75"/>
    <n v="18014"/>
    <x v="34"/>
    <x v="34"/>
    <n v="1"/>
    <n v="500"/>
  </r>
  <r>
    <n v="687"/>
    <x v="0"/>
    <x v="9"/>
    <x v="9"/>
    <x v="3"/>
    <x v="3"/>
    <x v="28"/>
    <n v="30028"/>
    <x v="251"/>
    <x v="260"/>
    <n v="2624"/>
    <n v="671"/>
  </r>
  <r>
    <n v="688"/>
    <x v="0"/>
    <x v="9"/>
    <x v="9"/>
    <x v="3"/>
    <x v="3"/>
    <x v="29"/>
    <n v="30015"/>
    <x v="252"/>
    <x v="261"/>
    <n v="1539"/>
    <n v="919"/>
  </r>
  <r>
    <n v="689"/>
    <x v="0"/>
    <x v="9"/>
    <x v="9"/>
    <x v="3"/>
    <x v="3"/>
    <x v="11"/>
    <n v="30008"/>
    <x v="145"/>
    <x v="100"/>
    <n v="8"/>
    <n v="471"/>
  </r>
  <r>
    <n v="690"/>
    <x v="0"/>
    <x v="9"/>
    <x v="9"/>
    <x v="3"/>
    <x v="3"/>
    <x v="79"/>
    <n v="30098"/>
    <x v="34"/>
    <x v="183"/>
    <m/>
    <m/>
  </r>
  <r>
    <n v="691"/>
    <x v="0"/>
    <x v="9"/>
    <x v="9"/>
    <x v="3"/>
    <x v="3"/>
    <x v="112"/>
    <n v="30113"/>
    <x v="34"/>
    <x v="183"/>
    <m/>
    <m/>
  </r>
  <r>
    <n v="692"/>
    <x v="0"/>
    <x v="9"/>
    <x v="9"/>
    <x v="3"/>
    <x v="3"/>
    <x v="110"/>
    <n v="30042"/>
    <x v="48"/>
    <x v="183"/>
    <m/>
    <m/>
  </r>
  <r>
    <n v="693"/>
    <x v="0"/>
    <x v="9"/>
    <x v="9"/>
    <x v="3"/>
    <x v="3"/>
    <x v="80"/>
    <n v="30056"/>
    <x v="48"/>
    <x v="47"/>
    <n v="1"/>
    <n v="1000"/>
  </r>
  <r>
    <n v="694"/>
    <x v="0"/>
    <x v="9"/>
    <x v="9"/>
    <x v="3"/>
    <x v="3"/>
    <x v="92"/>
    <n v="30070"/>
    <x v="48"/>
    <x v="183"/>
    <m/>
    <m/>
  </r>
  <r>
    <n v="695"/>
    <x v="0"/>
    <x v="9"/>
    <x v="9"/>
    <x v="3"/>
    <x v="3"/>
    <x v="108"/>
    <n v="30077"/>
    <x v="48"/>
    <x v="47"/>
    <n v="1"/>
    <n v="1000"/>
  </r>
  <r>
    <n v="696"/>
    <x v="0"/>
    <x v="9"/>
    <x v="9"/>
    <x v="3"/>
    <x v="3"/>
    <x v="91"/>
    <n v="30084"/>
    <x v="48"/>
    <x v="47"/>
    <n v="1"/>
    <n v="1000"/>
  </r>
  <r>
    <n v="697"/>
    <x v="0"/>
    <x v="9"/>
    <x v="9"/>
    <x v="4"/>
    <x v="4"/>
    <x v="81"/>
    <n v="34042"/>
    <x v="76"/>
    <x v="182"/>
    <n v="13"/>
    <n v="500"/>
  </r>
  <r>
    <n v="698"/>
    <x v="0"/>
    <x v="9"/>
    <x v="9"/>
    <x v="4"/>
    <x v="4"/>
    <x v="34"/>
    <n v="34035"/>
    <x v="45"/>
    <x v="31"/>
    <n v="6"/>
    <n v="400"/>
  </r>
  <r>
    <n v="699"/>
    <x v="0"/>
    <x v="9"/>
    <x v="9"/>
    <x v="4"/>
    <x v="4"/>
    <x v="31"/>
    <n v="34021"/>
    <x v="31"/>
    <x v="77"/>
    <n v="6"/>
    <n v="429"/>
  </r>
  <r>
    <n v="700"/>
    <x v="0"/>
    <x v="9"/>
    <x v="9"/>
    <x v="4"/>
    <x v="4"/>
    <x v="33"/>
    <n v="34056"/>
    <x v="53"/>
    <x v="67"/>
    <n v="8"/>
    <n v="1000"/>
  </r>
  <r>
    <n v="701"/>
    <x v="0"/>
    <x v="9"/>
    <x v="9"/>
    <x v="4"/>
    <x v="4"/>
    <x v="30"/>
    <n v="34049"/>
    <x v="33"/>
    <x v="33"/>
    <n v="5"/>
    <n v="1000"/>
  </r>
  <r>
    <n v="702"/>
    <x v="0"/>
    <x v="9"/>
    <x v="9"/>
    <x v="4"/>
    <x v="4"/>
    <x v="32"/>
    <n v="34014"/>
    <x v="47"/>
    <x v="30"/>
    <n v="1"/>
    <n v="333"/>
  </r>
  <r>
    <n v="703"/>
    <x v="0"/>
    <x v="9"/>
    <x v="9"/>
    <x v="5"/>
    <x v="5"/>
    <x v="35"/>
    <n v="38014"/>
    <x v="34"/>
    <x v="34"/>
    <n v="1"/>
    <n v="500"/>
  </r>
  <r>
    <n v="704"/>
    <x v="0"/>
    <x v="9"/>
    <x v="9"/>
    <x v="5"/>
    <x v="5"/>
    <x v="36"/>
    <n v="38021"/>
    <x v="48"/>
    <x v="47"/>
    <n v="1"/>
    <n v="1000"/>
  </r>
  <r>
    <n v="705"/>
    <x v="0"/>
    <x v="9"/>
    <x v="9"/>
    <x v="5"/>
    <x v="5"/>
    <x v="137"/>
    <n v="38035"/>
    <x v="48"/>
    <x v="47"/>
    <n v="2"/>
    <n v="2000"/>
  </r>
  <r>
    <n v="706"/>
    <x v="0"/>
    <x v="9"/>
    <x v="9"/>
    <x v="5"/>
    <x v="5"/>
    <x v="38"/>
    <n v="38056"/>
    <x v="48"/>
    <x v="47"/>
    <n v="1"/>
    <n v="1000"/>
  </r>
  <r>
    <n v="707"/>
    <x v="0"/>
    <x v="9"/>
    <x v="9"/>
    <x v="16"/>
    <x v="16"/>
    <x v="138"/>
    <n v="42119"/>
    <x v="34"/>
    <x v="183"/>
    <m/>
    <m/>
  </r>
  <r>
    <n v="708"/>
    <x v="0"/>
    <x v="9"/>
    <x v="9"/>
    <x v="14"/>
    <x v="14"/>
    <x v="104"/>
    <n v="50105"/>
    <x v="192"/>
    <x v="237"/>
    <n v="29"/>
    <n v="509"/>
  </r>
  <r>
    <n v="709"/>
    <x v="0"/>
    <x v="9"/>
    <x v="9"/>
    <x v="14"/>
    <x v="14"/>
    <x v="105"/>
    <n v="50014"/>
    <x v="30"/>
    <x v="30"/>
    <n v="1"/>
    <n v="333"/>
  </r>
  <r>
    <n v="710"/>
    <x v="0"/>
    <x v="9"/>
    <x v="9"/>
    <x v="14"/>
    <x v="14"/>
    <x v="20"/>
    <n v="50098"/>
    <x v="34"/>
    <x v="183"/>
    <m/>
    <m/>
  </r>
  <r>
    <n v="711"/>
    <x v="0"/>
    <x v="9"/>
    <x v="9"/>
    <x v="6"/>
    <x v="6"/>
    <x v="40"/>
    <n v="54021"/>
    <x v="63"/>
    <x v="254"/>
    <n v="105"/>
    <n v="648"/>
  </r>
  <r>
    <n v="712"/>
    <x v="0"/>
    <x v="9"/>
    <x v="9"/>
    <x v="6"/>
    <x v="6"/>
    <x v="42"/>
    <n v="54105"/>
    <x v="253"/>
    <x v="93"/>
    <n v="80"/>
    <n v="988"/>
  </r>
  <r>
    <n v="713"/>
    <x v="0"/>
    <x v="9"/>
    <x v="9"/>
    <x v="6"/>
    <x v="6"/>
    <x v="39"/>
    <n v="54007"/>
    <x v="254"/>
    <x v="93"/>
    <n v="28"/>
    <n v="343"/>
  </r>
  <r>
    <n v="714"/>
    <x v="0"/>
    <x v="9"/>
    <x v="9"/>
    <x v="6"/>
    <x v="6"/>
    <x v="115"/>
    <n v="54056"/>
    <x v="182"/>
    <x v="262"/>
    <n v="40"/>
    <n v="976"/>
  </r>
  <r>
    <n v="715"/>
    <x v="0"/>
    <x v="9"/>
    <x v="9"/>
    <x v="6"/>
    <x v="6"/>
    <x v="114"/>
    <n v="54014"/>
    <x v="146"/>
    <x v="78"/>
    <n v="12"/>
    <n v="480"/>
  </r>
  <r>
    <n v="716"/>
    <x v="0"/>
    <x v="9"/>
    <x v="9"/>
    <x v="6"/>
    <x v="6"/>
    <x v="41"/>
    <n v="54098"/>
    <x v="146"/>
    <x v="78"/>
    <n v="24"/>
    <n v="960"/>
  </r>
  <r>
    <n v="717"/>
    <x v="0"/>
    <x v="9"/>
    <x v="9"/>
    <x v="6"/>
    <x v="6"/>
    <x v="43"/>
    <n v="54035"/>
    <x v="93"/>
    <x v="98"/>
    <n v="8"/>
    <n v="348"/>
  </r>
  <r>
    <n v="718"/>
    <x v="0"/>
    <x v="9"/>
    <x v="9"/>
    <x v="6"/>
    <x v="6"/>
    <x v="116"/>
    <n v="54063"/>
    <x v="32"/>
    <x v="49"/>
    <n v="3"/>
    <n v="500"/>
  </r>
  <r>
    <n v="719"/>
    <x v="0"/>
    <x v="9"/>
    <x v="9"/>
    <x v="6"/>
    <x v="6"/>
    <x v="37"/>
    <n v="54112"/>
    <x v="78"/>
    <x v="49"/>
    <n v="4"/>
    <n v="667"/>
  </r>
  <r>
    <n v="720"/>
    <x v="0"/>
    <x v="9"/>
    <x v="9"/>
    <x v="6"/>
    <x v="6"/>
    <x v="12"/>
    <n v="54028"/>
    <x v="33"/>
    <x v="183"/>
    <m/>
    <m/>
  </r>
  <r>
    <n v="721"/>
    <x v="0"/>
    <x v="9"/>
    <x v="9"/>
    <x v="6"/>
    <x v="6"/>
    <x v="139"/>
    <n v="54049"/>
    <x v="30"/>
    <x v="30"/>
    <n v="2"/>
    <n v="667"/>
  </r>
  <r>
    <n v="722"/>
    <x v="0"/>
    <x v="9"/>
    <x v="9"/>
    <x v="11"/>
    <x v="11"/>
    <x v="140"/>
    <n v="66126"/>
    <x v="255"/>
    <x v="263"/>
    <n v="96"/>
    <n v="1455"/>
  </r>
  <r>
    <n v="723"/>
    <x v="0"/>
    <x v="9"/>
    <x v="9"/>
    <x v="11"/>
    <x v="11"/>
    <x v="106"/>
    <n v="66112"/>
    <x v="182"/>
    <x v="259"/>
    <n v="51"/>
    <n v="1109"/>
  </r>
  <r>
    <n v="724"/>
    <x v="0"/>
    <x v="9"/>
    <x v="9"/>
    <x v="11"/>
    <x v="11"/>
    <x v="98"/>
    <n v="66049"/>
    <x v="34"/>
    <x v="34"/>
    <n v="1"/>
    <n v="500"/>
  </r>
  <r>
    <n v="725"/>
    <x v="0"/>
    <x v="9"/>
    <x v="9"/>
    <x v="11"/>
    <x v="11"/>
    <x v="12"/>
    <n v="66028"/>
    <x v="48"/>
    <x v="183"/>
    <m/>
    <m/>
  </r>
  <r>
    <n v="726"/>
    <x v="0"/>
    <x v="9"/>
    <x v="9"/>
    <x v="11"/>
    <x v="11"/>
    <x v="123"/>
    <n v="66133"/>
    <x v="48"/>
    <x v="47"/>
    <n v="1"/>
    <n v="1000"/>
  </r>
  <r>
    <n v="727"/>
    <x v="0"/>
    <x v="9"/>
    <x v="9"/>
    <x v="12"/>
    <x v="12"/>
    <x v="85"/>
    <n v="70070"/>
    <x v="34"/>
    <x v="183"/>
    <m/>
    <m/>
  </r>
  <r>
    <n v="728"/>
    <x v="0"/>
    <x v="9"/>
    <x v="9"/>
    <x v="13"/>
    <x v="13"/>
    <x v="94"/>
    <n v="74035"/>
    <x v="256"/>
    <x v="27"/>
    <n v="77"/>
    <n v="1185"/>
  </r>
  <r>
    <n v="729"/>
    <x v="0"/>
    <x v="9"/>
    <x v="9"/>
    <x v="13"/>
    <x v="13"/>
    <x v="86"/>
    <n v="74021"/>
    <x v="96"/>
    <x v="183"/>
    <m/>
    <m/>
  </r>
  <r>
    <n v="730"/>
    <x v="0"/>
    <x v="9"/>
    <x v="9"/>
    <x v="13"/>
    <x v="13"/>
    <x v="95"/>
    <n v="74049"/>
    <x v="170"/>
    <x v="77"/>
    <n v="5"/>
    <n v="367"/>
  </r>
  <r>
    <n v="731"/>
    <x v="0"/>
    <x v="9"/>
    <x v="9"/>
    <x v="13"/>
    <x v="13"/>
    <x v="87"/>
    <n v="74028"/>
    <x v="78"/>
    <x v="49"/>
    <n v="4"/>
    <n v="667"/>
  </r>
  <r>
    <n v="732"/>
    <x v="0"/>
    <x v="9"/>
    <x v="9"/>
    <x v="7"/>
    <x v="7"/>
    <x v="44"/>
    <n v="82049"/>
    <x v="257"/>
    <x v="264"/>
    <n v="7059"/>
    <n v="819"/>
  </r>
  <r>
    <n v="733"/>
    <x v="0"/>
    <x v="9"/>
    <x v="9"/>
    <x v="7"/>
    <x v="7"/>
    <x v="45"/>
    <n v="82035"/>
    <x v="258"/>
    <x v="164"/>
    <n v="6631"/>
    <n v="1895"/>
  </r>
  <r>
    <n v="734"/>
    <x v="0"/>
    <x v="9"/>
    <x v="9"/>
    <x v="7"/>
    <x v="7"/>
    <x v="42"/>
    <n v="82098"/>
    <x v="259"/>
    <x v="265"/>
    <n v="632"/>
    <n v="796"/>
  </r>
  <r>
    <n v="735"/>
    <x v="0"/>
    <x v="9"/>
    <x v="9"/>
    <x v="7"/>
    <x v="7"/>
    <x v="100"/>
    <n v="82133"/>
    <x v="223"/>
    <x v="266"/>
    <n v="75"/>
    <n v="758"/>
  </r>
  <r>
    <n v="736"/>
    <x v="0"/>
    <x v="9"/>
    <x v="9"/>
    <x v="7"/>
    <x v="7"/>
    <x v="46"/>
    <n v="82112"/>
    <x v="76"/>
    <x v="157"/>
    <n v="36"/>
    <n v="1333"/>
  </r>
  <r>
    <n v="737"/>
    <x v="0"/>
    <x v="9"/>
    <x v="9"/>
    <x v="7"/>
    <x v="7"/>
    <x v="118"/>
    <n v="82091"/>
    <x v="92"/>
    <x v="98"/>
    <n v="9"/>
    <n v="391"/>
  </r>
  <r>
    <n v="738"/>
    <x v="0"/>
    <x v="9"/>
    <x v="9"/>
    <x v="7"/>
    <x v="7"/>
    <x v="12"/>
    <n v="82063"/>
    <x v="107"/>
    <x v="31"/>
    <n v="14"/>
    <n v="933"/>
  </r>
  <r>
    <n v="739"/>
    <x v="0"/>
    <x v="9"/>
    <x v="9"/>
    <x v="7"/>
    <x v="7"/>
    <x v="101"/>
    <n v="82070"/>
    <x v="34"/>
    <x v="183"/>
    <m/>
    <m/>
  </r>
  <r>
    <n v="740"/>
    <x v="0"/>
    <x v="9"/>
    <x v="9"/>
    <x v="8"/>
    <x v="8"/>
    <x v="54"/>
    <n v="86161"/>
    <x v="45"/>
    <x v="79"/>
    <n v="4"/>
    <n v="250"/>
  </r>
  <r>
    <n v="741"/>
    <x v="0"/>
    <x v="9"/>
    <x v="9"/>
    <x v="8"/>
    <x v="8"/>
    <x v="20"/>
    <n v="86175"/>
    <x v="33"/>
    <x v="183"/>
    <m/>
    <m/>
  </r>
  <r>
    <n v="742"/>
    <x v="0"/>
    <x v="9"/>
    <x v="9"/>
    <x v="8"/>
    <x v="8"/>
    <x v="141"/>
    <n v="86126"/>
    <x v="47"/>
    <x v="30"/>
    <n v="1"/>
    <n v="333"/>
  </r>
  <r>
    <n v="743"/>
    <x v="0"/>
    <x v="9"/>
    <x v="9"/>
    <x v="8"/>
    <x v="8"/>
    <x v="103"/>
    <n v="86091"/>
    <x v="34"/>
    <x v="47"/>
    <n v="1"/>
    <n v="1000"/>
  </r>
  <r>
    <n v="744"/>
    <x v="0"/>
    <x v="9"/>
    <x v="9"/>
    <x v="8"/>
    <x v="8"/>
    <x v="47"/>
    <n v="86077"/>
    <x v="34"/>
    <x v="183"/>
    <m/>
    <m/>
  </r>
  <r>
    <n v="745"/>
    <x v="0"/>
    <x v="9"/>
    <x v="9"/>
    <x v="8"/>
    <x v="8"/>
    <x v="12"/>
    <n v="86049"/>
    <x v="48"/>
    <x v="183"/>
    <m/>
    <m/>
  </r>
  <r>
    <n v="746"/>
    <x v="0"/>
    <x v="9"/>
    <x v="9"/>
    <x v="8"/>
    <x v="8"/>
    <x v="51"/>
    <n v="86147"/>
    <x v="48"/>
    <x v="183"/>
    <m/>
    <m/>
  </r>
  <r>
    <n v="747"/>
    <x v="0"/>
    <x v="9"/>
    <x v="9"/>
    <x v="9"/>
    <x v="9"/>
    <x v="65"/>
    <n v="90014"/>
    <x v="260"/>
    <x v="267"/>
    <n v="246"/>
    <n v="462"/>
  </r>
  <r>
    <n v="748"/>
    <x v="0"/>
    <x v="9"/>
    <x v="9"/>
    <x v="9"/>
    <x v="9"/>
    <x v="55"/>
    <n v="90007"/>
    <x v="261"/>
    <x v="268"/>
    <n v="220"/>
    <n v="404"/>
  </r>
  <r>
    <n v="749"/>
    <x v="0"/>
    <x v="9"/>
    <x v="9"/>
    <x v="9"/>
    <x v="9"/>
    <x v="66"/>
    <n v="90056"/>
    <x v="40"/>
    <x v="112"/>
    <n v="5"/>
    <n v="263"/>
  </r>
  <r>
    <n v="750"/>
    <x v="0"/>
    <x v="9"/>
    <x v="9"/>
    <x v="9"/>
    <x v="9"/>
    <x v="69"/>
    <n v="90035"/>
    <x v="95"/>
    <x v="140"/>
    <n v="10"/>
    <n v="556"/>
  </r>
  <r>
    <n v="751"/>
    <x v="0"/>
    <x v="9"/>
    <x v="9"/>
    <x v="9"/>
    <x v="9"/>
    <x v="82"/>
    <n v="90077"/>
    <x v="31"/>
    <x v="46"/>
    <n v="1"/>
    <n v="250"/>
  </r>
  <r>
    <n v="752"/>
    <x v="0"/>
    <x v="9"/>
    <x v="9"/>
    <x v="9"/>
    <x v="9"/>
    <x v="83"/>
    <n v="90021"/>
    <x v="34"/>
    <x v="34"/>
    <n v="1"/>
    <n v="500"/>
  </r>
  <r>
    <n v="753"/>
    <x v="0"/>
    <x v="9"/>
    <x v="9"/>
    <x v="9"/>
    <x v="9"/>
    <x v="67"/>
    <n v="90070"/>
    <x v="34"/>
    <x v="34"/>
    <n v="2"/>
    <n v="1000"/>
  </r>
  <r>
    <n v="754"/>
    <x v="0"/>
    <x v="9"/>
    <x v="9"/>
    <x v="9"/>
    <x v="9"/>
    <x v="12"/>
    <n v="90084"/>
    <x v="48"/>
    <x v="183"/>
    <m/>
    <m/>
  </r>
  <r>
    <n v="755"/>
    <x v="0"/>
    <x v="9"/>
    <x v="9"/>
    <x v="9"/>
    <x v="9"/>
    <x v="64"/>
    <n v="90112"/>
    <x v="48"/>
    <x v="47"/>
    <n v="1"/>
    <n v="1000"/>
  </r>
  <r>
    <n v="756"/>
    <x v="0"/>
    <x v="10"/>
    <x v="10"/>
    <x v="1"/>
    <x v="1"/>
    <x v="8"/>
    <n v="14119"/>
    <x v="262"/>
    <x v="269"/>
    <n v="9500"/>
    <n v="500"/>
  </r>
  <r>
    <n v="757"/>
    <x v="0"/>
    <x v="10"/>
    <x v="10"/>
    <x v="1"/>
    <x v="1"/>
    <x v="10"/>
    <n v="14161"/>
    <x v="263"/>
    <x v="161"/>
    <n v="8000"/>
    <n v="500"/>
  </r>
  <r>
    <n v="758"/>
    <x v="0"/>
    <x v="10"/>
    <x v="10"/>
    <x v="1"/>
    <x v="1"/>
    <x v="7"/>
    <n v="14147"/>
    <x v="264"/>
    <x v="270"/>
    <n v="3520"/>
    <n v="400"/>
  </r>
  <r>
    <n v="759"/>
    <x v="0"/>
    <x v="10"/>
    <x v="10"/>
    <x v="1"/>
    <x v="1"/>
    <x v="70"/>
    <n v="14007"/>
    <x v="265"/>
    <x v="271"/>
    <n v="2850"/>
    <n v="500"/>
  </r>
  <r>
    <n v="760"/>
    <x v="0"/>
    <x v="10"/>
    <x v="10"/>
    <x v="1"/>
    <x v="1"/>
    <x v="9"/>
    <n v="14105"/>
    <x v="266"/>
    <x v="272"/>
    <n v="7800"/>
    <n v="1200"/>
  </r>
  <r>
    <n v="761"/>
    <x v="0"/>
    <x v="10"/>
    <x v="10"/>
    <x v="1"/>
    <x v="1"/>
    <x v="84"/>
    <n v="14168"/>
    <x v="159"/>
    <x v="164"/>
    <n v="3850"/>
    <n v="1100"/>
  </r>
  <r>
    <n v="762"/>
    <x v="0"/>
    <x v="10"/>
    <x v="10"/>
    <x v="1"/>
    <x v="1"/>
    <x v="11"/>
    <n v="14021"/>
    <x v="147"/>
    <x v="101"/>
    <n v="3600"/>
    <n v="1200"/>
  </r>
  <r>
    <n v="763"/>
    <x v="0"/>
    <x v="10"/>
    <x v="10"/>
    <x v="1"/>
    <x v="1"/>
    <x v="132"/>
    <n v="14049"/>
    <x v="11"/>
    <x v="11"/>
    <n v="1000"/>
    <n v="1000"/>
  </r>
  <r>
    <n v="764"/>
    <x v="0"/>
    <x v="10"/>
    <x v="10"/>
    <x v="1"/>
    <x v="1"/>
    <x v="134"/>
    <n v="14091"/>
    <x v="11"/>
    <x v="11"/>
    <n v="1100"/>
    <n v="1100"/>
  </r>
  <r>
    <n v="765"/>
    <x v="0"/>
    <x v="10"/>
    <x v="10"/>
    <x v="1"/>
    <x v="1"/>
    <x v="12"/>
    <n v="14014"/>
    <x v="179"/>
    <x v="207"/>
    <n v="300"/>
    <n v="500"/>
  </r>
  <r>
    <n v="766"/>
    <x v="0"/>
    <x v="10"/>
    <x v="10"/>
    <x v="1"/>
    <x v="1"/>
    <x v="46"/>
    <n v="14140"/>
    <x v="179"/>
    <x v="273"/>
    <n v="705"/>
    <n v="850"/>
  </r>
  <r>
    <n v="767"/>
    <x v="0"/>
    <x v="10"/>
    <x v="10"/>
    <x v="1"/>
    <x v="1"/>
    <x v="42"/>
    <n v="14133"/>
    <x v="68"/>
    <x v="183"/>
    <m/>
    <m/>
  </r>
  <r>
    <n v="768"/>
    <x v="0"/>
    <x v="10"/>
    <x v="10"/>
    <x v="1"/>
    <x v="1"/>
    <x v="13"/>
    <n v="14098"/>
    <x v="62"/>
    <x v="274"/>
    <n v="66"/>
    <n v="600"/>
  </r>
  <r>
    <n v="769"/>
    <x v="0"/>
    <x v="10"/>
    <x v="10"/>
    <x v="1"/>
    <x v="1"/>
    <x v="107"/>
    <n v="14056"/>
    <x v="23"/>
    <x v="111"/>
    <n v="35"/>
    <n v="700"/>
  </r>
  <r>
    <n v="770"/>
    <x v="0"/>
    <x v="10"/>
    <x v="10"/>
    <x v="1"/>
    <x v="1"/>
    <x v="96"/>
    <n v="14035"/>
    <x v="44"/>
    <x v="183"/>
    <m/>
    <m/>
  </r>
  <r>
    <n v="771"/>
    <x v="0"/>
    <x v="10"/>
    <x v="10"/>
    <x v="2"/>
    <x v="2"/>
    <x v="18"/>
    <n v="18049"/>
    <x v="267"/>
    <x v="275"/>
    <n v="602"/>
    <n v="1000"/>
  </r>
  <r>
    <n v="772"/>
    <x v="0"/>
    <x v="10"/>
    <x v="10"/>
    <x v="2"/>
    <x v="2"/>
    <x v="15"/>
    <n v="18112"/>
    <x v="268"/>
    <x v="276"/>
    <n v="322"/>
    <n v="575"/>
  </r>
  <r>
    <n v="773"/>
    <x v="0"/>
    <x v="10"/>
    <x v="10"/>
    <x v="2"/>
    <x v="2"/>
    <x v="24"/>
    <n v="18140"/>
    <x v="269"/>
    <x v="277"/>
    <n v="290"/>
    <n v="1000"/>
  </r>
  <r>
    <n v="774"/>
    <x v="0"/>
    <x v="10"/>
    <x v="10"/>
    <x v="2"/>
    <x v="2"/>
    <x v="17"/>
    <n v="18042"/>
    <x v="18"/>
    <x v="278"/>
    <n v="195"/>
    <n v="1000"/>
  </r>
  <r>
    <n v="775"/>
    <x v="0"/>
    <x v="10"/>
    <x v="10"/>
    <x v="2"/>
    <x v="2"/>
    <x v="16"/>
    <n v="18091"/>
    <x v="270"/>
    <x v="23"/>
    <n v="100"/>
    <n v="1000"/>
  </r>
  <r>
    <n v="776"/>
    <x v="0"/>
    <x v="10"/>
    <x v="10"/>
    <x v="2"/>
    <x v="2"/>
    <x v="21"/>
    <n v="18007"/>
    <x v="271"/>
    <x v="279"/>
    <n v="138"/>
    <n v="1000"/>
  </r>
  <r>
    <n v="777"/>
    <x v="0"/>
    <x v="10"/>
    <x v="10"/>
    <x v="2"/>
    <x v="2"/>
    <x v="78"/>
    <n v="18105"/>
    <x v="272"/>
    <x v="255"/>
    <n v="129"/>
    <n v="1000"/>
  </r>
  <r>
    <n v="778"/>
    <x v="0"/>
    <x v="10"/>
    <x v="10"/>
    <x v="2"/>
    <x v="2"/>
    <x v="71"/>
    <n v="18098"/>
    <x v="23"/>
    <x v="151"/>
    <n v="90"/>
    <n v="1000"/>
  </r>
  <r>
    <n v="779"/>
    <x v="0"/>
    <x v="10"/>
    <x v="10"/>
    <x v="2"/>
    <x v="2"/>
    <x v="43"/>
    <n v="18028"/>
    <x v="88"/>
    <x v="134"/>
    <n v="70"/>
    <n v="1000"/>
  </r>
  <r>
    <n v="780"/>
    <x v="0"/>
    <x v="10"/>
    <x v="10"/>
    <x v="2"/>
    <x v="2"/>
    <x v="23"/>
    <n v="18126"/>
    <x v="273"/>
    <x v="95"/>
    <n v="61"/>
    <n v="1000"/>
  </r>
  <r>
    <n v="781"/>
    <x v="0"/>
    <x v="10"/>
    <x v="10"/>
    <x v="2"/>
    <x v="2"/>
    <x v="12"/>
    <n v="18021"/>
    <x v="3"/>
    <x v="262"/>
    <n v="41"/>
    <n v="1000"/>
  </r>
  <r>
    <n v="782"/>
    <x v="0"/>
    <x v="10"/>
    <x v="10"/>
    <x v="2"/>
    <x v="2"/>
    <x v="77"/>
    <n v="18119"/>
    <x v="90"/>
    <x v="96"/>
    <n v="29"/>
    <n v="468"/>
  </r>
  <r>
    <n v="783"/>
    <x v="0"/>
    <x v="10"/>
    <x v="10"/>
    <x v="2"/>
    <x v="2"/>
    <x v="20"/>
    <n v="18147"/>
    <x v="225"/>
    <x v="225"/>
    <n v="28"/>
    <n v="467"/>
  </r>
  <r>
    <n v="784"/>
    <x v="0"/>
    <x v="10"/>
    <x v="10"/>
    <x v="2"/>
    <x v="2"/>
    <x v="76"/>
    <n v="18154"/>
    <x v="119"/>
    <x v="45"/>
    <n v="40"/>
    <n v="1000"/>
  </r>
  <r>
    <n v="785"/>
    <x v="0"/>
    <x v="10"/>
    <x v="10"/>
    <x v="2"/>
    <x v="2"/>
    <x v="19"/>
    <n v="18133"/>
    <x v="197"/>
    <x v="45"/>
    <n v="40"/>
    <n v="1000"/>
  </r>
  <r>
    <n v="786"/>
    <x v="0"/>
    <x v="10"/>
    <x v="10"/>
    <x v="2"/>
    <x v="2"/>
    <x v="73"/>
    <n v="18077"/>
    <x v="274"/>
    <x v="262"/>
    <n v="41"/>
    <n v="1000"/>
  </r>
  <r>
    <n v="787"/>
    <x v="0"/>
    <x v="10"/>
    <x v="10"/>
    <x v="2"/>
    <x v="2"/>
    <x v="22"/>
    <n v="18084"/>
    <x v="125"/>
    <x v="45"/>
    <n v="20"/>
    <n v="500"/>
  </r>
  <r>
    <n v="788"/>
    <x v="0"/>
    <x v="10"/>
    <x v="10"/>
    <x v="2"/>
    <x v="2"/>
    <x v="27"/>
    <n v="18168"/>
    <x v="125"/>
    <x v="45"/>
    <n v="20"/>
    <n v="500"/>
  </r>
  <r>
    <n v="789"/>
    <x v="0"/>
    <x v="10"/>
    <x v="10"/>
    <x v="2"/>
    <x v="2"/>
    <x v="74"/>
    <n v="18161"/>
    <x v="275"/>
    <x v="72"/>
    <n v="30"/>
    <n v="1000"/>
  </r>
  <r>
    <n v="790"/>
    <x v="0"/>
    <x v="10"/>
    <x v="10"/>
    <x v="2"/>
    <x v="2"/>
    <x v="75"/>
    <n v="18014"/>
    <x v="72"/>
    <x v="78"/>
    <n v="25"/>
    <n v="1000"/>
  </r>
  <r>
    <n v="791"/>
    <x v="0"/>
    <x v="10"/>
    <x v="10"/>
    <x v="2"/>
    <x v="2"/>
    <x v="26"/>
    <n v="18070"/>
    <x v="72"/>
    <x v="78"/>
    <n v="25"/>
    <n v="1000"/>
  </r>
  <r>
    <n v="792"/>
    <x v="0"/>
    <x v="10"/>
    <x v="10"/>
    <x v="2"/>
    <x v="2"/>
    <x v="72"/>
    <n v="18063"/>
    <x v="31"/>
    <x v="13"/>
    <n v="12"/>
    <n v="1000"/>
  </r>
  <r>
    <n v="793"/>
    <x v="0"/>
    <x v="10"/>
    <x v="10"/>
    <x v="2"/>
    <x v="2"/>
    <x v="25"/>
    <n v="18035"/>
    <x v="47"/>
    <x v="30"/>
    <n v="3"/>
    <n v="1000"/>
  </r>
  <r>
    <n v="794"/>
    <x v="0"/>
    <x v="10"/>
    <x v="10"/>
    <x v="3"/>
    <x v="3"/>
    <x v="28"/>
    <n v="30028"/>
    <x v="157"/>
    <x v="162"/>
    <n v="4500"/>
    <n v="900"/>
  </r>
  <r>
    <n v="795"/>
    <x v="0"/>
    <x v="10"/>
    <x v="10"/>
    <x v="3"/>
    <x v="3"/>
    <x v="29"/>
    <n v="30015"/>
    <x v="226"/>
    <x v="164"/>
    <n v="3500"/>
    <n v="1000"/>
  </r>
  <r>
    <n v="796"/>
    <x v="0"/>
    <x v="10"/>
    <x v="10"/>
    <x v="3"/>
    <x v="3"/>
    <x v="11"/>
    <n v="30008"/>
    <x v="11"/>
    <x v="57"/>
    <n v="630"/>
    <n v="900"/>
  </r>
  <r>
    <n v="797"/>
    <x v="0"/>
    <x v="10"/>
    <x v="10"/>
    <x v="14"/>
    <x v="14"/>
    <x v="104"/>
    <n v="50105"/>
    <x v="72"/>
    <x v="80"/>
    <n v="12"/>
    <n v="600"/>
  </r>
  <r>
    <n v="798"/>
    <x v="0"/>
    <x v="10"/>
    <x v="10"/>
    <x v="14"/>
    <x v="14"/>
    <x v="58"/>
    <n v="50112"/>
    <x v="29"/>
    <x v="33"/>
    <n v="3"/>
    <n v="600"/>
  </r>
  <r>
    <n v="799"/>
    <x v="0"/>
    <x v="10"/>
    <x v="10"/>
    <x v="14"/>
    <x v="14"/>
    <x v="12"/>
    <n v="50007"/>
    <x v="78"/>
    <x v="49"/>
    <n v="4"/>
    <n v="700"/>
  </r>
  <r>
    <n v="800"/>
    <x v="0"/>
    <x v="10"/>
    <x v="10"/>
    <x v="14"/>
    <x v="14"/>
    <x v="16"/>
    <n v="50056"/>
    <x v="33"/>
    <x v="183"/>
    <m/>
    <m/>
  </r>
  <r>
    <n v="801"/>
    <x v="0"/>
    <x v="10"/>
    <x v="10"/>
    <x v="6"/>
    <x v="6"/>
    <x v="42"/>
    <n v="54105"/>
    <x v="92"/>
    <x v="80"/>
    <n v="18"/>
    <n v="900"/>
  </r>
  <r>
    <n v="802"/>
    <x v="0"/>
    <x v="10"/>
    <x v="10"/>
    <x v="6"/>
    <x v="6"/>
    <x v="39"/>
    <n v="54007"/>
    <x v="31"/>
    <x v="67"/>
    <n v="3"/>
    <n v="400"/>
  </r>
  <r>
    <n v="803"/>
    <x v="0"/>
    <x v="10"/>
    <x v="10"/>
    <x v="6"/>
    <x v="6"/>
    <x v="43"/>
    <n v="54035"/>
    <x v="50"/>
    <x v="136"/>
    <n v="13"/>
    <n v="1200"/>
  </r>
  <r>
    <n v="804"/>
    <x v="0"/>
    <x v="10"/>
    <x v="10"/>
    <x v="6"/>
    <x v="6"/>
    <x v="12"/>
    <n v="54028"/>
    <x v="77"/>
    <x v="34"/>
    <n v="2"/>
    <n v="1000"/>
  </r>
  <r>
    <n v="805"/>
    <x v="0"/>
    <x v="10"/>
    <x v="10"/>
    <x v="6"/>
    <x v="6"/>
    <x v="114"/>
    <n v="54014"/>
    <x v="47"/>
    <x v="46"/>
    <n v="3"/>
    <n v="800"/>
  </r>
  <r>
    <n v="806"/>
    <x v="0"/>
    <x v="10"/>
    <x v="10"/>
    <x v="6"/>
    <x v="6"/>
    <x v="116"/>
    <n v="54063"/>
    <x v="34"/>
    <x v="34"/>
    <n v="1"/>
    <n v="500"/>
  </r>
  <r>
    <n v="807"/>
    <x v="0"/>
    <x v="10"/>
    <x v="10"/>
    <x v="6"/>
    <x v="6"/>
    <x v="37"/>
    <n v="54112"/>
    <x v="48"/>
    <x v="183"/>
    <m/>
    <m/>
  </r>
  <r>
    <n v="808"/>
    <x v="0"/>
    <x v="10"/>
    <x v="10"/>
    <x v="13"/>
    <x v="13"/>
    <x v="94"/>
    <n v="74035"/>
    <x v="31"/>
    <x v="49"/>
    <n v="6"/>
    <n v="1000"/>
  </r>
  <r>
    <n v="809"/>
    <x v="0"/>
    <x v="10"/>
    <x v="10"/>
    <x v="13"/>
    <x v="13"/>
    <x v="12"/>
    <n v="74056"/>
    <x v="32"/>
    <x v="33"/>
    <n v="5"/>
    <n v="1000"/>
  </r>
  <r>
    <n v="810"/>
    <x v="0"/>
    <x v="10"/>
    <x v="10"/>
    <x v="13"/>
    <x v="13"/>
    <x v="95"/>
    <n v="74049"/>
    <x v="32"/>
    <x v="33"/>
    <n v="5"/>
    <n v="1000"/>
  </r>
  <r>
    <n v="811"/>
    <x v="0"/>
    <x v="10"/>
    <x v="10"/>
    <x v="7"/>
    <x v="7"/>
    <x v="44"/>
    <n v="82049"/>
    <x v="276"/>
    <x v="280"/>
    <n v="4760"/>
    <n v="700"/>
  </r>
  <r>
    <n v="812"/>
    <x v="0"/>
    <x v="10"/>
    <x v="10"/>
    <x v="7"/>
    <x v="7"/>
    <x v="45"/>
    <n v="82035"/>
    <x v="226"/>
    <x v="281"/>
    <n v="8970"/>
    <n v="1950"/>
  </r>
  <r>
    <n v="813"/>
    <x v="0"/>
    <x v="10"/>
    <x v="10"/>
    <x v="7"/>
    <x v="7"/>
    <x v="42"/>
    <n v="82098"/>
    <x v="11"/>
    <x v="282"/>
    <n v="600"/>
    <n v="750"/>
  </r>
  <r>
    <n v="814"/>
    <x v="0"/>
    <x v="10"/>
    <x v="10"/>
    <x v="7"/>
    <x v="7"/>
    <x v="100"/>
    <n v="82133"/>
    <x v="20"/>
    <x v="20"/>
    <n v="90"/>
    <n v="600"/>
  </r>
  <r>
    <n v="815"/>
    <x v="0"/>
    <x v="10"/>
    <x v="10"/>
    <x v="7"/>
    <x v="7"/>
    <x v="119"/>
    <n v="82021"/>
    <x v="23"/>
    <x v="44"/>
    <n v="104"/>
    <n v="1300"/>
  </r>
  <r>
    <n v="816"/>
    <x v="0"/>
    <x v="10"/>
    <x v="10"/>
    <x v="7"/>
    <x v="7"/>
    <x v="20"/>
    <n v="82126"/>
    <x v="23"/>
    <x v="71"/>
    <n v="85"/>
    <n v="1000"/>
  </r>
  <r>
    <n v="817"/>
    <x v="0"/>
    <x v="10"/>
    <x v="10"/>
    <x v="7"/>
    <x v="7"/>
    <x v="12"/>
    <n v="82063"/>
    <x v="72"/>
    <x v="72"/>
    <n v="54"/>
    <n v="1800"/>
  </r>
  <r>
    <n v="818"/>
    <x v="0"/>
    <x v="10"/>
    <x v="10"/>
    <x v="9"/>
    <x v="9"/>
    <x v="65"/>
    <n v="90014"/>
    <x v="277"/>
    <x v="283"/>
    <n v="561"/>
    <n v="645"/>
  </r>
  <r>
    <n v="819"/>
    <x v="0"/>
    <x v="10"/>
    <x v="10"/>
    <x v="9"/>
    <x v="9"/>
    <x v="55"/>
    <n v="90007"/>
    <x v="218"/>
    <x v="284"/>
    <n v="538"/>
    <n v="646"/>
  </r>
  <r>
    <n v="820"/>
    <x v="0"/>
    <x v="10"/>
    <x v="10"/>
    <x v="9"/>
    <x v="9"/>
    <x v="66"/>
    <n v="90056"/>
    <x v="18"/>
    <x v="18"/>
    <n v="129"/>
    <n v="649"/>
  </r>
  <r>
    <n v="821"/>
    <x v="0"/>
    <x v="10"/>
    <x v="10"/>
    <x v="9"/>
    <x v="9"/>
    <x v="67"/>
    <n v="90070"/>
    <x v="125"/>
    <x v="285"/>
    <n v="24"/>
    <n v="649"/>
  </r>
  <r>
    <n v="822"/>
    <x v="0"/>
    <x v="10"/>
    <x v="10"/>
    <x v="9"/>
    <x v="9"/>
    <x v="83"/>
    <n v="90021"/>
    <x v="32"/>
    <x v="52"/>
    <n v="6"/>
    <n v="667"/>
  </r>
  <r>
    <n v="823"/>
    <x v="0"/>
    <x v="10"/>
    <x v="10"/>
    <x v="9"/>
    <x v="9"/>
    <x v="63"/>
    <n v="90028"/>
    <x v="32"/>
    <x v="67"/>
    <n v="5"/>
    <n v="625"/>
  </r>
  <r>
    <n v="824"/>
    <x v="0"/>
    <x v="10"/>
    <x v="10"/>
    <x v="9"/>
    <x v="9"/>
    <x v="82"/>
    <n v="90077"/>
    <x v="32"/>
    <x v="67"/>
    <n v="5"/>
    <n v="625"/>
  </r>
  <r>
    <n v="825"/>
    <x v="0"/>
    <x v="10"/>
    <x v="10"/>
    <x v="9"/>
    <x v="9"/>
    <x v="69"/>
    <n v="90035"/>
    <x v="33"/>
    <x v="33"/>
    <n v="3"/>
    <n v="600"/>
  </r>
  <r>
    <n v="826"/>
    <x v="0"/>
    <x v="10"/>
    <x v="10"/>
    <x v="9"/>
    <x v="9"/>
    <x v="12"/>
    <n v="90084"/>
    <x v="30"/>
    <x v="34"/>
    <n v="1"/>
    <n v="500"/>
  </r>
  <r>
    <n v="827"/>
    <x v="0"/>
    <x v="11"/>
    <x v="11"/>
    <x v="1"/>
    <x v="1"/>
    <x v="142"/>
    <n v="14007"/>
    <x v="278"/>
    <x v="286"/>
    <n v="8890"/>
    <n v="700"/>
  </r>
  <r>
    <n v="828"/>
    <x v="0"/>
    <x v="11"/>
    <x v="11"/>
    <x v="1"/>
    <x v="1"/>
    <x v="8"/>
    <n v="14119"/>
    <x v="279"/>
    <x v="127"/>
    <n v="2700"/>
    <n v="600"/>
  </r>
  <r>
    <n v="829"/>
    <x v="0"/>
    <x v="11"/>
    <x v="11"/>
    <x v="1"/>
    <x v="1"/>
    <x v="7"/>
    <n v="14147"/>
    <x v="280"/>
    <x v="210"/>
    <n v="1700"/>
    <n v="500"/>
  </r>
  <r>
    <n v="830"/>
    <x v="0"/>
    <x v="11"/>
    <x v="11"/>
    <x v="1"/>
    <x v="1"/>
    <x v="70"/>
    <n v="14007"/>
    <x v="120"/>
    <x v="282"/>
    <n v="480"/>
    <n v="600"/>
  </r>
  <r>
    <n v="831"/>
    <x v="0"/>
    <x v="11"/>
    <x v="11"/>
    <x v="1"/>
    <x v="1"/>
    <x v="9"/>
    <n v="14105"/>
    <x v="281"/>
    <x v="287"/>
    <n v="626"/>
    <n v="580"/>
  </r>
  <r>
    <n v="832"/>
    <x v="0"/>
    <x v="11"/>
    <x v="11"/>
    <x v="1"/>
    <x v="1"/>
    <x v="11"/>
    <n v="14021"/>
    <x v="153"/>
    <x v="282"/>
    <n v="560"/>
    <n v="700"/>
  </r>
  <r>
    <n v="833"/>
    <x v="0"/>
    <x v="11"/>
    <x v="11"/>
    <x v="1"/>
    <x v="1"/>
    <x v="143"/>
    <n v="14042"/>
    <x v="58"/>
    <x v="14"/>
    <n v="350"/>
    <n v="700"/>
  </r>
  <r>
    <n v="834"/>
    <x v="0"/>
    <x v="11"/>
    <x v="11"/>
    <x v="1"/>
    <x v="1"/>
    <x v="12"/>
    <n v="14014"/>
    <x v="180"/>
    <x v="18"/>
    <n v="120"/>
    <n v="600"/>
  </r>
  <r>
    <n v="835"/>
    <x v="0"/>
    <x v="11"/>
    <x v="11"/>
    <x v="1"/>
    <x v="1"/>
    <x v="46"/>
    <n v="14140"/>
    <x v="164"/>
    <x v="20"/>
    <n v="105"/>
    <n v="700"/>
  </r>
  <r>
    <n v="836"/>
    <x v="0"/>
    <x v="11"/>
    <x v="11"/>
    <x v="1"/>
    <x v="1"/>
    <x v="135"/>
    <n v="14028"/>
    <x v="23"/>
    <x v="23"/>
    <n v="60"/>
    <n v="600"/>
  </r>
  <r>
    <n v="837"/>
    <x v="0"/>
    <x v="11"/>
    <x v="11"/>
    <x v="1"/>
    <x v="1"/>
    <x v="84"/>
    <n v="14168"/>
    <x v="23"/>
    <x v="23"/>
    <n v="50"/>
    <n v="500"/>
  </r>
  <r>
    <n v="838"/>
    <x v="0"/>
    <x v="11"/>
    <x v="11"/>
    <x v="3"/>
    <x v="3"/>
    <x v="28"/>
    <n v="30028"/>
    <x v="157"/>
    <x v="271"/>
    <n v="5663"/>
    <n v="994"/>
  </r>
  <r>
    <n v="839"/>
    <x v="0"/>
    <x v="11"/>
    <x v="11"/>
    <x v="3"/>
    <x v="3"/>
    <x v="29"/>
    <n v="30015"/>
    <x v="282"/>
    <x v="288"/>
    <n v="3500"/>
    <n v="1400"/>
  </r>
  <r>
    <n v="840"/>
    <x v="0"/>
    <x v="11"/>
    <x v="11"/>
    <x v="3"/>
    <x v="3"/>
    <x v="11"/>
    <n v="30008"/>
    <x v="153"/>
    <x v="282"/>
    <n v="800"/>
    <n v="1000"/>
  </r>
  <r>
    <n v="841"/>
    <x v="0"/>
    <x v="11"/>
    <x v="11"/>
    <x v="14"/>
    <x v="14"/>
    <x v="62"/>
    <m/>
    <x v="76"/>
    <x v="183"/>
    <m/>
    <m/>
  </r>
  <r>
    <n v="842"/>
    <x v="0"/>
    <x v="11"/>
    <x v="11"/>
    <x v="6"/>
    <x v="6"/>
    <x v="40"/>
    <n v="54021"/>
    <x v="283"/>
    <x v="289"/>
    <n v="148"/>
    <n v="900"/>
  </r>
  <r>
    <n v="843"/>
    <x v="0"/>
    <x v="11"/>
    <x v="11"/>
    <x v="6"/>
    <x v="6"/>
    <x v="42"/>
    <n v="54105"/>
    <x v="86"/>
    <x v="239"/>
    <n v="69"/>
    <n v="885"/>
  </r>
  <r>
    <n v="844"/>
    <x v="0"/>
    <x v="11"/>
    <x v="11"/>
    <x v="6"/>
    <x v="6"/>
    <x v="39"/>
    <n v="54007"/>
    <x v="249"/>
    <x v="236"/>
    <n v="43"/>
    <n v="600"/>
  </r>
  <r>
    <n v="845"/>
    <x v="0"/>
    <x v="11"/>
    <x v="11"/>
    <x v="6"/>
    <x v="6"/>
    <x v="41"/>
    <n v="54098"/>
    <x v="284"/>
    <x v="290"/>
    <n v="19"/>
    <n v="600"/>
  </r>
  <r>
    <n v="846"/>
    <x v="0"/>
    <x v="11"/>
    <x v="11"/>
    <x v="6"/>
    <x v="6"/>
    <x v="114"/>
    <n v="54014"/>
    <x v="146"/>
    <x v="202"/>
    <n v="22"/>
    <n v="800"/>
  </r>
  <r>
    <n v="847"/>
    <x v="0"/>
    <x v="11"/>
    <x v="11"/>
    <x v="6"/>
    <x v="6"/>
    <x v="43"/>
    <n v="54035"/>
    <x v="53"/>
    <x v="52"/>
    <n v="4"/>
    <n v="400"/>
  </r>
  <r>
    <n v="848"/>
    <x v="0"/>
    <x v="11"/>
    <x v="11"/>
    <x v="6"/>
    <x v="6"/>
    <x v="116"/>
    <n v="54063"/>
    <x v="78"/>
    <x v="183"/>
    <m/>
    <m/>
  </r>
  <r>
    <n v="849"/>
    <x v="0"/>
    <x v="11"/>
    <x v="11"/>
    <x v="6"/>
    <x v="6"/>
    <x v="12"/>
    <n v="54028"/>
    <x v="47"/>
    <x v="46"/>
    <n v="2"/>
    <n v="600"/>
  </r>
  <r>
    <n v="850"/>
    <x v="0"/>
    <x v="11"/>
    <x v="11"/>
    <x v="6"/>
    <x v="6"/>
    <x v="37"/>
    <n v="54112"/>
    <x v="34"/>
    <x v="34"/>
    <n v="2"/>
    <n v="1000"/>
  </r>
  <r>
    <n v="851"/>
    <x v="0"/>
    <x v="11"/>
    <x v="11"/>
    <x v="7"/>
    <x v="7"/>
    <x v="44"/>
    <n v="82049"/>
    <x v="210"/>
    <x v="291"/>
    <n v="7220"/>
    <n v="902"/>
  </r>
  <r>
    <n v="852"/>
    <x v="0"/>
    <x v="11"/>
    <x v="11"/>
    <x v="7"/>
    <x v="7"/>
    <x v="45"/>
    <n v="82035"/>
    <x v="158"/>
    <x v="163"/>
    <n v="4800"/>
    <n v="1200"/>
  </r>
  <r>
    <n v="853"/>
    <x v="0"/>
    <x v="11"/>
    <x v="11"/>
    <x v="7"/>
    <x v="7"/>
    <x v="42"/>
    <n v="82098"/>
    <x v="218"/>
    <x v="282"/>
    <n v="700"/>
    <n v="875"/>
  </r>
  <r>
    <n v="854"/>
    <x v="0"/>
    <x v="11"/>
    <x v="11"/>
    <x v="7"/>
    <x v="7"/>
    <x v="12"/>
    <n v="82063"/>
    <x v="125"/>
    <x v="45"/>
    <n v="48"/>
    <n v="1200"/>
  </r>
  <r>
    <n v="855"/>
    <x v="0"/>
    <x v="11"/>
    <x v="11"/>
    <x v="9"/>
    <x v="9"/>
    <x v="55"/>
    <n v="90007"/>
    <x v="285"/>
    <x v="292"/>
    <n v="832"/>
    <n v="1400"/>
  </r>
  <r>
    <n v="856"/>
    <x v="0"/>
    <x v="11"/>
    <x v="11"/>
    <x v="9"/>
    <x v="9"/>
    <x v="66"/>
    <n v="90056"/>
    <x v="14"/>
    <x v="14"/>
    <n v="600"/>
    <n v="1200"/>
  </r>
  <r>
    <n v="857"/>
    <x v="0"/>
    <x v="11"/>
    <x v="11"/>
    <x v="9"/>
    <x v="9"/>
    <x v="65"/>
    <n v="90014"/>
    <x v="286"/>
    <x v="293"/>
    <n v="547"/>
    <n v="1100"/>
  </r>
  <r>
    <n v="858"/>
    <x v="0"/>
    <x v="11"/>
    <x v="11"/>
    <x v="9"/>
    <x v="9"/>
    <x v="67"/>
    <n v="90070"/>
    <x v="225"/>
    <x v="38"/>
    <n v="71"/>
    <n v="1300"/>
  </r>
  <r>
    <n v="859"/>
    <x v="0"/>
    <x v="11"/>
    <x v="11"/>
    <x v="9"/>
    <x v="9"/>
    <x v="63"/>
    <n v="90028"/>
    <x v="72"/>
    <x v="78"/>
    <n v="30"/>
    <n v="1200"/>
  </r>
  <r>
    <n v="860"/>
    <x v="0"/>
    <x v="11"/>
    <x v="11"/>
    <x v="9"/>
    <x v="9"/>
    <x v="64"/>
    <n v="90112"/>
    <x v="92"/>
    <x v="78"/>
    <n v="25"/>
    <n v="1000"/>
  </r>
  <r>
    <n v="861"/>
    <x v="0"/>
    <x v="11"/>
    <x v="11"/>
    <x v="9"/>
    <x v="9"/>
    <x v="83"/>
    <n v="90021"/>
    <x v="45"/>
    <x v="100"/>
    <n v="24"/>
    <n v="1400"/>
  </r>
  <r>
    <n v="862"/>
    <x v="0"/>
    <x v="11"/>
    <x v="11"/>
    <x v="9"/>
    <x v="9"/>
    <x v="82"/>
    <n v="90077"/>
    <x v="32"/>
    <x v="67"/>
    <n v="10"/>
    <n v="1200"/>
  </r>
  <r>
    <n v="863"/>
    <x v="0"/>
    <x v="11"/>
    <x v="11"/>
    <x v="9"/>
    <x v="9"/>
    <x v="12"/>
    <n v="90084"/>
    <x v="34"/>
    <x v="183"/>
    <m/>
    <m/>
  </r>
  <r>
    <n v="864"/>
    <x v="0"/>
    <x v="11"/>
    <x v="11"/>
    <x v="9"/>
    <x v="9"/>
    <x v="69"/>
    <n v="90035"/>
    <x v="34"/>
    <x v="34"/>
    <n v="2"/>
    <n v="1000"/>
  </r>
  <r>
    <n v="865"/>
    <x v="0"/>
    <x v="12"/>
    <x v="12"/>
    <x v="1"/>
    <x v="1"/>
    <x v="142"/>
    <n v="14007"/>
    <x v="287"/>
    <x v="294"/>
    <n v="19772"/>
    <n v="974"/>
  </r>
  <r>
    <n v="866"/>
    <x v="0"/>
    <x v="12"/>
    <x v="12"/>
    <x v="1"/>
    <x v="1"/>
    <x v="7"/>
    <n v="14147"/>
    <x v="288"/>
    <x v="295"/>
    <n v="14442"/>
    <n v="1082"/>
  </r>
  <r>
    <n v="867"/>
    <x v="0"/>
    <x v="12"/>
    <x v="12"/>
    <x v="1"/>
    <x v="1"/>
    <x v="8"/>
    <n v="14119"/>
    <x v="289"/>
    <x v="142"/>
    <n v="12896"/>
    <n v="1172"/>
  </r>
  <r>
    <n v="868"/>
    <x v="0"/>
    <x v="12"/>
    <x v="12"/>
    <x v="1"/>
    <x v="1"/>
    <x v="70"/>
    <n v="14007"/>
    <x v="158"/>
    <x v="210"/>
    <n v="3680"/>
    <n v="1082"/>
  </r>
  <r>
    <n v="869"/>
    <x v="0"/>
    <x v="12"/>
    <x v="12"/>
    <x v="1"/>
    <x v="1"/>
    <x v="9"/>
    <n v="14105"/>
    <x v="290"/>
    <x v="296"/>
    <n v="1115"/>
    <n v="722"/>
  </r>
  <r>
    <n v="870"/>
    <x v="0"/>
    <x v="12"/>
    <x v="12"/>
    <x v="1"/>
    <x v="1"/>
    <x v="12"/>
    <n v="14014"/>
    <x v="153"/>
    <x v="145"/>
    <n v="779"/>
    <n v="1082"/>
  </r>
  <r>
    <n v="871"/>
    <x v="0"/>
    <x v="12"/>
    <x v="12"/>
    <x v="1"/>
    <x v="1"/>
    <x v="143"/>
    <n v="14042"/>
    <x v="26"/>
    <x v="59"/>
    <n v="235"/>
    <n v="587"/>
  </r>
  <r>
    <n v="872"/>
    <x v="0"/>
    <x v="12"/>
    <x v="12"/>
    <x v="1"/>
    <x v="1"/>
    <x v="46"/>
    <n v="14140"/>
    <x v="291"/>
    <x v="60"/>
    <n v="248"/>
    <n v="800"/>
  </r>
  <r>
    <n v="873"/>
    <x v="0"/>
    <x v="12"/>
    <x v="12"/>
    <x v="1"/>
    <x v="1"/>
    <x v="11"/>
    <n v="14021"/>
    <x v="12"/>
    <x v="12"/>
    <n v="162"/>
    <n v="540"/>
  </r>
  <r>
    <n v="874"/>
    <x v="0"/>
    <x v="12"/>
    <x v="12"/>
    <x v="1"/>
    <x v="1"/>
    <x v="42"/>
    <n v="14133"/>
    <x v="69"/>
    <x v="297"/>
    <n v="109"/>
    <n v="801"/>
  </r>
  <r>
    <n v="875"/>
    <x v="0"/>
    <x v="12"/>
    <x v="12"/>
    <x v="1"/>
    <x v="1"/>
    <x v="131"/>
    <n v="14126"/>
    <x v="20"/>
    <x v="298"/>
    <n v="128"/>
    <n v="1000"/>
  </r>
  <r>
    <n v="876"/>
    <x v="0"/>
    <x v="12"/>
    <x v="12"/>
    <x v="1"/>
    <x v="1"/>
    <x v="13"/>
    <n v="14098"/>
    <x v="67"/>
    <x v="299"/>
    <n v="69"/>
    <n v="1078"/>
  </r>
  <r>
    <n v="877"/>
    <x v="0"/>
    <x v="12"/>
    <x v="12"/>
    <x v="1"/>
    <x v="1"/>
    <x v="84"/>
    <n v="14168"/>
    <x v="39"/>
    <x v="39"/>
    <n v="27"/>
    <n v="600"/>
  </r>
  <r>
    <n v="878"/>
    <x v="0"/>
    <x v="12"/>
    <x v="12"/>
    <x v="1"/>
    <x v="1"/>
    <x v="144"/>
    <n v="14175"/>
    <x v="5"/>
    <x v="5"/>
    <n v="13"/>
    <n v="394"/>
  </r>
  <r>
    <n v="879"/>
    <x v="0"/>
    <x v="12"/>
    <x v="12"/>
    <x v="1"/>
    <x v="1"/>
    <x v="135"/>
    <n v="14028"/>
    <x v="31"/>
    <x v="31"/>
    <n v="7"/>
    <n v="467"/>
  </r>
  <r>
    <n v="880"/>
    <x v="0"/>
    <x v="12"/>
    <x v="12"/>
    <x v="1"/>
    <x v="1"/>
    <x v="132"/>
    <n v="14049"/>
    <x v="53"/>
    <x v="52"/>
    <n v="5"/>
    <n v="555"/>
  </r>
  <r>
    <n v="881"/>
    <x v="0"/>
    <x v="12"/>
    <x v="12"/>
    <x v="1"/>
    <x v="1"/>
    <x v="133"/>
    <n v="14112"/>
    <x v="53"/>
    <x v="52"/>
    <n v="3"/>
    <n v="333"/>
  </r>
  <r>
    <n v="882"/>
    <x v="0"/>
    <x v="12"/>
    <x v="12"/>
    <x v="1"/>
    <x v="1"/>
    <x v="136"/>
    <n v="14070"/>
    <x v="30"/>
    <x v="30"/>
    <n v="1"/>
    <n v="333"/>
  </r>
  <r>
    <n v="883"/>
    <x v="0"/>
    <x v="12"/>
    <x v="12"/>
    <x v="1"/>
    <x v="1"/>
    <x v="145"/>
    <n v="14154"/>
    <x v="48"/>
    <x v="47"/>
    <n v="4"/>
    <n v="400"/>
  </r>
  <r>
    <n v="884"/>
    <x v="0"/>
    <x v="12"/>
    <x v="12"/>
    <x v="2"/>
    <x v="2"/>
    <x v="15"/>
    <n v="18112"/>
    <x v="292"/>
    <x v="17"/>
    <n v="162"/>
    <n v="600"/>
  </r>
  <r>
    <n v="885"/>
    <x v="0"/>
    <x v="12"/>
    <x v="12"/>
    <x v="2"/>
    <x v="2"/>
    <x v="25"/>
    <n v="18035"/>
    <x v="18"/>
    <x v="131"/>
    <n v="60"/>
    <n v="500"/>
  </r>
  <r>
    <n v="886"/>
    <x v="0"/>
    <x v="12"/>
    <x v="12"/>
    <x v="2"/>
    <x v="2"/>
    <x v="18"/>
    <n v="18049"/>
    <x v="143"/>
    <x v="23"/>
    <n v="88"/>
    <n v="880"/>
  </r>
  <r>
    <n v="887"/>
    <x v="0"/>
    <x v="12"/>
    <x v="12"/>
    <x v="2"/>
    <x v="2"/>
    <x v="17"/>
    <n v="18042"/>
    <x v="23"/>
    <x v="111"/>
    <n v="55"/>
    <n v="1100"/>
  </r>
  <r>
    <n v="888"/>
    <x v="0"/>
    <x v="12"/>
    <x v="12"/>
    <x v="2"/>
    <x v="2"/>
    <x v="43"/>
    <n v="18028"/>
    <x v="224"/>
    <x v="111"/>
    <n v="50"/>
    <n v="1000"/>
  </r>
  <r>
    <n v="889"/>
    <x v="0"/>
    <x v="12"/>
    <x v="12"/>
    <x v="2"/>
    <x v="2"/>
    <x v="23"/>
    <n v="18126"/>
    <x v="67"/>
    <x v="111"/>
    <n v="50"/>
    <n v="1000"/>
  </r>
  <r>
    <n v="890"/>
    <x v="0"/>
    <x v="12"/>
    <x v="12"/>
    <x v="2"/>
    <x v="2"/>
    <x v="21"/>
    <n v="18007"/>
    <x v="225"/>
    <x v="45"/>
    <n v="38"/>
    <n v="950"/>
  </r>
  <r>
    <n v="891"/>
    <x v="0"/>
    <x v="12"/>
    <x v="12"/>
    <x v="2"/>
    <x v="2"/>
    <x v="72"/>
    <n v="18063"/>
    <x v="225"/>
    <x v="45"/>
    <n v="44"/>
    <n v="1100"/>
  </r>
  <r>
    <n v="892"/>
    <x v="0"/>
    <x v="12"/>
    <x v="12"/>
    <x v="2"/>
    <x v="2"/>
    <x v="12"/>
    <n v="18021"/>
    <x v="44"/>
    <x v="78"/>
    <n v="25"/>
    <n v="1000"/>
  </r>
  <r>
    <n v="893"/>
    <x v="0"/>
    <x v="12"/>
    <x v="12"/>
    <x v="2"/>
    <x v="2"/>
    <x v="24"/>
    <n v="18140"/>
    <x v="44"/>
    <x v="80"/>
    <n v="20"/>
    <n v="1000"/>
  </r>
  <r>
    <n v="894"/>
    <x v="0"/>
    <x v="12"/>
    <x v="12"/>
    <x v="2"/>
    <x v="2"/>
    <x v="16"/>
    <n v="18091"/>
    <x v="39"/>
    <x v="139"/>
    <n v="28"/>
    <n v="800"/>
  </r>
  <r>
    <n v="895"/>
    <x v="0"/>
    <x v="12"/>
    <x v="12"/>
    <x v="2"/>
    <x v="2"/>
    <x v="71"/>
    <n v="18098"/>
    <x v="125"/>
    <x v="80"/>
    <n v="20"/>
    <n v="1000"/>
  </r>
  <r>
    <n v="896"/>
    <x v="0"/>
    <x v="12"/>
    <x v="12"/>
    <x v="2"/>
    <x v="2"/>
    <x v="75"/>
    <n v="18014"/>
    <x v="72"/>
    <x v="80"/>
    <n v="20"/>
    <n v="1000"/>
  </r>
  <r>
    <n v="897"/>
    <x v="0"/>
    <x v="12"/>
    <x v="12"/>
    <x v="2"/>
    <x v="2"/>
    <x v="26"/>
    <n v="18070"/>
    <x v="72"/>
    <x v="78"/>
    <n v="20"/>
    <n v="800"/>
  </r>
  <r>
    <n v="898"/>
    <x v="0"/>
    <x v="12"/>
    <x v="12"/>
    <x v="2"/>
    <x v="2"/>
    <x v="19"/>
    <n v="18133"/>
    <x v="72"/>
    <x v="31"/>
    <n v="15"/>
    <n v="1000"/>
  </r>
  <r>
    <n v="899"/>
    <x v="0"/>
    <x v="12"/>
    <x v="12"/>
    <x v="2"/>
    <x v="2"/>
    <x v="76"/>
    <n v="18154"/>
    <x v="72"/>
    <x v="31"/>
    <n v="15"/>
    <n v="1000"/>
  </r>
  <r>
    <n v="900"/>
    <x v="0"/>
    <x v="12"/>
    <x v="12"/>
    <x v="2"/>
    <x v="2"/>
    <x v="73"/>
    <n v="18077"/>
    <x v="92"/>
    <x v="31"/>
    <n v="15"/>
    <n v="1000"/>
  </r>
  <r>
    <n v="901"/>
    <x v="0"/>
    <x v="12"/>
    <x v="12"/>
    <x v="2"/>
    <x v="2"/>
    <x v="22"/>
    <n v="18084"/>
    <x v="45"/>
    <x v="31"/>
    <n v="15"/>
    <n v="1000"/>
  </r>
  <r>
    <n v="902"/>
    <x v="0"/>
    <x v="12"/>
    <x v="12"/>
    <x v="3"/>
    <x v="3"/>
    <x v="28"/>
    <n v="30028"/>
    <x v="151"/>
    <x v="209"/>
    <n v="8016"/>
    <n v="1336"/>
  </r>
  <r>
    <n v="903"/>
    <x v="0"/>
    <x v="12"/>
    <x v="12"/>
    <x v="3"/>
    <x v="3"/>
    <x v="29"/>
    <n v="30015"/>
    <x v="293"/>
    <x v="152"/>
    <n v="3864"/>
    <n v="1431"/>
  </r>
  <r>
    <n v="904"/>
    <x v="0"/>
    <x v="12"/>
    <x v="12"/>
    <x v="3"/>
    <x v="3"/>
    <x v="11"/>
    <n v="30008"/>
    <x v="14"/>
    <x v="212"/>
    <n v="472"/>
    <n v="1049"/>
  </r>
  <r>
    <n v="905"/>
    <x v="0"/>
    <x v="12"/>
    <x v="12"/>
    <x v="3"/>
    <x v="3"/>
    <x v="79"/>
    <n v="30098"/>
    <x v="14"/>
    <x v="183"/>
    <m/>
    <m/>
  </r>
  <r>
    <n v="906"/>
    <x v="0"/>
    <x v="12"/>
    <x v="12"/>
    <x v="3"/>
    <x v="3"/>
    <x v="80"/>
    <n v="30056"/>
    <x v="72"/>
    <x v="183"/>
    <m/>
    <m/>
  </r>
  <r>
    <n v="907"/>
    <x v="0"/>
    <x v="12"/>
    <x v="12"/>
    <x v="3"/>
    <x v="3"/>
    <x v="113"/>
    <n v="30091"/>
    <x v="72"/>
    <x v="135"/>
    <n v="8"/>
    <n v="615"/>
  </r>
  <r>
    <n v="908"/>
    <x v="0"/>
    <x v="12"/>
    <x v="12"/>
    <x v="4"/>
    <x v="4"/>
    <x v="30"/>
    <n v="34049"/>
    <x v="253"/>
    <x v="197"/>
    <n v="44"/>
    <n v="463"/>
  </r>
  <r>
    <n v="909"/>
    <x v="0"/>
    <x v="12"/>
    <x v="12"/>
    <x v="4"/>
    <x v="4"/>
    <x v="31"/>
    <n v="34021"/>
    <x v="39"/>
    <x v="39"/>
    <n v="20"/>
    <n v="450"/>
  </r>
  <r>
    <n v="910"/>
    <x v="0"/>
    <x v="12"/>
    <x v="12"/>
    <x v="4"/>
    <x v="4"/>
    <x v="34"/>
    <n v="34035"/>
    <x v="39"/>
    <x v="39"/>
    <n v="20"/>
    <n v="450"/>
  </r>
  <r>
    <n v="911"/>
    <x v="0"/>
    <x v="12"/>
    <x v="12"/>
    <x v="4"/>
    <x v="4"/>
    <x v="32"/>
    <n v="34014"/>
    <x v="125"/>
    <x v="45"/>
    <n v="20"/>
    <n v="500"/>
  </r>
  <r>
    <n v="912"/>
    <x v="0"/>
    <x v="12"/>
    <x v="12"/>
    <x v="6"/>
    <x v="6"/>
    <x v="40"/>
    <n v="54021"/>
    <x v="61"/>
    <x v="183"/>
    <m/>
    <m/>
  </r>
  <r>
    <n v="913"/>
    <x v="0"/>
    <x v="12"/>
    <x v="12"/>
    <x v="6"/>
    <x v="6"/>
    <x v="114"/>
    <n v="54014"/>
    <x v="20"/>
    <x v="183"/>
    <m/>
    <m/>
  </r>
  <r>
    <n v="914"/>
    <x v="0"/>
    <x v="12"/>
    <x v="12"/>
    <x v="6"/>
    <x v="6"/>
    <x v="42"/>
    <n v="54105"/>
    <x v="86"/>
    <x v="183"/>
    <m/>
    <m/>
  </r>
  <r>
    <n v="915"/>
    <x v="0"/>
    <x v="12"/>
    <x v="12"/>
    <x v="6"/>
    <x v="6"/>
    <x v="39"/>
    <n v="54007"/>
    <x v="224"/>
    <x v="183"/>
    <m/>
    <m/>
  </r>
  <r>
    <n v="916"/>
    <x v="0"/>
    <x v="12"/>
    <x v="12"/>
    <x v="6"/>
    <x v="6"/>
    <x v="41"/>
    <n v="54098"/>
    <x v="275"/>
    <x v="72"/>
    <n v="30"/>
    <n v="1000"/>
  </r>
  <r>
    <n v="917"/>
    <x v="0"/>
    <x v="12"/>
    <x v="12"/>
    <x v="6"/>
    <x v="6"/>
    <x v="37"/>
    <n v="54112"/>
    <x v="107"/>
    <x v="183"/>
    <m/>
    <m/>
  </r>
  <r>
    <n v="918"/>
    <x v="0"/>
    <x v="12"/>
    <x v="12"/>
    <x v="6"/>
    <x v="6"/>
    <x v="116"/>
    <n v="54063"/>
    <x v="78"/>
    <x v="33"/>
    <n v="6"/>
    <n v="1200"/>
  </r>
  <r>
    <n v="919"/>
    <x v="0"/>
    <x v="12"/>
    <x v="12"/>
    <x v="6"/>
    <x v="6"/>
    <x v="43"/>
    <n v="54035"/>
    <x v="33"/>
    <x v="183"/>
    <m/>
    <m/>
  </r>
  <r>
    <n v="920"/>
    <x v="0"/>
    <x v="12"/>
    <x v="12"/>
    <x v="6"/>
    <x v="6"/>
    <x v="12"/>
    <n v="54028"/>
    <x v="47"/>
    <x v="183"/>
    <m/>
    <m/>
  </r>
  <r>
    <n v="921"/>
    <x v="0"/>
    <x v="12"/>
    <x v="12"/>
    <x v="6"/>
    <x v="6"/>
    <x v="139"/>
    <n v="54049"/>
    <x v="34"/>
    <x v="183"/>
    <m/>
    <m/>
  </r>
  <r>
    <n v="922"/>
    <x v="0"/>
    <x v="12"/>
    <x v="12"/>
    <x v="6"/>
    <x v="6"/>
    <x v="115"/>
    <n v="54056"/>
    <x v="48"/>
    <x v="183"/>
    <m/>
    <m/>
  </r>
  <r>
    <n v="923"/>
    <x v="0"/>
    <x v="12"/>
    <x v="12"/>
    <x v="11"/>
    <x v="11"/>
    <x v="106"/>
    <n v="66112"/>
    <x v="294"/>
    <x v="300"/>
    <n v="427"/>
    <n v="1309"/>
  </r>
  <r>
    <n v="924"/>
    <x v="0"/>
    <x v="12"/>
    <x v="12"/>
    <x v="11"/>
    <x v="11"/>
    <x v="146"/>
    <n v="66140"/>
    <x v="95"/>
    <x v="140"/>
    <n v="22"/>
    <n v="1222"/>
  </r>
  <r>
    <n v="925"/>
    <x v="0"/>
    <x v="12"/>
    <x v="12"/>
    <x v="11"/>
    <x v="11"/>
    <x v="140"/>
    <n v="66126"/>
    <x v="50"/>
    <x v="136"/>
    <n v="13"/>
    <n v="1200"/>
  </r>
  <r>
    <n v="926"/>
    <x v="0"/>
    <x v="12"/>
    <x v="12"/>
    <x v="11"/>
    <x v="11"/>
    <x v="98"/>
    <n v="66049"/>
    <x v="30"/>
    <x v="30"/>
    <n v="4"/>
    <n v="1333"/>
  </r>
  <r>
    <n v="927"/>
    <x v="0"/>
    <x v="12"/>
    <x v="12"/>
    <x v="11"/>
    <x v="11"/>
    <x v="99"/>
    <n v="66084"/>
    <x v="34"/>
    <x v="34"/>
    <n v="2"/>
    <n v="1200"/>
  </r>
  <r>
    <n v="928"/>
    <x v="0"/>
    <x v="12"/>
    <x v="12"/>
    <x v="11"/>
    <x v="11"/>
    <x v="12"/>
    <n v="66028"/>
    <x v="34"/>
    <x v="34"/>
    <n v="3"/>
    <n v="1500"/>
  </r>
  <r>
    <n v="929"/>
    <x v="0"/>
    <x v="12"/>
    <x v="12"/>
    <x v="11"/>
    <x v="11"/>
    <x v="123"/>
    <n v="66133"/>
    <x v="34"/>
    <x v="34"/>
    <n v="2"/>
    <n v="1200"/>
  </r>
  <r>
    <n v="930"/>
    <x v="0"/>
    <x v="12"/>
    <x v="12"/>
    <x v="11"/>
    <x v="11"/>
    <x v="147"/>
    <n v="66077"/>
    <x v="48"/>
    <x v="47"/>
    <n v="1"/>
    <n v="1000"/>
  </r>
  <r>
    <n v="931"/>
    <x v="0"/>
    <x v="12"/>
    <x v="12"/>
    <x v="13"/>
    <x v="13"/>
    <x v="62"/>
    <m/>
    <x v="33"/>
    <x v="183"/>
    <m/>
    <m/>
  </r>
  <r>
    <n v="932"/>
    <x v="0"/>
    <x v="12"/>
    <x v="12"/>
    <x v="7"/>
    <x v="7"/>
    <x v="44"/>
    <n v="82049"/>
    <x v="210"/>
    <x v="291"/>
    <n v="8000"/>
    <n v="1000"/>
  </r>
  <r>
    <n v="933"/>
    <x v="0"/>
    <x v="12"/>
    <x v="12"/>
    <x v="7"/>
    <x v="7"/>
    <x v="45"/>
    <n v="82035"/>
    <x v="120"/>
    <x v="301"/>
    <n v="6020"/>
    <n v="1400"/>
  </r>
  <r>
    <n v="934"/>
    <x v="0"/>
    <x v="12"/>
    <x v="12"/>
    <x v="7"/>
    <x v="7"/>
    <x v="42"/>
    <n v="82098"/>
    <x v="180"/>
    <x v="14"/>
    <n v="500"/>
    <n v="1000"/>
  </r>
  <r>
    <n v="935"/>
    <x v="0"/>
    <x v="12"/>
    <x v="12"/>
    <x v="7"/>
    <x v="7"/>
    <x v="12"/>
    <n v="82063"/>
    <x v="23"/>
    <x v="23"/>
    <n v="140"/>
    <n v="1400"/>
  </r>
  <r>
    <n v="936"/>
    <x v="0"/>
    <x v="12"/>
    <x v="12"/>
    <x v="8"/>
    <x v="8"/>
    <x v="54"/>
    <n v="86161"/>
    <x v="72"/>
    <x v="157"/>
    <n v="31"/>
    <n v="1200"/>
  </r>
  <r>
    <n v="937"/>
    <x v="0"/>
    <x v="12"/>
    <x v="12"/>
    <x v="8"/>
    <x v="8"/>
    <x v="141"/>
    <n v="86126"/>
    <x v="45"/>
    <x v="140"/>
    <n v="18"/>
    <n v="1000"/>
  </r>
  <r>
    <n v="938"/>
    <x v="0"/>
    <x v="12"/>
    <x v="12"/>
    <x v="8"/>
    <x v="8"/>
    <x v="53"/>
    <n v="86035"/>
    <x v="31"/>
    <x v="77"/>
    <n v="14"/>
    <n v="1000"/>
  </r>
  <r>
    <n v="939"/>
    <x v="0"/>
    <x v="12"/>
    <x v="12"/>
    <x v="8"/>
    <x v="8"/>
    <x v="102"/>
    <n v="86133"/>
    <x v="31"/>
    <x v="77"/>
    <n v="14"/>
    <n v="1000"/>
  </r>
  <r>
    <n v="940"/>
    <x v="0"/>
    <x v="12"/>
    <x v="12"/>
    <x v="8"/>
    <x v="8"/>
    <x v="12"/>
    <n v="86049"/>
    <x v="13"/>
    <x v="13"/>
    <n v="12"/>
    <n v="1000"/>
  </r>
  <r>
    <n v="941"/>
    <x v="0"/>
    <x v="12"/>
    <x v="12"/>
    <x v="8"/>
    <x v="8"/>
    <x v="148"/>
    <n v="86070"/>
    <x v="32"/>
    <x v="52"/>
    <n v="11"/>
    <n v="1200"/>
  </r>
  <r>
    <n v="942"/>
    <x v="0"/>
    <x v="12"/>
    <x v="12"/>
    <x v="8"/>
    <x v="8"/>
    <x v="149"/>
    <n v="86084"/>
    <x v="78"/>
    <x v="49"/>
    <n v="6"/>
    <n v="1000"/>
  </r>
  <r>
    <n v="943"/>
    <x v="0"/>
    <x v="12"/>
    <x v="12"/>
    <x v="8"/>
    <x v="8"/>
    <x v="120"/>
    <n v="86042"/>
    <x v="33"/>
    <x v="33"/>
    <n v="6"/>
    <n v="1200"/>
  </r>
  <r>
    <n v="944"/>
    <x v="0"/>
    <x v="12"/>
    <x v="12"/>
    <x v="8"/>
    <x v="8"/>
    <x v="150"/>
    <n v="86140"/>
    <x v="33"/>
    <x v="33"/>
    <n v="5"/>
    <n v="1000"/>
  </r>
  <r>
    <n v="945"/>
    <x v="0"/>
    <x v="12"/>
    <x v="12"/>
    <x v="8"/>
    <x v="8"/>
    <x v="51"/>
    <n v="86147"/>
    <x v="33"/>
    <x v="33"/>
    <n v="5"/>
    <n v="1000"/>
  </r>
  <r>
    <n v="946"/>
    <x v="0"/>
    <x v="12"/>
    <x v="12"/>
    <x v="8"/>
    <x v="8"/>
    <x v="47"/>
    <n v="86077"/>
    <x v="33"/>
    <x v="33"/>
    <n v="6"/>
    <n v="1200"/>
  </r>
  <r>
    <n v="947"/>
    <x v="0"/>
    <x v="12"/>
    <x v="12"/>
    <x v="8"/>
    <x v="8"/>
    <x v="103"/>
    <n v="86091"/>
    <x v="34"/>
    <x v="34"/>
    <n v="2"/>
    <n v="1000"/>
  </r>
  <r>
    <n v="948"/>
    <x v="0"/>
    <x v="12"/>
    <x v="12"/>
    <x v="9"/>
    <x v="9"/>
    <x v="55"/>
    <n v="90007"/>
    <x v="82"/>
    <x v="14"/>
    <n v="700"/>
    <n v="1400"/>
  </r>
  <r>
    <n v="949"/>
    <x v="0"/>
    <x v="12"/>
    <x v="12"/>
    <x v="9"/>
    <x v="9"/>
    <x v="66"/>
    <n v="90056"/>
    <x v="295"/>
    <x v="212"/>
    <n v="553"/>
    <n v="1230"/>
  </r>
  <r>
    <n v="950"/>
    <x v="0"/>
    <x v="12"/>
    <x v="12"/>
    <x v="9"/>
    <x v="9"/>
    <x v="65"/>
    <n v="90014"/>
    <x v="296"/>
    <x v="212"/>
    <n v="630"/>
    <n v="1400"/>
  </r>
  <r>
    <n v="951"/>
    <x v="0"/>
    <x v="12"/>
    <x v="12"/>
    <x v="9"/>
    <x v="9"/>
    <x v="67"/>
    <n v="90070"/>
    <x v="255"/>
    <x v="225"/>
    <n v="84"/>
    <n v="1400"/>
  </r>
  <r>
    <n v="952"/>
    <x v="0"/>
    <x v="12"/>
    <x v="12"/>
    <x v="9"/>
    <x v="9"/>
    <x v="82"/>
    <n v="90077"/>
    <x v="44"/>
    <x v="126"/>
    <n v="66"/>
    <n v="1400"/>
  </r>
  <r>
    <n v="953"/>
    <x v="0"/>
    <x v="12"/>
    <x v="12"/>
    <x v="9"/>
    <x v="9"/>
    <x v="69"/>
    <n v="90035"/>
    <x v="125"/>
    <x v="45"/>
    <n v="60"/>
    <n v="1500"/>
  </r>
  <r>
    <n v="954"/>
    <x v="0"/>
    <x v="12"/>
    <x v="12"/>
    <x v="9"/>
    <x v="9"/>
    <x v="63"/>
    <n v="90028"/>
    <x v="72"/>
    <x v="72"/>
    <n v="39"/>
    <n v="1300"/>
  </r>
  <r>
    <n v="955"/>
    <x v="0"/>
    <x v="12"/>
    <x v="12"/>
    <x v="9"/>
    <x v="9"/>
    <x v="64"/>
    <n v="90112"/>
    <x v="146"/>
    <x v="182"/>
    <n v="31"/>
    <n v="1200"/>
  </r>
  <r>
    <n v="956"/>
    <x v="0"/>
    <x v="12"/>
    <x v="12"/>
    <x v="9"/>
    <x v="9"/>
    <x v="83"/>
    <n v="90021"/>
    <x v="45"/>
    <x v="80"/>
    <n v="28"/>
    <n v="1400"/>
  </r>
  <r>
    <n v="957"/>
    <x v="0"/>
    <x v="12"/>
    <x v="12"/>
    <x v="9"/>
    <x v="9"/>
    <x v="68"/>
    <n v="90105"/>
    <x v="33"/>
    <x v="33"/>
    <n v="7"/>
    <n v="1400"/>
  </r>
  <r>
    <n v="958"/>
    <x v="0"/>
    <x v="12"/>
    <x v="12"/>
    <x v="9"/>
    <x v="9"/>
    <x v="12"/>
    <n v="90084"/>
    <x v="34"/>
    <x v="34"/>
    <n v="2"/>
    <n v="1200"/>
  </r>
  <r>
    <n v="959"/>
    <x v="0"/>
    <x v="13"/>
    <x v="13"/>
    <x v="0"/>
    <x v="0"/>
    <x v="2"/>
    <n v="22140"/>
    <x v="297"/>
    <x v="88"/>
    <n v="131"/>
    <n v="748"/>
  </r>
  <r>
    <n v="960"/>
    <x v="0"/>
    <x v="13"/>
    <x v="13"/>
    <x v="0"/>
    <x v="0"/>
    <x v="1"/>
    <n v="22049"/>
    <x v="143"/>
    <x v="76"/>
    <n v="60"/>
    <n v="800"/>
  </r>
  <r>
    <n v="961"/>
    <x v="0"/>
    <x v="13"/>
    <x v="13"/>
    <x v="0"/>
    <x v="0"/>
    <x v="0"/>
    <n v="22105"/>
    <x v="275"/>
    <x v="78"/>
    <n v="23"/>
    <n v="920"/>
  </r>
  <r>
    <n v="962"/>
    <x v="0"/>
    <x v="13"/>
    <x v="13"/>
    <x v="0"/>
    <x v="0"/>
    <x v="3"/>
    <n v="22084"/>
    <x v="72"/>
    <x v="72"/>
    <n v="24"/>
    <n v="800"/>
  </r>
  <r>
    <n v="963"/>
    <x v="0"/>
    <x v="13"/>
    <x v="13"/>
    <x v="0"/>
    <x v="0"/>
    <x v="4"/>
    <n v="22014"/>
    <x v="45"/>
    <x v="80"/>
    <n v="18"/>
    <n v="900"/>
  </r>
  <r>
    <n v="964"/>
    <x v="0"/>
    <x v="13"/>
    <x v="13"/>
    <x v="0"/>
    <x v="0"/>
    <x v="130"/>
    <n v="22063"/>
    <x v="77"/>
    <x v="33"/>
    <n v="3"/>
    <n v="600"/>
  </r>
  <r>
    <n v="965"/>
    <x v="0"/>
    <x v="13"/>
    <x v="13"/>
    <x v="0"/>
    <x v="0"/>
    <x v="6"/>
    <n v="22161"/>
    <x v="77"/>
    <x v="67"/>
    <n v="6"/>
    <n v="750"/>
  </r>
  <r>
    <n v="966"/>
    <x v="0"/>
    <x v="13"/>
    <x v="13"/>
    <x v="0"/>
    <x v="0"/>
    <x v="5"/>
    <n v="22091"/>
    <x v="33"/>
    <x v="33"/>
    <n v="5"/>
    <n v="1000"/>
  </r>
  <r>
    <n v="967"/>
    <x v="0"/>
    <x v="13"/>
    <x v="13"/>
    <x v="1"/>
    <x v="1"/>
    <x v="142"/>
    <n v="14007"/>
    <x v="298"/>
    <x v="302"/>
    <n v="11700"/>
    <n v="720"/>
  </r>
  <r>
    <n v="968"/>
    <x v="0"/>
    <x v="13"/>
    <x v="13"/>
    <x v="1"/>
    <x v="1"/>
    <x v="7"/>
    <n v="14147"/>
    <x v="299"/>
    <x v="303"/>
    <n v="12430"/>
    <n v="1200"/>
  </r>
  <r>
    <n v="969"/>
    <x v="0"/>
    <x v="13"/>
    <x v="13"/>
    <x v="1"/>
    <x v="1"/>
    <x v="8"/>
    <n v="14119"/>
    <x v="300"/>
    <x v="304"/>
    <n v="7897"/>
    <n v="1100"/>
  </r>
  <r>
    <n v="970"/>
    <x v="0"/>
    <x v="13"/>
    <x v="13"/>
    <x v="1"/>
    <x v="1"/>
    <x v="70"/>
    <n v="14007"/>
    <x v="301"/>
    <x v="305"/>
    <n v="3720"/>
    <n v="1200"/>
  </r>
  <r>
    <n v="971"/>
    <x v="0"/>
    <x v="13"/>
    <x v="13"/>
    <x v="1"/>
    <x v="1"/>
    <x v="9"/>
    <n v="14105"/>
    <x v="74"/>
    <x v="9"/>
    <n v="1360"/>
    <n v="800"/>
  </r>
  <r>
    <n v="972"/>
    <x v="0"/>
    <x v="13"/>
    <x v="13"/>
    <x v="1"/>
    <x v="1"/>
    <x v="12"/>
    <n v="14014"/>
    <x v="153"/>
    <x v="282"/>
    <n v="960"/>
    <n v="1200"/>
  </r>
  <r>
    <n v="973"/>
    <x v="0"/>
    <x v="13"/>
    <x v="13"/>
    <x v="1"/>
    <x v="1"/>
    <x v="46"/>
    <n v="14140"/>
    <x v="180"/>
    <x v="207"/>
    <n v="420"/>
    <n v="700"/>
  </r>
  <r>
    <n v="974"/>
    <x v="0"/>
    <x v="13"/>
    <x v="13"/>
    <x v="1"/>
    <x v="1"/>
    <x v="143"/>
    <n v="14042"/>
    <x v="302"/>
    <x v="192"/>
    <n v="297"/>
    <n v="1100"/>
  </r>
  <r>
    <n v="975"/>
    <x v="0"/>
    <x v="13"/>
    <x v="13"/>
    <x v="1"/>
    <x v="1"/>
    <x v="11"/>
    <n v="14021"/>
    <x v="18"/>
    <x v="18"/>
    <n v="130"/>
    <n v="650"/>
  </r>
  <r>
    <n v="976"/>
    <x v="0"/>
    <x v="13"/>
    <x v="13"/>
    <x v="1"/>
    <x v="1"/>
    <x v="13"/>
    <n v="14098"/>
    <x v="20"/>
    <x v="150"/>
    <n v="143"/>
    <n v="1100"/>
  </r>
  <r>
    <n v="977"/>
    <x v="0"/>
    <x v="13"/>
    <x v="13"/>
    <x v="1"/>
    <x v="1"/>
    <x v="131"/>
    <n v="14126"/>
    <x v="23"/>
    <x v="23"/>
    <n v="150"/>
    <n v="1500"/>
  </r>
  <r>
    <n v="978"/>
    <x v="0"/>
    <x v="13"/>
    <x v="13"/>
    <x v="1"/>
    <x v="1"/>
    <x v="42"/>
    <n v="14133"/>
    <x v="67"/>
    <x v="44"/>
    <n v="144"/>
    <n v="1800"/>
  </r>
  <r>
    <n v="979"/>
    <x v="0"/>
    <x v="13"/>
    <x v="13"/>
    <x v="1"/>
    <x v="1"/>
    <x v="84"/>
    <n v="14168"/>
    <x v="39"/>
    <x v="39"/>
    <n v="29"/>
    <n v="644"/>
  </r>
  <r>
    <n v="980"/>
    <x v="0"/>
    <x v="13"/>
    <x v="13"/>
    <x v="1"/>
    <x v="1"/>
    <x v="144"/>
    <n v="14175"/>
    <x v="5"/>
    <x v="5"/>
    <n v="19"/>
    <n v="576"/>
  </r>
  <r>
    <n v="981"/>
    <x v="0"/>
    <x v="13"/>
    <x v="13"/>
    <x v="1"/>
    <x v="1"/>
    <x v="151"/>
    <n v="14077"/>
    <x v="146"/>
    <x v="6"/>
    <n v="31"/>
    <n v="1292"/>
  </r>
  <r>
    <n v="982"/>
    <x v="0"/>
    <x v="13"/>
    <x v="13"/>
    <x v="1"/>
    <x v="1"/>
    <x v="132"/>
    <n v="14049"/>
    <x v="92"/>
    <x v="78"/>
    <n v="16"/>
    <n v="640"/>
  </r>
  <r>
    <n v="983"/>
    <x v="0"/>
    <x v="13"/>
    <x v="13"/>
    <x v="1"/>
    <x v="1"/>
    <x v="135"/>
    <n v="14028"/>
    <x v="31"/>
    <x v="31"/>
    <n v="9"/>
    <n v="600"/>
  </r>
  <r>
    <n v="984"/>
    <x v="0"/>
    <x v="13"/>
    <x v="13"/>
    <x v="1"/>
    <x v="1"/>
    <x v="133"/>
    <n v="14112"/>
    <x v="53"/>
    <x v="52"/>
    <n v="4"/>
    <n v="444"/>
  </r>
  <r>
    <n v="985"/>
    <x v="0"/>
    <x v="13"/>
    <x v="13"/>
    <x v="1"/>
    <x v="1"/>
    <x v="136"/>
    <n v="14070"/>
    <x v="30"/>
    <x v="30"/>
    <n v="1"/>
    <n v="333"/>
  </r>
  <r>
    <n v="986"/>
    <x v="0"/>
    <x v="13"/>
    <x v="13"/>
    <x v="2"/>
    <x v="2"/>
    <x v="15"/>
    <n v="18112"/>
    <x v="303"/>
    <x v="116"/>
    <n v="247"/>
    <n v="677"/>
  </r>
  <r>
    <n v="987"/>
    <x v="0"/>
    <x v="13"/>
    <x v="13"/>
    <x v="2"/>
    <x v="2"/>
    <x v="18"/>
    <n v="18049"/>
    <x v="188"/>
    <x v="23"/>
    <n v="65"/>
    <n v="650"/>
  </r>
  <r>
    <n v="988"/>
    <x v="0"/>
    <x v="13"/>
    <x v="13"/>
    <x v="2"/>
    <x v="2"/>
    <x v="17"/>
    <n v="18042"/>
    <x v="224"/>
    <x v="225"/>
    <n v="54"/>
    <n v="900"/>
  </r>
  <r>
    <n v="989"/>
    <x v="0"/>
    <x v="13"/>
    <x v="13"/>
    <x v="2"/>
    <x v="2"/>
    <x v="43"/>
    <n v="18028"/>
    <x v="67"/>
    <x v="39"/>
    <n v="36"/>
    <n v="800"/>
  </r>
  <r>
    <n v="990"/>
    <x v="0"/>
    <x v="13"/>
    <x v="13"/>
    <x v="2"/>
    <x v="2"/>
    <x v="25"/>
    <n v="18035"/>
    <x v="127"/>
    <x v="27"/>
    <n v="39"/>
    <n v="600"/>
  </r>
  <r>
    <n v="991"/>
    <x v="0"/>
    <x v="13"/>
    <x v="13"/>
    <x v="2"/>
    <x v="2"/>
    <x v="23"/>
    <n v="18126"/>
    <x v="127"/>
    <x v="45"/>
    <n v="32"/>
    <n v="800"/>
  </r>
  <r>
    <n v="992"/>
    <x v="0"/>
    <x v="13"/>
    <x v="13"/>
    <x v="2"/>
    <x v="2"/>
    <x v="21"/>
    <n v="18007"/>
    <x v="225"/>
    <x v="111"/>
    <n v="30"/>
    <n v="600"/>
  </r>
  <r>
    <n v="993"/>
    <x v="0"/>
    <x v="13"/>
    <x v="13"/>
    <x v="2"/>
    <x v="2"/>
    <x v="12"/>
    <n v="18021"/>
    <x v="44"/>
    <x v="80"/>
    <n v="18"/>
    <n v="900"/>
  </r>
  <r>
    <n v="994"/>
    <x v="0"/>
    <x v="13"/>
    <x v="13"/>
    <x v="2"/>
    <x v="2"/>
    <x v="74"/>
    <n v="18161"/>
    <x v="119"/>
    <x v="139"/>
    <n v="21"/>
    <n v="600"/>
  </r>
  <r>
    <n v="995"/>
    <x v="0"/>
    <x v="13"/>
    <x v="13"/>
    <x v="2"/>
    <x v="2"/>
    <x v="72"/>
    <n v="18063"/>
    <x v="39"/>
    <x v="139"/>
    <n v="31"/>
    <n v="886"/>
  </r>
  <r>
    <n v="996"/>
    <x v="0"/>
    <x v="13"/>
    <x v="13"/>
    <x v="2"/>
    <x v="2"/>
    <x v="16"/>
    <n v="18091"/>
    <x v="39"/>
    <x v="45"/>
    <n v="24"/>
    <n v="600"/>
  </r>
  <r>
    <n v="997"/>
    <x v="0"/>
    <x v="13"/>
    <x v="13"/>
    <x v="2"/>
    <x v="2"/>
    <x v="71"/>
    <n v="18098"/>
    <x v="131"/>
    <x v="32"/>
    <n v="9"/>
    <n v="900"/>
  </r>
  <r>
    <n v="998"/>
    <x v="0"/>
    <x v="13"/>
    <x v="13"/>
    <x v="2"/>
    <x v="2"/>
    <x v="26"/>
    <n v="18070"/>
    <x v="72"/>
    <x v="80"/>
    <n v="12"/>
    <n v="600"/>
  </r>
  <r>
    <n v="999"/>
    <x v="0"/>
    <x v="13"/>
    <x v="13"/>
    <x v="2"/>
    <x v="2"/>
    <x v="22"/>
    <n v="18084"/>
    <x v="72"/>
    <x v="80"/>
    <n v="18"/>
    <n v="900"/>
  </r>
  <r>
    <n v="1000"/>
    <x v="0"/>
    <x v="13"/>
    <x v="13"/>
    <x v="2"/>
    <x v="2"/>
    <x v="24"/>
    <n v="18140"/>
    <x v="72"/>
    <x v="80"/>
    <n v="16"/>
    <n v="800"/>
  </r>
  <r>
    <n v="1001"/>
    <x v="0"/>
    <x v="13"/>
    <x v="13"/>
    <x v="2"/>
    <x v="2"/>
    <x v="19"/>
    <n v="18133"/>
    <x v="92"/>
    <x v="32"/>
    <n v="8"/>
    <n v="800"/>
  </r>
  <r>
    <n v="1002"/>
    <x v="0"/>
    <x v="13"/>
    <x v="13"/>
    <x v="2"/>
    <x v="2"/>
    <x v="76"/>
    <n v="18154"/>
    <x v="92"/>
    <x v="31"/>
    <n v="13"/>
    <n v="867"/>
  </r>
  <r>
    <n v="1003"/>
    <x v="0"/>
    <x v="13"/>
    <x v="13"/>
    <x v="2"/>
    <x v="2"/>
    <x v="75"/>
    <n v="18014"/>
    <x v="45"/>
    <x v="32"/>
    <n v="8"/>
    <n v="800"/>
  </r>
  <r>
    <n v="1004"/>
    <x v="0"/>
    <x v="13"/>
    <x v="13"/>
    <x v="2"/>
    <x v="2"/>
    <x v="73"/>
    <n v="18077"/>
    <x v="31"/>
    <x v="33"/>
    <n v="4"/>
    <n v="800"/>
  </r>
  <r>
    <n v="1005"/>
    <x v="0"/>
    <x v="13"/>
    <x v="13"/>
    <x v="3"/>
    <x v="3"/>
    <x v="28"/>
    <n v="30028"/>
    <x v="304"/>
    <x v="272"/>
    <n v="6495"/>
    <n v="999"/>
  </r>
  <r>
    <n v="1006"/>
    <x v="0"/>
    <x v="13"/>
    <x v="13"/>
    <x v="3"/>
    <x v="3"/>
    <x v="29"/>
    <n v="30015"/>
    <x v="147"/>
    <x v="128"/>
    <n v="1600"/>
    <n v="800"/>
  </r>
  <r>
    <n v="1007"/>
    <x v="0"/>
    <x v="13"/>
    <x v="13"/>
    <x v="3"/>
    <x v="3"/>
    <x v="11"/>
    <n v="30008"/>
    <x v="305"/>
    <x v="14"/>
    <n v="450"/>
    <n v="900"/>
  </r>
  <r>
    <n v="1008"/>
    <x v="0"/>
    <x v="13"/>
    <x v="13"/>
    <x v="3"/>
    <x v="3"/>
    <x v="113"/>
    <n v="30091"/>
    <x v="95"/>
    <x v="31"/>
    <n v="3"/>
    <n v="200"/>
  </r>
  <r>
    <n v="1009"/>
    <x v="0"/>
    <x v="13"/>
    <x v="13"/>
    <x v="3"/>
    <x v="3"/>
    <x v="80"/>
    <n v="30056"/>
    <x v="170"/>
    <x v="67"/>
    <n v="2"/>
    <n v="250"/>
  </r>
  <r>
    <n v="1010"/>
    <x v="0"/>
    <x v="13"/>
    <x v="13"/>
    <x v="4"/>
    <x v="4"/>
    <x v="30"/>
    <n v="34049"/>
    <x v="18"/>
    <x v="19"/>
    <n v="147"/>
    <n v="865"/>
  </r>
  <r>
    <n v="1011"/>
    <x v="0"/>
    <x v="13"/>
    <x v="13"/>
    <x v="4"/>
    <x v="4"/>
    <x v="32"/>
    <n v="34014"/>
    <x v="23"/>
    <x v="151"/>
    <n v="72"/>
    <n v="800"/>
  </r>
  <r>
    <n v="1012"/>
    <x v="0"/>
    <x v="13"/>
    <x v="13"/>
    <x v="4"/>
    <x v="4"/>
    <x v="34"/>
    <n v="34035"/>
    <x v="23"/>
    <x v="71"/>
    <n v="63"/>
    <n v="741"/>
  </r>
  <r>
    <n v="1013"/>
    <x v="0"/>
    <x v="13"/>
    <x v="13"/>
    <x v="4"/>
    <x v="4"/>
    <x v="31"/>
    <n v="34021"/>
    <x v="44"/>
    <x v="111"/>
    <n v="40"/>
    <n v="800"/>
  </r>
  <r>
    <n v="1014"/>
    <x v="0"/>
    <x v="13"/>
    <x v="13"/>
    <x v="6"/>
    <x v="6"/>
    <x v="40"/>
    <n v="54021"/>
    <x v="84"/>
    <x v="183"/>
    <m/>
    <m/>
  </r>
  <r>
    <n v="1015"/>
    <x v="0"/>
    <x v="13"/>
    <x v="13"/>
    <x v="6"/>
    <x v="6"/>
    <x v="114"/>
    <n v="54014"/>
    <x v="61"/>
    <x v="183"/>
    <m/>
    <m/>
  </r>
  <r>
    <n v="1016"/>
    <x v="0"/>
    <x v="13"/>
    <x v="13"/>
    <x v="6"/>
    <x v="6"/>
    <x v="41"/>
    <n v="54098"/>
    <x v="123"/>
    <x v="45"/>
    <n v="52"/>
    <n v="1300"/>
  </r>
  <r>
    <n v="1017"/>
    <x v="0"/>
    <x v="13"/>
    <x v="13"/>
    <x v="6"/>
    <x v="6"/>
    <x v="42"/>
    <n v="54105"/>
    <x v="23"/>
    <x v="183"/>
    <m/>
    <m/>
  </r>
  <r>
    <n v="1018"/>
    <x v="0"/>
    <x v="13"/>
    <x v="13"/>
    <x v="6"/>
    <x v="6"/>
    <x v="39"/>
    <n v="54007"/>
    <x v="224"/>
    <x v="183"/>
    <m/>
    <m/>
  </r>
  <r>
    <n v="1019"/>
    <x v="0"/>
    <x v="13"/>
    <x v="13"/>
    <x v="6"/>
    <x v="6"/>
    <x v="116"/>
    <n v="54063"/>
    <x v="92"/>
    <x v="33"/>
    <n v="7"/>
    <n v="1400"/>
  </r>
  <r>
    <n v="1020"/>
    <x v="0"/>
    <x v="13"/>
    <x v="13"/>
    <x v="6"/>
    <x v="6"/>
    <x v="37"/>
    <n v="54112"/>
    <x v="107"/>
    <x v="183"/>
    <m/>
    <m/>
  </r>
  <r>
    <n v="1021"/>
    <x v="0"/>
    <x v="13"/>
    <x v="13"/>
    <x v="6"/>
    <x v="6"/>
    <x v="43"/>
    <n v="54035"/>
    <x v="77"/>
    <x v="183"/>
    <m/>
    <m/>
  </r>
  <r>
    <n v="1022"/>
    <x v="0"/>
    <x v="13"/>
    <x v="13"/>
    <x v="6"/>
    <x v="6"/>
    <x v="139"/>
    <n v="54049"/>
    <x v="34"/>
    <x v="183"/>
    <m/>
    <m/>
  </r>
  <r>
    <n v="1023"/>
    <x v="0"/>
    <x v="13"/>
    <x v="13"/>
    <x v="6"/>
    <x v="6"/>
    <x v="12"/>
    <n v="54028"/>
    <x v="48"/>
    <x v="183"/>
    <m/>
    <m/>
  </r>
  <r>
    <n v="1024"/>
    <x v="0"/>
    <x v="13"/>
    <x v="13"/>
    <x v="6"/>
    <x v="6"/>
    <x v="115"/>
    <n v="54056"/>
    <x v="48"/>
    <x v="183"/>
    <m/>
    <m/>
  </r>
  <r>
    <n v="1025"/>
    <x v="0"/>
    <x v="13"/>
    <x v="13"/>
    <x v="11"/>
    <x v="11"/>
    <x v="106"/>
    <n v="66112"/>
    <x v="294"/>
    <x v="306"/>
    <n v="656"/>
    <n v="1896"/>
  </r>
  <r>
    <n v="1026"/>
    <x v="0"/>
    <x v="13"/>
    <x v="13"/>
    <x v="11"/>
    <x v="11"/>
    <x v="97"/>
    <n v="66147"/>
    <x v="95"/>
    <x v="140"/>
    <n v="27"/>
    <n v="1500"/>
  </r>
  <r>
    <n v="1027"/>
    <x v="0"/>
    <x v="13"/>
    <x v="13"/>
    <x v="11"/>
    <x v="11"/>
    <x v="140"/>
    <n v="66126"/>
    <x v="50"/>
    <x v="136"/>
    <n v="6"/>
    <n v="545"/>
  </r>
  <r>
    <n v="1028"/>
    <x v="0"/>
    <x v="13"/>
    <x v="13"/>
    <x v="11"/>
    <x v="11"/>
    <x v="98"/>
    <n v="66049"/>
    <x v="30"/>
    <x v="30"/>
    <n v="4"/>
    <n v="1333"/>
  </r>
  <r>
    <n v="1029"/>
    <x v="0"/>
    <x v="13"/>
    <x v="13"/>
    <x v="11"/>
    <x v="11"/>
    <x v="99"/>
    <n v="66084"/>
    <x v="34"/>
    <x v="34"/>
    <n v="2"/>
    <n v="1000"/>
  </r>
  <r>
    <n v="1030"/>
    <x v="0"/>
    <x v="13"/>
    <x v="13"/>
    <x v="11"/>
    <x v="11"/>
    <x v="12"/>
    <n v="66028"/>
    <x v="34"/>
    <x v="34"/>
    <n v="2"/>
    <n v="1000"/>
  </r>
  <r>
    <n v="1031"/>
    <x v="0"/>
    <x v="13"/>
    <x v="13"/>
    <x v="11"/>
    <x v="11"/>
    <x v="123"/>
    <n v="66133"/>
    <x v="34"/>
    <x v="34"/>
    <n v="2"/>
    <n v="1000"/>
  </r>
  <r>
    <n v="1032"/>
    <x v="0"/>
    <x v="13"/>
    <x v="13"/>
    <x v="11"/>
    <x v="11"/>
    <x v="147"/>
    <n v="66077"/>
    <x v="48"/>
    <x v="47"/>
    <n v="1"/>
    <n v="1000"/>
  </r>
  <r>
    <n v="1033"/>
    <x v="0"/>
    <x v="13"/>
    <x v="13"/>
    <x v="13"/>
    <x v="13"/>
    <x v="95"/>
    <n v="74049"/>
    <x v="32"/>
    <x v="67"/>
    <n v="8"/>
    <n v="1000"/>
  </r>
  <r>
    <n v="1034"/>
    <x v="0"/>
    <x v="13"/>
    <x v="13"/>
    <x v="13"/>
    <x v="13"/>
    <x v="152"/>
    <n v="74007"/>
    <x v="77"/>
    <x v="49"/>
    <n v="6"/>
    <n v="1000"/>
  </r>
  <r>
    <n v="1035"/>
    <x v="0"/>
    <x v="13"/>
    <x v="13"/>
    <x v="7"/>
    <x v="7"/>
    <x v="44"/>
    <n v="82049"/>
    <x v="306"/>
    <x v="163"/>
    <n v="3400"/>
    <n v="850"/>
  </r>
  <r>
    <n v="1036"/>
    <x v="0"/>
    <x v="13"/>
    <x v="13"/>
    <x v="7"/>
    <x v="7"/>
    <x v="45"/>
    <n v="82035"/>
    <x v="158"/>
    <x v="164"/>
    <n v="3850"/>
    <n v="1100"/>
  </r>
  <r>
    <n v="1037"/>
    <x v="0"/>
    <x v="13"/>
    <x v="13"/>
    <x v="7"/>
    <x v="7"/>
    <x v="42"/>
    <n v="82098"/>
    <x v="12"/>
    <x v="18"/>
    <n v="200"/>
    <n v="1000"/>
  </r>
  <r>
    <n v="1038"/>
    <x v="0"/>
    <x v="13"/>
    <x v="13"/>
    <x v="7"/>
    <x v="7"/>
    <x v="12"/>
    <n v="82063"/>
    <x v="23"/>
    <x v="23"/>
    <n v="130"/>
    <n v="1300"/>
  </r>
  <r>
    <n v="1039"/>
    <x v="0"/>
    <x v="13"/>
    <x v="13"/>
    <x v="8"/>
    <x v="8"/>
    <x v="54"/>
    <n v="86161"/>
    <x v="146"/>
    <x v="99"/>
    <n v="24"/>
    <n v="1091"/>
  </r>
  <r>
    <n v="1040"/>
    <x v="0"/>
    <x v="13"/>
    <x v="13"/>
    <x v="8"/>
    <x v="8"/>
    <x v="53"/>
    <n v="86035"/>
    <x v="128"/>
    <x v="13"/>
    <n v="13"/>
    <n v="1083"/>
  </r>
  <r>
    <n v="1041"/>
    <x v="0"/>
    <x v="13"/>
    <x v="13"/>
    <x v="8"/>
    <x v="8"/>
    <x v="141"/>
    <n v="86126"/>
    <x v="128"/>
    <x v="136"/>
    <n v="11"/>
    <n v="1000"/>
  </r>
  <r>
    <n v="1042"/>
    <x v="0"/>
    <x v="13"/>
    <x v="13"/>
    <x v="8"/>
    <x v="8"/>
    <x v="102"/>
    <n v="86133"/>
    <x v="13"/>
    <x v="32"/>
    <n v="10"/>
    <n v="1000"/>
  </r>
  <r>
    <n v="1043"/>
    <x v="0"/>
    <x v="13"/>
    <x v="13"/>
    <x v="8"/>
    <x v="8"/>
    <x v="148"/>
    <n v="86070"/>
    <x v="32"/>
    <x v="52"/>
    <n v="9"/>
    <n v="1000"/>
  </r>
  <r>
    <n v="1044"/>
    <x v="0"/>
    <x v="13"/>
    <x v="13"/>
    <x v="8"/>
    <x v="8"/>
    <x v="12"/>
    <n v="86049"/>
    <x v="77"/>
    <x v="29"/>
    <n v="8"/>
    <n v="1143"/>
  </r>
  <r>
    <n v="1045"/>
    <x v="0"/>
    <x v="13"/>
    <x v="13"/>
    <x v="8"/>
    <x v="8"/>
    <x v="149"/>
    <n v="86084"/>
    <x v="78"/>
    <x v="33"/>
    <n v="5"/>
    <n v="1000"/>
  </r>
  <r>
    <n v="1046"/>
    <x v="0"/>
    <x v="13"/>
    <x v="13"/>
    <x v="8"/>
    <x v="8"/>
    <x v="150"/>
    <n v="86140"/>
    <x v="33"/>
    <x v="33"/>
    <n v="5"/>
    <n v="1000"/>
  </r>
  <r>
    <n v="1047"/>
    <x v="0"/>
    <x v="13"/>
    <x v="13"/>
    <x v="8"/>
    <x v="8"/>
    <x v="47"/>
    <n v="86077"/>
    <x v="33"/>
    <x v="33"/>
    <n v="5"/>
    <n v="1000"/>
  </r>
  <r>
    <n v="1048"/>
    <x v="0"/>
    <x v="13"/>
    <x v="13"/>
    <x v="9"/>
    <x v="9"/>
    <x v="55"/>
    <n v="90007"/>
    <x v="307"/>
    <x v="307"/>
    <n v="1088"/>
    <n v="1755"/>
  </r>
  <r>
    <n v="1049"/>
    <x v="0"/>
    <x v="13"/>
    <x v="13"/>
    <x v="9"/>
    <x v="9"/>
    <x v="65"/>
    <n v="90014"/>
    <x v="308"/>
    <x v="308"/>
    <n v="1000"/>
    <n v="1801"/>
  </r>
  <r>
    <n v="1050"/>
    <x v="0"/>
    <x v="13"/>
    <x v="13"/>
    <x v="9"/>
    <x v="9"/>
    <x v="66"/>
    <n v="90056"/>
    <x v="309"/>
    <x v="148"/>
    <n v="795"/>
    <n v="1500"/>
  </r>
  <r>
    <n v="1051"/>
    <x v="0"/>
    <x v="13"/>
    <x v="13"/>
    <x v="9"/>
    <x v="9"/>
    <x v="67"/>
    <n v="90070"/>
    <x v="44"/>
    <x v="111"/>
    <n v="90"/>
    <n v="1800"/>
  </r>
  <r>
    <n v="1052"/>
    <x v="0"/>
    <x v="13"/>
    <x v="13"/>
    <x v="9"/>
    <x v="9"/>
    <x v="82"/>
    <n v="90077"/>
    <x v="44"/>
    <x v="111"/>
    <n v="60"/>
    <n v="1200"/>
  </r>
  <r>
    <n v="1053"/>
    <x v="0"/>
    <x v="13"/>
    <x v="13"/>
    <x v="9"/>
    <x v="9"/>
    <x v="69"/>
    <n v="90035"/>
    <x v="39"/>
    <x v="39"/>
    <n v="75"/>
    <n v="1667"/>
  </r>
  <r>
    <n v="1054"/>
    <x v="0"/>
    <x v="13"/>
    <x v="13"/>
    <x v="9"/>
    <x v="9"/>
    <x v="64"/>
    <n v="90112"/>
    <x v="39"/>
    <x v="39"/>
    <n v="75"/>
    <n v="1667"/>
  </r>
  <r>
    <n v="1055"/>
    <x v="0"/>
    <x v="13"/>
    <x v="13"/>
    <x v="9"/>
    <x v="9"/>
    <x v="63"/>
    <n v="90028"/>
    <x v="72"/>
    <x v="72"/>
    <n v="42"/>
    <n v="1400"/>
  </r>
  <r>
    <n v="1056"/>
    <x v="0"/>
    <x v="13"/>
    <x v="13"/>
    <x v="9"/>
    <x v="9"/>
    <x v="83"/>
    <n v="90021"/>
    <x v="45"/>
    <x v="80"/>
    <n v="30"/>
    <n v="1500"/>
  </r>
  <r>
    <n v="1057"/>
    <x v="0"/>
    <x v="13"/>
    <x v="13"/>
    <x v="9"/>
    <x v="9"/>
    <x v="12"/>
    <n v="90084"/>
    <x v="33"/>
    <x v="33"/>
    <n v="8"/>
    <n v="1600"/>
  </r>
  <r>
    <n v="1058"/>
    <x v="0"/>
    <x v="13"/>
    <x v="13"/>
    <x v="9"/>
    <x v="9"/>
    <x v="68"/>
    <n v="90105"/>
    <x v="33"/>
    <x v="33"/>
    <n v="7"/>
    <n v="1400"/>
  </r>
  <r>
    <n v="1059"/>
    <x v="0"/>
    <x v="14"/>
    <x v="14"/>
    <x v="0"/>
    <x v="0"/>
    <x v="1"/>
    <n v="22049"/>
    <x v="153"/>
    <x v="309"/>
    <n v="1014"/>
    <n v="1380"/>
  </r>
  <r>
    <n v="1060"/>
    <x v="0"/>
    <x v="14"/>
    <x v="14"/>
    <x v="0"/>
    <x v="0"/>
    <x v="2"/>
    <n v="22140"/>
    <x v="58"/>
    <x v="310"/>
    <n v="756"/>
    <n v="1374"/>
  </r>
  <r>
    <n v="1061"/>
    <x v="0"/>
    <x v="14"/>
    <x v="14"/>
    <x v="0"/>
    <x v="0"/>
    <x v="0"/>
    <n v="22105"/>
    <x v="14"/>
    <x v="311"/>
    <n v="713"/>
    <n v="1550"/>
  </r>
  <r>
    <n v="1062"/>
    <x v="0"/>
    <x v="14"/>
    <x v="14"/>
    <x v="0"/>
    <x v="0"/>
    <x v="3"/>
    <n v="22084"/>
    <x v="20"/>
    <x v="131"/>
    <n v="162"/>
    <n v="1350"/>
  </r>
  <r>
    <n v="1063"/>
    <x v="0"/>
    <x v="14"/>
    <x v="14"/>
    <x v="0"/>
    <x v="0"/>
    <x v="4"/>
    <n v="22014"/>
    <x v="23"/>
    <x v="151"/>
    <n v="108"/>
    <n v="1200"/>
  </r>
  <r>
    <n v="1064"/>
    <x v="0"/>
    <x v="14"/>
    <x v="14"/>
    <x v="0"/>
    <x v="0"/>
    <x v="130"/>
    <n v="22063"/>
    <x v="44"/>
    <x v="39"/>
    <n v="59"/>
    <n v="1311"/>
  </r>
  <r>
    <n v="1065"/>
    <x v="0"/>
    <x v="14"/>
    <x v="14"/>
    <x v="0"/>
    <x v="0"/>
    <x v="6"/>
    <n v="22161"/>
    <x v="44"/>
    <x v="45"/>
    <n v="44"/>
    <n v="1100"/>
  </r>
  <r>
    <n v="1066"/>
    <x v="0"/>
    <x v="14"/>
    <x v="14"/>
    <x v="0"/>
    <x v="0"/>
    <x v="5"/>
    <n v="22091"/>
    <x v="92"/>
    <x v="80"/>
    <n v="24"/>
    <n v="1200"/>
  </r>
  <r>
    <n v="1067"/>
    <x v="0"/>
    <x v="14"/>
    <x v="14"/>
    <x v="1"/>
    <x v="1"/>
    <x v="142"/>
    <n v="14007"/>
    <x v="310"/>
    <x v="312"/>
    <n v="12684"/>
    <n v="840"/>
  </r>
  <r>
    <n v="1068"/>
    <x v="0"/>
    <x v="14"/>
    <x v="14"/>
    <x v="1"/>
    <x v="1"/>
    <x v="7"/>
    <n v="14147"/>
    <x v="311"/>
    <x v="313"/>
    <n v="14845"/>
    <n v="1400"/>
  </r>
  <r>
    <n v="1069"/>
    <x v="0"/>
    <x v="14"/>
    <x v="14"/>
    <x v="1"/>
    <x v="1"/>
    <x v="8"/>
    <n v="14119"/>
    <x v="312"/>
    <x v="314"/>
    <n v="8907"/>
    <n v="1300"/>
  </r>
  <r>
    <n v="1070"/>
    <x v="0"/>
    <x v="14"/>
    <x v="14"/>
    <x v="1"/>
    <x v="1"/>
    <x v="70"/>
    <n v="14007"/>
    <x v="313"/>
    <x v="315"/>
    <n v="3562"/>
    <n v="1300"/>
  </r>
  <r>
    <n v="1071"/>
    <x v="0"/>
    <x v="14"/>
    <x v="14"/>
    <x v="1"/>
    <x v="1"/>
    <x v="9"/>
    <n v="14105"/>
    <x v="74"/>
    <x v="82"/>
    <n v="2160"/>
    <n v="1200"/>
  </r>
  <r>
    <n v="1072"/>
    <x v="0"/>
    <x v="14"/>
    <x v="14"/>
    <x v="1"/>
    <x v="1"/>
    <x v="46"/>
    <n v="14140"/>
    <x v="57"/>
    <x v="56"/>
    <n v="960"/>
    <n v="800"/>
  </r>
  <r>
    <n v="1073"/>
    <x v="0"/>
    <x v="14"/>
    <x v="14"/>
    <x v="1"/>
    <x v="1"/>
    <x v="12"/>
    <n v="14014"/>
    <x v="153"/>
    <x v="282"/>
    <n v="960"/>
    <n v="1200"/>
  </r>
  <r>
    <n v="1074"/>
    <x v="0"/>
    <x v="14"/>
    <x v="14"/>
    <x v="1"/>
    <x v="1"/>
    <x v="143"/>
    <n v="14042"/>
    <x v="66"/>
    <x v="16"/>
    <n v="294"/>
    <n v="840"/>
  </r>
  <r>
    <n v="1075"/>
    <x v="0"/>
    <x v="14"/>
    <x v="14"/>
    <x v="1"/>
    <x v="1"/>
    <x v="13"/>
    <n v="14098"/>
    <x v="18"/>
    <x v="21"/>
    <n v="140"/>
    <n v="1000"/>
  </r>
  <r>
    <n v="1076"/>
    <x v="0"/>
    <x v="14"/>
    <x v="14"/>
    <x v="1"/>
    <x v="1"/>
    <x v="11"/>
    <n v="14021"/>
    <x v="20"/>
    <x v="20"/>
    <n v="135"/>
    <n v="900"/>
  </r>
  <r>
    <n v="1077"/>
    <x v="0"/>
    <x v="14"/>
    <x v="14"/>
    <x v="1"/>
    <x v="1"/>
    <x v="131"/>
    <n v="14126"/>
    <x v="67"/>
    <x v="27"/>
    <n v="85"/>
    <n v="1307"/>
  </r>
  <r>
    <n v="1078"/>
    <x v="0"/>
    <x v="14"/>
    <x v="14"/>
    <x v="1"/>
    <x v="1"/>
    <x v="42"/>
    <n v="14133"/>
    <x v="225"/>
    <x v="38"/>
    <n v="83"/>
    <n v="1509"/>
  </r>
  <r>
    <n v="1079"/>
    <x v="0"/>
    <x v="14"/>
    <x v="14"/>
    <x v="1"/>
    <x v="1"/>
    <x v="84"/>
    <n v="14168"/>
    <x v="39"/>
    <x v="39"/>
    <n v="36"/>
    <n v="800"/>
  </r>
  <r>
    <n v="1080"/>
    <x v="0"/>
    <x v="14"/>
    <x v="14"/>
    <x v="1"/>
    <x v="1"/>
    <x v="151"/>
    <n v="14077"/>
    <x v="92"/>
    <x v="31"/>
    <n v="15"/>
    <n v="1000"/>
  </r>
  <r>
    <n v="1081"/>
    <x v="0"/>
    <x v="14"/>
    <x v="14"/>
    <x v="1"/>
    <x v="1"/>
    <x v="144"/>
    <n v="14175"/>
    <x v="45"/>
    <x v="80"/>
    <n v="14"/>
    <n v="700"/>
  </r>
  <r>
    <n v="1082"/>
    <x v="0"/>
    <x v="14"/>
    <x v="14"/>
    <x v="2"/>
    <x v="2"/>
    <x v="15"/>
    <n v="18112"/>
    <x v="314"/>
    <x v="189"/>
    <n v="525"/>
    <n v="1117"/>
  </r>
  <r>
    <n v="1083"/>
    <x v="0"/>
    <x v="14"/>
    <x v="14"/>
    <x v="2"/>
    <x v="2"/>
    <x v="17"/>
    <n v="18042"/>
    <x v="69"/>
    <x v="131"/>
    <n v="120"/>
    <n v="1000"/>
  </r>
  <r>
    <n v="1084"/>
    <x v="0"/>
    <x v="14"/>
    <x v="14"/>
    <x v="2"/>
    <x v="2"/>
    <x v="18"/>
    <n v="18049"/>
    <x v="20"/>
    <x v="150"/>
    <n v="91"/>
    <n v="700"/>
  </r>
  <r>
    <n v="1085"/>
    <x v="0"/>
    <x v="14"/>
    <x v="14"/>
    <x v="2"/>
    <x v="2"/>
    <x v="43"/>
    <n v="18028"/>
    <x v="23"/>
    <x v="27"/>
    <n v="58"/>
    <n v="892"/>
  </r>
  <r>
    <n v="1086"/>
    <x v="0"/>
    <x v="14"/>
    <x v="14"/>
    <x v="2"/>
    <x v="2"/>
    <x v="25"/>
    <n v="18035"/>
    <x v="23"/>
    <x v="23"/>
    <n v="120"/>
    <n v="1200"/>
  </r>
  <r>
    <n v="1087"/>
    <x v="0"/>
    <x v="14"/>
    <x v="14"/>
    <x v="2"/>
    <x v="2"/>
    <x v="23"/>
    <n v="18126"/>
    <x v="99"/>
    <x v="38"/>
    <n v="49"/>
    <n v="891"/>
  </r>
  <r>
    <n v="1088"/>
    <x v="0"/>
    <x v="14"/>
    <x v="14"/>
    <x v="2"/>
    <x v="2"/>
    <x v="72"/>
    <n v="18063"/>
    <x v="127"/>
    <x v="39"/>
    <n v="40"/>
    <n v="889"/>
  </r>
  <r>
    <n v="1089"/>
    <x v="0"/>
    <x v="14"/>
    <x v="14"/>
    <x v="2"/>
    <x v="2"/>
    <x v="22"/>
    <n v="18084"/>
    <x v="44"/>
    <x v="78"/>
    <n v="20"/>
    <n v="800"/>
  </r>
  <r>
    <n v="1090"/>
    <x v="0"/>
    <x v="14"/>
    <x v="14"/>
    <x v="2"/>
    <x v="2"/>
    <x v="24"/>
    <n v="18140"/>
    <x v="44"/>
    <x v="80"/>
    <n v="16"/>
    <n v="800"/>
  </r>
  <r>
    <n v="1091"/>
    <x v="0"/>
    <x v="14"/>
    <x v="14"/>
    <x v="2"/>
    <x v="2"/>
    <x v="12"/>
    <n v="18021"/>
    <x v="125"/>
    <x v="31"/>
    <n v="13"/>
    <n v="867"/>
  </r>
  <r>
    <n v="1092"/>
    <x v="0"/>
    <x v="14"/>
    <x v="14"/>
    <x v="2"/>
    <x v="2"/>
    <x v="71"/>
    <n v="18098"/>
    <x v="125"/>
    <x v="80"/>
    <n v="16"/>
    <n v="800"/>
  </r>
  <r>
    <n v="1093"/>
    <x v="0"/>
    <x v="14"/>
    <x v="14"/>
    <x v="2"/>
    <x v="2"/>
    <x v="20"/>
    <n v="18147"/>
    <x v="131"/>
    <x v="31"/>
    <n v="12"/>
    <n v="800"/>
  </r>
  <r>
    <n v="1094"/>
    <x v="0"/>
    <x v="14"/>
    <x v="14"/>
    <x v="2"/>
    <x v="2"/>
    <x v="19"/>
    <n v="18133"/>
    <x v="72"/>
    <x v="32"/>
    <n v="8"/>
    <n v="800"/>
  </r>
  <r>
    <n v="1095"/>
    <x v="0"/>
    <x v="14"/>
    <x v="14"/>
    <x v="2"/>
    <x v="2"/>
    <x v="75"/>
    <n v="18014"/>
    <x v="45"/>
    <x v="32"/>
    <n v="8"/>
    <n v="800"/>
  </r>
  <r>
    <n v="1096"/>
    <x v="0"/>
    <x v="14"/>
    <x v="14"/>
    <x v="2"/>
    <x v="2"/>
    <x v="73"/>
    <n v="18077"/>
    <x v="45"/>
    <x v="33"/>
    <n v="4"/>
    <n v="800"/>
  </r>
  <r>
    <n v="1097"/>
    <x v="0"/>
    <x v="14"/>
    <x v="14"/>
    <x v="3"/>
    <x v="3"/>
    <x v="28"/>
    <n v="30028"/>
    <x v="315"/>
    <x v="316"/>
    <n v="7920"/>
    <n v="1100"/>
  </r>
  <r>
    <n v="1098"/>
    <x v="0"/>
    <x v="14"/>
    <x v="14"/>
    <x v="3"/>
    <x v="3"/>
    <x v="29"/>
    <n v="30015"/>
    <x v="316"/>
    <x v="101"/>
    <n v="4500"/>
    <n v="1500"/>
  </r>
  <r>
    <n v="1099"/>
    <x v="0"/>
    <x v="14"/>
    <x v="14"/>
    <x v="3"/>
    <x v="3"/>
    <x v="11"/>
    <n v="30008"/>
    <x v="317"/>
    <x v="147"/>
    <n v="377"/>
    <n v="698"/>
  </r>
  <r>
    <n v="1100"/>
    <x v="0"/>
    <x v="14"/>
    <x v="14"/>
    <x v="3"/>
    <x v="3"/>
    <x v="113"/>
    <n v="30091"/>
    <x v="318"/>
    <x v="317"/>
    <n v="23"/>
    <n v="396"/>
  </r>
  <r>
    <n v="1101"/>
    <x v="0"/>
    <x v="14"/>
    <x v="14"/>
    <x v="4"/>
    <x v="4"/>
    <x v="30"/>
    <n v="34049"/>
    <x v="18"/>
    <x v="63"/>
    <n v="124"/>
    <n v="689"/>
  </r>
  <r>
    <n v="1102"/>
    <x v="0"/>
    <x v="14"/>
    <x v="14"/>
    <x v="4"/>
    <x v="4"/>
    <x v="34"/>
    <n v="34035"/>
    <x v="20"/>
    <x v="36"/>
    <n v="100"/>
    <n v="800"/>
  </r>
  <r>
    <n v="1103"/>
    <x v="0"/>
    <x v="14"/>
    <x v="14"/>
    <x v="4"/>
    <x v="4"/>
    <x v="32"/>
    <n v="34014"/>
    <x v="223"/>
    <x v="197"/>
    <n v="76"/>
    <n v="800"/>
  </r>
  <r>
    <n v="1104"/>
    <x v="0"/>
    <x v="14"/>
    <x v="14"/>
    <x v="4"/>
    <x v="4"/>
    <x v="33"/>
    <n v="34056"/>
    <x v="89"/>
    <x v="134"/>
    <n v="54"/>
    <n v="771"/>
  </r>
  <r>
    <n v="1105"/>
    <x v="0"/>
    <x v="14"/>
    <x v="14"/>
    <x v="4"/>
    <x v="4"/>
    <x v="31"/>
    <n v="34021"/>
    <x v="27"/>
    <x v="225"/>
    <n v="48"/>
    <n v="800"/>
  </r>
  <r>
    <n v="1106"/>
    <x v="0"/>
    <x v="14"/>
    <x v="14"/>
    <x v="4"/>
    <x v="4"/>
    <x v="81"/>
    <n v="34042"/>
    <x v="44"/>
    <x v="126"/>
    <n v="36"/>
    <n v="766"/>
  </r>
  <r>
    <n v="1107"/>
    <x v="0"/>
    <x v="14"/>
    <x v="14"/>
    <x v="4"/>
    <x v="4"/>
    <x v="4"/>
    <n v="34007"/>
    <x v="131"/>
    <x v="72"/>
    <n v="22"/>
    <n v="733"/>
  </r>
  <r>
    <n v="1108"/>
    <x v="0"/>
    <x v="14"/>
    <x v="14"/>
    <x v="6"/>
    <x v="6"/>
    <x v="40"/>
    <n v="54021"/>
    <x v="68"/>
    <x v="62"/>
    <n v="233"/>
    <n v="1059"/>
  </r>
  <r>
    <n v="1109"/>
    <x v="0"/>
    <x v="14"/>
    <x v="14"/>
    <x v="6"/>
    <x v="6"/>
    <x v="114"/>
    <n v="54014"/>
    <x v="61"/>
    <x v="23"/>
    <n v="100"/>
    <n v="1000"/>
  </r>
  <r>
    <n v="1110"/>
    <x v="0"/>
    <x v="14"/>
    <x v="14"/>
    <x v="6"/>
    <x v="6"/>
    <x v="41"/>
    <n v="54098"/>
    <x v="123"/>
    <x v="225"/>
    <n v="60"/>
    <n v="1000"/>
  </r>
  <r>
    <n v="1111"/>
    <x v="0"/>
    <x v="14"/>
    <x v="14"/>
    <x v="6"/>
    <x v="6"/>
    <x v="42"/>
    <n v="54105"/>
    <x v="23"/>
    <x v="183"/>
    <m/>
    <m/>
  </r>
  <r>
    <n v="1112"/>
    <x v="0"/>
    <x v="14"/>
    <x v="14"/>
    <x v="6"/>
    <x v="6"/>
    <x v="39"/>
    <n v="54007"/>
    <x v="224"/>
    <x v="183"/>
    <m/>
    <m/>
  </r>
  <r>
    <n v="1113"/>
    <x v="0"/>
    <x v="14"/>
    <x v="14"/>
    <x v="6"/>
    <x v="6"/>
    <x v="116"/>
    <n v="54063"/>
    <x v="92"/>
    <x v="33"/>
    <n v="7"/>
    <n v="1400"/>
  </r>
  <r>
    <n v="1114"/>
    <x v="0"/>
    <x v="14"/>
    <x v="14"/>
    <x v="6"/>
    <x v="6"/>
    <x v="37"/>
    <n v="54112"/>
    <x v="107"/>
    <x v="183"/>
    <m/>
    <m/>
  </r>
  <r>
    <n v="1115"/>
    <x v="0"/>
    <x v="14"/>
    <x v="14"/>
    <x v="6"/>
    <x v="6"/>
    <x v="43"/>
    <n v="54035"/>
    <x v="77"/>
    <x v="183"/>
    <m/>
    <m/>
  </r>
  <r>
    <n v="1116"/>
    <x v="0"/>
    <x v="14"/>
    <x v="14"/>
    <x v="6"/>
    <x v="6"/>
    <x v="139"/>
    <n v="54049"/>
    <x v="34"/>
    <x v="183"/>
    <m/>
    <m/>
  </r>
  <r>
    <n v="1117"/>
    <x v="0"/>
    <x v="14"/>
    <x v="14"/>
    <x v="6"/>
    <x v="6"/>
    <x v="12"/>
    <n v="54028"/>
    <x v="48"/>
    <x v="183"/>
    <m/>
    <m/>
  </r>
  <r>
    <n v="1118"/>
    <x v="0"/>
    <x v="14"/>
    <x v="14"/>
    <x v="6"/>
    <x v="6"/>
    <x v="115"/>
    <n v="54056"/>
    <x v="48"/>
    <x v="183"/>
    <m/>
    <m/>
  </r>
  <r>
    <n v="1119"/>
    <x v="0"/>
    <x v="14"/>
    <x v="14"/>
    <x v="11"/>
    <x v="11"/>
    <x v="106"/>
    <n v="66112"/>
    <x v="16"/>
    <x v="12"/>
    <n v="468"/>
    <n v="1560"/>
  </r>
  <r>
    <n v="1120"/>
    <x v="0"/>
    <x v="14"/>
    <x v="14"/>
    <x v="11"/>
    <x v="11"/>
    <x v="146"/>
    <n v="66140"/>
    <x v="72"/>
    <x v="80"/>
    <n v="32"/>
    <n v="1600"/>
  </r>
  <r>
    <n v="1121"/>
    <x v="0"/>
    <x v="14"/>
    <x v="14"/>
    <x v="13"/>
    <x v="13"/>
    <x v="87"/>
    <n v="74028"/>
    <x v="13"/>
    <x v="29"/>
    <n v="5"/>
    <n v="714"/>
  </r>
  <r>
    <n v="1122"/>
    <x v="0"/>
    <x v="14"/>
    <x v="14"/>
    <x v="13"/>
    <x v="13"/>
    <x v="95"/>
    <n v="74049"/>
    <x v="77"/>
    <x v="33"/>
    <n v="4"/>
    <n v="800"/>
  </r>
  <r>
    <n v="1123"/>
    <x v="0"/>
    <x v="14"/>
    <x v="14"/>
    <x v="13"/>
    <x v="13"/>
    <x v="94"/>
    <n v="74035"/>
    <x v="34"/>
    <x v="47"/>
    <n v="1"/>
    <n v="1000"/>
  </r>
  <r>
    <n v="1124"/>
    <x v="0"/>
    <x v="14"/>
    <x v="14"/>
    <x v="7"/>
    <x v="7"/>
    <x v="44"/>
    <n v="82049"/>
    <x v="229"/>
    <x v="318"/>
    <n v="6600"/>
    <n v="1200"/>
  </r>
  <r>
    <n v="1125"/>
    <x v="0"/>
    <x v="14"/>
    <x v="14"/>
    <x v="7"/>
    <x v="7"/>
    <x v="45"/>
    <n v="82035"/>
    <x v="120"/>
    <x v="319"/>
    <n v="9300"/>
    <n v="2188"/>
  </r>
  <r>
    <n v="1126"/>
    <x v="0"/>
    <x v="14"/>
    <x v="14"/>
    <x v="7"/>
    <x v="7"/>
    <x v="42"/>
    <n v="82098"/>
    <x v="18"/>
    <x v="149"/>
    <n v="300"/>
    <n v="1579"/>
  </r>
  <r>
    <n v="1127"/>
    <x v="0"/>
    <x v="14"/>
    <x v="14"/>
    <x v="7"/>
    <x v="7"/>
    <x v="12"/>
    <n v="82063"/>
    <x v="23"/>
    <x v="23"/>
    <n v="200"/>
    <n v="2000"/>
  </r>
  <r>
    <n v="1128"/>
    <x v="0"/>
    <x v="14"/>
    <x v="14"/>
    <x v="8"/>
    <x v="8"/>
    <x v="54"/>
    <n v="86161"/>
    <x v="72"/>
    <x v="78"/>
    <n v="29"/>
    <n v="1160"/>
  </r>
  <r>
    <n v="1129"/>
    <x v="0"/>
    <x v="14"/>
    <x v="14"/>
    <x v="8"/>
    <x v="8"/>
    <x v="53"/>
    <n v="86035"/>
    <x v="31"/>
    <x v="135"/>
    <n v="15"/>
    <n v="1154"/>
  </r>
  <r>
    <n v="1130"/>
    <x v="0"/>
    <x v="14"/>
    <x v="14"/>
    <x v="8"/>
    <x v="8"/>
    <x v="102"/>
    <n v="86133"/>
    <x v="31"/>
    <x v="136"/>
    <n v="12"/>
    <n v="1090"/>
  </r>
  <r>
    <n v="1131"/>
    <x v="0"/>
    <x v="14"/>
    <x v="14"/>
    <x v="8"/>
    <x v="8"/>
    <x v="12"/>
    <n v="86049"/>
    <x v="32"/>
    <x v="52"/>
    <n v="10"/>
    <n v="1111"/>
  </r>
  <r>
    <n v="1132"/>
    <x v="0"/>
    <x v="14"/>
    <x v="14"/>
    <x v="8"/>
    <x v="8"/>
    <x v="148"/>
    <n v="86070"/>
    <x v="32"/>
    <x v="67"/>
    <n v="8"/>
    <n v="1000"/>
  </r>
  <r>
    <n v="1133"/>
    <x v="0"/>
    <x v="14"/>
    <x v="14"/>
    <x v="8"/>
    <x v="8"/>
    <x v="141"/>
    <n v="86126"/>
    <x v="32"/>
    <x v="67"/>
    <n v="8"/>
    <n v="1000"/>
  </r>
  <r>
    <n v="1134"/>
    <x v="0"/>
    <x v="14"/>
    <x v="14"/>
    <x v="8"/>
    <x v="8"/>
    <x v="47"/>
    <n v="86077"/>
    <x v="32"/>
    <x v="67"/>
    <n v="8"/>
    <n v="1000"/>
  </r>
  <r>
    <n v="1135"/>
    <x v="0"/>
    <x v="14"/>
    <x v="14"/>
    <x v="8"/>
    <x v="8"/>
    <x v="149"/>
    <n v="86084"/>
    <x v="33"/>
    <x v="46"/>
    <n v="6"/>
    <n v="1500"/>
  </r>
  <r>
    <n v="1136"/>
    <x v="0"/>
    <x v="14"/>
    <x v="14"/>
    <x v="8"/>
    <x v="8"/>
    <x v="150"/>
    <n v="86140"/>
    <x v="33"/>
    <x v="46"/>
    <n v="4"/>
    <n v="1000"/>
  </r>
  <r>
    <n v="1137"/>
    <x v="0"/>
    <x v="14"/>
    <x v="14"/>
    <x v="9"/>
    <x v="9"/>
    <x v="55"/>
    <n v="90007"/>
    <x v="305"/>
    <x v="310"/>
    <n v="1019"/>
    <n v="1853"/>
  </r>
  <r>
    <n v="1138"/>
    <x v="0"/>
    <x v="14"/>
    <x v="14"/>
    <x v="9"/>
    <x v="9"/>
    <x v="66"/>
    <n v="90056"/>
    <x v="180"/>
    <x v="14"/>
    <n v="800"/>
    <n v="1600"/>
  </r>
  <r>
    <n v="1139"/>
    <x v="0"/>
    <x v="14"/>
    <x v="14"/>
    <x v="9"/>
    <x v="9"/>
    <x v="65"/>
    <n v="90014"/>
    <x v="59"/>
    <x v="58"/>
    <n v="960"/>
    <n v="2000"/>
  </r>
  <r>
    <n v="1140"/>
    <x v="0"/>
    <x v="14"/>
    <x v="14"/>
    <x v="9"/>
    <x v="9"/>
    <x v="64"/>
    <n v="90112"/>
    <x v="23"/>
    <x v="71"/>
    <n v="144"/>
    <n v="1694"/>
  </r>
  <r>
    <n v="1141"/>
    <x v="0"/>
    <x v="14"/>
    <x v="14"/>
    <x v="9"/>
    <x v="9"/>
    <x v="69"/>
    <n v="90035"/>
    <x v="125"/>
    <x v="139"/>
    <n v="42"/>
    <n v="1200"/>
  </r>
  <r>
    <n v="1142"/>
    <x v="0"/>
    <x v="14"/>
    <x v="14"/>
    <x v="9"/>
    <x v="9"/>
    <x v="82"/>
    <n v="90077"/>
    <x v="92"/>
    <x v="80"/>
    <n v="24"/>
    <n v="1200"/>
  </r>
  <r>
    <n v="1143"/>
    <x v="0"/>
    <x v="14"/>
    <x v="14"/>
    <x v="9"/>
    <x v="9"/>
    <x v="63"/>
    <n v="90028"/>
    <x v="45"/>
    <x v="80"/>
    <n v="20"/>
    <n v="1000"/>
  </r>
  <r>
    <n v="1144"/>
    <x v="0"/>
    <x v="14"/>
    <x v="14"/>
    <x v="9"/>
    <x v="9"/>
    <x v="67"/>
    <n v="90070"/>
    <x v="45"/>
    <x v="31"/>
    <n v="15"/>
    <n v="1000"/>
  </r>
  <r>
    <n v="1145"/>
    <x v="0"/>
    <x v="14"/>
    <x v="14"/>
    <x v="9"/>
    <x v="9"/>
    <x v="83"/>
    <n v="90021"/>
    <x v="32"/>
    <x v="32"/>
    <n v="10"/>
    <n v="1000"/>
  </r>
  <r>
    <n v="1146"/>
    <x v="0"/>
    <x v="14"/>
    <x v="14"/>
    <x v="9"/>
    <x v="9"/>
    <x v="12"/>
    <n v="90084"/>
    <x v="33"/>
    <x v="33"/>
    <n v="8"/>
    <n v="1600"/>
  </r>
  <r>
    <n v="1147"/>
    <x v="0"/>
    <x v="14"/>
    <x v="14"/>
    <x v="9"/>
    <x v="9"/>
    <x v="68"/>
    <n v="90105"/>
    <x v="33"/>
    <x v="33"/>
    <n v="8"/>
    <n v="1600"/>
  </r>
  <r>
    <n v="1148"/>
    <x v="0"/>
    <x v="15"/>
    <x v="15"/>
    <x v="0"/>
    <x v="0"/>
    <x v="0"/>
    <n v="22105"/>
    <x v="319"/>
    <x v="59"/>
    <n v="269"/>
    <n v="672"/>
  </r>
  <r>
    <n v="1149"/>
    <x v="0"/>
    <x v="15"/>
    <x v="15"/>
    <x v="0"/>
    <x v="0"/>
    <x v="1"/>
    <n v="22049"/>
    <x v="320"/>
    <x v="18"/>
    <n v="84"/>
    <n v="420"/>
  </r>
  <r>
    <n v="1150"/>
    <x v="0"/>
    <x v="15"/>
    <x v="15"/>
    <x v="0"/>
    <x v="0"/>
    <x v="2"/>
    <n v="22140"/>
    <x v="321"/>
    <x v="320"/>
    <n v="48"/>
    <n v="457"/>
  </r>
  <r>
    <n v="1151"/>
    <x v="0"/>
    <x v="15"/>
    <x v="15"/>
    <x v="0"/>
    <x v="0"/>
    <x v="5"/>
    <n v="22091"/>
    <x v="71"/>
    <x v="134"/>
    <n v="32"/>
    <n v="457"/>
  </r>
  <r>
    <n v="1152"/>
    <x v="0"/>
    <x v="15"/>
    <x v="15"/>
    <x v="0"/>
    <x v="0"/>
    <x v="4"/>
    <n v="22014"/>
    <x v="88"/>
    <x v="321"/>
    <n v="26"/>
    <n v="412"/>
  </r>
  <r>
    <n v="1153"/>
    <x v="0"/>
    <x v="15"/>
    <x v="15"/>
    <x v="0"/>
    <x v="0"/>
    <x v="3"/>
    <n v="22084"/>
    <x v="100"/>
    <x v="139"/>
    <n v="14"/>
    <n v="400"/>
  </r>
  <r>
    <n v="1154"/>
    <x v="0"/>
    <x v="15"/>
    <x v="15"/>
    <x v="0"/>
    <x v="0"/>
    <x v="130"/>
    <n v="22063"/>
    <x v="100"/>
    <x v="45"/>
    <n v="17"/>
    <n v="425"/>
  </r>
  <r>
    <n v="1155"/>
    <x v="0"/>
    <x v="15"/>
    <x v="15"/>
    <x v="0"/>
    <x v="0"/>
    <x v="6"/>
    <n v="22161"/>
    <x v="92"/>
    <x v="40"/>
    <n v="10"/>
    <n v="476"/>
  </r>
  <r>
    <n v="1156"/>
    <x v="0"/>
    <x v="15"/>
    <x v="15"/>
    <x v="1"/>
    <x v="1"/>
    <x v="7"/>
    <n v="14147"/>
    <x v="322"/>
    <x v="322"/>
    <n v="21902"/>
    <n v="801"/>
  </r>
  <r>
    <n v="1157"/>
    <x v="0"/>
    <x v="15"/>
    <x v="15"/>
    <x v="1"/>
    <x v="1"/>
    <x v="8"/>
    <n v="14119"/>
    <x v="323"/>
    <x v="323"/>
    <n v="21053"/>
    <n v="801"/>
  </r>
  <r>
    <n v="1158"/>
    <x v="0"/>
    <x v="15"/>
    <x v="15"/>
    <x v="1"/>
    <x v="1"/>
    <x v="142"/>
    <n v="14007"/>
    <x v="324"/>
    <x v="324"/>
    <n v="17316"/>
    <n v="903"/>
  </r>
  <r>
    <n v="1159"/>
    <x v="0"/>
    <x v="15"/>
    <x v="15"/>
    <x v="1"/>
    <x v="1"/>
    <x v="70"/>
    <n v="14007"/>
    <x v="325"/>
    <x v="325"/>
    <n v="4210"/>
    <n v="802"/>
  </r>
  <r>
    <n v="1160"/>
    <x v="0"/>
    <x v="15"/>
    <x v="15"/>
    <x v="1"/>
    <x v="1"/>
    <x v="9"/>
    <n v="14105"/>
    <x v="326"/>
    <x v="326"/>
    <n v="2210"/>
    <n v="701"/>
  </r>
  <r>
    <n v="1161"/>
    <x v="0"/>
    <x v="15"/>
    <x v="15"/>
    <x v="1"/>
    <x v="1"/>
    <x v="13"/>
    <n v="14098"/>
    <x v="327"/>
    <x v="327"/>
    <n v="1368"/>
    <n v="652"/>
  </r>
  <r>
    <n v="1162"/>
    <x v="0"/>
    <x v="15"/>
    <x v="15"/>
    <x v="1"/>
    <x v="1"/>
    <x v="46"/>
    <n v="14140"/>
    <x v="328"/>
    <x v="328"/>
    <n v="1403"/>
    <n v="832"/>
  </r>
  <r>
    <n v="1163"/>
    <x v="0"/>
    <x v="15"/>
    <x v="15"/>
    <x v="1"/>
    <x v="1"/>
    <x v="12"/>
    <n v="14014"/>
    <x v="240"/>
    <x v="329"/>
    <n v="935"/>
    <n v="1044"/>
  </r>
  <r>
    <n v="1164"/>
    <x v="0"/>
    <x v="15"/>
    <x v="15"/>
    <x v="1"/>
    <x v="1"/>
    <x v="143"/>
    <n v="14042"/>
    <x v="329"/>
    <x v="330"/>
    <n v="473"/>
    <n v="902"/>
  </r>
  <r>
    <n v="1165"/>
    <x v="0"/>
    <x v="15"/>
    <x v="15"/>
    <x v="1"/>
    <x v="1"/>
    <x v="107"/>
    <n v="14056"/>
    <x v="330"/>
    <x v="331"/>
    <n v="156"/>
    <n v="551"/>
  </r>
  <r>
    <n v="1166"/>
    <x v="0"/>
    <x v="15"/>
    <x v="15"/>
    <x v="1"/>
    <x v="1"/>
    <x v="11"/>
    <n v="14021"/>
    <x v="246"/>
    <x v="332"/>
    <n v="99"/>
    <n v="980"/>
  </r>
  <r>
    <n v="1167"/>
    <x v="0"/>
    <x v="15"/>
    <x v="15"/>
    <x v="1"/>
    <x v="1"/>
    <x v="131"/>
    <n v="14126"/>
    <x v="331"/>
    <x v="93"/>
    <n v="90"/>
    <n v="1111"/>
  </r>
  <r>
    <n v="1168"/>
    <x v="0"/>
    <x v="15"/>
    <x v="15"/>
    <x v="1"/>
    <x v="1"/>
    <x v="42"/>
    <n v="14133"/>
    <x v="332"/>
    <x v="299"/>
    <n v="77"/>
    <n v="1203"/>
  </r>
  <r>
    <n v="1169"/>
    <x v="0"/>
    <x v="15"/>
    <x v="15"/>
    <x v="1"/>
    <x v="1"/>
    <x v="151"/>
    <n v="14077"/>
    <x v="94"/>
    <x v="100"/>
    <n v="17"/>
    <n v="1000"/>
  </r>
  <r>
    <n v="1170"/>
    <x v="0"/>
    <x v="15"/>
    <x v="15"/>
    <x v="1"/>
    <x v="1"/>
    <x v="135"/>
    <n v="14028"/>
    <x v="45"/>
    <x v="136"/>
    <n v="7"/>
    <n v="636"/>
  </r>
  <r>
    <n v="1171"/>
    <x v="0"/>
    <x v="15"/>
    <x v="15"/>
    <x v="1"/>
    <x v="1"/>
    <x v="144"/>
    <n v="14175"/>
    <x v="50"/>
    <x v="136"/>
    <n v="7"/>
    <n v="636"/>
  </r>
  <r>
    <n v="1172"/>
    <x v="0"/>
    <x v="15"/>
    <x v="15"/>
    <x v="2"/>
    <x v="2"/>
    <x v="15"/>
    <n v="18112"/>
    <x v="218"/>
    <x v="14"/>
    <n v="675"/>
    <n v="1350"/>
  </r>
  <r>
    <n v="1173"/>
    <x v="0"/>
    <x v="15"/>
    <x v="15"/>
    <x v="2"/>
    <x v="2"/>
    <x v="17"/>
    <n v="18042"/>
    <x v="333"/>
    <x v="333"/>
    <n v="481"/>
    <n v="1300"/>
  </r>
  <r>
    <n v="1174"/>
    <x v="0"/>
    <x v="15"/>
    <x v="15"/>
    <x v="2"/>
    <x v="2"/>
    <x v="72"/>
    <n v="18063"/>
    <x v="16"/>
    <x v="169"/>
    <n v="299"/>
    <n v="1300"/>
  </r>
  <r>
    <n v="1175"/>
    <x v="0"/>
    <x v="15"/>
    <x v="15"/>
    <x v="2"/>
    <x v="2"/>
    <x v="24"/>
    <n v="18140"/>
    <x v="16"/>
    <x v="19"/>
    <n v="212"/>
    <n v="1250"/>
  </r>
  <r>
    <n v="1176"/>
    <x v="0"/>
    <x v="15"/>
    <x v="15"/>
    <x v="2"/>
    <x v="2"/>
    <x v="12"/>
    <n v="18021"/>
    <x v="12"/>
    <x v="44"/>
    <n v="100"/>
    <n v="1250"/>
  </r>
  <r>
    <n v="1177"/>
    <x v="0"/>
    <x v="15"/>
    <x v="15"/>
    <x v="2"/>
    <x v="2"/>
    <x v="22"/>
    <n v="18084"/>
    <x v="12"/>
    <x v="151"/>
    <n v="112"/>
    <n v="1250"/>
  </r>
  <r>
    <n v="1178"/>
    <x v="0"/>
    <x v="15"/>
    <x v="15"/>
    <x v="2"/>
    <x v="2"/>
    <x v="26"/>
    <n v="18070"/>
    <x v="302"/>
    <x v="20"/>
    <n v="195"/>
    <n v="1300"/>
  </r>
  <r>
    <n v="1179"/>
    <x v="0"/>
    <x v="15"/>
    <x v="15"/>
    <x v="2"/>
    <x v="2"/>
    <x v="74"/>
    <n v="18161"/>
    <x v="61"/>
    <x v="23"/>
    <n v="120"/>
    <n v="1200"/>
  </r>
  <r>
    <n v="1180"/>
    <x v="0"/>
    <x v="15"/>
    <x v="15"/>
    <x v="2"/>
    <x v="2"/>
    <x v="25"/>
    <n v="18035"/>
    <x v="18"/>
    <x v="131"/>
    <n v="156"/>
    <n v="1300"/>
  </r>
  <r>
    <n v="1181"/>
    <x v="0"/>
    <x v="15"/>
    <x v="15"/>
    <x v="2"/>
    <x v="2"/>
    <x v="19"/>
    <n v="18133"/>
    <x v="18"/>
    <x v="111"/>
    <n v="55"/>
    <n v="1100"/>
  </r>
  <r>
    <n v="1182"/>
    <x v="0"/>
    <x v="15"/>
    <x v="15"/>
    <x v="2"/>
    <x v="2"/>
    <x v="23"/>
    <n v="18126"/>
    <x v="20"/>
    <x v="111"/>
    <n v="50"/>
    <n v="1000"/>
  </r>
  <r>
    <n v="1183"/>
    <x v="0"/>
    <x v="15"/>
    <x v="15"/>
    <x v="2"/>
    <x v="2"/>
    <x v="18"/>
    <n v="18049"/>
    <x v="143"/>
    <x v="225"/>
    <n v="54"/>
    <n v="900"/>
  </r>
  <r>
    <n v="1184"/>
    <x v="0"/>
    <x v="15"/>
    <x v="15"/>
    <x v="2"/>
    <x v="2"/>
    <x v="16"/>
    <n v="18091"/>
    <x v="143"/>
    <x v="225"/>
    <n v="48"/>
    <n v="800"/>
  </r>
  <r>
    <n v="1185"/>
    <x v="0"/>
    <x v="15"/>
    <x v="15"/>
    <x v="2"/>
    <x v="2"/>
    <x v="76"/>
    <n v="18154"/>
    <x v="143"/>
    <x v="45"/>
    <n v="36"/>
    <n v="900"/>
  </r>
  <r>
    <n v="1186"/>
    <x v="0"/>
    <x v="15"/>
    <x v="15"/>
    <x v="2"/>
    <x v="2"/>
    <x v="71"/>
    <n v="18098"/>
    <x v="123"/>
    <x v="72"/>
    <n v="27"/>
    <n v="900"/>
  </r>
  <r>
    <n v="1187"/>
    <x v="0"/>
    <x v="15"/>
    <x v="15"/>
    <x v="2"/>
    <x v="2"/>
    <x v="43"/>
    <n v="18028"/>
    <x v="23"/>
    <x v="45"/>
    <n v="44"/>
    <n v="1100"/>
  </r>
  <r>
    <n v="1188"/>
    <x v="0"/>
    <x v="15"/>
    <x v="15"/>
    <x v="2"/>
    <x v="2"/>
    <x v="21"/>
    <n v="18007"/>
    <x v="131"/>
    <x v="78"/>
    <n v="17"/>
    <n v="700"/>
  </r>
  <r>
    <n v="1189"/>
    <x v="0"/>
    <x v="15"/>
    <x v="15"/>
    <x v="2"/>
    <x v="2"/>
    <x v="73"/>
    <n v="18077"/>
    <x v="45"/>
    <x v="32"/>
    <n v="9"/>
    <n v="900"/>
  </r>
  <r>
    <n v="1190"/>
    <x v="0"/>
    <x v="15"/>
    <x v="15"/>
    <x v="2"/>
    <x v="2"/>
    <x v="75"/>
    <n v="18014"/>
    <x v="32"/>
    <x v="33"/>
    <n v="5"/>
    <n v="1000"/>
  </r>
  <r>
    <n v="1191"/>
    <x v="0"/>
    <x v="15"/>
    <x v="15"/>
    <x v="2"/>
    <x v="2"/>
    <x v="61"/>
    <n v="18175"/>
    <x v="32"/>
    <x v="29"/>
    <n v="5"/>
    <n v="700"/>
  </r>
  <r>
    <n v="1192"/>
    <x v="0"/>
    <x v="15"/>
    <x v="15"/>
    <x v="3"/>
    <x v="3"/>
    <x v="28"/>
    <n v="30028"/>
    <x v="334"/>
    <x v="334"/>
    <n v="3200"/>
    <n v="828"/>
  </r>
  <r>
    <n v="1193"/>
    <x v="0"/>
    <x v="15"/>
    <x v="15"/>
    <x v="3"/>
    <x v="3"/>
    <x v="29"/>
    <n v="30015"/>
    <x v="335"/>
    <x v="335"/>
    <n v="2760"/>
    <n v="1242"/>
  </r>
  <r>
    <n v="1194"/>
    <x v="0"/>
    <x v="15"/>
    <x v="15"/>
    <x v="3"/>
    <x v="3"/>
    <x v="11"/>
    <n v="30008"/>
    <x v="336"/>
    <x v="336"/>
    <n v="375"/>
    <n v="830"/>
  </r>
  <r>
    <n v="1195"/>
    <x v="0"/>
    <x v="15"/>
    <x v="15"/>
    <x v="3"/>
    <x v="3"/>
    <x v="91"/>
    <n v="30084"/>
    <x v="169"/>
    <x v="37"/>
    <n v="79"/>
    <n v="725"/>
  </r>
  <r>
    <n v="1196"/>
    <x v="0"/>
    <x v="15"/>
    <x v="15"/>
    <x v="3"/>
    <x v="3"/>
    <x v="108"/>
    <n v="30077"/>
    <x v="318"/>
    <x v="219"/>
    <n v="41"/>
    <n v="732"/>
  </r>
  <r>
    <n v="1197"/>
    <x v="0"/>
    <x v="15"/>
    <x v="15"/>
    <x v="3"/>
    <x v="3"/>
    <x v="92"/>
    <n v="30070"/>
    <x v="337"/>
    <x v="111"/>
    <n v="36"/>
    <n v="720"/>
  </r>
  <r>
    <n v="1198"/>
    <x v="0"/>
    <x v="15"/>
    <x v="15"/>
    <x v="3"/>
    <x v="3"/>
    <x v="80"/>
    <n v="30056"/>
    <x v="40"/>
    <x v="112"/>
    <n v="8"/>
    <n v="421"/>
  </r>
  <r>
    <n v="1199"/>
    <x v="0"/>
    <x v="15"/>
    <x v="15"/>
    <x v="3"/>
    <x v="3"/>
    <x v="113"/>
    <n v="30091"/>
    <x v="77"/>
    <x v="34"/>
    <n v="1"/>
    <n v="500"/>
  </r>
  <r>
    <n v="1200"/>
    <x v="0"/>
    <x v="15"/>
    <x v="15"/>
    <x v="3"/>
    <x v="3"/>
    <x v="110"/>
    <n v="30042"/>
    <x v="47"/>
    <x v="183"/>
    <m/>
    <m/>
  </r>
  <r>
    <n v="1201"/>
    <x v="0"/>
    <x v="15"/>
    <x v="15"/>
    <x v="3"/>
    <x v="3"/>
    <x v="112"/>
    <n v="30113"/>
    <x v="47"/>
    <x v="183"/>
    <m/>
    <m/>
  </r>
  <r>
    <n v="1202"/>
    <x v="0"/>
    <x v="15"/>
    <x v="15"/>
    <x v="3"/>
    <x v="3"/>
    <x v="111"/>
    <n v="30049"/>
    <x v="48"/>
    <x v="183"/>
    <m/>
    <m/>
  </r>
  <r>
    <n v="1203"/>
    <x v="0"/>
    <x v="15"/>
    <x v="15"/>
    <x v="3"/>
    <x v="3"/>
    <x v="109"/>
    <n v="30105"/>
    <x v="48"/>
    <x v="183"/>
    <m/>
    <m/>
  </r>
  <r>
    <n v="1204"/>
    <x v="0"/>
    <x v="15"/>
    <x v="15"/>
    <x v="4"/>
    <x v="4"/>
    <x v="31"/>
    <n v="34021"/>
    <x v="143"/>
    <x v="197"/>
    <n v="81"/>
    <n v="850"/>
  </r>
  <r>
    <n v="1205"/>
    <x v="0"/>
    <x v="15"/>
    <x v="15"/>
    <x v="4"/>
    <x v="4"/>
    <x v="30"/>
    <n v="34049"/>
    <x v="143"/>
    <x v="151"/>
    <n v="77"/>
    <n v="855"/>
  </r>
  <r>
    <n v="1206"/>
    <x v="0"/>
    <x v="15"/>
    <x v="15"/>
    <x v="4"/>
    <x v="4"/>
    <x v="33"/>
    <n v="34056"/>
    <x v="143"/>
    <x v="197"/>
    <n v="81"/>
    <n v="850"/>
  </r>
  <r>
    <n v="1207"/>
    <x v="0"/>
    <x v="15"/>
    <x v="15"/>
    <x v="4"/>
    <x v="4"/>
    <x v="81"/>
    <n v="34042"/>
    <x v="224"/>
    <x v="263"/>
    <n v="53"/>
    <n v="800"/>
  </r>
  <r>
    <n v="1208"/>
    <x v="0"/>
    <x v="15"/>
    <x v="15"/>
    <x v="4"/>
    <x v="4"/>
    <x v="34"/>
    <n v="34035"/>
    <x v="67"/>
    <x v="38"/>
    <n v="44"/>
    <n v="800"/>
  </r>
  <r>
    <n v="1209"/>
    <x v="0"/>
    <x v="15"/>
    <x v="15"/>
    <x v="4"/>
    <x v="4"/>
    <x v="32"/>
    <n v="34014"/>
    <x v="28"/>
    <x v="72"/>
    <n v="24"/>
    <n v="800"/>
  </r>
  <r>
    <n v="1210"/>
    <x v="0"/>
    <x v="15"/>
    <x v="15"/>
    <x v="4"/>
    <x v="4"/>
    <x v="4"/>
    <n v="34007"/>
    <x v="33"/>
    <x v="46"/>
    <n v="3"/>
    <n v="750"/>
  </r>
  <r>
    <n v="1211"/>
    <x v="0"/>
    <x v="15"/>
    <x v="15"/>
    <x v="6"/>
    <x v="6"/>
    <x v="40"/>
    <n v="54021"/>
    <x v="338"/>
    <x v="337"/>
    <n v="325"/>
    <n v="506"/>
  </r>
  <r>
    <n v="1212"/>
    <x v="0"/>
    <x v="15"/>
    <x v="15"/>
    <x v="6"/>
    <x v="6"/>
    <x v="42"/>
    <n v="54105"/>
    <x v="12"/>
    <x v="12"/>
    <n v="120"/>
    <n v="400"/>
  </r>
  <r>
    <n v="1213"/>
    <x v="0"/>
    <x v="15"/>
    <x v="15"/>
    <x v="6"/>
    <x v="6"/>
    <x v="114"/>
    <n v="54014"/>
    <x v="61"/>
    <x v="61"/>
    <n v="125"/>
    <n v="500"/>
  </r>
  <r>
    <n v="1214"/>
    <x v="0"/>
    <x v="15"/>
    <x v="15"/>
    <x v="6"/>
    <x v="6"/>
    <x v="39"/>
    <n v="54007"/>
    <x v="63"/>
    <x v="63"/>
    <n v="63"/>
    <n v="350"/>
  </r>
  <r>
    <n v="1215"/>
    <x v="0"/>
    <x v="15"/>
    <x v="15"/>
    <x v="6"/>
    <x v="6"/>
    <x v="41"/>
    <n v="54098"/>
    <x v="339"/>
    <x v="23"/>
    <n v="50"/>
    <n v="500"/>
  </r>
  <r>
    <n v="1216"/>
    <x v="0"/>
    <x v="15"/>
    <x v="15"/>
    <x v="6"/>
    <x v="6"/>
    <x v="43"/>
    <n v="54035"/>
    <x v="125"/>
    <x v="45"/>
    <n v="20"/>
    <n v="500"/>
  </r>
  <r>
    <n v="1217"/>
    <x v="0"/>
    <x v="15"/>
    <x v="15"/>
    <x v="6"/>
    <x v="6"/>
    <x v="139"/>
    <n v="54049"/>
    <x v="146"/>
    <x v="202"/>
    <n v="8"/>
    <n v="300"/>
  </r>
  <r>
    <n v="1218"/>
    <x v="0"/>
    <x v="15"/>
    <x v="15"/>
    <x v="6"/>
    <x v="6"/>
    <x v="37"/>
    <n v="54112"/>
    <x v="107"/>
    <x v="100"/>
    <n v="10"/>
    <n v="600"/>
  </r>
  <r>
    <n v="1219"/>
    <x v="0"/>
    <x v="15"/>
    <x v="15"/>
    <x v="6"/>
    <x v="6"/>
    <x v="12"/>
    <n v="54028"/>
    <x v="31"/>
    <x v="183"/>
    <m/>
    <m/>
  </r>
  <r>
    <n v="1220"/>
    <x v="0"/>
    <x v="15"/>
    <x v="15"/>
    <x v="6"/>
    <x v="6"/>
    <x v="116"/>
    <n v="54063"/>
    <x v="13"/>
    <x v="13"/>
    <n v="7"/>
    <n v="600"/>
  </r>
  <r>
    <n v="1221"/>
    <x v="0"/>
    <x v="15"/>
    <x v="15"/>
    <x v="6"/>
    <x v="6"/>
    <x v="115"/>
    <n v="54056"/>
    <x v="34"/>
    <x v="183"/>
    <m/>
    <m/>
  </r>
  <r>
    <n v="1222"/>
    <x v="0"/>
    <x v="15"/>
    <x v="15"/>
    <x v="11"/>
    <x v="11"/>
    <x v="106"/>
    <n v="66112"/>
    <x v="16"/>
    <x v="12"/>
    <n v="390"/>
    <n v="1300"/>
  </r>
  <r>
    <n v="1223"/>
    <x v="0"/>
    <x v="15"/>
    <x v="15"/>
    <x v="11"/>
    <x v="11"/>
    <x v="97"/>
    <n v="66147"/>
    <x v="72"/>
    <x v="72"/>
    <n v="39"/>
    <n v="1300"/>
  </r>
  <r>
    <n v="1224"/>
    <x v="0"/>
    <x v="15"/>
    <x v="15"/>
    <x v="13"/>
    <x v="13"/>
    <x v="88"/>
    <n v="74063"/>
    <x v="94"/>
    <x v="79"/>
    <n v="17"/>
    <n v="1062"/>
  </r>
  <r>
    <n v="1225"/>
    <x v="0"/>
    <x v="15"/>
    <x v="15"/>
    <x v="13"/>
    <x v="13"/>
    <x v="87"/>
    <n v="74028"/>
    <x v="13"/>
    <x v="32"/>
    <n v="12"/>
    <n v="1200"/>
  </r>
  <r>
    <n v="1226"/>
    <x v="0"/>
    <x v="15"/>
    <x v="15"/>
    <x v="13"/>
    <x v="13"/>
    <x v="95"/>
    <n v="74049"/>
    <x v="77"/>
    <x v="33"/>
    <n v="4"/>
    <n v="800"/>
  </r>
  <r>
    <n v="1227"/>
    <x v="0"/>
    <x v="15"/>
    <x v="15"/>
    <x v="13"/>
    <x v="13"/>
    <x v="94"/>
    <n v="74035"/>
    <x v="34"/>
    <x v="47"/>
    <n v="1"/>
    <n v="1000"/>
  </r>
  <r>
    <n v="1228"/>
    <x v="0"/>
    <x v="15"/>
    <x v="15"/>
    <x v="7"/>
    <x v="7"/>
    <x v="45"/>
    <n v="82035"/>
    <x v="120"/>
    <x v="319"/>
    <n v="7650"/>
    <n v="1800"/>
  </r>
  <r>
    <n v="1229"/>
    <x v="0"/>
    <x v="15"/>
    <x v="15"/>
    <x v="7"/>
    <x v="7"/>
    <x v="44"/>
    <n v="82049"/>
    <x v="340"/>
    <x v="101"/>
    <n v="3168"/>
    <n v="1053"/>
  </r>
  <r>
    <n v="1230"/>
    <x v="0"/>
    <x v="15"/>
    <x v="15"/>
    <x v="7"/>
    <x v="7"/>
    <x v="42"/>
    <n v="82098"/>
    <x v="341"/>
    <x v="207"/>
    <n v="900"/>
    <n v="1500"/>
  </r>
  <r>
    <n v="1231"/>
    <x v="0"/>
    <x v="15"/>
    <x v="15"/>
    <x v="7"/>
    <x v="7"/>
    <x v="12"/>
    <n v="82063"/>
    <x v="20"/>
    <x v="20"/>
    <n v="270"/>
    <n v="1800"/>
  </r>
  <r>
    <n v="1232"/>
    <x v="0"/>
    <x v="15"/>
    <x v="15"/>
    <x v="7"/>
    <x v="7"/>
    <x v="46"/>
    <n v="82112"/>
    <x v="67"/>
    <x v="44"/>
    <n v="120"/>
    <n v="1500"/>
  </r>
  <r>
    <n v="1233"/>
    <x v="0"/>
    <x v="15"/>
    <x v="15"/>
    <x v="8"/>
    <x v="8"/>
    <x v="120"/>
    <n v="86042"/>
    <x v="20"/>
    <x v="150"/>
    <n v="62"/>
    <n v="477"/>
  </r>
  <r>
    <n v="1234"/>
    <x v="0"/>
    <x v="15"/>
    <x v="15"/>
    <x v="8"/>
    <x v="8"/>
    <x v="49"/>
    <n v="86112"/>
    <x v="225"/>
    <x v="111"/>
    <n v="23"/>
    <n v="460"/>
  </r>
  <r>
    <n v="1235"/>
    <x v="0"/>
    <x v="15"/>
    <x v="15"/>
    <x v="8"/>
    <x v="8"/>
    <x v="48"/>
    <n v="86098"/>
    <x v="225"/>
    <x v="132"/>
    <n v="26"/>
    <n v="531"/>
  </r>
  <r>
    <n v="1236"/>
    <x v="0"/>
    <x v="15"/>
    <x v="15"/>
    <x v="8"/>
    <x v="8"/>
    <x v="53"/>
    <n v="86035"/>
    <x v="125"/>
    <x v="4"/>
    <n v="22"/>
    <n v="611"/>
  </r>
  <r>
    <n v="1237"/>
    <x v="0"/>
    <x v="15"/>
    <x v="15"/>
    <x v="8"/>
    <x v="8"/>
    <x v="54"/>
    <n v="86161"/>
    <x v="72"/>
    <x v="6"/>
    <n v="14"/>
    <n v="583"/>
  </r>
  <r>
    <n v="1238"/>
    <x v="0"/>
    <x v="15"/>
    <x v="15"/>
    <x v="8"/>
    <x v="8"/>
    <x v="47"/>
    <n v="86077"/>
    <x v="145"/>
    <x v="6"/>
    <n v="10"/>
    <n v="417"/>
  </r>
  <r>
    <n v="1239"/>
    <x v="0"/>
    <x v="15"/>
    <x v="15"/>
    <x v="8"/>
    <x v="8"/>
    <x v="12"/>
    <n v="86049"/>
    <x v="92"/>
    <x v="112"/>
    <n v="11"/>
    <n v="579"/>
  </r>
  <r>
    <n v="1240"/>
    <x v="0"/>
    <x v="15"/>
    <x v="15"/>
    <x v="8"/>
    <x v="8"/>
    <x v="103"/>
    <n v="86091"/>
    <x v="45"/>
    <x v="100"/>
    <n v="11"/>
    <n v="647"/>
  </r>
  <r>
    <n v="1241"/>
    <x v="0"/>
    <x v="15"/>
    <x v="15"/>
    <x v="8"/>
    <x v="8"/>
    <x v="51"/>
    <n v="86147"/>
    <x v="45"/>
    <x v="79"/>
    <n v="8"/>
    <n v="500"/>
  </r>
  <r>
    <n v="1242"/>
    <x v="0"/>
    <x v="15"/>
    <x v="15"/>
    <x v="8"/>
    <x v="8"/>
    <x v="153"/>
    <n v="86028"/>
    <x v="31"/>
    <x v="13"/>
    <n v="6"/>
    <n v="500"/>
  </r>
  <r>
    <n v="1243"/>
    <x v="0"/>
    <x v="15"/>
    <x v="15"/>
    <x v="8"/>
    <x v="8"/>
    <x v="154"/>
    <n v="86189"/>
    <x v="31"/>
    <x v="135"/>
    <n v="7"/>
    <n v="533"/>
  </r>
  <r>
    <n v="1244"/>
    <x v="0"/>
    <x v="15"/>
    <x v="15"/>
    <x v="8"/>
    <x v="8"/>
    <x v="155"/>
    <n v="86007"/>
    <x v="32"/>
    <x v="67"/>
    <n v="3"/>
    <n v="375"/>
  </r>
  <r>
    <n v="1245"/>
    <x v="0"/>
    <x v="15"/>
    <x v="15"/>
    <x v="8"/>
    <x v="8"/>
    <x v="156"/>
    <n v="86056"/>
    <x v="32"/>
    <x v="67"/>
    <n v="5"/>
    <n v="625"/>
  </r>
  <r>
    <n v="1246"/>
    <x v="0"/>
    <x v="15"/>
    <x v="15"/>
    <x v="8"/>
    <x v="8"/>
    <x v="157"/>
    <n v="86014"/>
    <x v="33"/>
    <x v="46"/>
    <n v="1"/>
    <n v="250"/>
  </r>
  <r>
    <n v="1247"/>
    <x v="0"/>
    <x v="15"/>
    <x v="15"/>
    <x v="8"/>
    <x v="8"/>
    <x v="148"/>
    <n v="86070"/>
    <x v="33"/>
    <x v="46"/>
    <n v="3"/>
    <n v="750"/>
  </r>
  <r>
    <n v="1248"/>
    <x v="0"/>
    <x v="15"/>
    <x v="15"/>
    <x v="8"/>
    <x v="8"/>
    <x v="149"/>
    <n v="86084"/>
    <x v="33"/>
    <x v="30"/>
    <n v="1"/>
    <n v="333"/>
  </r>
  <r>
    <n v="1249"/>
    <x v="0"/>
    <x v="15"/>
    <x v="15"/>
    <x v="8"/>
    <x v="8"/>
    <x v="141"/>
    <n v="86126"/>
    <x v="33"/>
    <x v="46"/>
    <n v="2"/>
    <n v="500"/>
  </r>
  <r>
    <n v="1250"/>
    <x v="0"/>
    <x v="15"/>
    <x v="15"/>
    <x v="8"/>
    <x v="8"/>
    <x v="102"/>
    <n v="86133"/>
    <x v="33"/>
    <x v="46"/>
    <n v="3"/>
    <n v="750"/>
  </r>
  <r>
    <n v="1251"/>
    <x v="0"/>
    <x v="15"/>
    <x v="15"/>
    <x v="8"/>
    <x v="8"/>
    <x v="150"/>
    <n v="86140"/>
    <x v="33"/>
    <x v="46"/>
    <n v="2"/>
    <n v="500"/>
  </r>
  <r>
    <n v="1252"/>
    <x v="0"/>
    <x v="15"/>
    <x v="15"/>
    <x v="8"/>
    <x v="8"/>
    <x v="158"/>
    <n v="86168"/>
    <x v="30"/>
    <x v="30"/>
    <n v="1"/>
    <n v="333"/>
  </r>
  <r>
    <n v="1253"/>
    <x v="0"/>
    <x v="15"/>
    <x v="15"/>
    <x v="8"/>
    <x v="8"/>
    <x v="159"/>
    <n v="86182"/>
    <x v="30"/>
    <x v="34"/>
    <n v="1"/>
    <n v="500"/>
  </r>
  <r>
    <n v="1254"/>
    <x v="0"/>
    <x v="15"/>
    <x v="15"/>
    <x v="9"/>
    <x v="9"/>
    <x v="66"/>
    <n v="90056"/>
    <x v="75"/>
    <x v="212"/>
    <n v="360"/>
    <n v="800"/>
  </r>
  <r>
    <n v="1255"/>
    <x v="0"/>
    <x v="15"/>
    <x v="15"/>
    <x v="9"/>
    <x v="9"/>
    <x v="55"/>
    <n v="90007"/>
    <x v="342"/>
    <x v="338"/>
    <n v="435"/>
    <n v="1016"/>
  </r>
  <r>
    <n v="1256"/>
    <x v="0"/>
    <x v="15"/>
    <x v="15"/>
    <x v="9"/>
    <x v="9"/>
    <x v="65"/>
    <n v="90014"/>
    <x v="61"/>
    <x v="61"/>
    <n v="250"/>
    <n v="1000"/>
  </r>
  <r>
    <n v="1257"/>
    <x v="0"/>
    <x v="15"/>
    <x v="15"/>
    <x v="9"/>
    <x v="9"/>
    <x v="69"/>
    <n v="90035"/>
    <x v="44"/>
    <x v="72"/>
    <n v="21"/>
    <n v="700"/>
  </r>
  <r>
    <n v="1258"/>
    <x v="0"/>
    <x v="15"/>
    <x v="15"/>
    <x v="9"/>
    <x v="9"/>
    <x v="82"/>
    <n v="90077"/>
    <x v="44"/>
    <x v="111"/>
    <n v="45"/>
    <n v="900"/>
  </r>
  <r>
    <n v="1259"/>
    <x v="0"/>
    <x v="15"/>
    <x v="15"/>
    <x v="9"/>
    <x v="9"/>
    <x v="63"/>
    <n v="90028"/>
    <x v="45"/>
    <x v="31"/>
    <n v="9"/>
    <n v="600"/>
  </r>
  <r>
    <n v="1260"/>
    <x v="0"/>
    <x v="15"/>
    <x v="15"/>
    <x v="9"/>
    <x v="9"/>
    <x v="67"/>
    <n v="90070"/>
    <x v="45"/>
    <x v="80"/>
    <n v="10"/>
    <n v="500"/>
  </r>
  <r>
    <n v="1261"/>
    <x v="0"/>
    <x v="15"/>
    <x v="15"/>
    <x v="9"/>
    <x v="9"/>
    <x v="68"/>
    <n v="90105"/>
    <x v="95"/>
    <x v="140"/>
    <n v="9"/>
    <n v="500"/>
  </r>
  <r>
    <n v="1262"/>
    <x v="0"/>
    <x v="15"/>
    <x v="15"/>
    <x v="9"/>
    <x v="9"/>
    <x v="83"/>
    <n v="90021"/>
    <x v="32"/>
    <x v="32"/>
    <n v="5"/>
    <n v="500"/>
  </r>
  <r>
    <n v="1263"/>
    <x v="0"/>
    <x v="15"/>
    <x v="15"/>
    <x v="9"/>
    <x v="9"/>
    <x v="12"/>
    <n v="90084"/>
    <x v="77"/>
    <x v="67"/>
    <n v="3"/>
    <n v="375"/>
  </r>
  <r>
    <n v="1264"/>
    <x v="0"/>
    <x v="15"/>
    <x v="15"/>
    <x v="9"/>
    <x v="9"/>
    <x v="64"/>
    <n v="90112"/>
    <x v="33"/>
    <x v="33"/>
    <n v="3"/>
    <n v="600"/>
  </r>
  <r>
    <n v="1265"/>
    <x v="0"/>
    <x v="16"/>
    <x v="16"/>
    <x v="0"/>
    <x v="0"/>
    <x v="2"/>
    <n v="22140"/>
    <x v="89"/>
    <x v="38"/>
    <n v="27"/>
    <n v="500"/>
  </r>
  <r>
    <n v="1266"/>
    <x v="0"/>
    <x v="16"/>
    <x v="16"/>
    <x v="0"/>
    <x v="0"/>
    <x v="5"/>
    <n v="22091"/>
    <x v="44"/>
    <x v="139"/>
    <n v="21"/>
    <n v="600"/>
  </r>
  <r>
    <n v="1267"/>
    <x v="0"/>
    <x v="16"/>
    <x v="16"/>
    <x v="0"/>
    <x v="0"/>
    <x v="4"/>
    <n v="22014"/>
    <x v="125"/>
    <x v="72"/>
    <n v="15"/>
    <n v="500"/>
  </r>
  <r>
    <n v="1268"/>
    <x v="0"/>
    <x v="16"/>
    <x v="16"/>
    <x v="0"/>
    <x v="0"/>
    <x v="3"/>
    <n v="22084"/>
    <x v="72"/>
    <x v="80"/>
    <n v="12"/>
    <n v="500"/>
  </r>
  <r>
    <n v="1269"/>
    <x v="0"/>
    <x v="16"/>
    <x v="16"/>
    <x v="0"/>
    <x v="0"/>
    <x v="6"/>
    <n v="22161"/>
    <x v="45"/>
    <x v="31"/>
    <n v="6"/>
    <n v="400"/>
  </r>
  <r>
    <n v="1270"/>
    <x v="0"/>
    <x v="16"/>
    <x v="16"/>
    <x v="1"/>
    <x v="1"/>
    <x v="8"/>
    <n v="14119"/>
    <x v="343"/>
    <x v="339"/>
    <n v="46820"/>
    <n v="1300"/>
  </r>
  <r>
    <n v="1271"/>
    <x v="0"/>
    <x v="16"/>
    <x v="16"/>
    <x v="1"/>
    <x v="1"/>
    <x v="7"/>
    <n v="14147"/>
    <x v="344"/>
    <x v="340"/>
    <n v="39799"/>
    <n v="1301"/>
  </r>
  <r>
    <n v="1272"/>
    <x v="0"/>
    <x v="16"/>
    <x v="16"/>
    <x v="1"/>
    <x v="1"/>
    <x v="142"/>
    <n v="14007"/>
    <x v="345"/>
    <x v="341"/>
    <n v="54000"/>
    <n v="1800"/>
  </r>
  <r>
    <n v="1273"/>
    <x v="0"/>
    <x v="16"/>
    <x v="16"/>
    <x v="1"/>
    <x v="1"/>
    <x v="70"/>
    <n v="14007"/>
    <x v="346"/>
    <x v="142"/>
    <n v="11000"/>
    <n v="1000"/>
  </r>
  <r>
    <n v="1274"/>
    <x v="0"/>
    <x v="16"/>
    <x v="16"/>
    <x v="1"/>
    <x v="1"/>
    <x v="9"/>
    <n v="14105"/>
    <x v="347"/>
    <x v="209"/>
    <n v="6600"/>
    <n v="1100"/>
  </r>
  <r>
    <n v="1275"/>
    <x v="0"/>
    <x v="16"/>
    <x v="16"/>
    <x v="1"/>
    <x v="1"/>
    <x v="13"/>
    <n v="14098"/>
    <x v="348"/>
    <x v="342"/>
    <n v="5970"/>
    <n v="1500"/>
  </r>
  <r>
    <n v="1276"/>
    <x v="0"/>
    <x v="16"/>
    <x v="16"/>
    <x v="1"/>
    <x v="1"/>
    <x v="46"/>
    <n v="14140"/>
    <x v="80"/>
    <x v="11"/>
    <n v="900"/>
    <n v="900"/>
  </r>
  <r>
    <n v="1277"/>
    <x v="0"/>
    <x v="16"/>
    <x v="16"/>
    <x v="1"/>
    <x v="1"/>
    <x v="12"/>
    <n v="14014"/>
    <x v="108"/>
    <x v="56"/>
    <n v="1560"/>
    <n v="1300"/>
  </r>
  <r>
    <n v="1278"/>
    <x v="0"/>
    <x v="16"/>
    <x v="16"/>
    <x v="1"/>
    <x v="1"/>
    <x v="107"/>
    <n v="14056"/>
    <x v="349"/>
    <x v="343"/>
    <n v="1097"/>
    <n v="1000"/>
  </r>
  <r>
    <n v="1279"/>
    <x v="0"/>
    <x v="16"/>
    <x v="16"/>
    <x v="1"/>
    <x v="1"/>
    <x v="143"/>
    <n v="14042"/>
    <x v="14"/>
    <x v="14"/>
    <n v="775"/>
    <n v="1550"/>
  </r>
  <r>
    <n v="1280"/>
    <x v="0"/>
    <x v="16"/>
    <x v="16"/>
    <x v="1"/>
    <x v="1"/>
    <x v="131"/>
    <n v="14126"/>
    <x v="350"/>
    <x v="344"/>
    <n v="268"/>
    <n v="1100"/>
  </r>
  <r>
    <n v="1281"/>
    <x v="0"/>
    <x v="16"/>
    <x v="16"/>
    <x v="1"/>
    <x v="1"/>
    <x v="11"/>
    <n v="14021"/>
    <x v="18"/>
    <x v="63"/>
    <n v="180"/>
    <n v="1000"/>
  </r>
  <r>
    <n v="1282"/>
    <x v="0"/>
    <x v="16"/>
    <x v="16"/>
    <x v="1"/>
    <x v="1"/>
    <x v="133"/>
    <n v="14112"/>
    <x v="23"/>
    <x v="151"/>
    <n v="76"/>
    <n v="850"/>
  </r>
  <r>
    <n v="1283"/>
    <x v="0"/>
    <x v="16"/>
    <x v="16"/>
    <x v="1"/>
    <x v="1"/>
    <x v="42"/>
    <n v="14133"/>
    <x v="23"/>
    <x v="23"/>
    <n v="110"/>
    <n v="1100"/>
  </r>
  <r>
    <n v="1284"/>
    <x v="0"/>
    <x v="16"/>
    <x v="16"/>
    <x v="1"/>
    <x v="1"/>
    <x v="84"/>
    <n v="14168"/>
    <x v="225"/>
    <x v="181"/>
    <n v="54"/>
    <n v="1000"/>
  </r>
  <r>
    <n v="1285"/>
    <x v="0"/>
    <x v="16"/>
    <x v="16"/>
    <x v="1"/>
    <x v="1"/>
    <x v="144"/>
    <n v="14175"/>
    <x v="44"/>
    <x v="39"/>
    <n v="38"/>
    <n v="850"/>
  </r>
  <r>
    <n v="1286"/>
    <x v="0"/>
    <x v="16"/>
    <x v="16"/>
    <x v="1"/>
    <x v="1"/>
    <x v="160"/>
    <n v="14084"/>
    <x v="94"/>
    <x v="183"/>
    <m/>
    <m/>
  </r>
  <r>
    <n v="1287"/>
    <x v="0"/>
    <x v="16"/>
    <x v="16"/>
    <x v="1"/>
    <x v="1"/>
    <x v="135"/>
    <n v="14028"/>
    <x v="45"/>
    <x v="140"/>
    <n v="18"/>
    <n v="1000"/>
  </r>
  <r>
    <n v="1288"/>
    <x v="0"/>
    <x v="16"/>
    <x v="16"/>
    <x v="1"/>
    <x v="1"/>
    <x v="134"/>
    <n v="14091"/>
    <x v="13"/>
    <x v="32"/>
    <n v="10"/>
    <n v="1000"/>
  </r>
  <r>
    <n v="1289"/>
    <x v="0"/>
    <x v="16"/>
    <x v="16"/>
    <x v="1"/>
    <x v="1"/>
    <x v="132"/>
    <n v="14049"/>
    <x v="32"/>
    <x v="52"/>
    <n v="9"/>
    <n v="1000"/>
  </r>
  <r>
    <n v="1290"/>
    <x v="0"/>
    <x v="16"/>
    <x v="16"/>
    <x v="1"/>
    <x v="1"/>
    <x v="151"/>
    <n v="14077"/>
    <x v="47"/>
    <x v="46"/>
    <n v="4"/>
    <n v="1000"/>
  </r>
  <r>
    <n v="1291"/>
    <x v="0"/>
    <x v="16"/>
    <x v="16"/>
    <x v="2"/>
    <x v="2"/>
    <x v="15"/>
    <n v="18112"/>
    <x v="180"/>
    <x v="165"/>
    <n v="513"/>
    <n v="900"/>
  </r>
  <r>
    <n v="1292"/>
    <x v="0"/>
    <x v="16"/>
    <x v="16"/>
    <x v="2"/>
    <x v="2"/>
    <x v="17"/>
    <n v="18042"/>
    <x v="15"/>
    <x v="63"/>
    <n v="99"/>
    <n v="550"/>
  </r>
  <r>
    <n v="1293"/>
    <x v="0"/>
    <x v="16"/>
    <x v="16"/>
    <x v="2"/>
    <x v="2"/>
    <x v="72"/>
    <n v="18063"/>
    <x v="351"/>
    <x v="20"/>
    <n v="82"/>
    <n v="550"/>
  </r>
  <r>
    <n v="1294"/>
    <x v="0"/>
    <x v="16"/>
    <x v="16"/>
    <x v="2"/>
    <x v="2"/>
    <x v="24"/>
    <n v="18140"/>
    <x v="352"/>
    <x v="134"/>
    <n v="35"/>
    <n v="500"/>
  </r>
  <r>
    <n v="1295"/>
    <x v="0"/>
    <x v="16"/>
    <x v="16"/>
    <x v="2"/>
    <x v="2"/>
    <x v="26"/>
    <n v="18070"/>
    <x v="63"/>
    <x v="23"/>
    <n v="60"/>
    <n v="600"/>
  </r>
  <r>
    <n v="1296"/>
    <x v="0"/>
    <x v="16"/>
    <x v="16"/>
    <x v="2"/>
    <x v="2"/>
    <x v="12"/>
    <n v="18021"/>
    <x v="353"/>
    <x v="134"/>
    <n v="38"/>
    <n v="550"/>
  </r>
  <r>
    <n v="1297"/>
    <x v="0"/>
    <x v="16"/>
    <x v="16"/>
    <x v="2"/>
    <x v="2"/>
    <x v="22"/>
    <n v="18084"/>
    <x v="21"/>
    <x v="76"/>
    <n v="41"/>
    <n v="550"/>
  </r>
  <r>
    <n v="1298"/>
    <x v="0"/>
    <x v="16"/>
    <x v="16"/>
    <x v="2"/>
    <x v="2"/>
    <x v="16"/>
    <n v="18091"/>
    <x v="123"/>
    <x v="23"/>
    <n v="60"/>
    <n v="600"/>
  </r>
  <r>
    <n v="1299"/>
    <x v="0"/>
    <x v="16"/>
    <x v="16"/>
    <x v="2"/>
    <x v="2"/>
    <x v="18"/>
    <n v="18049"/>
    <x v="253"/>
    <x v="225"/>
    <n v="54"/>
    <n v="900"/>
  </r>
  <r>
    <n v="1300"/>
    <x v="0"/>
    <x v="16"/>
    <x v="16"/>
    <x v="2"/>
    <x v="2"/>
    <x v="23"/>
    <n v="18126"/>
    <x v="224"/>
    <x v="139"/>
    <n v="17"/>
    <n v="500"/>
  </r>
  <r>
    <n v="1301"/>
    <x v="0"/>
    <x v="16"/>
    <x v="16"/>
    <x v="2"/>
    <x v="2"/>
    <x v="19"/>
    <n v="18133"/>
    <x v="224"/>
    <x v="111"/>
    <n v="22"/>
    <n v="450"/>
  </r>
  <r>
    <n v="1302"/>
    <x v="0"/>
    <x v="16"/>
    <x v="16"/>
    <x v="2"/>
    <x v="2"/>
    <x v="76"/>
    <n v="18154"/>
    <x v="71"/>
    <x v="72"/>
    <n v="15"/>
    <n v="500"/>
  </r>
  <r>
    <n v="1303"/>
    <x v="0"/>
    <x v="16"/>
    <x v="16"/>
    <x v="2"/>
    <x v="2"/>
    <x v="43"/>
    <n v="18028"/>
    <x v="27"/>
    <x v="78"/>
    <n v="13"/>
    <n v="550"/>
  </r>
  <r>
    <n v="1304"/>
    <x v="0"/>
    <x v="16"/>
    <x v="16"/>
    <x v="2"/>
    <x v="2"/>
    <x v="71"/>
    <n v="18098"/>
    <x v="38"/>
    <x v="78"/>
    <n v="12"/>
    <n v="500"/>
  </r>
  <r>
    <n v="1305"/>
    <x v="0"/>
    <x v="16"/>
    <x v="16"/>
    <x v="2"/>
    <x v="2"/>
    <x v="25"/>
    <n v="18035"/>
    <x v="131"/>
    <x v="139"/>
    <n v="35"/>
    <n v="1000"/>
  </r>
  <r>
    <n v="1306"/>
    <x v="0"/>
    <x v="16"/>
    <x v="16"/>
    <x v="2"/>
    <x v="2"/>
    <x v="21"/>
    <n v="18007"/>
    <x v="72"/>
    <x v="32"/>
    <n v="6"/>
    <n v="600"/>
  </r>
  <r>
    <n v="1307"/>
    <x v="0"/>
    <x v="16"/>
    <x v="16"/>
    <x v="2"/>
    <x v="2"/>
    <x v="73"/>
    <n v="18077"/>
    <x v="31"/>
    <x v="29"/>
    <n v="3"/>
    <n v="400"/>
  </r>
  <r>
    <n v="1308"/>
    <x v="0"/>
    <x v="16"/>
    <x v="16"/>
    <x v="2"/>
    <x v="2"/>
    <x v="61"/>
    <n v="18175"/>
    <x v="31"/>
    <x v="31"/>
    <n v="9"/>
    <n v="600"/>
  </r>
  <r>
    <n v="1309"/>
    <x v="0"/>
    <x v="16"/>
    <x v="16"/>
    <x v="2"/>
    <x v="2"/>
    <x v="78"/>
    <n v="18105"/>
    <x v="13"/>
    <x v="13"/>
    <n v="12"/>
    <n v="1000"/>
  </r>
  <r>
    <n v="1310"/>
    <x v="0"/>
    <x v="16"/>
    <x v="16"/>
    <x v="2"/>
    <x v="2"/>
    <x v="75"/>
    <n v="18014"/>
    <x v="32"/>
    <x v="33"/>
    <n v="2"/>
    <n v="400"/>
  </r>
  <r>
    <n v="1311"/>
    <x v="0"/>
    <x v="16"/>
    <x v="16"/>
    <x v="2"/>
    <x v="2"/>
    <x v="74"/>
    <n v="18161"/>
    <x v="32"/>
    <x v="33"/>
    <n v="3"/>
    <n v="600"/>
  </r>
  <r>
    <n v="1312"/>
    <x v="0"/>
    <x v="16"/>
    <x v="16"/>
    <x v="3"/>
    <x v="3"/>
    <x v="28"/>
    <n v="30028"/>
    <x v="226"/>
    <x v="162"/>
    <n v="8000"/>
    <n v="1600"/>
  </r>
  <r>
    <n v="1313"/>
    <x v="0"/>
    <x v="16"/>
    <x v="16"/>
    <x v="3"/>
    <x v="3"/>
    <x v="29"/>
    <n v="30015"/>
    <x v="301"/>
    <x v="305"/>
    <n v="3410"/>
    <n v="1100"/>
  </r>
  <r>
    <n v="1314"/>
    <x v="0"/>
    <x v="16"/>
    <x v="16"/>
    <x v="3"/>
    <x v="3"/>
    <x v="11"/>
    <n v="30008"/>
    <x v="14"/>
    <x v="212"/>
    <n v="540"/>
    <n v="1200"/>
  </r>
  <r>
    <n v="1315"/>
    <x v="0"/>
    <x v="16"/>
    <x v="16"/>
    <x v="3"/>
    <x v="3"/>
    <x v="80"/>
    <n v="30056"/>
    <x v="181"/>
    <x v="45"/>
    <n v="20"/>
    <n v="500"/>
  </r>
  <r>
    <n v="1316"/>
    <x v="0"/>
    <x v="16"/>
    <x v="16"/>
    <x v="3"/>
    <x v="3"/>
    <x v="113"/>
    <n v="30091"/>
    <x v="94"/>
    <x v="80"/>
    <n v="10"/>
    <n v="500"/>
  </r>
  <r>
    <n v="1317"/>
    <x v="0"/>
    <x v="16"/>
    <x v="16"/>
    <x v="3"/>
    <x v="3"/>
    <x v="161"/>
    <n v="30021"/>
    <x v="32"/>
    <x v="32"/>
    <n v="7"/>
    <n v="700"/>
  </r>
  <r>
    <n v="1318"/>
    <x v="0"/>
    <x v="16"/>
    <x v="16"/>
    <x v="3"/>
    <x v="3"/>
    <x v="111"/>
    <n v="30049"/>
    <x v="77"/>
    <x v="67"/>
    <n v="4"/>
    <n v="500"/>
  </r>
  <r>
    <n v="1319"/>
    <x v="0"/>
    <x v="16"/>
    <x v="16"/>
    <x v="3"/>
    <x v="3"/>
    <x v="92"/>
    <n v="30070"/>
    <x v="30"/>
    <x v="30"/>
    <n v="3"/>
    <n v="1000"/>
  </r>
  <r>
    <n v="1320"/>
    <x v="0"/>
    <x v="16"/>
    <x v="16"/>
    <x v="4"/>
    <x v="4"/>
    <x v="34"/>
    <n v="34035"/>
    <x v="123"/>
    <x v="151"/>
    <n v="76"/>
    <n v="850"/>
  </r>
  <r>
    <n v="1321"/>
    <x v="0"/>
    <x v="16"/>
    <x v="16"/>
    <x v="4"/>
    <x v="4"/>
    <x v="33"/>
    <n v="34056"/>
    <x v="354"/>
    <x v="23"/>
    <n v="80"/>
    <n v="800"/>
  </r>
  <r>
    <n v="1322"/>
    <x v="0"/>
    <x v="16"/>
    <x v="16"/>
    <x v="4"/>
    <x v="4"/>
    <x v="31"/>
    <n v="34021"/>
    <x v="44"/>
    <x v="45"/>
    <n v="32"/>
    <n v="800"/>
  </r>
  <r>
    <n v="1323"/>
    <x v="0"/>
    <x v="16"/>
    <x v="16"/>
    <x v="4"/>
    <x v="4"/>
    <x v="81"/>
    <n v="34042"/>
    <x v="39"/>
    <x v="45"/>
    <n v="30"/>
    <n v="750"/>
  </r>
  <r>
    <n v="1324"/>
    <x v="0"/>
    <x v="16"/>
    <x v="16"/>
    <x v="4"/>
    <x v="4"/>
    <x v="30"/>
    <n v="34049"/>
    <x v="31"/>
    <x v="135"/>
    <n v="10"/>
    <n v="800"/>
  </r>
  <r>
    <n v="1325"/>
    <x v="0"/>
    <x v="16"/>
    <x v="16"/>
    <x v="4"/>
    <x v="4"/>
    <x v="4"/>
    <n v="34007"/>
    <x v="47"/>
    <x v="30"/>
    <n v="2"/>
    <n v="700"/>
  </r>
  <r>
    <n v="1326"/>
    <x v="0"/>
    <x v="16"/>
    <x v="16"/>
    <x v="4"/>
    <x v="4"/>
    <x v="162"/>
    <n v="34063"/>
    <x v="48"/>
    <x v="47"/>
    <n v="1"/>
    <n v="750"/>
  </r>
  <r>
    <n v="1327"/>
    <x v="0"/>
    <x v="16"/>
    <x v="16"/>
    <x v="6"/>
    <x v="6"/>
    <x v="42"/>
    <n v="54105"/>
    <x v="187"/>
    <x v="87"/>
    <n v="137"/>
    <n v="737"/>
  </r>
  <r>
    <n v="1328"/>
    <x v="0"/>
    <x v="16"/>
    <x v="16"/>
    <x v="6"/>
    <x v="6"/>
    <x v="39"/>
    <n v="54007"/>
    <x v="20"/>
    <x v="131"/>
    <n v="132"/>
    <n v="1100"/>
  </r>
  <r>
    <n v="1329"/>
    <x v="0"/>
    <x v="16"/>
    <x v="16"/>
    <x v="6"/>
    <x v="6"/>
    <x v="41"/>
    <n v="54098"/>
    <x v="253"/>
    <x v="181"/>
    <n v="63"/>
    <n v="1177"/>
  </r>
  <r>
    <n v="1330"/>
    <x v="0"/>
    <x v="16"/>
    <x v="16"/>
    <x v="6"/>
    <x v="6"/>
    <x v="114"/>
    <n v="54014"/>
    <x v="254"/>
    <x v="345"/>
    <n v="60"/>
    <n v="900"/>
  </r>
  <r>
    <n v="1331"/>
    <x v="0"/>
    <x v="16"/>
    <x v="16"/>
    <x v="6"/>
    <x v="6"/>
    <x v="43"/>
    <n v="54035"/>
    <x v="39"/>
    <x v="45"/>
    <n v="28"/>
    <n v="700"/>
  </r>
  <r>
    <n v="1332"/>
    <x v="0"/>
    <x v="16"/>
    <x v="16"/>
    <x v="6"/>
    <x v="6"/>
    <x v="116"/>
    <n v="54063"/>
    <x v="39"/>
    <x v="45"/>
    <n v="48"/>
    <n v="1200"/>
  </r>
  <r>
    <n v="1333"/>
    <x v="0"/>
    <x v="16"/>
    <x v="16"/>
    <x v="6"/>
    <x v="6"/>
    <x v="40"/>
    <n v="54021"/>
    <x v="197"/>
    <x v="106"/>
    <n v="42"/>
    <n v="992"/>
  </r>
  <r>
    <n v="1334"/>
    <x v="0"/>
    <x v="16"/>
    <x v="16"/>
    <x v="6"/>
    <x v="6"/>
    <x v="139"/>
    <n v="54049"/>
    <x v="146"/>
    <x v="202"/>
    <n v="22"/>
    <n v="800"/>
  </r>
  <r>
    <n v="1335"/>
    <x v="0"/>
    <x v="16"/>
    <x v="16"/>
    <x v="6"/>
    <x v="6"/>
    <x v="12"/>
    <n v="54028"/>
    <x v="31"/>
    <x v="33"/>
    <n v="4"/>
    <n v="800"/>
  </r>
  <r>
    <n v="1336"/>
    <x v="0"/>
    <x v="16"/>
    <x v="16"/>
    <x v="6"/>
    <x v="6"/>
    <x v="37"/>
    <n v="54112"/>
    <x v="32"/>
    <x v="67"/>
    <n v="10"/>
    <n v="1200"/>
  </r>
  <r>
    <n v="1337"/>
    <x v="0"/>
    <x v="16"/>
    <x v="16"/>
    <x v="6"/>
    <x v="6"/>
    <x v="115"/>
    <n v="54056"/>
    <x v="34"/>
    <x v="183"/>
    <m/>
    <m/>
  </r>
  <r>
    <n v="1338"/>
    <x v="0"/>
    <x v="16"/>
    <x v="16"/>
    <x v="11"/>
    <x v="11"/>
    <x v="106"/>
    <n v="66112"/>
    <x v="16"/>
    <x v="12"/>
    <n v="225"/>
    <n v="750"/>
  </r>
  <r>
    <n v="1339"/>
    <x v="0"/>
    <x v="16"/>
    <x v="16"/>
    <x v="11"/>
    <x v="11"/>
    <x v="146"/>
    <n v="66140"/>
    <x v="72"/>
    <x v="78"/>
    <n v="17"/>
    <n v="700"/>
  </r>
  <r>
    <n v="1340"/>
    <x v="0"/>
    <x v="16"/>
    <x v="16"/>
    <x v="13"/>
    <x v="13"/>
    <x v="87"/>
    <n v="74028"/>
    <x v="170"/>
    <x v="13"/>
    <n v="12"/>
    <n v="1000"/>
  </r>
  <r>
    <n v="1341"/>
    <x v="0"/>
    <x v="16"/>
    <x v="16"/>
    <x v="13"/>
    <x v="13"/>
    <x v="95"/>
    <n v="74049"/>
    <x v="77"/>
    <x v="49"/>
    <n v="6"/>
    <n v="1000"/>
  </r>
  <r>
    <n v="1342"/>
    <x v="0"/>
    <x v="16"/>
    <x v="16"/>
    <x v="13"/>
    <x v="13"/>
    <x v="94"/>
    <n v="74035"/>
    <x v="29"/>
    <x v="46"/>
    <n v="4"/>
    <n v="1000"/>
  </r>
  <r>
    <n v="1343"/>
    <x v="0"/>
    <x v="16"/>
    <x v="16"/>
    <x v="13"/>
    <x v="13"/>
    <x v="88"/>
    <n v="74063"/>
    <x v="33"/>
    <x v="46"/>
    <n v="4"/>
    <n v="1000"/>
  </r>
  <r>
    <n v="1344"/>
    <x v="0"/>
    <x v="16"/>
    <x v="16"/>
    <x v="13"/>
    <x v="13"/>
    <x v="86"/>
    <n v="74021"/>
    <x v="48"/>
    <x v="47"/>
    <n v="1"/>
    <n v="1000"/>
  </r>
  <r>
    <n v="1345"/>
    <x v="0"/>
    <x v="16"/>
    <x v="16"/>
    <x v="7"/>
    <x v="7"/>
    <x v="44"/>
    <n v="82049"/>
    <x v="226"/>
    <x v="163"/>
    <n v="4000"/>
    <n v="1000"/>
  </r>
  <r>
    <n v="1346"/>
    <x v="0"/>
    <x v="16"/>
    <x v="16"/>
    <x v="7"/>
    <x v="7"/>
    <x v="45"/>
    <n v="82035"/>
    <x v="120"/>
    <x v="346"/>
    <n v="8010"/>
    <n v="1800"/>
  </r>
  <r>
    <n v="1347"/>
    <x v="0"/>
    <x v="16"/>
    <x v="16"/>
    <x v="7"/>
    <x v="7"/>
    <x v="42"/>
    <n v="82098"/>
    <x v="57"/>
    <x v="11"/>
    <n v="1160"/>
    <n v="1160"/>
  </r>
  <r>
    <n v="1348"/>
    <x v="0"/>
    <x v="16"/>
    <x v="16"/>
    <x v="7"/>
    <x v="7"/>
    <x v="12"/>
    <n v="82063"/>
    <x v="20"/>
    <x v="150"/>
    <n v="234"/>
    <n v="1800"/>
  </r>
  <r>
    <n v="1349"/>
    <x v="0"/>
    <x v="16"/>
    <x v="16"/>
    <x v="7"/>
    <x v="7"/>
    <x v="46"/>
    <n v="82112"/>
    <x v="23"/>
    <x v="44"/>
    <n v="120"/>
    <n v="1500"/>
  </r>
  <r>
    <n v="1350"/>
    <x v="0"/>
    <x v="16"/>
    <x v="16"/>
    <x v="8"/>
    <x v="8"/>
    <x v="120"/>
    <n v="86042"/>
    <x v="143"/>
    <x v="131"/>
    <n v="54"/>
    <n v="450"/>
  </r>
  <r>
    <n v="1351"/>
    <x v="0"/>
    <x v="16"/>
    <x v="16"/>
    <x v="8"/>
    <x v="8"/>
    <x v="47"/>
    <n v="86077"/>
    <x v="143"/>
    <x v="347"/>
    <n v="52"/>
    <n v="420"/>
  </r>
  <r>
    <n v="1352"/>
    <x v="0"/>
    <x v="16"/>
    <x v="16"/>
    <x v="8"/>
    <x v="8"/>
    <x v="49"/>
    <n v="86112"/>
    <x v="225"/>
    <x v="38"/>
    <n v="20"/>
    <n v="360"/>
  </r>
  <r>
    <n v="1353"/>
    <x v="0"/>
    <x v="16"/>
    <x v="16"/>
    <x v="8"/>
    <x v="8"/>
    <x v="48"/>
    <n v="86098"/>
    <x v="72"/>
    <x v="72"/>
    <n v="11"/>
    <n v="360"/>
  </r>
  <r>
    <n v="1354"/>
    <x v="0"/>
    <x v="16"/>
    <x v="16"/>
    <x v="8"/>
    <x v="8"/>
    <x v="53"/>
    <n v="86035"/>
    <x v="92"/>
    <x v="78"/>
    <n v="17"/>
    <n v="700"/>
  </r>
  <r>
    <n v="1355"/>
    <x v="0"/>
    <x v="16"/>
    <x v="16"/>
    <x v="8"/>
    <x v="8"/>
    <x v="54"/>
    <n v="86161"/>
    <x v="92"/>
    <x v="32"/>
    <n v="6"/>
    <n v="600"/>
  </r>
  <r>
    <n v="1356"/>
    <x v="0"/>
    <x v="16"/>
    <x v="16"/>
    <x v="8"/>
    <x v="8"/>
    <x v="153"/>
    <n v="86028"/>
    <x v="45"/>
    <x v="140"/>
    <n v="7"/>
    <n v="400"/>
  </r>
  <r>
    <n v="1357"/>
    <x v="0"/>
    <x v="16"/>
    <x v="16"/>
    <x v="8"/>
    <x v="8"/>
    <x v="12"/>
    <n v="86049"/>
    <x v="45"/>
    <x v="80"/>
    <n v="14"/>
    <n v="700"/>
  </r>
  <r>
    <n v="1358"/>
    <x v="0"/>
    <x v="16"/>
    <x v="16"/>
    <x v="8"/>
    <x v="8"/>
    <x v="51"/>
    <n v="86147"/>
    <x v="31"/>
    <x v="33"/>
    <n v="2"/>
    <n v="400"/>
  </r>
  <r>
    <n v="1359"/>
    <x v="0"/>
    <x v="16"/>
    <x v="16"/>
    <x v="8"/>
    <x v="8"/>
    <x v="103"/>
    <n v="86091"/>
    <x v="32"/>
    <x v="30"/>
    <n v="2"/>
    <n v="600"/>
  </r>
  <r>
    <n v="1360"/>
    <x v="0"/>
    <x v="16"/>
    <x v="16"/>
    <x v="8"/>
    <x v="8"/>
    <x v="123"/>
    <n v="86154"/>
    <x v="32"/>
    <x v="52"/>
    <n v="3"/>
    <n v="370"/>
  </r>
  <r>
    <n v="1361"/>
    <x v="0"/>
    <x v="16"/>
    <x v="16"/>
    <x v="8"/>
    <x v="8"/>
    <x v="154"/>
    <n v="86189"/>
    <x v="32"/>
    <x v="29"/>
    <n v="4"/>
    <n v="600"/>
  </r>
  <r>
    <n v="1362"/>
    <x v="0"/>
    <x v="16"/>
    <x v="16"/>
    <x v="8"/>
    <x v="8"/>
    <x v="102"/>
    <n v="86133"/>
    <x v="29"/>
    <x v="183"/>
    <m/>
    <m/>
  </r>
  <r>
    <n v="1363"/>
    <x v="0"/>
    <x v="16"/>
    <x v="16"/>
    <x v="8"/>
    <x v="8"/>
    <x v="155"/>
    <n v="86007"/>
    <x v="33"/>
    <x v="33"/>
    <n v="2"/>
    <n v="360"/>
  </r>
  <r>
    <n v="1364"/>
    <x v="0"/>
    <x v="16"/>
    <x v="16"/>
    <x v="8"/>
    <x v="8"/>
    <x v="156"/>
    <n v="86056"/>
    <x v="33"/>
    <x v="33"/>
    <n v="2"/>
    <n v="400"/>
  </r>
  <r>
    <n v="1365"/>
    <x v="0"/>
    <x v="16"/>
    <x v="16"/>
    <x v="8"/>
    <x v="8"/>
    <x v="149"/>
    <n v="86084"/>
    <x v="33"/>
    <x v="183"/>
    <m/>
    <m/>
  </r>
  <r>
    <n v="1366"/>
    <x v="0"/>
    <x v="16"/>
    <x v="16"/>
    <x v="8"/>
    <x v="8"/>
    <x v="158"/>
    <n v="86168"/>
    <x v="33"/>
    <x v="183"/>
    <m/>
    <m/>
  </r>
  <r>
    <n v="1367"/>
    <x v="0"/>
    <x v="16"/>
    <x v="16"/>
    <x v="8"/>
    <x v="8"/>
    <x v="148"/>
    <n v="86070"/>
    <x v="30"/>
    <x v="183"/>
    <m/>
    <m/>
  </r>
  <r>
    <n v="1368"/>
    <x v="0"/>
    <x v="16"/>
    <x v="16"/>
    <x v="8"/>
    <x v="8"/>
    <x v="141"/>
    <n v="86126"/>
    <x v="30"/>
    <x v="183"/>
    <m/>
    <m/>
  </r>
  <r>
    <n v="1369"/>
    <x v="0"/>
    <x v="16"/>
    <x v="16"/>
    <x v="8"/>
    <x v="8"/>
    <x v="157"/>
    <n v="86014"/>
    <x v="34"/>
    <x v="34"/>
    <n v="1"/>
    <n v="320"/>
  </r>
  <r>
    <n v="1370"/>
    <x v="0"/>
    <x v="16"/>
    <x v="16"/>
    <x v="8"/>
    <x v="8"/>
    <x v="159"/>
    <n v="86182"/>
    <x v="48"/>
    <x v="183"/>
    <m/>
    <m/>
  </r>
  <r>
    <n v="1371"/>
    <x v="0"/>
    <x v="16"/>
    <x v="16"/>
    <x v="9"/>
    <x v="9"/>
    <x v="55"/>
    <n v="90007"/>
    <x v="11"/>
    <x v="11"/>
    <n v="1300"/>
    <n v="1300"/>
  </r>
  <r>
    <n v="1372"/>
    <x v="0"/>
    <x v="16"/>
    <x v="16"/>
    <x v="9"/>
    <x v="9"/>
    <x v="65"/>
    <n v="90014"/>
    <x v="20"/>
    <x v="20"/>
    <n v="180"/>
    <n v="1200"/>
  </r>
  <r>
    <n v="1373"/>
    <x v="0"/>
    <x v="16"/>
    <x v="16"/>
    <x v="9"/>
    <x v="9"/>
    <x v="66"/>
    <n v="90056"/>
    <x v="44"/>
    <x v="111"/>
    <n v="60"/>
    <n v="1200"/>
  </r>
  <r>
    <n v="1374"/>
    <x v="0"/>
    <x v="16"/>
    <x v="16"/>
    <x v="9"/>
    <x v="9"/>
    <x v="63"/>
    <n v="90028"/>
    <x v="45"/>
    <x v="80"/>
    <n v="16"/>
    <n v="800"/>
  </r>
  <r>
    <n v="1375"/>
    <x v="0"/>
    <x v="16"/>
    <x v="16"/>
    <x v="9"/>
    <x v="9"/>
    <x v="69"/>
    <n v="90035"/>
    <x v="45"/>
    <x v="80"/>
    <n v="20"/>
    <n v="1000"/>
  </r>
  <r>
    <n v="1376"/>
    <x v="0"/>
    <x v="16"/>
    <x v="16"/>
    <x v="9"/>
    <x v="9"/>
    <x v="67"/>
    <n v="90070"/>
    <x v="45"/>
    <x v="80"/>
    <n v="20"/>
    <n v="1000"/>
  </r>
  <r>
    <n v="1377"/>
    <x v="0"/>
    <x v="16"/>
    <x v="16"/>
    <x v="9"/>
    <x v="9"/>
    <x v="82"/>
    <n v="90077"/>
    <x v="45"/>
    <x v="80"/>
    <n v="20"/>
    <n v="1000"/>
  </r>
  <r>
    <n v="1378"/>
    <x v="0"/>
    <x v="16"/>
    <x v="16"/>
    <x v="9"/>
    <x v="9"/>
    <x v="83"/>
    <n v="90021"/>
    <x v="32"/>
    <x v="32"/>
    <n v="8"/>
    <n v="800"/>
  </r>
  <r>
    <n v="1379"/>
    <x v="0"/>
    <x v="16"/>
    <x v="16"/>
    <x v="9"/>
    <x v="9"/>
    <x v="68"/>
    <n v="90105"/>
    <x v="30"/>
    <x v="30"/>
    <n v="3"/>
    <n v="1000"/>
  </r>
  <r>
    <n v="1380"/>
    <x v="0"/>
    <x v="17"/>
    <x v="17"/>
    <x v="0"/>
    <x v="0"/>
    <x v="2"/>
    <n v="22140"/>
    <x v="127"/>
    <x v="134"/>
    <n v="42"/>
    <n v="600"/>
  </r>
  <r>
    <n v="1381"/>
    <x v="0"/>
    <x v="17"/>
    <x v="17"/>
    <x v="0"/>
    <x v="0"/>
    <x v="3"/>
    <n v="22084"/>
    <x v="72"/>
    <x v="72"/>
    <n v="18"/>
    <n v="600"/>
  </r>
  <r>
    <n v="1382"/>
    <x v="0"/>
    <x v="17"/>
    <x v="17"/>
    <x v="0"/>
    <x v="0"/>
    <x v="5"/>
    <n v="22091"/>
    <x v="72"/>
    <x v="72"/>
    <n v="19"/>
    <n v="650"/>
  </r>
  <r>
    <n v="1383"/>
    <x v="0"/>
    <x v="17"/>
    <x v="17"/>
    <x v="0"/>
    <x v="0"/>
    <x v="4"/>
    <n v="22014"/>
    <x v="45"/>
    <x v="80"/>
    <n v="12"/>
    <n v="600"/>
  </r>
  <r>
    <n v="1384"/>
    <x v="0"/>
    <x v="17"/>
    <x v="17"/>
    <x v="0"/>
    <x v="0"/>
    <x v="6"/>
    <n v="22161"/>
    <x v="45"/>
    <x v="80"/>
    <n v="10"/>
    <n v="500"/>
  </r>
  <r>
    <n v="1385"/>
    <x v="0"/>
    <x v="17"/>
    <x v="17"/>
    <x v="1"/>
    <x v="1"/>
    <x v="8"/>
    <n v="14119"/>
    <x v="355"/>
    <x v="348"/>
    <n v="59930"/>
    <n v="1200"/>
  </r>
  <r>
    <n v="1386"/>
    <x v="0"/>
    <x v="17"/>
    <x v="17"/>
    <x v="1"/>
    <x v="1"/>
    <x v="142"/>
    <n v="14007"/>
    <x v="356"/>
    <x v="349"/>
    <n v="32000"/>
    <n v="1000"/>
  </r>
  <r>
    <n v="1387"/>
    <x v="0"/>
    <x v="17"/>
    <x v="17"/>
    <x v="1"/>
    <x v="1"/>
    <x v="7"/>
    <n v="14147"/>
    <x v="357"/>
    <x v="350"/>
    <n v="31850"/>
    <n v="1300"/>
  </r>
  <r>
    <n v="1388"/>
    <x v="0"/>
    <x v="17"/>
    <x v="17"/>
    <x v="1"/>
    <x v="1"/>
    <x v="70"/>
    <n v="14007"/>
    <x v="358"/>
    <x v="53"/>
    <n v="9000"/>
    <n v="900"/>
  </r>
  <r>
    <n v="1389"/>
    <x v="0"/>
    <x v="17"/>
    <x v="17"/>
    <x v="1"/>
    <x v="1"/>
    <x v="9"/>
    <n v="14105"/>
    <x v="359"/>
    <x v="351"/>
    <n v="3190"/>
    <n v="1100"/>
  </r>
  <r>
    <n v="1390"/>
    <x v="0"/>
    <x v="17"/>
    <x v="17"/>
    <x v="1"/>
    <x v="1"/>
    <x v="13"/>
    <n v="14098"/>
    <x v="360"/>
    <x v="352"/>
    <n v="3675"/>
    <n v="1500"/>
  </r>
  <r>
    <n v="1391"/>
    <x v="0"/>
    <x v="17"/>
    <x v="17"/>
    <x v="1"/>
    <x v="1"/>
    <x v="107"/>
    <n v="14056"/>
    <x v="361"/>
    <x v="353"/>
    <n v="925"/>
    <n v="1000"/>
  </r>
  <r>
    <n v="1392"/>
    <x v="0"/>
    <x v="17"/>
    <x v="17"/>
    <x v="1"/>
    <x v="1"/>
    <x v="12"/>
    <n v="14014"/>
    <x v="362"/>
    <x v="354"/>
    <n v="1105"/>
    <n v="1300"/>
  </r>
  <r>
    <n v="1393"/>
    <x v="0"/>
    <x v="17"/>
    <x v="17"/>
    <x v="1"/>
    <x v="1"/>
    <x v="46"/>
    <n v="14140"/>
    <x v="11"/>
    <x v="354"/>
    <n v="935"/>
    <n v="1100"/>
  </r>
  <r>
    <n v="1394"/>
    <x v="0"/>
    <x v="17"/>
    <x v="17"/>
    <x v="1"/>
    <x v="1"/>
    <x v="143"/>
    <n v="14042"/>
    <x v="14"/>
    <x v="59"/>
    <n v="400"/>
    <n v="1000"/>
  </r>
  <r>
    <n v="1395"/>
    <x v="0"/>
    <x v="17"/>
    <x v="17"/>
    <x v="1"/>
    <x v="1"/>
    <x v="160"/>
    <n v="14084"/>
    <x v="12"/>
    <x v="20"/>
    <n v="150"/>
    <n v="1000"/>
  </r>
  <r>
    <n v="1396"/>
    <x v="0"/>
    <x v="17"/>
    <x v="17"/>
    <x v="1"/>
    <x v="1"/>
    <x v="11"/>
    <n v="14021"/>
    <x v="21"/>
    <x v="355"/>
    <n v="112"/>
    <n v="1000"/>
  </r>
  <r>
    <n v="1397"/>
    <x v="0"/>
    <x v="17"/>
    <x v="17"/>
    <x v="1"/>
    <x v="1"/>
    <x v="131"/>
    <n v="14126"/>
    <x v="123"/>
    <x v="131"/>
    <n v="120"/>
    <n v="1000"/>
  </r>
  <r>
    <n v="1398"/>
    <x v="0"/>
    <x v="17"/>
    <x v="17"/>
    <x v="1"/>
    <x v="1"/>
    <x v="133"/>
    <n v="14112"/>
    <x v="127"/>
    <x v="106"/>
    <n v="36"/>
    <n v="850"/>
  </r>
  <r>
    <n v="1399"/>
    <x v="0"/>
    <x v="17"/>
    <x v="17"/>
    <x v="1"/>
    <x v="1"/>
    <x v="42"/>
    <n v="14133"/>
    <x v="44"/>
    <x v="111"/>
    <n v="50"/>
    <n v="1000"/>
  </r>
  <r>
    <n v="1400"/>
    <x v="0"/>
    <x v="17"/>
    <x v="17"/>
    <x v="1"/>
    <x v="1"/>
    <x v="84"/>
    <n v="14168"/>
    <x v="220"/>
    <x v="107"/>
    <n v="34"/>
    <n v="1000"/>
  </r>
  <r>
    <n v="1401"/>
    <x v="0"/>
    <x v="17"/>
    <x v="17"/>
    <x v="1"/>
    <x v="1"/>
    <x v="144"/>
    <n v="14175"/>
    <x v="72"/>
    <x v="80"/>
    <n v="17"/>
    <n v="850"/>
  </r>
  <r>
    <n v="1402"/>
    <x v="0"/>
    <x v="17"/>
    <x v="17"/>
    <x v="1"/>
    <x v="1"/>
    <x v="135"/>
    <n v="14028"/>
    <x v="170"/>
    <x v="32"/>
    <n v="10"/>
    <n v="1000"/>
  </r>
  <r>
    <n v="1403"/>
    <x v="0"/>
    <x v="17"/>
    <x v="17"/>
    <x v="1"/>
    <x v="1"/>
    <x v="134"/>
    <n v="14091"/>
    <x v="77"/>
    <x v="33"/>
    <n v="5"/>
    <n v="1000"/>
  </r>
  <r>
    <n v="1404"/>
    <x v="0"/>
    <x v="17"/>
    <x v="17"/>
    <x v="1"/>
    <x v="1"/>
    <x v="132"/>
    <n v="14049"/>
    <x v="29"/>
    <x v="49"/>
    <n v="6"/>
    <n v="1000"/>
  </r>
  <r>
    <n v="1405"/>
    <x v="0"/>
    <x v="17"/>
    <x v="17"/>
    <x v="1"/>
    <x v="1"/>
    <x v="151"/>
    <n v="14077"/>
    <x v="30"/>
    <x v="30"/>
    <n v="3"/>
    <n v="1000"/>
  </r>
  <r>
    <n v="1406"/>
    <x v="0"/>
    <x v="17"/>
    <x v="17"/>
    <x v="2"/>
    <x v="2"/>
    <x v="15"/>
    <n v="18112"/>
    <x v="180"/>
    <x v="207"/>
    <n v="780"/>
    <n v="1300"/>
  </r>
  <r>
    <n v="1407"/>
    <x v="0"/>
    <x v="17"/>
    <x v="17"/>
    <x v="2"/>
    <x v="2"/>
    <x v="16"/>
    <n v="18091"/>
    <x v="20"/>
    <x v="111"/>
    <n v="25"/>
    <n v="500"/>
  </r>
  <r>
    <n v="1408"/>
    <x v="0"/>
    <x v="17"/>
    <x v="17"/>
    <x v="2"/>
    <x v="2"/>
    <x v="22"/>
    <n v="18084"/>
    <x v="123"/>
    <x v="183"/>
    <m/>
    <m/>
  </r>
  <r>
    <n v="1409"/>
    <x v="0"/>
    <x v="17"/>
    <x v="17"/>
    <x v="2"/>
    <x v="2"/>
    <x v="26"/>
    <n v="18070"/>
    <x v="23"/>
    <x v="151"/>
    <n v="45"/>
    <n v="500"/>
  </r>
  <r>
    <n v="1410"/>
    <x v="0"/>
    <x v="17"/>
    <x v="17"/>
    <x v="2"/>
    <x v="2"/>
    <x v="18"/>
    <n v="18049"/>
    <x v="199"/>
    <x v="45"/>
    <n v="30"/>
    <n v="750"/>
  </r>
  <r>
    <n v="1411"/>
    <x v="0"/>
    <x v="17"/>
    <x v="17"/>
    <x v="2"/>
    <x v="2"/>
    <x v="21"/>
    <n v="18007"/>
    <x v="125"/>
    <x v="139"/>
    <n v="21"/>
    <n v="600"/>
  </r>
  <r>
    <n v="1412"/>
    <x v="0"/>
    <x v="17"/>
    <x v="17"/>
    <x v="2"/>
    <x v="2"/>
    <x v="12"/>
    <n v="18021"/>
    <x v="45"/>
    <x v="183"/>
    <m/>
    <m/>
  </r>
  <r>
    <n v="1413"/>
    <x v="0"/>
    <x v="17"/>
    <x v="17"/>
    <x v="2"/>
    <x v="2"/>
    <x v="25"/>
    <n v="18035"/>
    <x v="45"/>
    <x v="80"/>
    <n v="22"/>
    <n v="1100"/>
  </r>
  <r>
    <n v="1414"/>
    <x v="0"/>
    <x v="17"/>
    <x v="17"/>
    <x v="2"/>
    <x v="2"/>
    <x v="24"/>
    <n v="18140"/>
    <x v="31"/>
    <x v="183"/>
    <m/>
    <m/>
  </r>
  <r>
    <n v="1415"/>
    <x v="0"/>
    <x v="17"/>
    <x v="17"/>
    <x v="2"/>
    <x v="2"/>
    <x v="17"/>
    <n v="18042"/>
    <x v="32"/>
    <x v="183"/>
    <m/>
    <m/>
  </r>
  <r>
    <n v="1416"/>
    <x v="0"/>
    <x v="17"/>
    <x v="17"/>
    <x v="2"/>
    <x v="2"/>
    <x v="72"/>
    <n v="18063"/>
    <x v="32"/>
    <x v="183"/>
    <m/>
    <m/>
  </r>
  <r>
    <n v="1417"/>
    <x v="0"/>
    <x v="17"/>
    <x v="17"/>
    <x v="2"/>
    <x v="2"/>
    <x v="43"/>
    <n v="18028"/>
    <x v="33"/>
    <x v="183"/>
    <m/>
    <m/>
  </r>
  <r>
    <n v="1418"/>
    <x v="0"/>
    <x v="17"/>
    <x v="17"/>
    <x v="2"/>
    <x v="2"/>
    <x v="71"/>
    <n v="18098"/>
    <x v="33"/>
    <x v="183"/>
    <m/>
    <m/>
  </r>
  <r>
    <n v="1419"/>
    <x v="0"/>
    <x v="17"/>
    <x v="17"/>
    <x v="2"/>
    <x v="2"/>
    <x v="23"/>
    <n v="18126"/>
    <x v="33"/>
    <x v="183"/>
    <m/>
    <m/>
  </r>
  <r>
    <n v="1420"/>
    <x v="0"/>
    <x v="17"/>
    <x v="17"/>
    <x v="2"/>
    <x v="2"/>
    <x v="76"/>
    <n v="18154"/>
    <x v="33"/>
    <x v="183"/>
    <m/>
    <m/>
  </r>
  <r>
    <n v="1421"/>
    <x v="0"/>
    <x v="17"/>
    <x v="17"/>
    <x v="2"/>
    <x v="2"/>
    <x v="75"/>
    <n v="18014"/>
    <x v="47"/>
    <x v="183"/>
    <m/>
    <m/>
  </r>
  <r>
    <n v="1422"/>
    <x v="0"/>
    <x v="17"/>
    <x v="17"/>
    <x v="2"/>
    <x v="2"/>
    <x v="19"/>
    <n v="18133"/>
    <x v="30"/>
    <x v="183"/>
    <m/>
    <m/>
  </r>
  <r>
    <n v="1423"/>
    <x v="0"/>
    <x v="17"/>
    <x v="17"/>
    <x v="2"/>
    <x v="2"/>
    <x v="61"/>
    <n v="18175"/>
    <x v="30"/>
    <x v="34"/>
    <n v="2"/>
    <n v="1000"/>
  </r>
  <r>
    <n v="1424"/>
    <x v="0"/>
    <x v="17"/>
    <x v="17"/>
    <x v="2"/>
    <x v="2"/>
    <x v="73"/>
    <n v="18077"/>
    <x v="34"/>
    <x v="183"/>
    <m/>
    <m/>
  </r>
  <r>
    <n v="1425"/>
    <x v="0"/>
    <x v="17"/>
    <x v="17"/>
    <x v="2"/>
    <x v="2"/>
    <x v="78"/>
    <n v="18105"/>
    <x v="48"/>
    <x v="47"/>
    <n v="1"/>
    <n v="1000"/>
  </r>
  <r>
    <n v="1426"/>
    <x v="0"/>
    <x v="17"/>
    <x v="17"/>
    <x v="3"/>
    <x v="3"/>
    <x v="28"/>
    <n v="30028"/>
    <x v="229"/>
    <x v="174"/>
    <n v="3520"/>
    <n v="800"/>
  </r>
  <r>
    <n v="1427"/>
    <x v="0"/>
    <x v="17"/>
    <x v="17"/>
    <x v="3"/>
    <x v="3"/>
    <x v="29"/>
    <n v="30015"/>
    <x v="200"/>
    <x v="356"/>
    <n v="2600"/>
    <n v="1000"/>
  </r>
  <r>
    <n v="1428"/>
    <x v="0"/>
    <x v="17"/>
    <x v="17"/>
    <x v="3"/>
    <x v="3"/>
    <x v="11"/>
    <n v="30008"/>
    <x v="12"/>
    <x v="19"/>
    <n v="119"/>
    <n v="700"/>
  </r>
  <r>
    <n v="1429"/>
    <x v="0"/>
    <x v="17"/>
    <x v="17"/>
    <x v="3"/>
    <x v="3"/>
    <x v="92"/>
    <n v="30070"/>
    <x v="44"/>
    <x v="33"/>
    <n v="2"/>
    <n v="400"/>
  </r>
  <r>
    <n v="1430"/>
    <x v="0"/>
    <x v="17"/>
    <x v="17"/>
    <x v="3"/>
    <x v="3"/>
    <x v="80"/>
    <n v="30056"/>
    <x v="125"/>
    <x v="183"/>
    <m/>
    <m/>
  </r>
  <r>
    <n v="1431"/>
    <x v="0"/>
    <x v="17"/>
    <x v="17"/>
    <x v="4"/>
    <x v="4"/>
    <x v="62"/>
    <m/>
    <x v="219"/>
    <x v="183"/>
    <m/>
    <m/>
  </r>
  <r>
    <n v="1432"/>
    <x v="0"/>
    <x v="17"/>
    <x v="17"/>
    <x v="6"/>
    <x v="6"/>
    <x v="39"/>
    <n v="54007"/>
    <x v="20"/>
    <x v="78"/>
    <n v="17"/>
    <n v="700"/>
  </r>
  <r>
    <n v="1433"/>
    <x v="0"/>
    <x v="17"/>
    <x v="17"/>
    <x v="6"/>
    <x v="6"/>
    <x v="42"/>
    <n v="54105"/>
    <x v="363"/>
    <x v="357"/>
    <n v="116"/>
    <n v="814"/>
  </r>
  <r>
    <n v="1434"/>
    <x v="0"/>
    <x v="17"/>
    <x v="17"/>
    <x v="6"/>
    <x v="6"/>
    <x v="114"/>
    <n v="54014"/>
    <x v="99"/>
    <x v="93"/>
    <n v="76"/>
    <n v="935"/>
  </r>
  <r>
    <n v="1435"/>
    <x v="0"/>
    <x v="17"/>
    <x v="17"/>
    <x v="6"/>
    <x v="6"/>
    <x v="41"/>
    <n v="54098"/>
    <x v="332"/>
    <x v="259"/>
    <n v="29"/>
    <n v="626"/>
  </r>
  <r>
    <n v="1436"/>
    <x v="0"/>
    <x v="17"/>
    <x v="17"/>
    <x v="6"/>
    <x v="6"/>
    <x v="40"/>
    <n v="54021"/>
    <x v="28"/>
    <x v="4"/>
    <n v="28"/>
    <n v="772"/>
  </r>
  <r>
    <n v="1437"/>
    <x v="0"/>
    <x v="17"/>
    <x v="17"/>
    <x v="6"/>
    <x v="6"/>
    <x v="43"/>
    <n v="54035"/>
    <x v="125"/>
    <x v="45"/>
    <n v="28"/>
    <n v="700"/>
  </r>
  <r>
    <n v="1438"/>
    <x v="0"/>
    <x v="17"/>
    <x v="17"/>
    <x v="6"/>
    <x v="6"/>
    <x v="116"/>
    <n v="54063"/>
    <x v="72"/>
    <x v="72"/>
    <n v="21"/>
    <n v="700"/>
  </r>
  <r>
    <n v="1439"/>
    <x v="0"/>
    <x v="17"/>
    <x v="17"/>
    <x v="6"/>
    <x v="6"/>
    <x v="139"/>
    <n v="54049"/>
    <x v="92"/>
    <x v="80"/>
    <n v="14"/>
    <n v="700"/>
  </r>
  <r>
    <n v="1440"/>
    <x v="0"/>
    <x v="17"/>
    <x v="17"/>
    <x v="6"/>
    <x v="6"/>
    <x v="12"/>
    <n v="54028"/>
    <x v="32"/>
    <x v="32"/>
    <n v="8"/>
    <n v="800"/>
  </r>
  <r>
    <n v="1441"/>
    <x v="0"/>
    <x v="17"/>
    <x v="17"/>
    <x v="6"/>
    <x v="6"/>
    <x v="37"/>
    <n v="54112"/>
    <x v="77"/>
    <x v="67"/>
    <n v="6"/>
    <n v="700"/>
  </r>
  <r>
    <n v="1442"/>
    <x v="0"/>
    <x v="17"/>
    <x v="17"/>
    <x v="11"/>
    <x v="11"/>
    <x v="106"/>
    <n v="66112"/>
    <x v="23"/>
    <x v="134"/>
    <n v="63"/>
    <n v="900"/>
  </r>
  <r>
    <n v="1443"/>
    <x v="0"/>
    <x v="17"/>
    <x v="17"/>
    <x v="11"/>
    <x v="11"/>
    <x v="146"/>
    <n v="66140"/>
    <x v="224"/>
    <x v="134"/>
    <n v="63"/>
    <n v="900"/>
  </r>
  <r>
    <n v="1444"/>
    <x v="0"/>
    <x v="17"/>
    <x v="17"/>
    <x v="11"/>
    <x v="11"/>
    <x v="140"/>
    <n v="66126"/>
    <x v="45"/>
    <x v="32"/>
    <n v="9"/>
    <n v="900"/>
  </r>
  <r>
    <n v="1445"/>
    <x v="0"/>
    <x v="17"/>
    <x v="17"/>
    <x v="7"/>
    <x v="7"/>
    <x v="45"/>
    <n v="82035"/>
    <x v="120"/>
    <x v="127"/>
    <n v="4500"/>
    <n v="1000"/>
  </r>
  <r>
    <n v="1446"/>
    <x v="0"/>
    <x v="17"/>
    <x v="17"/>
    <x v="7"/>
    <x v="7"/>
    <x v="44"/>
    <n v="82049"/>
    <x v="147"/>
    <x v="82"/>
    <n v="1080"/>
    <n v="600"/>
  </r>
  <r>
    <n v="1447"/>
    <x v="0"/>
    <x v="17"/>
    <x v="17"/>
    <x v="7"/>
    <x v="7"/>
    <x v="42"/>
    <n v="82098"/>
    <x v="26"/>
    <x v="131"/>
    <n v="142"/>
    <n v="1183"/>
  </r>
  <r>
    <n v="1448"/>
    <x v="0"/>
    <x v="17"/>
    <x v="17"/>
    <x v="7"/>
    <x v="7"/>
    <x v="12"/>
    <n v="82063"/>
    <x v="20"/>
    <x v="44"/>
    <n v="80"/>
    <n v="1000"/>
  </r>
  <r>
    <n v="1449"/>
    <x v="0"/>
    <x v="17"/>
    <x v="17"/>
    <x v="7"/>
    <x v="7"/>
    <x v="46"/>
    <n v="82112"/>
    <x v="23"/>
    <x v="44"/>
    <n v="56"/>
    <n v="700"/>
  </r>
  <r>
    <n v="1450"/>
    <x v="0"/>
    <x v="17"/>
    <x v="17"/>
    <x v="8"/>
    <x v="8"/>
    <x v="47"/>
    <n v="86077"/>
    <x v="90"/>
    <x v="45"/>
    <n v="12"/>
    <n v="300"/>
  </r>
  <r>
    <n v="1451"/>
    <x v="0"/>
    <x v="17"/>
    <x v="17"/>
    <x v="8"/>
    <x v="8"/>
    <x v="120"/>
    <n v="86042"/>
    <x v="225"/>
    <x v="45"/>
    <n v="12"/>
    <n v="300"/>
  </r>
  <r>
    <n v="1452"/>
    <x v="0"/>
    <x v="17"/>
    <x v="17"/>
    <x v="8"/>
    <x v="8"/>
    <x v="49"/>
    <n v="86112"/>
    <x v="72"/>
    <x v="80"/>
    <n v="5"/>
    <n v="250"/>
  </r>
  <r>
    <n v="1453"/>
    <x v="0"/>
    <x v="17"/>
    <x v="17"/>
    <x v="8"/>
    <x v="8"/>
    <x v="153"/>
    <n v="86028"/>
    <x v="40"/>
    <x v="31"/>
    <n v="45"/>
    <n v="300"/>
  </r>
  <r>
    <n v="1454"/>
    <x v="0"/>
    <x v="17"/>
    <x v="17"/>
    <x v="8"/>
    <x v="8"/>
    <x v="48"/>
    <n v="86098"/>
    <x v="45"/>
    <x v="31"/>
    <n v="3"/>
    <n v="200"/>
  </r>
  <r>
    <n v="1455"/>
    <x v="0"/>
    <x v="17"/>
    <x v="17"/>
    <x v="8"/>
    <x v="8"/>
    <x v="123"/>
    <n v="86154"/>
    <x v="29"/>
    <x v="183"/>
    <m/>
    <m/>
  </r>
  <r>
    <n v="1456"/>
    <x v="0"/>
    <x v="17"/>
    <x v="17"/>
    <x v="8"/>
    <x v="8"/>
    <x v="155"/>
    <n v="86007"/>
    <x v="33"/>
    <x v="34"/>
    <n v="5"/>
    <n v="190"/>
  </r>
  <r>
    <n v="1457"/>
    <x v="0"/>
    <x v="17"/>
    <x v="17"/>
    <x v="8"/>
    <x v="8"/>
    <x v="156"/>
    <n v="86056"/>
    <x v="30"/>
    <x v="183"/>
    <m/>
    <m/>
  </r>
  <r>
    <n v="1458"/>
    <x v="0"/>
    <x v="17"/>
    <x v="17"/>
    <x v="8"/>
    <x v="8"/>
    <x v="157"/>
    <n v="86014"/>
    <x v="34"/>
    <x v="183"/>
    <m/>
    <m/>
  </r>
  <r>
    <n v="1459"/>
    <x v="0"/>
    <x v="17"/>
    <x v="17"/>
    <x v="9"/>
    <x v="9"/>
    <x v="55"/>
    <n v="90007"/>
    <x v="11"/>
    <x v="153"/>
    <n v="810"/>
    <n v="900"/>
  </r>
  <r>
    <n v="1460"/>
    <x v="0"/>
    <x v="17"/>
    <x v="17"/>
    <x v="9"/>
    <x v="9"/>
    <x v="65"/>
    <n v="90014"/>
    <x v="364"/>
    <x v="218"/>
    <n v="135"/>
    <n v="918"/>
  </r>
  <r>
    <n v="1461"/>
    <x v="0"/>
    <x v="17"/>
    <x v="17"/>
    <x v="9"/>
    <x v="9"/>
    <x v="66"/>
    <n v="90056"/>
    <x v="44"/>
    <x v="111"/>
    <n v="45"/>
    <n v="900"/>
  </r>
  <r>
    <n v="1462"/>
    <x v="0"/>
    <x v="17"/>
    <x v="17"/>
    <x v="9"/>
    <x v="9"/>
    <x v="63"/>
    <n v="90028"/>
    <x v="45"/>
    <x v="80"/>
    <n v="18"/>
    <n v="900"/>
  </r>
  <r>
    <n v="1463"/>
    <x v="0"/>
    <x v="17"/>
    <x v="17"/>
    <x v="9"/>
    <x v="9"/>
    <x v="69"/>
    <n v="90035"/>
    <x v="45"/>
    <x v="183"/>
    <m/>
    <m/>
  </r>
  <r>
    <n v="1464"/>
    <x v="0"/>
    <x v="17"/>
    <x v="17"/>
    <x v="9"/>
    <x v="9"/>
    <x v="67"/>
    <n v="90070"/>
    <x v="45"/>
    <x v="80"/>
    <n v="18"/>
    <n v="900"/>
  </r>
  <r>
    <n v="1465"/>
    <x v="0"/>
    <x v="17"/>
    <x v="17"/>
    <x v="9"/>
    <x v="9"/>
    <x v="82"/>
    <n v="90077"/>
    <x v="45"/>
    <x v="80"/>
    <n v="18"/>
    <n v="900"/>
  </r>
  <r>
    <n v="1466"/>
    <x v="0"/>
    <x v="17"/>
    <x v="17"/>
    <x v="9"/>
    <x v="9"/>
    <x v="83"/>
    <n v="90021"/>
    <x v="32"/>
    <x v="32"/>
    <n v="9"/>
    <n v="900"/>
  </r>
  <r>
    <n v="1467"/>
    <x v="0"/>
    <x v="17"/>
    <x v="17"/>
    <x v="9"/>
    <x v="9"/>
    <x v="68"/>
    <n v="90105"/>
    <x v="30"/>
    <x v="30"/>
    <n v="3"/>
    <n v="1000"/>
  </r>
  <r>
    <n v="1468"/>
    <x v="0"/>
    <x v="18"/>
    <x v="18"/>
    <x v="0"/>
    <x v="0"/>
    <x v="2"/>
    <n v="22140"/>
    <x v="44"/>
    <x v="111"/>
    <n v="40"/>
    <n v="800"/>
  </r>
  <r>
    <n v="1469"/>
    <x v="0"/>
    <x v="18"/>
    <x v="18"/>
    <x v="0"/>
    <x v="0"/>
    <x v="3"/>
    <n v="22084"/>
    <x v="45"/>
    <x v="80"/>
    <n v="14"/>
    <n v="700"/>
  </r>
  <r>
    <n v="1470"/>
    <x v="0"/>
    <x v="18"/>
    <x v="18"/>
    <x v="0"/>
    <x v="0"/>
    <x v="5"/>
    <n v="22091"/>
    <x v="45"/>
    <x v="80"/>
    <n v="16"/>
    <n v="800"/>
  </r>
  <r>
    <n v="1471"/>
    <x v="0"/>
    <x v="18"/>
    <x v="18"/>
    <x v="0"/>
    <x v="0"/>
    <x v="4"/>
    <n v="22014"/>
    <x v="31"/>
    <x v="31"/>
    <n v="12"/>
    <n v="800"/>
  </r>
  <r>
    <n v="1472"/>
    <x v="0"/>
    <x v="18"/>
    <x v="18"/>
    <x v="0"/>
    <x v="0"/>
    <x v="6"/>
    <n v="22161"/>
    <x v="32"/>
    <x v="32"/>
    <n v="6"/>
    <n v="600"/>
  </r>
  <r>
    <n v="1473"/>
    <x v="0"/>
    <x v="18"/>
    <x v="18"/>
    <x v="1"/>
    <x v="1"/>
    <x v="8"/>
    <n v="14119"/>
    <x v="365"/>
    <x v="358"/>
    <n v="51000"/>
    <n v="1000"/>
  </r>
  <r>
    <n v="1474"/>
    <x v="0"/>
    <x v="18"/>
    <x v="18"/>
    <x v="1"/>
    <x v="1"/>
    <x v="142"/>
    <n v="14007"/>
    <x v="366"/>
    <x v="359"/>
    <n v="33340"/>
    <n v="980"/>
  </r>
  <r>
    <n v="1475"/>
    <x v="0"/>
    <x v="18"/>
    <x v="18"/>
    <x v="1"/>
    <x v="1"/>
    <x v="7"/>
    <n v="14147"/>
    <x v="367"/>
    <x v="360"/>
    <n v="29690"/>
    <n v="1024"/>
  </r>
  <r>
    <n v="1476"/>
    <x v="0"/>
    <x v="18"/>
    <x v="18"/>
    <x v="1"/>
    <x v="1"/>
    <x v="70"/>
    <n v="14007"/>
    <x v="54"/>
    <x v="8"/>
    <n v="8280"/>
    <n v="900"/>
  </r>
  <r>
    <n v="1477"/>
    <x v="0"/>
    <x v="18"/>
    <x v="18"/>
    <x v="1"/>
    <x v="1"/>
    <x v="9"/>
    <n v="14105"/>
    <x v="368"/>
    <x v="361"/>
    <n v="4845"/>
    <n v="950"/>
  </r>
  <r>
    <n v="1478"/>
    <x v="0"/>
    <x v="18"/>
    <x v="18"/>
    <x v="1"/>
    <x v="1"/>
    <x v="13"/>
    <n v="14098"/>
    <x v="226"/>
    <x v="101"/>
    <n v="2850"/>
    <n v="950"/>
  </r>
  <r>
    <n v="1479"/>
    <x v="0"/>
    <x v="18"/>
    <x v="18"/>
    <x v="1"/>
    <x v="1"/>
    <x v="107"/>
    <n v="14056"/>
    <x v="361"/>
    <x v="11"/>
    <n v="950"/>
    <n v="950"/>
  </r>
  <r>
    <n v="1480"/>
    <x v="0"/>
    <x v="18"/>
    <x v="18"/>
    <x v="1"/>
    <x v="1"/>
    <x v="12"/>
    <n v="14014"/>
    <x v="369"/>
    <x v="362"/>
    <n v="1260"/>
    <n v="1200"/>
  </r>
  <r>
    <n v="1481"/>
    <x v="0"/>
    <x v="18"/>
    <x v="18"/>
    <x v="1"/>
    <x v="1"/>
    <x v="46"/>
    <n v="14140"/>
    <x v="11"/>
    <x v="57"/>
    <n v="560"/>
    <n v="800"/>
  </r>
  <r>
    <n v="1482"/>
    <x v="0"/>
    <x v="18"/>
    <x v="18"/>
    <x v="1"/>
    <x v="1"/>
    <x v="143"/>
    <n v="14042"/>
    <x v="180"/>
    <x v="310"/>
    <n v="385"/>
    <n v="700"/>
  </r>
  <r>
    <n v="1483"/>
    <x v="0"/>
    <x v="18"/>
    <x v="18"/>
    <x v="1"/>
    <x v="1"/>
    <x v="160"/>
    <n v="14084"/>
    <x v="12"/>
    <x v="183"/>
    <m/>
    <m/>
  </r>
  <r>
    <n v="1484"/>
    <x v="0"/>
    <x v="18"/>
    <x v="18"/>
    <x v="1"/>
    <x v="1"/>
    <x v="11"/>
    <n v="14021"/>
    <x v="21"/>
    <x v="150"/>
    <n v="143"/>
    <n v="1100"/>
  </r>
  <r>
    <n v="1485"/>
    <x v="0"/>
    <x v="18"/>
    <x v="18"/>
    <x v="1"/>
    <x v="1"/>
    <x v="131"/>
    <n v="14126"/>
    <x v="23"/>
    <x v="151"/>
    <n v="99"/>
    <n v="1100"/>
  </r>
  <r>
    <n v="1486"/>
    <x v="0"/>
    <x v="18"/>
    <x v="18"/>
    <x v="1"/>
    <x v="1"/>
    <x v="42"/>
    <n v="14133"/>
    <x v="67"/>
    <x v="236"/>
    <n v="79"/>
    <n v="1100"/>
  </r>
  <r>
    <n v="1487"/>
    <x v="0"/>
    <x v="18"/>
    <x v="18"/>
    <x v="1"/>
    <x v="1"/>
    <x v="133"/>
    <n v="14112"/>
    <x v="127"/>
    <x v="134"/>
    <n v="70"/>
    <n v="1000"/>
  </r>
  <r>
    <n v="1488"/>
    <x v="0"/>
    <x v="18"/>
    <x v="18"/>
    <x v="1"/>
    <x v="1"/>
    <x v="84"/>
    <n v="14168"/>
    <x v="44"/>
    <x v="285"/>
    <n v="37"/>
    <n v="1000"/>
  </r>
  <r>
    <n v="1489"/>
    <x v="0"/>
    <x v="18"/>
    <x v="18"/>
    <x v="1"/>
    <x v="1"/>
    <x v="144"/>
    <n v="14175"/>
    <x v="72"/>
    <x v="98"/>
    <n v="18"/>
    <n v="800"/>
  </r>
  <r>
    <n v="1490"/>
    <x v="0"/>
    <x v="18"/>
    <x v="18"/>
    <x v="1"/>
    <x v="1"/>
    <x v="135"/>
    <n v="14028"/>
    <x v="31"/>
    <x v="77"/>
    <n v="14"/>
    <n v="1000"/>
  </r>
  <r>
    <n v="1491"/>
    <x v="0"/>
    <x v="18"/>
    <x v="18"/>
    <x v="1"/>
    <x v="1"/>
    <x v="134"/>
    <n v="14091"/>
    <x v="77"/>
    <x v="29"/>
    <n v="6"/>
    <n v="900"/>
  </r>
  <r>
    <n v="1492"/>
    <x v="0"/>
    <x v="18"/>
    <x v="18"/>
    <x v="1"/>
    <x v="1"/>
    <x v="132"/>
    <n v="14049"/>
    <x v="29"/>
    <x v="29"/>
    <n v="7"/>
    <n v="1000"/>
  </r>
  <r>
    <n v="1493"/>
    <x v="0"/>
    <x v="18"/>
    <x v="18"/>
    <x v="2"/>
    <x v="2"/>
    <x v="15"/>
    <n v="18112"/>
    <x v="370"/>
    <x v="310"/>
    <n v="550"/>
    <n v="1000"/>
  </r>
  <r>
    <n v="1494"/>
    <x v="0"/>
    <x v="18"/>
    <x v="18"/>
    <x v="2"/>
    <x v="2"/>
    <x v="16"/>
    <n v="18091"/>
    <x v="223"/>
    <x v="23"/>
    <n v="80"/>
    <n v="800"/>
  </r>
  <r>
    <n v="1495"/>
    <x v="0"/>
    <x v="18"/>
    <x v="18"/>
    <x v="2"/>
    <x v="2"/>
    <x v="23"/>
    <n v="18126"/>
    <x v="223"/>
    <x v="266"/>
    <n v="50"/>
    <n v="555"/>
  </r>
  <r>
    <n v="1496"/>
    <x v="0"/>
    <x v="18"/>
    <x v="18"/>
    <x v="2"/>
    <x v="2"/>
    <x v="18"/>
    <n v="18049"/>
    <x v="371"/>
    <x v="44"/>
    <n v="60"/>
    <n v="750"/>
  </r>
  <r>
    <n v="1497"/>
    <x v="0"/>
    <x v="18"/>
    <x v="18"/>
    <x v="2"/>
    <x v="2"/>
    <x v="26"/>
    <n v="18070"/>
    <x v="224"/>
    <x v="71"/>
    <n v="64"/>
    <n v="750"/>
  </r>
  <r>
    <n v="1498"/>
    <x v="0"/>
    <x v="18"/>
    <x v="18"/>
    <x v="2"/>
    <x v="2"/>
    <x v="21"/>
    <n v="18007"/>
    <x v="225"/>
    <x v="38"/>
    <n v="55"/>
    <n v="1000"/>
  </r>
  <r>
    <n v="1499"/>
    <x v="0"/>
    <x v="18"/>
    <x v="18"/>
    <x v="2"/>
    <x v="2"/>
    <x v="12"/>
    <n v="18021"/>
    <x v="45"/>
    <x v="80"/>
    <n v="10"/>
    <n v="500"/>
  </r>
  <r>
    <n v="1500"/>
    <x v="0"/>
    <x v="18"/>
    <x v="18"/>
    <x v="2"/>
    <x v="2"/>
    <x v="24"/>
    <n v="18140"/>
    <x v="45"/>
    <x v="80"/>
    <n v="10"/>
    <n v="500"/>
  </r>
  <r>
    <n v="1501"/>
    <x v="0"/>
    <x v="18"/>
    <x v="18"/>
    <x v="2"/>
    <x v="2"/>
    <x v="25"/>
    <n v="18035"/>
    <x v="31"/>
    <x v="52"/>
    <n v="7"/>
    <n v="800"/>
  </r>
  <r>
    <n v="1502"/>
    <x v="0"/>
    <x v="18"/>
    <x v="18"/>
    <x v="2"/>
    <x v="2"/>
    <x v="74"/>
    <n v="18161"/>
    <x v="31"/>
    <x v="135"/>
    <n v="10"/>
    <n v="800"/>
  </r>
  <r>
    <n v="1503"/>
    <x v="0"/>
    <x v="18"/>
    <x v="18"/>
    <x v="2"/>
    <x v="2"/>
    <x v="17"/>
    <n v="18042"/>
    <x v="13"/>
    <x v="13"/>
    <n v="6"/>
    <n v="500"/>
  </r>
  <r>
    <n v="1504"/>
    <x v="0"/>
    <x v="18"/>
    <x v="18"/>
    <x v="2"/>
    <x v="2"/>
    <x v="72"/>
    <n v="18063"/>
    <x v="32"/>
    <x v="32"/>
    <n v="5"/>
    <n v="500"/>
  </r>
  <r>
    <n v="1505"/>
    <x v="0"/>
    <x v="18"/>
    <x v="18"/>
    <x v="2"/>
    <x v="2"/>
    <x v="20"/>
    <n v="18147"/>
    <x v="78"/>
    <x v="46"/>
    <n v="3"/>
    <n v="700"/>
  </r>
  <r>
    <n v="1506"/>
    <x v="0"/>
    <x v="18"/>
    <x v="18"/>
    <x v="2"/>
    <x v="2"/>
    <x v="43"/>
    <n v="18028"/>
    <x v="33"/>
    <x v="33"/>
    <n v="2"/>
    <n v="400"/>
  </r>
  <r>
    <n v="1507"/>
    <x v="0"/>
    <x v="18"/>
    <x v="18"/>
    <x v="2"/>
    <x v="2"/>
    <x v="22"/>
    <n v="18084"/>
    <x v="33"/>
    <x v="33"/>
    <n v="4"/>
    <n v="800"/>
  </r>
  <r>
    <n v="1508"/>
    <x v="0"/>
    <x v="18"/>
    <x v="18"/>
    <x v="2"/>
    <x v="2"/>
    <x v="71"/>
    <n v="18098"/>
    <x v="33"/>
    <x v="33"/>
    <n v="2"/>
    <n v="400"/>
  </r>
  <r>
    <n v="1509"/>
    <x v="0"/>
    <x v="18"/>
    <x v="18"/>
    <x v="2"/>
    <x v="2"/>
    <x v="77"/>
    <n v="18119"/>
    <x v="33"/>
    <x v="47"/>
    <n v="1"/>
    <n v="1000"/>
  </r>
  <r>
    <n v="1510"/>
    <x v="0"/>
    <x v="18"/>
    <x v="18"/>
    <x v="2"/>
    <x v="2"/>
    <x v="76"/>
    <n v="18154"/>
    <x v="33"/>
    <x v="33"/>
    <n v="2"/>
    <n v="400"/>
  </r>
  <r>
    <n v="1511"/>
    <x v="0"/>
    <x v="18"/>
    <x v="18"/>
    <x v="2"/>
    <x v="2"/>
    <x v="75"/>
    <n v="18014"/>
    <x v="47"/>
    <x v="46"/>
    <n v="2"/>
    <n v="500"/>
  </r>
  <r>
    <n v="1512"/>
    <x v="0"/>
    <x v="18"/>
    <x v="18"/>
    <x v="2"/>
    <x v="2"/>
    <x v="19"/>
    <n v="18133"/>
    <x v="47"/>
    <x v="46"/>
    <n v="2"/>
    <n v="500"/>
  </r>
  <r>
    <n v="1513"/>
    <x v="0"/>
    <x v="18"/>
    <x v="18"/>
    <x v="2"/>
    <x v="2"/>
    <x v="73"/>
    <n v="18077"/>
    <x v="30"/>
    <x v="30"/>
    <n v="1"/>
    <n v="500"/>
  </r>
  <r>
    <n v="1514"/>
    <x v="0"/>
    <x v="18"/>
    <x v="18"/>
    <x v="2"/>
    <x v="2"/>
    <x v="61"/>
    <n v="18175"/>
    <x v="30"/>
    <x v="183"/>
    <m/>
    <m/>
  </r>
  <r>
    <n v="1515"/>
    <x v="0"/>
    <x v="18"/>
    <x v="18"/>
    <x v="2"/>
    <x v="2"/>
    <x v="78"/>
    <n v="18105"/>
    <x v="48"/>
    <x v="47"/>
    <n v="1"/>
    <n v="1000"/>
  </r>
  <r>
    <n v="1516"/>
    <x v="0"/>
    <x v="18"/>
    <x v="18"/>
    <x v="3"/>
    <x v="3"/>
    <x v="28"/>
    <n v="30028"/>
    <x v="372"/>
    <x v="318"/>
    <n v="6875"/>
    <n v="1250"/>
  </r>
  <r>
    <n v="1517"/>
    <x v="0"/>
    <x v="18"/>
    <x v="18"/>
    <x v="3"/>
    <x v="3"/>
    <x v="29"/>
    <n v="30015"/>
    <x v="159"/>
    <x v="101"/>
    <n v="3600"/>
    <n v="1200"/>
  </r>
  <r>
    <n v="1518"/>
    <x v="0"/>
    <x v="18"/>
    <x v="18"/>
    <x v="3"/>
    <x v="3"/>
    <x v="11"/>
    <n v="30008"/>
    <x v="143"/>
    <x v="23"/>
    <n v="70"/>
    <n v="700"/>
  </r>
  <r>
    <n v="1519"/>
    <x v="0"/>
    <x v="18"/>
    <x v="18"/>
    <x v="3"/>
    <x v="3"/>
    <x v="80"/>
    <n v="30056"/>
    <x v="72"/>
    <x v="183"/>
    <m/>
    <m/>
  </r>
  <r>
    <n v="1520"/>
    <x v="0"/>
    <x v="18"/>
    <x v="18"/>
    <x v="3"/>
    <x v="3"/>
    <x v="92"/>
    <n v="30070"/>
    <x v="31"/>
    <x v="183"/>
    <m/>
    <m/>
  </r>
  <r>
    <n v="1521"/>
    <x v="0"/>
    <x v="18"/>
    <x v="18"/>
    <x v="6"/>
    <x v="6"/>
    <x v="39"/>
    <n v="54007"/>
    <x v="123"/>
    <x v="151"/>
    <n v="90"/>
    <n v="1000"/>
  </r>
  <r>
    <n v="1522"/>
    <x v="0"/>
    <x v="18"/>
    <x v="18"/>
    <x v="6"/>
    <x v="6"/>
    <x v="41"/>
    <n v="54098"/>
    <x v="373"/>
    <x v="78"/>
    <n v="22"/>
    <n v="880"/>
  </r>
  <r>
    <n v="1523"/>
    <x v="0"/>
    <x v="18"/>
    <x v="18"/>
    <x v="6"/>
    <x v="6"/>
    <x v="114"/>
    <n v="54014"/>
    <x v="44"/>
    <x v="201"/>
    <n v="34"/>
    <n v="800"/>
  </r>
  <r>
    <n v="1524"/>
    <x v="0"/>
    <x v="18"/>
    <x v="18"/>
    <x v="6"/>
    <x v="6"/>
    <x v="40"/>
    <n v="54021"/>
    <x v="39"/>
    <x v="106"/>
    <n v="42"/>
    <n v="1000"/>
  </r>
  <r>
    <n v="1525"/>
    <x v="0"/>
    <x v="18"/>
    <x v="18"/>
    <x v="6"/>
    <x v="6"/>
    <x v="43"/>
    <n v="54035"/>
    <x v="125"/>
    <x v="5"/>
    <n v="33"/>
    <n v="1000"/>
  </r>
  <r>
    <n v="1526"/>
    <x v="0"/>
    <x v="18"/>
    <x v="18"/>
    <x v="6"/>
    <x v="6"/>
    <x v="42"/>
    <n v="54105"/>
    <x v="130"/>
    <x v="139"/>
    <n v="32"/>
    <n v="914"/>
  </r>
  <r>
    <n v="1527"/>
    <x v="0"/>
    <x v="18"/>
    <x v="18"/>
    <x v="6"/>
    <x v="6"/>
    <x v="116"/>
    <n v="54063"/>
    <x v="72"/>
    <x v="80"/>
    <n v="16"/>
    <n v="800"/>
  </r>
  <r>
    <n v="1528"/>
    <x v="0"/>
    <x v="18"/>
    <x v="18"/>
    <x v="6"/>
    <x v="6"/>
    <x v="37"/>
    <n v="54112"/>
    <x v="77"/>
    <x v="67"/>
    <n v="6"/>
    <n v="800"/>
  </r>
  <r>
    <n v="1529"/>
    <x v="0"/>
    <x v="18"/>
    <x v="18"/>
    <x v="11"/>
    <x v="11"/>
    <x v="106"/>
    <n v="66112"/>
    <x v="23"/>
    <x v="97"/>
    <n v="72"/>
    <n v="1500"/>
  </r>
  <r>
    <n v="1530"/>
    <x v="0"/>
    <x v="18"/>
    <x v="18"/>
    <x v="11"/>
    <x v="11"/>
    <x v="146"/>
    <n v="66140"/>
    <x v="224"/>
    <x v="45"/>
    <n v="48"/>
    <n v="1200"/>
  </r>
  <r>
    <n v="1531"/>
    <x v="0"/>
    <x v="18"/>
    <x v="18"/>
    <x v="7"/>
    <x v="7"/>
    <x v="45"/>
    <n v="82035"/>
    <x v="120"/>
    <x v="363"/>
    <n v="6111"/>
    <n v="1400"/>
  </r>
  <r>
    <n v="1532"/>
    <x v="0"/>
    <x v="18"/>
    <x v="18"/>
    <x v="7"/>
    <x v="7"/>
    <x v="44"/>
    <n v="82049"/>
    <x v="374"/>
    <x v="364"/>
    <n v="2800"/>
    <n v="1000"/>
  </r>
  <r>
    <n v="1533"/>
    <x v="0"/>
    <x v="18"/>
    <x v="18"/>
    <x v="7"/>
    <x v="7"/>
    <x v="12"/>
    <n v="82063"/>
    <x v="20"/>
    <x v="150"/>
    <n v="169"/>
    <n v="1300"/>
  </r>
  <r>
    <n v="1534"/>
    <x v="0"/>
    <x v="18"/>
    <x v="18"/>
    <x v="7"/>
    <x v="7"/>
    <x v="42"/>
    <n v="82098"/>
    <x v="20"/>
    <x v="23"/>
    <n v="100"/>
    <n v="1000"/>
  </r>
  <r>
    <n v="1535"/>
    <x v="0"/>
    <x v="18"/>
    <x v="18"/>
    <x v="8"/>
    <x v="8"/>
    <x v="47"/>
    <n v="86077"/>
    <x v="224"/>
    <x v="111"/>
    <n v="15"/>
    <n v="300"/>
  </r>
  <r>
    <n v="1536"/>
    <x v="0"/>
    <x v="18"/>
    <x v="18"/>
    <x v="8"/>
    <x v="8"/>
    <x v="120"/>
    <n v="86042"/>
    <x v="67"/>
    <x v="111"/>
    <n v="15"/>
    <n v="300"/>
  </r>
  <r>
    <n v="1537"/>
    <x v="0"/>
    <x v="18"/>
    <x v="18"/>
    <x v="9"/>
    <x v="9"/>
    <x v="55"/>
    <n v="90007"/>
    <x v="11"/>
    <x v="153"/>
    <n v="960"/>
    <n v="1067"/>
  </r>
  <r>
    <n v="1538"/>
    <x v="0"/>
    <x v="18"/>
    <x v="18"/>
    <x v="9"/>
    <x v="9"/>
    <x v="65"/>
    <n v="90014"/>
    <x v="26"/>
    <x v="16"/>
    <n v="385"/>
    <n v="1100"/>
  </r>
  <r>
    <n v="1539"/>
    <x v="0"/>
    <x v="18"/>
    <x v="18"/>
    <x v="9"/>
    <x v="9"/>
    <x v="66"/>
    <n v="90056"/>
    <x v="72"/>
    <x v="78"/>
    <n v="22"/>
    <n v="900"/>
  </r>
  <r>
    <n v="1540"/>
    <x v="0"/>
    <x v="18"/>
    <x v="18"/>
    <x v="9"/>
    <x v="9"/>
    <x v="63"/>
    <n v="90028"/>
    <x v="45"/>
    <x v="80"/>
    <n v="20"/>
    <n v="1000"/>
  </r>
  <r>
    <n v="1541"/>
    <x v="0"/>
    <x v="18"/>
    <x v="18"/>
    <x v="9"/>
    <x v="9"/>
    <x v="69"/>
    <n v="90035"/>
    <x v="32"/>
    <x v="183"/>
    <m/>
    <m/>
  </r>
  <r>
    <n v="1542"/>
    <x v="0"/>
    <x v="18"/>
    <x v="18"/>
    <x v="9"/>
    <x v="9"/>
    <x v="64"/>
    <n v="90112"/>
    <x v="32"/>
    <x v="32"/>
    <n v="15"/>
    <n v="1500"/>
  </r>
  <r>
    <n v="1543"/>
    <x v="0"/>
    <x v="19"/>
    <x v="19"/>
    <x v="0"/>
    <x v="0"/>
    <x v="2"/>
    <n v="22140"/>
    <x v="44"/>
    <x v="39"/>
    <n v="40"/>
    <n v="900"/>
  </r>
  <r>
    <n v="1544"/>
    <x v="0"/>
    <x v="19"/>
    <x v="19"/>
    <x v="0"/>
    <x v="0"/>
    <x v="3"/>
    <n v="22084"/>
    <x v="45"/>
    <x v="80"/>
    <n v="14"/>
    <n v="700"/>
  </r>
  <r>
    <n v="1545"/>
    <x v="0"/>
    <x v="19"/>
    <x v="19"/>
    <x v="0"/>
    <x v="0"/>
    <x v="5"/>
    <n v="22091"/>
    <x v="45"/>
    <x v="80"/>
    <n v="16"/>
    <n v="800"/>
  </r>
  <r>
    <n v="1546"/>
    <x v="0"/>
    <x v="19"/>
    <x v="19"/>
    <x v="0"/>
    <x v="0"/>
    <x v="4"/>
    <n v="22014"/>
    <x v="31"/>
    <x v="31"/>
    <n v="12"/>
    <n v="800"/>
  </r>
  <r>
    <n v="1547"/>
    <x v="0"/>
    <x v="19"/>
    <x v="19"/>
    <x v="1"/>
    <x v="1"/>
    <x v="142"/>
    <n v="14007"/>
    <x v="366"/>
    <x v="365"/>
    <n v="23295"/>
    <n v="896"/>
  </r>
  <r>
    <n v="1548"/>
    <x v="0"/>
    <x v="19"/>
    <x v="19"/>
    <x v="1"/>
    <x v="1"/>
    <x v="8"/>
    <n v="14119"/>
    <x v="344"/>
    <x v="366"/>
    <n v="27191"/>
    <n v="996"/>
  </r>
  <r>
    <n v="1549"/>
    <x v="0"/>
    <x v="19"/>
    <x v="19"/>
    <x v="1"/>
    <x v="1"/>
    <x v="7"/>
    <n v="14147"/>
    <x v="375"/>
    <x v="360"/>
    <n v="30817"/>
    <n v="1063"/>
  </r>
  <r>
    <n v="1550"/>
    <x v="0"/>
    <x v="19"/>
    <x v="19"/>
    <x v="1"/>
    <x v="1"/>
    <x v="70"/>
    <n v="14007"/>
    <x v="315"/>
    <x v="367"/>
    <n v="6656"/>
    <n v="1040"/>
  </r>
  <r>
    <n v="1551"/>
    <x v="0"/>
    <x v="19"/>
    <x v="19"/>
    <x v="1"/>
    <x v="1"/>
    <x v="9"/>
    <n v="14105"/>
    <x v="376"/>
    <x v="368"/>
    <n v="3900"/>
    <n v="1000"/>
  </r>
  <r>
    <n v="1552"/>
    <x v="0"/>
    <x v="19"/>
    <x v="19"/>
    <x v="1"/>
    <x v="1"/>
    <x v="13"/>
    <n v="14098"/>
    <x v="158"/>
    <x v="55"/>
    <n v="1584"/>
    <n v="990"/>
  </r>
  <r>
    <n v="1553"/>
    <x v="0"/>
    <x v="19"/>
    <x v="19"/>
    <x v="1"/>
    <x v="1"/>
    <x v="46"/>
    <n v="14140"/>
    <x v="10"/>
    <x v="14"/>
    <n v="450"/>
    <n v="900"/>
  </r>
  <r>
    <n v="1554"/>
    <x v="0"/>
    <x v="19"/>
    <x v="19"/>
    <x v="1"/>
    <x v="1"/>
    <x v="107"/>
    <n v="14056"/>
    <x v="11"/>
    <x v="23"/>
    <n v="70"/>
    <n v="700"/>
  </r>
  <r>
    <n v="1555"/>
    <x v="0"/>
    <x v="19"/>
    <x v="19"/>
    <x v="1"/>
    <x v="1"/>
    <x v="12"/>
    <n v="14014"/>
    <x v="377"/>
    <x v="153"/>
    <n v="990"/>
    <n v="1100"/>
  </r>
  <r>
    <n v="1556"/>
    <x v="0"/>
    <x v="19"/>
    <x v="19"/>
    <x v="1"/>
    <x v="1"/>
    <x v="143"/>
    <n v="14042"/>
    <x v="14"/>
    <x v="61"/>
    <n v="200"/>
    <n v="800"/>
  </r>
  <r>
    <n v="1557"/>
    <x v="0"/>
    <x v="19"/>
    <x v="19"/>
    <x v="1"/>
    <x v="1"/>
    <x v="11"/>
    <n v="14021"/>
    <x v="26"/>
    <x v="12"/>
    <n v="270"/>
    <n v="900"/>
  </r>
  <r>
    <n v="1558"/>
    <x v="0"/>
    <x v="19"/>
    <x v="19"/>
    <x v="1"/>
    <x v="1"/>
    <x v="160"/>
    <n v="14084"/>
    <x v="20"/>
    <x v="225"/>
    <n v="36"/>
    <n v="600"/>
  </r>
  <r>
    <n v="1559"/>
    <x v="0"/>
    <x v="19"/>
    <x v="19"/>
    <x v="1"/>
    <x v="1"/>
    <x v="84"/>
    <n v="14168"/>
    <x v="67"/>
    <x v="38"/>
    <n v="55"/>
    <n v="1000"/>
  </r>
  <r>
    <n v="1560"/>
    <x v="0"/>
    <x v="19"/>
    <x v="19"/>
    <x v="1"/>
    <x v="1"/>
    <x v="133"/>
    <n v="14112"/>
    <x v="127"/>
    <x v="111"/>
    <n v="40"/>
    <n v="800"/>
  </r>
  <r>
    <n v="1561"/>
    <x v="0"/>
    <x v="19"/>
    <x v="19"/>
    <x v="1"/>
    <x v="1"/>
    <x v="131"/>
    <n v="14126"/>
    <x v="125"/>
    <x v="78"/>
    <n v="20"/>
    <n v="800"/>
  </r>
  <r>
    <n v="1562"/>
    <x v="0"/>
    <x v="19"/>
    <x v="19"/>
    <x v="1"/>
    <x v="1"/>
    <x v="144"/>
    <n v="14175"/>
    <x v="72"/>
    <x v="80"/>
    <n v="19"/>
    <n v="950"/>
  </r>
  <r>
    <n v="1563"/>
    <x v="0"/>
    <x v="19"/>
    <x v="19"/>
    <x v="1"/>
    <x v="1"/>
    <x v="42"/>
    <n v="14133"/>
    <x v="45"/>
    <x v="32"/>
    <n v="9"/>
    <n v="900"/>
  </r>
  <r>
    <n v="1564"/>
    <x v="0"/>
    <x v="19"/>
    <x v="19"/>
    <x v="1"/>
    <x v="1"/>
    <x v="135"/>
    <n v="14028"/>
    <x v="31"/>
    <x v="32"/>
    <n v="8"/>
    <n v="800"/>
  </r>
  <r>
    <n v="1565"/>
    <x v="0"/>
    <x v="19"/>
    <x v="19"/>
    <x v="1"/>
    <x v="1"/>
    <x v="134"/>
    <n v="14091"/>
    <x v="77"/>
    <x v="33"/>
    <n v="4"/>
    <n v="800"/>
  </r>
  <r>
    <n v="1566"/>
    <x v="0"/>
    <x v="19"/>
    <x v="19"/>
    <x v="1"/>
    <x v="1"/>
    <x v="132"/>
    <n v="14049"/>
    <x v="29"/>
    <x v="33"/>
    <n v="4"/>
    <n v="800"/>
  </r>
  <r>
    <n v="1567"/>
    <x v="0"/>
    <x v="19"/>
    <x v="19"/>
    <x v="2"/>
    <x v="2"/>
    <x v="15"/>
    <n v="18112"/>
    <x v="14"/>
    <x v="369"/>
    <n v="4276"/>
    <n v="900"/>
  </r>
  <r>
    <n v="1568"/>
    <x v="0"/>
    <x v="19"/>
    <x v="19"/>
    <x v="2"/>
    <x v="2"/>
    <x v="18"/>
    <n v="18049"/>
    <x v="123"/>
    <x v="23"/>
    <n v="90"/>
    <n v="900"/>
  </r>
  <r>
    <n v="1569"/>
    <x v="0"/>
    <x v="19"/>
    <x v="19"/>
    <x v="2"/>
    <x v="2"/>
    <x v="16"/>
    <n v="18091"/>
    <x v="223"/>
    <x v="23"/>
    <n v="90"/>
    <n v="900"/>
  </r>
  <r>
    <n v="1570"/>
    <x v="0"/>
    <x v="19"/>
    <x v="19"/>
    <x v="2"/>
    <x v="2"/>
    <x v="23"/>
    <n v="18126"/>
    <x v="223"/>
    <x v="151"/>
    <n v="63"/>
    <n v="700"/>
  </r>
  <r>
    <n v="1571"/>
    <x v="0"/>
    <x v="19"/>
    <x v="19"/>
    <x v="2"/>
    <x v="2"/>
    <x v="26"/>
    <n v="18070"/>
    <x v="23"/>
    <x v="151"/>
    <n v="81"/>
    <n v="900"/>
  </r>
  <r>
    <n v="1572"/>
    <x v="0"/>
    <x v="19"/>
    <x v="19"/>
    <x v="2"/>
    <x v="2"/>
    <x v="21"/>
    <n v="18007"/>
    <x v="67"/>
    <x v="134"/>
    <n v="56"/>
    <n v="800"/>
  </r>
  <r>
    <n v="1573"/>
    <x v="0"/>
    <x v="19"/>
    <x v="19"/>
    <x v="2"/>
    <x v="2"/>
    <x v="12"/>
    <n v="18021"/>
    <x v="72"/>
    <x v="157"/>
    <n v="216"/>
    <n v="800"/>
  </r>
  <r>
    <n v="1574"/>
    <x v="0"/>
    <x v="19"/>
    <x v="19"/>
    <x v="2"/>
    <x v="2"/>
    <x v="24"/>
    <n v="18140"/>
    <x v="92"/>
    <x v="6"/>
    <n v="192"/>
    <n v="800"/>
  </r>
  <r>
    <n v="1575"/>
    <x v="0"/>
    <x v="19"/>
    <x v="19"/>
    <x v="2"/>
    <x v="2"/>
    <x v="25"/>
    <n v="18035"/>
    <x v="45"/>
    <x v="77"/>
    <n v="98"/>
    <n v="700"/>
  </r>
  <r>
    <n v="1576"/>
    <x v="0"/>
    <x v="19"/>
    <x v="19"/>
    <x v="2"/>
    <x v="2"/>
    <x v="17"/>
    <n v="18042"/>
    <x v="45"/>
    <x v="80"/>
    <n v="16"/>
    <n v="800"/>
  </r>
  <r>
    <n v="1577"/>
    <x v="0"/>
    <x v="19"/>
    <x v="19"/>
    <x v="2"/>
    <x v="2"/>
    <x v="74"/>
    <n v="18161"/>
    <x v="45"/>
    <x v="80"/>
    <n v="16"/>
    <n v="800"/>
  </r>
  <r>
    <n v="1578"/>
    <x v="0"/>
    <x v="19"/>
    <x v="19"/>
    <x v="2"/>
    <x v="2"/>
    <x v="72"/>
    <n v="18063"/>
    <x v="32"/>
    <x v="32"/>
    <n v="7"/>
    <n v="700"/>
  </r>
  <r>
    <n v="1579"/>
    <x v="0"/>
    <x v="19"/>
    <x v="19"/>
    <x v="2"/>
    <x v="2"/>
    <x v="19"/>
    <n v="18133"/>
    <x v="77"/>
    <x v="67"/>
    <n v="64"/>
    <n v="800"/>
  </r>
  <r>
    <n v="1580"/>
    <x v="0"/>
    <x v="19"/>
    <x v="19"/>
    <x v="2"/>
    <x v="2"/>
    <x v="71"/>
    <n v="18098"/>
    <x v="29"/>
    <x v="29"/>
    <n v="56"/>
    <n v="800"/>
  </r>
  <r>
    <n v="1581"/>
    <x v="0"/>
    <x v="19"/>
    <x v="19"/>
    <x v="2"/>
    <x v="2"/>
    <x v="75"/>
    <n v="18014"/>
    <x v="78"/>
    <x v="49"/>
    <n v="48"/>
    <n v="800"/>
  </r>
  <r>
    <n v="1582"/>
    <x v="0"/>
    <x v="19"/>
    <x v="19"/>
    <x v="2"/>
    <x v="2"/>
    <x v="20"/>
    <n v="18147"/>
    <x v="78"/>
    <x v="49"/>
    <n v="42"/>
    <n v="700"/>
  </r>
  <r>
    <n v="1583"/>
    <x v="0"/>
    <x v="19"/>
    <x v="19"/>
    <x v="2"/>
    <x v="2"/>
    <x v="76"/>
    <n v="18154"/>
    <x v="78"/>
    <x v="49"/>
    <n v="48"/>
    <n v="800"/>
  </r>
  <r>
    <n v="1584"/>
    <x v="0"/>
    <x v="19"/>
    <x v="19"/>
    <x v="2"/>
    <x v="2"/>
    <x v="43"/>
    <n v="18028"/>
    <x v="33"/>
    <x v="33"/>
    <n v="4"/>
    <n v="800"/>
  </r>
  <r>
    <n v="1585"/>
    <x v="0"/>
    <x v="19"/>
    <x v="19"/>
    <x v="2"/>
    <x v="2"/>
    <x v="73"/>
    <n v="18077"/>
    <x v="33"/>
    <x v="33"/>
    <n v="4"/>
    <n v="800"/>
  </r>
  <r>
    <n v="1586"/>
    <x v="0"/>
    <x v="19"/>
    <x v="19"/>
    <x v="2"/>
    <x v="2"/>
    <x v="61"/>
    <n v="18175"/>
    <x v="33"/>
    <x v="33"/>
    <n v="4"/>
    <n v="800"/>
  </r>
  <r>
    <n v="1587"/>
    <x v="0"/>
    <x v="19"/>
    <x v="19"/>
    <x v="2"/>
    <x v="2"/>
    <x v="27"/>
    <n v="18168"/>
    <x v="30"/>
    <x v="30"/>
    <n v="2"/>
    <n v="700"/>
  </r>
  <r>
    <n v="1588"/>
    <x v="0"/>
    <x v="19"/>
    <x v="19"/>
    <x v="2"/>
    <x v="2"/>
    <x v="78"/>
    <n v="18105"/>
    <x v="34"/>
    <x v="34"/>
    <n v="2"/>
    <n v="1000"/>
  </r>
  <r>
    <n v="1589"/>
    <x v="0"/>
    <x v="19"/>
    <x v="19"/>
    <x v="3"/>
    <x v="3"/>
    <x v="28"/>
    <n v="30028"/>
    <x v="157"/>
    <x v="370"/>
    <n v="5410"/>
    <n v="980"/>
  </r>
  <r>
    <n v="1590"/>
    <x v="0"/>
    <x v="19"/>
    <x v="19"/>
    <x v="3"/>
    <x v="3"/>
    <x v="29"/>
    <n v="30015"/>
    <x v="378"/>
    <x v="371"/>
    <n v="3188"/>
    <n v="900"/>
  </r>
  <r>
    <n v="1591"/>
    <x v="0"/>
    <x v="19"/>
    <x v="19"/>
    <x v="3"/>
    <x v="3"/>
    <x v="11"/>
    <n v="30008"/>
    <x v="69"/>
    <x v="150"/>
    <n v="117"/>
    <n v="900"/>
  </r>
  <r>
    <n v="1592"/>
    <x v="0"/>
    <x v="19"/>
    <x v="19"/>
    <x v="3"/>
    <x v="3"/>
    <x v="110"/>
    <n v="30042"/>
    <x v="33"/>
    <x v="183"/>
    <m/>
    <m/>
  </r>
  <r>
    <n v="1593"/>
    <x v="0"/>
    <x v="19"/>
    <x v="19"/>
    <x v="3"/>
    <x v="3"/>
    <x v="92"/>
    <n v="30070"/>
    <x v="33"/>
    <x v="183"/>
    <m/>
    <m/>
  </r>
  <r>
    <n v="1594"/>
    <x v="0"/>
    <x v="19"/>
    <x v="19"/>
    <x v="3"/>
    <x v="3"/>
    <x v="112"/>
    <n v="30113"/>
    <x v="48"/>
    <x v="183"/>
    <m/>
    <m/>
  </r>
  <r>
    <n v="1595"/>
    <x v="0"/>
    <x v="19"/>
    <x v="19"/>
    <x v="4"/>
    <x v="4"/>
    <x v="33"/>
    <n v="34056"/>
    <x v="72"/>
    <x v="78"/>
    <n v="225"/>
    <n v="900"/>
  </r>
  <r>
    <n v="1596"/>
    <x v="0"/>
    <x v="19"/>
    <x v="19"/>
    <x v="4"/>
    <x v="4"/>
    <x v="34"/>
    <n v="34035"/>
    <x v="45"/>
    <x v="31"/>
    <n v="105"/>
    <n v="700"/>
  </r>
  <r>
    <n v="1597"/>
    <x v="0"/>
    <x v="19"/>
    <x v="19"/>
    <x v="4"/>
    <x v="4"/>
    <x v="31"/>
    <n v="34021"/>
    <x v="31"/>
    <x v="31"/>
    <n v="15"/>
    <n v="1000"/>
  </r>
  <r>
    <n v="1598"/>
    <x v="0"/>
    <x v="19"/>
    <x v="19"/>
    <x v="4"/>
    <x v="4"/>
    <x v="30"/>
    <n v="34049"/>
    <x v="31"/>
    <x v="31"/>
    <n v="15"/>
    <n v="1000"/>
  </r>
  <r>
    <n v="1599"/>
    <x v="0"/>
    <x v="19"/>
    <x v="19"/>
    <x v="4"/>
    <x v="4"/>
    <x v="32"/>
    <n v="34014"/>
    <x v="77"/>
    <x v="67"/>
    <n v="8"/>
    <n v="1000"/>
  </r>
  <r>
    <n v="1600"/>
    <x v="0"/>
    <x v="19"/>
    <x v="19"/>
    <x v="4"/>
    <x v="4"/>
    <x v="81"/>
    <n v="34042"/>
    <x v="33"/>
    <x v="33"/>
    <n v="6"/>
    <n v="1200"/>
  </r>
  <r>
    <n v="1601"/>
    <x v="0"/>
    <x v="19"/>
    <x v="19"/>
    <x v="6"/>
    <x v="6"/>
    <x v="39"/>
    <n v="54007"/>
    <x v="123"/>
    <x v="151"/>
    <n v="81"/>
    <n v="900"/>
  </r>
  <r>
    <n v="1602"/>
    <x v="0"/>
    <x v="19"/>
    <x v="19"/>
    <x v="6"/>
    <x v="6"/>
    <x v="41"/>
    <n v="54098"/>
    <x v="373"/>
    <x v="182"/>
    <n v="24"/>
    <n v="923"/>
  </r>
  <r>
    <n v="1603"/>
    <x v="0"/>
    <x v="19"/>
    <x v="19"/>
    <x v="6"/>
    <x v="6"/>
    <x v="40"/>
    <n v="54021"/>
    <x v="39"/>
    <x v="106"/>
    <n v="42"/>
    <n v="1000"/>
  </r>
  <r>
    <n v="1604"/>
    <x v="0"/>
    <x v="19"/>
    <x v="19"/>
    <x v="6"/>
    <x v="6"/>
    <x v="114"/>
    <n v="54014"/>
    <x v="100"/>
    <x v="285"/>
    <n v="31"/>
    <n v="838"/>
  </r>
  <r>
    <n v="1605"/>
    <x v="0"/>
    <x v="19"/>
    <x v="19"/>
    <x v="6"/>
    <x v="6"/>
    <x v="43"/>
    <n v="54035"/>
    <x v="125"/>
    <x v="5"/>
    <n v="33"/>
    <n v="1000"/>
  </r>
  <r>
    <n v="1606"/>
    <x v="0"/>
    <x v="19"/>
    <x v="19"/>
    <x v="6"/>
    <x v="6"/>
    <x v="116"/>
    <n v="54063"/>
    <x v="72"/>
    <x v="80"/>
    <n v="16"/>
    <n v="800"/>
  </r>
  <r>
    <n v="1607"/>
    <x v="0"/>
    <x v="19"/>
    <x v="19"/>
    <x v="6"/>
    <x v="6"/>
    <x v="42"/>
    <n v="54105"/>
    <x v="145"/>
    <x v="157"/>
    <n v="29"/>
    <n v="1074"/>
  </r>
  <r>
    <n v="1608"/>
    <x v="0"/>
    <x v="19"/>
    <x v="19"/>
    <x v="6"/>
    <x v="6"/>
    <x v="37"/>
    <n v="54112"/>
    <x v="77"/>
    <x v="67"/>
    <n v="6"/>
    <n v="750"/>
  </r>
  <r>
    <n v="1609"/>
    <x v="0"/>
    <x v="19"/>
    <x v="19"/>
    <x v="11"/>
    <x v="11"/>
    <x v="106"/>
    <n v="66112"/>
    <x v="44"/>
    <x v="111"/>
    <n v="90"/>
    <n v="1800"/>
  </r>
  <r>
    <n v="1610"/>
    <x v="0"/>
    <x v="19"/>
    <x v="19"/>
    <x v="11"/>
    <x v="11"/>
    <x v="146"/>
    <n v="66140"/>
    <x v="125"/>
    <x v="45"/>
    <n v="68"/>
    <n v="1700"/>
  </r>
  <r>
    <n v="1611"/>
    <x v="0"/>
    <x v="19"/>
    <x v="19"/>
    <x v="7"/>
    <x v="7"/>
    <x v="45"/>
    <n v="82035"/>
    <x v="379"/>
    <x v="288"/>
    <n v="3000"/>
    <n v="1200"/>
  </r>
  <r>
    <n v="1612"/>
    <x v="0"/>
    <x v="19"/>
    <x v="19"/>
    <x v="7"/>
    <x v="7"/>
    <x v="44"/>
    <n v="82049"/>
    <x v="25"/>
    <x v="101"/>
    <n v="3090"/>
    <n v="1030"/>
  </r>
  <r>
    <n v="1613"/>
    <x v="0"/>
    <x v="19"/>
    <x v="19"/>
    <x v="7"/>
    <x v="7"/>
    <x v="42"/>
    <n v="82098"/>
    <x v="16"/>
    <x v="12"/>
    <n v="360"/>
    <n v="1200"/>
  </r>
  <r>
    <n v="1614"/>
    <x v="0"/>
    <x v="19"/>
    <x v="19"/>
    <x v="7"/>
    <x v="7"/>
    <x v="12"/>
    <n v="82063"/>
    <x v="224"/>
    <x v="44"/>
    <n v="96"/>
    <n v="1200"/>
  </r>
  <r>
    <n v="1615"/>
    <x v="0"/>
    <x v="19"/>
    <x v="19"/>
    <x v="7"/>
    <x v="7"/>
    <x v="119"/>
    <n v="82021"/>
    <x v="72"/>
    <x v="80"/>
    <n v="20"/>
    <n v="1000"/>
  </r>
  <r>
    <n v="1616"/>
    <x v="0"/>
    <x v="19"/>
    <x v="19"/>
    <x v="7"/>
    <x v="7"/>
    <x v="163"/>
    <n v="82105"/>
    <x v="32"/>
    <x v="183"/>
    <m/>
    <m/>
  </r>
  <r>
    <n v="1617"/>
    <x v="0"/>
    <x v="19"/>
    <x v="19"/>
    <x v="7"/>
    <x v="7"/>
    <x v="46"/>
    <n v="82112"/>
    <x v="32"/>
    <x v="32"/>
    <n v="12"/>
    <n v="1200"/>
  </r>
  <r>
    <n v="1618"/>
    <x v="0"/>
    <x v="19"/>
    <x v="19"/>
    <x v="8"/>
    <x v="8"/>
    <x v="47"/>
    <n v="86077"/>
    <x v="125"/>
    <x v="72"/>
    <n v="18"/>
    <n v="600"/>
  </r>
  <r>
    <n v="1619"/>
    <x v="0"/>
    <x v="19"/>
    <x v="19"/>
    <x v="8"/>
    <x v="8"/>
    <x v="120"/>
    <n v="86042"/>
    <x v="72"/>
    <x v="6"/>
    <n v="14"/>
    <n v="600"/>
  </r>
  <r>
    <n v="1620"/>
    <x v="0"/>
    <x v="19"/>
    <x v="19"/>
    <x v="9"/>
    <x v="9"/>
    <x v="55"/>
    <n v="90007"/>
    <x v="26"/>
    <x v="63"/>
    <n v="180"/>
    <n v="1000"/>
  </r>
  <r>
    <n v="1621"/>
    <x v="0"/>
    <x v="19"/>
    <x v="19"/>
    <x v="9"/>
    <x v="9"/>
    <x v="65"/>
    <n v="90014"/>
    <x v="20"/>
    <x v="131"/>
    <n v="120"/>
    <n v="1000"/>
  </r>
  <r>
    <n v="1622"/>
    <x v="0"/>
    <x v="19"/>
    <x v="19"/>
    <x v="9"/>
    <x v="9"/>
    <x v="63"/>
    <n v="90028"/>
    <x v="31"/>
    <x v="31"/>
    <n v="15"/>
    <n v="1000"/>
  </r>
  <r>
    <n v="1623"/>
    <x v="0"/>
    <x v="19"/>
    <x v="19"/>
    <x v="9"/>
    <x v="9"/>
    <x v="66"/>
    <n v="90056"/>
    <x v="32"/>
    <x v="32"/>
    <n v="14"/>
    <n v="1400"/>
  </r>
  <r>
    <n v="1624"/>
    <x v="0"/>
    <x v="19"/>
    <x v="19"/>
    <x v="9"/>
    <x v="9"/>
    <x v="64"/>
    <n v="90112"/>
    <x v="32"/>
    <x v="32"/>
    <n v="10"/>
    <n v="1000"/>
  </r>
  <r>
    <n v="1625"/>
    <x v="0"/>
    <x v="20"/>
    <x v="20"/>
    <x v="0"/>
    <x v="0"/>
    <x v="2"/>
    <n v="22140"/>
    <x v="44"/>
    <x v="39"/>
    <n v="30"/>
    <n v="667"/>
  </r>
  <r>
    <n v="1626"/>
    <x v="0"/>
    <x v="20"/>
    <x v="20"/>
    <x v="0"/>
    <x v="0"/>
    <x v="3"/>
    <n v="22084"/>
    <x v="45"/>
    <x v="80"/>
    <n v="13"/>
    <n v="650"/>
  </r>
  <r>
    <n v="1627"/>
    <x v="0"/>
    <x v="20"/>
    <x v="20"/>
    <x v="0"/>
    <x v="0"/>
    <x v="5"/>
    <n v="22091"/>
    <x v="45"/>
    <x v="80"/>
    <n v="15"/>
    <n v="750"/>
  </r>
  <r>
    <n v="1628"/>
    <x v="0"/>
    <x v="20"/>
    <x v="20"/>
    <x v="0"/>
    <x v="0"/>
    <x v="4"/>
    <n v="22014"/>
    <x v="31"/>
    <x v="31"/>
    <n v="12"/>
    <n v="800"/>
  </r>
  <r>
    <n v="1629"/>
    <x v="0"/>
    <x v="20"/>
    <x v="20"/>
    <x v="1"/>
    <x v="1"/>
    <x v="8"/>
    <n v="14119"/>
    <x v="380"/>
    <x v="372"/>
    <n v="21724"/>
    <n v="800"/>
  </r>
  <r>
    <n v="1630"/>
    <x v="0"/>
    <x v="20"/>
    <x v="20"/>
    <x v="1"/>
    <x v="1"/>
    <x v="142"/>
    <n v="14007"/>
    <x v="375"/>
    <x v="373"/>
    <n v="29700"/>
    <n v="1100"/>
  </r>
  <r>
    <n v="1631"/>
    <x v="0"/>
    <x v="20"/>
    <x v="20"/>
    <x v="1"/>
    <x v="1"/>
    <x v="7"/>
    <n v="14147"/>
    <x v="381"/>
    <x v="374"/>
    <n v="24850"/>
    <n v="1000"/>
  </r>
  <r>
    <n v="1632"/>
    <x v="0"/>
    <x v="20"/>
    <x v="20"/>
    <x v="1"/>
    <x v="1"/>
    <x v="70"/>
    <n v="14007"/>
    <x v="382"/>
    <x v="375"/>
    <n v="6615"/>
    <n v="1050"/>
  </r>
  <r>
    <n v="1633"/>
    <x v="0"/>
    <x v="20"/>
    <x v="20"/>
    <x v="1"/>
    <x v="1"/>
    <x v="9"/>
    <n v="14105"/>
    <x v="383"/>
    <x v="376"/>
    <n v="2796"/>
    <n v="700"/>
  </r>
  <r>
    <n v="1634"/>
    <x v="0"/>
    <x v="20"/>
    <x v="20"/>
    <x v="1"/>
    <x v="1"/>
    <x v="13"/>
    <n v="14098"/>
    <x v="158"/>
    <x v="377"/>
    <n v="3200"/>
    <n v="1000"/>
  </r>
  <r>
    <n v="1635"/>
    <x v="0"/>
    <x v="20"/>
    <x v="20"/>
    <x v="1"/>
    <x v="1"/>
    <x v="107"/>
    <n v="14056"/>
    <x v="11"/>
    <x v="282"/>
    <n v="760"/>
    <n v="950"/>
  </r>
  <r>
    <n v="1636"/>
    <x v="0"/>
    <x v="20"/>
    <x v="20"/>
    <x v="1"/>
    <x v="1"/>
    <x v="12"/>
    <n v="14014"/>
    <x v="179"/>
    <x v="378"/>
    <n v="972"/>
    <n v="1200"/>
  </r>
  <r>
    <n v="1637"/>
    <x v="0"/>
    <x v="20"/>
    <x v="20"/>
    <x v="1"/>
    <x v="1"/>
    <x v="46"/>
    <n v="14140"/>
    <x v="153"/>
    <x v="379"/>
    <n v="476"/>
    <n v="700"/>
  </r>
  <r>
    <n v="1638"/>
    <x v="0"/>
    <x v="20"/>
    <x v="20"/>
    <x v="1"/>
    <x v="1"/>
    <x v="11"/>
    <n v="14021"/>
    <x v="26"/>
    <x v="380"/>
    <n v="342"/>
    <n v="900"/>
  </r>
  <r>
    <n v="1639"/>
    <x v="0"/>
    <x v="20"/>
    <x v="20"/>
    <x v="1"/>
    <x v="1"/>
    <x v="143"/>
    <n v="14042"/>
    <x v="12"/>
    <x v="115"/>
    <n v="263"/>
    <n v="939"/>
  </r>
  <r>
    <n v="1640"/>
    <x v="0"/>
    <x v="20"/>
    <x v="20"/>
    <x v="1"/>
    <x v="1"/>
    <x v="160"/>
    <n v="14084"/>
    <x v="20"/>
    <x v="23"/>
    <n v="90"/>
    <n v="900"/>
  </r>
  <r>
    <n v="1641"/>
    <x v="0"/>
    <x v="20"/>
    <x v="20"/>
    <x v="1"/>
    <x v="1"/>
    <x v="84"/>
    <n v="14168"/>
    <x v="67"/>
    <x v="76"/>
    <n v="64"/>
    <n v="800"/>
  </r>
  <r>
    <n v="1642"/>
    <x v="0"/>
    <x v="20"/>
    <x v="20"/>
    <x v="1"/>
    <x v="1"/>
    <x v="133"/>
    <n v="14112"/>
    <x v="127"/>
    <x v="263"/>
    <n v="46"/>
    <n v="700"/>
  </r>
  <r>
    <n v="1643"/>
    <x v="0"/>
    <x v="20"/>
    <x v="20"/>
    <x v="1"/>
    <x v="1"/>
    <x v="144"/>
    <n v="14175"/>
    <x v="72"/>
    <x v="157"/>
    <n v="24"/>
    <n v="800"/>
  </r>
  <r>
    <n v="1644"/>
    <x v="0"/>
    <x v="20"/>
    <x v="20"/>
    <x v="1"/>
    <x v="1"/>
    <x v="131"/>
    <n v="14126"/>
    <x v="92"/>
    <x v="6"/>
    <n v="22"/>
    <n v="900"/>
  </r>
  <r>
    <n v="1645"/>
    <x v="0"/>
    <x v="20"/>
    <x v="20"/>
    <x v="1"/>
    <x v="1"/>
    <x v="135"/>
    <n v="14028"/>
    <x v="31"/>
    <x v="135"/>
    <n v="10"/>
    <n v="800"/>
  </r>
  <r>
    <n v="1646"/>
    <x v="0"/>
    <x v="20"/>
    <x v="20"/>
    <x v="1"/>
    <x v="1"/>
    <x v="42"/>
    <n v="14133"/>
    <x v="32"/>
    <x v="32"/>
    <n v="10"/>
    <n v="1000"/>
  </r>
  <r>
    <n v="1647"/>
    <x v="0"/>
    <x v="20"/>
    <x v="20"/>
    <x v="1"/>
    <x v="1"/>
    <x v="134"/>
    <n v="14091"/>
    <x v="77"/>
    <x v="67"/>
    <n v="6"/>
    <n v="800"/>
  </r>
  <r>
    <n v="1648"/>
    <x v="0"/>
    <x v="20"/>
    <x v="20"/>
    <x v="2"/>
    <x v="2"/>
    <x v="18"/>
    <n v="18049"/>
    <x v="20"/>
    <x v="131"/>
    <n v="96"/>
    <n v="800"/>
  </r>
  <r>
    <n v="1649"/>
    <x v="0"/>
    <x v="20"/>
    <x v="20"/>
    <x v="2"/>
    <x v="2"/>
    <x v="23"/>
    <n v="18126"/>
    <x v="20"/>
    <x v="150"/>
    <n v="91"/>
    <n v="700"/>
  </r>
  <r>
    <n v="1650"/>
    <x v="0"/>
    <x v="20"/>
    <x v="20"/>
    <x v="2"/>
    <x v="2"/>
    <x v="16"/>
    <n v="18091"/>
    <x v="223"/>
    <x v="151"/>
    <n v="81"/>
    <n v="900"/>
  </r>
  <r>
    <n v="1651"/>
    <x v="0"/>
    <x v="20"/>
    <x v="20"/>
    <x v="2"/>
    <x v="2"/>
    <x v="26"/>
    <n v="18070"/>
    <x v="23"/>
    <x v="151"/>
    <n v="72"/>
    <n v="800"/>
  </r>
  <r>
    <n v="1652"/>
    <x v="0"/>
    <x v="20"/>
    <x v="20"/>
    <x v="2"/>
    <x v="2"/>
    <x v="15"/>
    <n v="18112"/>
    <x v="23"/>
    <x v="71"/>
    <n v="68"/>
    <n v="900"/>
  </r>
  <r>
    <n v="1653"/>
    <x v="0"/>
    <x v="20"/>
    <x v="20"/>
    <x v="2"/>
    <x v="2"/>
    <x v="21"/>
    <n v="18007"/>
    <x v="67"/>
    <x v="134"/>
    <n v="56"/>
    <n v="800"/>
  </r>
  <r>
    <n v="1654"/>
    <x v="0"/>
    <x v="20"/>
    <x v="20"/>
    <x v="2"/>
    <x v="2"/>
    <x v="74"/>
    <n v="18161"/>
    <x v="45"/>
    <x v="80"/>
    <n v="16"/>
    <n v="800"/>
  </r>
  <r>
    <n v="1655"/>
    <x v="0"/>
    <x v="20"/>
    <x v="20"/>
    <x v="2"/>
    <x v="2"/>
    <x v="25"/>
    <n v="18035"/>
    <x v="32"/>
    <x v="32"/>
    <n v="8"/>
    <n v="800"/>
  </r>
  <r>
    <n v="1656"/>
    <x v="0"/>
    <x v="20"/>
    <x v="20"/>
    <x v="2"/>
    <x v="2"/>
    <x v="20"/>
    <n v="18147"/>
    <x v="33"/>
    <x v="33"/>
    <n v="4"/>
    <n v="750"/>
  </r>
  <r>
    <n v="1657"/>
    <x v="0"/>
    <x v="20"/>
    <x v="20"/>
    <x v="2"/>
    <x v="2"/>
    <x v="61"/>
    <n v="18175"/>
    <x v="33"/>
    <x v="33"/>
    <n v="4"/>
    <n v="800"/>
  </r>
  <r>
    <n v="1658"/>
    <x v="0"/>
    <x v="20"/>
    <x v="20"/>
    <x v="2"/>
    <x v="2"/>
    <x v="78"/>
    <n v="18105"/>
    <x v="34"/>
    <x v="34"/>
    <n v="2"/>
    <n v="900"/>
  </r>
  <r>
    <n v="1659"/>
    <x v="0"/>
    <x v="20"/>
    <x v="20"/>
    <x v="2"/>
    <x v="2"/>
    <x v="77"/>
    <n v="18119"/>
    <x v="34"/>
    <x v="34"/>
    <n v="2"/>
    <n v="800"/>
  </r>
  <r>
    <n v="1660"/>
    <x v="0"/>
    <x v="20"/>
    <x v="20"/>
    <x v="3"/>
    <x v="3"/>
    <x v="28"/>
    <n v="30028"/>
    <x v="158"/>
    <x v="377"/>
    <n v="3200"/>
    <n v="1000"/>
  </r>
  <r>
    <n v="1661"/>
    <x v="0"/>
    <x v="20"/>
    <x v="20"/>
    <x v="3"/>
    <x v="3"/>
    <x v="29"/>
    <n v="30015"/>
    <x v="147"/>
    <x v="356"/>
    <n v="2600"/>
    <n v="1000"/>
  </r>
  <r>
    <n v="1662"/>
    <x v="0"/>
    <x v="20"/>
    <x v="20"/>
    <x v="3"/>
    <x v="3"/>
    <x v="11"/>
    <n v="30008"/>
    <x v="69"/>
    <x v="21"/>
    <n v="109"/>
    <n v="779"/>
  </r>
  <r>
    <n v="1663"/>
    <x v="0"/>
    <x v="20"/>
    <x v="20"/>
    <x v="3"/>
    <x v="3"/>
    <x v="92"/>
    <n v="30070"/>
    <x v="33"/>
    <x v="47"/>
    <n v="1"/>
    <n v="600"/>
  </r>
  <r>
    <n v="1664"/>
    <x v="0"/>
    <x v="20"/>
    <x v="20"/>
    <x v="4"/>
    <x v="4"/>
    <x v="33"/>
    <n v="34056"/>
    <x v="125"/>
    <x v="4"/>
    <n v="42"/>
    <n v="1167"/>
  </r>
  <r>
    <n v="1665"/>
    <x v="0"/>
    <x v="20"/>
    <x v="20"/>
    <x v="4"/>
    <x v="4"/>
    <x v="34"/>
    <n v="34035"/>
    <x v="72"/>
    <x v="72"/>
    <n v="30"/>
    <n v="1000"/>
  </r>
  <r>
    <n v="1666"/>
    <x v="0"/>
    <x v="20"/>
    <x v="20"/>
    <x v="4"/>
    <x v="4"/>
    <x v="31"/>
    <n v="34021"/>
    <x v="31"/>
    <x v="13"/>
    <n v="14"/>
    <n v="1166"/>
  </r>
  <r>
    <n v="1667"/>
    <x v="0"/>
    <x v="20"/>
    <x v="20"/>
    <x v="4"/>
    <x v="4"/>
    <x v="30"/>
    <n v="34049"/>
    <x v="31"/>
    <x v="13"/>
    <n v="14"/>
    <n v="1166"/>
  </r>
  <r>
    <n v="1668"/>
    <x v="0"/>
    <x v="20"/>
    <x v="20"/>
    <x v="4"/>
    <x v="4"/>
    <x v="32"/>
    <n v="34014"/>
    <x v="77"/>
    <x v="67"/>
    <n v="10"/>
    <n v="1250"/>
  </r>
  <r>
    <n v="1669"/>
    <x v="0"/>
    <x v="20"/>
    <x v="20"/>
    <x v="4"/>
    <x v="4"/>
    <x v="81"/>
    <n v="34042"/>
    <x v="77"/>
    <x v="67"/>
    <n v="10"/>
    <n v="1250"/>
  </r>
  <r>
    <n v="1670"/>
    <x v="0"/>
    <x v="20"/>
    <x v="20"/>
    <x v="6"/>
    <x v="6"/>
    <x v="40"/>
    <n v="54021"/>
    <x v="225"/>
    <x v="106"/>
    <n v="30"/>
    <n v="714"/>
  </r>
  <r>
    <n v="1671"/>
    <x v="0"/>
    <x v="20"/>
    <x v="20"/>
    <x v="6"/>
    <x v="6"/>
    <x v="41"/>
    <n v="54098"/>
    <x v="125"/>
    <x v="6"/>
    <n v="19"/>
    <n v="800"/>
  </r>
  <r>
    <n v="1672"/>
    <x v="0"/>
    <x v="20"/>
    <x v="20"/>
    <x v="6"/>
    <x v="6"/>
    <x v="114"/>
    <n v="54014"/>
    <x v="72"/>
    <x v="33"/>
    <n v="2"/>
    <n v="400"/>
  </r>
  <r>
    <n v="1673"/>
    <x v="0"/>
    <x v="20"/>
    <x v="20"/>
    <x v="6"/>
    <x v="6"/>
    <x v="42"/>
    <n v="54105"/>
    <x v="72"/>
    <x v="77"/>
    <n v="11"/>
    <n v="800"/>
  </r>
  <r>
    <n v="1674"/>
    <x v="0"/>
    <x v="20"/>
    <x v="20"/>
    <x v="6"/>
    <x v="6"/>
    <x v="39"/>
    <n v="54007"/>
    <x v="92"/>
    <x v="32"/>
    <n v="4"/>
    <n v="400"/>
  </r>
  <r>
    <n v="1675"/>
    <x v="0"/>
    <x v="20"/>
    <x v="20"/>
    <x v="6"/>
    <x v="6"/>
    <x v="116"/>
    <n v="54063"/>
    <x v="92"/>
    <x v="80"/>
    <n v="18"/>
    <n v="900"/>
  </r>
  <r>
    <n v="1676"/>
    <x v="0"/>
    <x v="20"/>
    <x v="20"/>
    <x v="6"/>
    <x v="6"/>
    <x v="43"/>
    <n v="54035"/>
    <x v="45"/>
    <x v="67"/>
    <n v="4"/>
    <n v="500"/>
  </r>
  <r>
    <n v="1677"/>
    <x v="0"/>
    <x v="20"/>
    <x v="20"/>
    <x v="6"/>
    <x v="6"/>
    <x v="37"/>
    <n v="54112"/>
    <x v="33"/>
    <x v="46"/>
    <n v="3"/>
    <n v="750"/>
  </r>
  <r>
    <n v="1678"/>
    <x v="0"/>
    <x v="20"/>
    <x v="20"/>
    <x v="6"/>
    <x v="6"/>
    <x v="12"/>
    <n v="54028"/>
    <x v="48"/>
    <x v="183"/>
    <m/>
    <m/>
  </r>
  <r>
    <n v="1679"/>
    <x v="0"/>
    <x v="20"/>
    <x v="20"/>
    <x v="6"/>
    <x v="6"/>
    <x v="115"/>
    <n v="54056"/>
    <x v="48"/>
    <x v="47"/>
    <n v="1"/>
    <n v="1000"/>
  </r>
  <r>
    <n v="1680"/>
    <x v="0"/>
    <x v="20"/>
    <x v="20"/>
    <x v="11"/>
    <x v="11"/>
    <x v="106"/>
    <n v="66112"/>
    <x v="45"/>
    <x v="140"/>
    <n v="18"/>
    <n v="1000"/>
  </r>
  <r>
    <n v="1681"/>
    <x v="0"/>
    <x v="20"/>
    <x v="20"/>
    <x v="11"/>
    <x v="11"/>
    <x v="146"/>
    <n v="66140"/>
    <x v="31"/>
    <x v="183"/>
    <m/>
    <m/>
  </r>
  <r>
    <n v="1682"/>
    <x v="0"/>
    <x v="20"/>
    <x v="20"/>
    <x v="7"/>
    <x v="7"/>
    <x v="44"/>
    <n v="82049"/>
    <x v="384"/>
    <x v="288"/>
    <n v="3000"/>
    <n v="1200"/>
  </r>
  <r>
    <n v="1683"/>
    <x v="0"/>
    <x v="20"/>
    <x v="20"/>
    <x v="7"/>
    <x v="7"/>
    <x v="45"/>
    <n v="82035"/>
    <x v="9"/>
    <x v="55"/>
    <n v="2320"/>
    <n v="1450"/>
  </r>
  <r>
    <n v="1684"/>
    <x v="0"/>
    <x v="20"/>
    <x v="20"/>
    <x v="7"/>
    <x v="7"/>
    <x v="42"/>
    <n v="82098"/>
    <x v="18"/>
    <x v="63"/>
    <n v="252"/>
    <n v="1400"/>
  </r>
  <r>
    <n v="1685"/>
    <x v="0"/>
    <x v="20"/>
    <x v="20"/>
    <x v="7"/>
    <x v="7"/>
    <x v="12"/>
    <n v="82063"/>
    <x v="32"/>
    <x v="32"/>
    <n v="14"/>
    <n v="1400"/>
  </r>
  <r>
    <n v="1686"/>
    <x v="0"/>
    <x v="20"/>
    <x v="20"/>
    <x v="7"/>
    <x v="7"/>
    <x v="46"/>
    <n v="82112"/>
    <x v="32"/>
    <x v="32"/>
    <n v="14"/>
    <n v="1400"/>
  </r>
  <r>
    <n v="1687"/>
    <x v="0"/>
    <x v="20"/>
    <x v="20"/>
    <x v="8"/>
    <x v="8"/>
    <x v="47"/>
    <n v="86077"/>
    <x v="125"/>
    <x v="102"/>
    <n v="18"/>
    <n v="600"/>
  </r>
  <r>
    <n v="1688"/>
    <x v="0"/>
    <x v="20"/>
    <x v="20"/>
    <x v="8"/>
    <x v="8"/>
    <x v="120"/>
    <n v="86042"/>
    <x v="92"/>
    <x v="80"/>
    <n v="12"/>
    <n v="600"/>
  </r>
  <r>
    <n v="1689"/>
    <x v="0"/>
    <x v="20"/>
    <x v="20"/>
    <x v="9"/>
    <x v="9"/>
    <x v="55"/>
    <n v="90007"/>
    <x v="12"/>
    <x v="169"/>
    <n v="227"/>
    <n v="987"/>
  </r>
  <r>
    <n v="1690"/>
    <x v="0"/>
    <x v="20"/>
    <x v="20"/>
    <x v="9"/>
    <x v="9"/>
    <x v="65"/>
    <n v="90014"/>
    <x v="20"/>
    <x v="150"/>
    <n v="129"/>
    <n v="992"/>
  </r>
  <r>
    <n v="1691"/>
    <x v="0"/>
    <x v="20"/>
    <x v="20"/>
    <x v="9"/>
    <x v="9"/>
    <x v="63"/>
    <n v="90028"/>
    <x v="31"/>
    <x v="31"/>
    <n v="14"/>
    <n v="900"/>
  </r>
  <r>
    <n v="1692"/>
    <x v="0"/>
    <x v="20"/>
    <x v="20"/>
    <x v="9"/>
    <x v="9"/>
    <x v="66"/>
    <n v="90056"/>
    <x v="32"/>
    <x v="32"/>
    <n v="10"/>
    <n v="1000"/>
  </r>
  <r>
    <n v="1693"/>
    <x v="0"/>
    <x v="20"/>
    <x v="20"/>
    <x v="9"/>
    <x v="9"/>
    <x v="64"/>
    <n v="90112"/>
    <x v="32"/>
    <x v="32"/>
    <n v="10"/>
    <n v="1000"/>
  </r>
  <r>
    <n v="1694"/>
    <x v="0"/>
    <x v="21"/>
    <x v="21"/>
    <x v="0"/>
    <x v="0"/>
    <x v="2"/>
    <n v="22140"/>
    <x v="44"/>
    <x v="39"/>
    <n v="32"/>
    <n v="711"/>
  </r>
  <r>
    <n v="1695"/>
    <x v="0"/>
    <x v="21"/>
    <x v="21"/>
    <x v="0"/>
    <x v="0"/>
    <x v="3"/>
    <n v="22084"/>
    <x v="40"/>
    <x v="112"/>
    <n v="12"/>
    <n v="632"/>
  </r>
  <r>
    <n v="1696"/>
    <x v="0"/>
    <x v="21"/>
    <x v="21"/>
    <x v="0"/>
    <x v="0"/>
    <x v="5"/>
    <n v="22091"/>
    <x v="132"/>
    <x v="31"/>
    <n v="12"/>
    <n v="800"/>
  </r>
  <r>
    <n v="1697"/>
    <x v="0"/>
    <x v="21"/>
    <x v="21"/>
    <x v="0"/>
    <x v="0"/>
    <x v="4"/>
    <n v="22014"/>
    <x v="31"/>
    <x v="77"/>
    <n v="12"/>
    <n v="857"/>
  </r>
  <r>
    <n v="1698"/>
    <x v="0"/>
    <x v="21"/>
    <x v="21"/>
    <x v="1"/>
    <x v="1"/>
    <x v="142"/>
    <n v="14007"/>
    <x v="385"/>
    <x v="381"/>
    <n v="39685"/>
    <n v="1018"/>
  </r>
  <r>
    <n v="1699"/>
    <x v="0"/>
    <x v="21"/>
    <x v="21"/>
    <x v="1"/>
    <x v="1"/>
    <x v="8"/>
    <n v="14119"/>
    <x v="386"/>
    <x v="160"/>
    <n v="15400"/>
    <n v="856"/>
  </r>
  <r>
    <n v="1700"/>
    <x v="0"/>
    <x v="21"/>
    <x v="21"/>
    <x v="1"/>
    <x v="1"/>
    <x v="7"/>
    <n v="14147"/>
    <x v="387"/>
    <x v="382"/>
    <n v="11300"/>
    <n v="621"/>
  </r>
  <r>
    <n v="1701"/>
    <x v="0"/>
    <x v="21"/>
    <x v="21"/>
    <x v="1"/>
    <x v="1"/>
    <x v="70"/>
    <n v="14007"/>
    <x v="388"/>
    <x v="383"/>
    <n v="4425"/>
    <n v="918"/>
  </r>
  <r>
    <n v="1702"/>
    <x v="0"/>
    <x v="21"/>
    <x v="21"/>
    <x v="1"/>
    <x v="1"/>
    <x v="13"/>
    <n v="14098"/>
    <x v="120"/>
    <x v="384"/>
    <n v="4970"/>
    <n v="1227"/>
  </r>
  <r>
    <n v="1703"/>
    <x v="0"/>
    <x v="21"/>
    <x v="21"/>
    <x v="1"/>
    <x v="1"/>
    <x v="9"/>
    <n v="14105"/>
    <x v="81"/>
    <x v="230"/>
    <n v="525"/>
    <n v="700"/>
  </r>
  <r>
    <n v="1704"/>
    <x v="0"/>
    <x v="21"/>
    <x v="21"/>
    <x v="1"/>
    <x v="1"/>
    <x v="107"/>
    <n v="14056"/>
    <x v="11"/>
    <x v="385"/>
    <n v="1050"/>
    <n v="1105"/>
  </r>
  <r>
    <n v="1705"/>
    <x v="0"/>
    <x v="21"/>
    <x v="21"/>
    <x v="1"/>
    <x v="1"/>
    <x v="12"/>
    <n v="14014"/>
    <x v="153"/>
    <x v="145"/>
    <n v="730"/>
    <n v="1014"/>
  </r>
  <r>
    <n v="1706"/>
    <x v="0"/>
    <x v="21"/>
    <x v="21"/>
    <x v="1"/>
    <x v="1"/>
    <x v="46"/>
    <n v="14140"/>
    <x v="14"/>
    <x v="12"/>
    <n v="298"/>
    <n v="993"/>
  </r>
  <r>
    <n v="1707"/>
    <x v="0"/>
    <x v="21"/>
    <x v="21"/>
    <x v="1"/>
    <x v="1"/>
    <x v="11"/>
    <n v="14021"/>
    <x v="12"/>
    <x v="214"/>
    <n v="174"/>
    <n v="725"/>
  </r>
  <r>
    <n v="1708"/>
    <x v="0"/>
    <x v="21"/>
    <x v="21"/>
    <x v="1"/>
    <x v="1"/>
    <x v="160"/>
    <n v="14084"/>
    <x v="207"/>
    <x v="357"/>
    <n v="145"/>
    <n v="1021"/>
  </r>
  <r>
    <n v="1709"/>
    <x v="0"/>
    <x v="21"/>
    <x v="21"/>
    <x v="1"/>
    <x v="1"/>
    <x v="143"/>
    <n v="14042"/>
    <x v="23"/>
    <x v="386"/>
    <n v="55"/>
    <n v="597"/>
  </r>
  <r>
    <n v="1710"/>
    <x v="0"/>
    <x v="21"/>
    <x v="21"/>
    <x v="1"/>
    <x v="1"/>
    <x v="84"/>
    <n v="14168"/>
    <x v="225"/>
    <x v="111"/>
    <n v="30"/>
    <n v="600"/>
  </r>
  <r>
    <n v="1711"/>
    <x v="0"/>
    <x v="21"/>
    <x v="21"/>
    <x v="1"/>
    <x v="1"/>
    <x v="133"/>
    <n v="14112"/>
    <x v="44"/>
    <x v="39"/>
    <n v="27"/>
    <n v="600"/>
  </r>
  <r>
    <n v="1712"/>
    <x v="0"/>
    <x v="21"/>
    <x v="21"/>
    <x v="1"/>
    <x v="1"/>
    <x v="131"/>
    <n v="14126"/>
    <x v="45"/>
    <x v="31"/>
    <n v="11"/>
    <n v="733"/>
  </r>
  <r>
    <n v="1713"/>
    <x v="0"/>
    <x v="21"/>
    <x v="21"/>
    <x v="1"/>
    <x v="1"/>
    <x v="144"/>
    <n v="14175"/>
    <x v="45"/>
    <x v="140"/>
    <n v="11"/>
    <n v="611"/>
  </r>
  <r>
    <n v="1714"/>
    <x v="0"/>
    <x v="21"/>
    <x v="21"/>
    <x v="1"/>
    <x v="1"/>
    <x v="42"/>
    <n v="14133"/>
    <x v="32"/>
    <x v="32"/>
    <n v="9"/>
    <n v="900"/>
  </r>
  <r>
    <n v="1715"/>
    <x v="0"/>
    <x v="21"/>
    <x v="21"/>
    <x v="1"/>
    <x v="1"/>
    <x v="134"/>
    <n v="14091"/>
    <x v="77"/>
    <x v="67"/>
    <n v="5"/>
    <n v="625"/>
  </r>
  <r>
    <n v="1716"/>
    <x v="0"/>
    <x v="21"/>
    <x v="21"/>
    <x v="2"/>
    <x v="2"/>
    <x v="23"/>
    <n v="18126"/>
    <x v="20"/>
    <x v="21"/>
    <n v="108"/>
    <n v="771"/>
  </r>
  <r>
    <n v="1717"/>
    <x v="0"/>
    <x v="21"/>
    <x v="21"/>
    <x v="2"/>
    <x v="2"/>
    <x v="18"/>
    <n v="18049"/>
    <x v="123"/>
    <x v="274"/>
    <n v="99"/>
    <n v="900"/>
  </r>
  <r>
    <n v="1718"/>
    <x v="0"/>
    <x v="21"/>
    <x v="21"/>
    <x v="2"/>
    <x v="2"/>
    <x v="16"/>
    <n v="18091"/>
    <x v="23"/>
    <x v="23"/>
    <n v="90"/>
    <n v="900"/>
  </r>
  <r>
    <n v="1719"/>
    <x v="0"/>
    <x v="21"/>
    <x v="21"/>
    <x v="2"/>
    <x v="2"/>
    <x v="15"/>
    <n v="18112"/>
    <x v="23"/>
    <x v="151"/>
    <n v="81"/>
    <n v="900"/>
  </r>
  <r>
    <n v="1720"/>
    <x v="0"/>
    <x v="21"/>
    <x v="21"/>
    <x v="2"/>
    <x v="2"/>
    <x v="26"/>
    <n v="18070"/>
    <x v="67"/>
    <x v="44"/>
    <n v="72"/>
    <n v="900"/>
  </r>
  <r>
    <n v="1721"/>
    <x v="0"/>
    <x v="21"/>
    <x v="21"/>
    <x v="2"/>
    <x v="2"/>
    <x v="25"/>
    <n v="18035"/>
    <x v="32"/>
    <x v="32"/>
    <n v="9"/>
    <n v="900"/>
  </r>
  <r>
    <n v="1722"/>
    <x v="0"/>
    <x v="21"/>
    <x v="21"/>
    <x v="2"/>
    <x v="2"/>
    <x v="20"/>
    <n v="18147"/>
    <x v="78"/>
    <x v="30"/>
    <n v="3"/>
    <n v="1000"/>
  </r>
  <r>
    <n v="1723"/>
    <x v="0"/>
    <x v="21"/>
    <x v="21"/>
    <x v="2"/>
    <x v="2"/>
    <x v="61"/>
    <n v="18175"/>
    <x v="33"/>
    <x v="33"/>
    <n v="4"/>
    <n v="800"/>
  </r>
  <r>
    <n v="1724"/>
    <x v="0"/>
    <x v="21"/>
    <x v="21"/>
    <x v="2"/>
    <x v="2"/>
    <x v="78"/>
    <n v="18105"/>
    <x v="34"/>
    <x v="34"/>
    <n v="2"/>
    <n v="1000"/>
  </r>
  <r>
    <n v="1725"/>
    <x v="0"/>
    <x v="21"/>
    <x v="21"/>
    <x v="2"/>
    <x v="2"/>
    <x v="77"/>
    <n v="18119"/>
    <x v="34"/>
    <x v="34"/>
    <n v="2"/>
    <n v="1000"/>
  </r>
  <r>
    <n v="1726"/>
    <x v="0"/>
    <x v="21"/>
    <x v="21"/>
    <x v="3"/>
    <x v="3"/>
    <x v="28"/>
    <n v="30028"/>
    <x v="147"/>
    <x v="387"/>
    <n v="1339"/>
    <n v="862"/>
  </r>
  <r>
    <n v="1727"/>
    <x v="0"/>
    <x v="21"/>
    <x v="21"/>
    <x v="3"/>
    <x v="3"/>
    <x v="29"/>
    <n v="30015"/>
    <x v="126"/>
    <x v="388"/>
    <n v="1334"/>
    <n v="840"/>
  </r>
  <r>
    <n v="1728"/>
    <x v="0"/>
    <x v="21"/>
    <x v="21"/>
    <x v="3"/>
    <x v="3"/>
    <x v="11"/>
    <n v="30008"/>
    <x v="23"/>
    <x v="134"/>
    <n v="56"/>
    <n v="800"/>
  </r>
  <r>
    <n v="1729"/>
    <x v="0"/>
    <x v="21"/>
    <x v="21"/>
    <x v="3"/>
    <x v="3"/>
    <x v="92"/>
    <n v="30070"/>
    <x v="32"/>
    <x v="34"/>
    <n v="1"/>
    <n v="500"/>
  </r>
  <r>
    <n v="1730"/>
    <x v="0"/>
    <x v="21"/>
    <x v="21"/>
    <x v="4"/>
    <x v="4"/>
    <x v="33"/>
    <n v="34056"/>
    <x v="125"/>
    <x v="139"/>
    <n v="42"/>
    <n v="1200"/>
  </r>
  <r>
    <n v="1731"/>
    <x v="0"/>
    <x v="21"/>
    <x v="21"/>
    <x v="4"/>
    <x v="4"/>
    <x v="34"/>
    <n v="34035"/>
    <x v="45"/>
    <x v="80"/>
    <n v="18"/>
    <n v="900"/>
  </r>
  <r>
    <n v="1732"/>
    <x v="0"/>
    <x v="21"/>
    <x v="21"/>
    <x v="4"/>
    <x v="4"/>
    <x v="30"/>
    <n v="34049"/>
    <x v="31"/>
    <x v="31"/>
    <n v="15"/>
    <n v="1000"/>
  </r>
  <r>
    <n v="1733"/>
    <x v="0"/>
    <x v="21"/>
    <x v="21"/>
    <x v="4"/>
    <x v="4"/>
    <x v="31"/>
    <n v="34021"/>
    <x v="32"/>
    <x v="67"/>
    <n v="8"/>
    <n v="1000"/>
  </r>
  <r>
    <n v="1734"/>
    <x v="0"/>
    <x v="21"/>
    <x v="21"/>
    <x v="4"/>
    <x v="4"/>
    <x v="32"/>
    <n v="34014"/>
    <x v="77"/>
    <x v="67"/>
    <n v="8"/>
    <n v="1000"/>
  </r>
  <r>
    <n v="1735"/>
    <x v="0"/>
    <x v="21"/>
    <x v="21"/>
    <x v="4"/>
    <x v="4"/>
    <x v="81"/>
    <n v="34042"/>
    <x v="33"/>
    <x v="33"/>
    <n v="5"/>
    <n v="1000"/>
  </r>
  <r>
    <n v="1736"/>
    <x v="0"/>
    <x v="21"/>
    <x v="21"/>
    <x v="6"/>
    <x v="6"/>
    <x v="40"/>
    <n v="54021"/>
    <x v="27"/>
    <x v="45"/>
    <n v="28"/>
    <n v="700"/>
  </r>
  <r>
    <n v="1737"/>
    <x v="0"/>
    <x v="21"/>
    <x v="21"/>
    <x v="6"/>
    <x v="6"/>
    <x v="114"/>
    <n v="54014"/>
    <x v="125"/>
    <x v="4"/>
    <n v="24"/>
    <n v="667"/>
  </r>
  <r>
    <n v="1738"/>
    <x v="0"/>
    <x v="21"/>
    <x v="21"/>
    <x v="6"/>
    <x v="6"/>
    <x v="42"/>
    <n v="54105"/>
    <x v="125"/>
    <x v="72"/>
    <n v="21"/>
    <n v="700"/>
  </r>
  <r>
    <n v="1739"/>
    <x v="0"/>
    <x v="21"/>
    <x v="21"/>
    <x v="6"/>
    <x v="6"/>
    <x v="41"/>
    <n v="54098"/>
    <x v="131"/>
    <x v="72"/>
    <n v="21"/>
    <n v="700"/>
  </r>
  <r>
    <n v="1740"/>
    <x v="0"/>
    <x v="21"/>
    <x v="21"/>
    <x v="6"/>
    <x v="6"/>
    <x v="116"/>
    <n v="54063"/>
    <x v="45"/>
    <x v="140"/>
    <n v="12"/>
    <n v="667"/>
  </r>
  <r>
    <n v="1741"/>
    <x v="0"/>
    <x v="21"/>
    <x v="21"/>
    <x v="6"/>
    <x v="6"/>
    <x v="39"/>
    <n v="54007"/>
    <x v="13"/>
    <x v="32"/>
    <n v="8"/>
    <n v="800"/>
  </r>
  <r>
    <n v="1742"/>
    <x v="0"/>
    <x v="21"/>
    <x v="21"/>
    <x v="6"/>
    <x v="6"/>
    <x v="43"/>
    <n v="54035"/>
    <x v="13"/>
    <x v="32"/>
    <n v="7"/>
    <n v="700"/>
  </r>
  <r>
    <n v="1743"/>
    <x v="0"/>
    <x v="21"/>
    <x v="21"/>
    <x v="6"/>
    <x v="6"/>
    <x v="37"/>
    <n v="54112"/>
    <x v="33"/>
    <x v="46"/>
    <n v="3"/>
    <n v="750"/>
  </r>
  <r>
    <n v="1744"/>
    <x v="0"/>
    <x v="21"/>
    <x v="21"/>
    <x v="6"/>
    <x v="6"/>
    <x v="115"/>
    <n v="54056"/>
    <x v="34"/>
    <x v="34"/>
    <n v="2"/>
    <n v="1000"/>
  </r>
  <r>
    <n v="1745"/>
    <x v="0"/>
    <x v="21"/>
    <x v="21"/>
    <x v="6"/>
    <x v="6"/>
    <x v="12"/>
    <n v="54028"/>
    <x v="48"/>
    <x v="47"/>
    <n v="1"/>
    <n v="1000"/>
  </r>
  <r>
    <n v="1746"/>
    <x v="0"/>
    <x v="21"/>
    <x v="21"/>
    <x v="11"/>
    <x v="11"/>
    <x v="62"/>
    <m/>
    <x v="125"/>
    <x v="183"/>
    <m/>
    <m/>
  </r>
  <r>
    <n v="1747"/>
    <x v="0"/>
    <x v="21"/>
    <x v="21"/>
    <x v="13"/>
    <x v="13"/>
    <x v="94"/>
    <n v="74035"/>
    <x v="6"/>
    <x v="6"/>
    <n v="22"/>
    <n v="917"/>
  </r>
  <r>
    <n v="1748"/>
    <x v="0"/>
    <x v="21"/>
    <x v="21"/>
    <x v="13"/>
    <x v="13"/>
    <x v="87"/>
    <n v="74028"/>
    <x v="34"/>
    <x v="34"/>
    <n v="2"/>
    <n v="1000"/>
  </r>
  <r>
    <n v="1749"/>
    <x v="0"/>
    <x v="21"/>
    <x v="21"/>
    <x v="7"/>
    <x v="7"/>
    <x v="45"/>
    <n v="82035"/>
    <x v="108"/>
    <x v="10"/>
    <n v="1383"/>
    <n v="1257"/>
  </r>
  <r>
    <n v="1750"/>
    <x v="0"/>
    <x v="21"/>
    <x v="21"/>
    <x v="7"/>
    <x v="7"/>
    <x v="44"/>
    <n v="82049"/>
    <x v="389"/>
    <x v="11"/>
    <n v="957"/>
    <n v="957"/>
  </r>
  <r>
    <n v="1751"/>
    <x v="0"/>
    <x v="21"/>
    <x v="21"/>
    <x v="7"/>
    <x v="7"/>
    <x v="42"/>
    <n v="82098"/>
    <x v="23"/>
    <x v="151"/>
    <n v="90"/>
    <n v="1000"/>
  </r>
  <r>
    <n v="1752"/>
    <x v="0"/>
    <x v="21"/>
    <x v="21"/>
    <x v="9"/>
    <x v="9"/>
    <x v="55"/>
    <n v="90007"/>
    <x v="302"/>
    <x v="62"/>
    <n v="220"/>
    <n v="1000"/>
  </r>
  <r>
    <n v="1753"/>
    <x v="0"/>
    <x v="21"/>
    <x v="21"/>
    <x v="9"/>
    <x v="9"/>
    <x v="65"/>
    <n v="90014"/>
    <x v="143"/>
    <x v="23"/>
    <n v="100"/>
    <n v="1000"/>
  </r>
  <r>
    <n v="1754"/>
    <x v="0"/>
    <x v="21"/>
    <x v="21"/>
    <x v="9"/>
    <x v="9"/>
    <x v="63"/>
    <n v="90028"/>
    <x v="31"/>
    <x v="31"/>
    <n v="15"/>
    <n v="1000"/>
  </r>
  <r>
    <n v="1755"/>
    <x v="0"/>
    <x v="21"/>
    <x v="21"/>
    <x v="9"/>
    <x v="9"/>
    <x v="66"/>
    <n v="90056"/>
    <x v="32"/>
    <x v="32"/>
    <n v="10"/>
    <n v="1000"/>
  </r>
  <r>
    <n v="1756"/>
    <x v="0"/>
    <x v="21"/>
    <x v="21"/>
    <x v="9"/>
    <x v="9"/>
    <x v="64"/>
    <n v="90112"/>
    <x v="32"/>
    <x v="32"/>
    <n v="10"/>
    <n v="1000"/>
  </r>
  <r>
    <n v="1757"/>
    <x v="0"/>
    <x v="22"/>
    <x v="22"/>
    <x v="1"/>
    <x v="1"/>
    <x v="142"/>
    <n v="14007"/>
    <x v="390"/>
    <x v="389"/>
    <n v="28600"/>
    <n v="864"/>
  </r>
  <r>
    <n v="1758"/>
    <x v="0"/>
    <x v="22"/>
    <x v="22"/>
    <x v="1"/>
    <x v="1"/>
    <x v="8"/>
    <n v="14119"/>
    <x v="381"/>
    <x v="269"/>
    <n v="15700"/>
    <n v="826"/>
  </r>
  <r>
    <n v="1759"/>
    <x v="0"/>
    <x v="22"/>
    <x v="22"/>
    <x v="1"/>
    <x v="1"/>
    <x v="7"/>
    <n v="14147"/>
    <x v="391"/>
    <x v="390"/>
    <n v="4960"/>
    <n v="480"/>
  </r>
  <r>
    <n v="1760"/>
    <x v="0"/>
    <x v="22"/>
    <x v="22"/>
    <x v="1"/>
    <x v="1"/>
    <x v="70"/>
    <n v="14007"/>
    <x v="392"/>
    <x v="301"/>
    <n v="3870"/>
    <n v="900"/>
  </r>
  <r>
    <n v="1761"/>
    <x v="0"/>
    <x v="22"/>
    <x v="22"/>
    <x v="1"/>
    <x v="1"/>
    <x v="13"/>
    <n v="14098"/>
    <x v="120"/>
    <x v="391"/>
    <n v="2240"/>
    <n v="711"/>
  </r>
  <r>
    <n v="1762"/>
    <x v="0"/>
    <x v="22"/>
    <x v="22"/>
    <x v="1"/>
    <x v="1"/>
    <x v="9"/>
    <n v="14105"/>
    <x v="57"/>
    <x v="392"/>
    <n v="590"/>
    <n v="610"/>
  </r>
  <r>
    <n v="1763"/>
    <x v="0"/>
    <x v="22"/>
    <x v="22"/>
    <x v="1"/>
    <x v="1"/>
    <x v="107"/>
    <n v="14056"/>
    <x v="11"/>
    <x v="158"/>
    <n v="560"/>
    <n v="861"/>
  </r>
  <r>
    <n v="1764"/>
    <x v="0"/>
    <x v="22"/>
    <x v="22"/>
    <x v="1"/>
    <x v="1"/>
    <x v="12"/>
    <n v="14014"/>
    <x v="43"/>
    <x v="393"/>
    <n v="490"/>
    <n v="693"/>
  </r>
  <r>
    <n v="1765"/>
    <x v="0"/>
    <x v="22"/>
    <x v="22"/>
    <x v="1"/>
    <x v="1"/>
    <x v="46"/>
    <n v="14140"/>
    <x v="26"/>
    <x v="61"/>
    <n v="150"/>
    <n v="600"/>
  </r>
  <r>
    <n v="1766"/>
    <x v="0"/>
    <x v="22"/>
    <x v="22"/>
    <x v="1"/>
    <x v="1"/>
    <x v="11"/>
    <n v="14021"/>
    <x v="18"/>
    <x v="150"/>
    <n v="84"/>
    <n v="646"/>
  </r>
  <r>
    <n v="1767"/>
    <x v="0"/>
    <x v="22"/>
    <x v="22"/>
    <x v="1"/>
    <x v="1"/>
    <x v="143"/>
    <n v="14042"/>
    <x v="23"/>
    <x v="394"/>
    <n v="53"/>
    <n v="616"/>
  </r>
  <r>
    <n v="1768"/>
    <x v="0"/>
    <x v="22"/>
    <x v="22"/>
    <x v="1"/>
    <x v="1"/>
    <x v="133"/>
    <n v="14112"/>
    <x v="72"/>
    <x v="80"/>
    <n v="10"/>
    <n v="500"/>
  </r>
  <r>
    <n v="1769"/>
    <x v="0"/>
    <x v="22"/>
    <x v="22"/>
    <x v="1"/>
    <x v="1"/>
    <x v="84"/>
    <n v="14168"/>
    <x v="72"/>
    <x v="157"/>
    <n v="11"/>
    <n v="407"/>
  </r>
  <r>
    <n v="1770"/>
    <x v="0"/>
    <x v="22"/>
    <x v="22"/>
    <x v="1"/>
    <x v="1"/>
    <x v="131"/>
    <n v="14126"/>
    <x v="45"/>
    <x v="140"/>
    <n v="13"/>
    <n v="722"/>
  </r>
  <r>
    <n v="1771"/>
    <x v="0"/>
    <x v="22"/>
    <x v="22"/>
    <x v="1"/>
    <x v="1"/>
    <x v="144"/>
    <n v="14175"/>
    <x v="45"/>
    <x v="79"/>
    <n v="7"/>
    <n v="437"/>
  </r>
  <r>
    <n v="1772"/>
    <x v="0"/>
    <x v="22"/>
    <x v="22"/>
    <x v="1"/>
    <x v="1"/>
    <x v="42"/>
    <n v="14133"/>
    <x v="32"/>
    <x v="52"/>
    <n v="8"/>
    <n v="889"/>
  </r>
  <r>
    <n v="1773"/>
    <x v="0"/>
    <x v="22"/>
    <x v="22"/>
    <x v="1"/>
    <x v="1"/>
    <x v="134"/>
    <n v="14091"/>
    <x v="77"/>
    <x v="29"/>
    <n v="4"/>
    <n v="571"/>
  </r>
  <r>
    <n v="1774"/>
    <x v="0"/>
    <x v="22"/>
    <x v="22"/>
    <x v="2"/>
    <x v="2"/>
    <x v="15"/>
    <n v="18112"/>
    <x v="23"/>
    <x v="134"/>
    <n v="35"/>
    <n v="500"/>
  </r>
  <r>
    <n v="1775"/>
    <x v="0"/>
    <x v="22"/>
    <x v="22"/>
    <x v="2"/>
    <x v="2"/>
    <x v="25"/>
    <n v="18035"/>
    <x v="32"/>
    <x v="67"/>
    <n v="4"/>
    <n v="500"/>
  </r>
  <r>
    <n v="1776"/>
    <x v="0"/>
    <x v="22"/>
    <x v="22"/>
    <x v="2"/>
    <x v="2"/>
    <x v="20"/>
    <n v="18147"/>
    <x v="78"/>
    <x v="34"/>
    <n v="1"/>
    <n v="500"/>
  </r>
  <r>
    <n v="1777"/>
    <x v="0"/>
    <x v="22"/>
    <x v="22"/>
    <x v="2"/>
    <x v="2"/>
    <x v="78"/>
    <n v="18105"/>
    <x v="34"/>
    <x v="34"/>
    <n v="1"/>
    <n v="500"/>
  </r>
  <r>
    <n v="1778"/>
    <x v="0"/>
    <x v="22"/>
    <x v="22"/>
    <x v="2"/>
    <x v="2"/>
    <x v="77"/>
    <n v="18119"/>
    <x v="34"/>
    <x v="34"/>
    <n v="1"/>
    <n v="500"/>
  </r>
  <r>
    <n v="1779"/>
    <x v="0"/>
    <x v="22"/>
    <x v="22"/>
    <x v="3"/>
    <x v="3"/>
    <x v="28"/>
    <n v="30028"/>
    <x v="393"/>
    <x v="57"/>
    <n v="560"/>
    <n v="800"/>
  </r>
  <r>
    <n v="1780"/>
    <x v="0"/>
    <x v="22"/>
    <x v="22"/>
    <x v="3"/>
    <x v="3"/>
    <x v="29"/>
    <n v="30015"/>
    <x v="12"/>
    <x v="61"/>
    <n v="250"/>
    <n v="1000"/>
  </r>
  <r>
    <n v="1781"/>
    <x v="0"/>
    <x v="22"/>
    <x v="22"/>
    <x v="3"/>
    <x v="3"/>
    <x v="11"/>
    <n v="30008"/>
    <x v="44"/>
    <x v="78"/>
    <n v="10"/>
    <n v="400"/>
  </r>
  <r>
    <n v="1782"/>
    <x v="0"/>
    <x v="22"/>
    <x v="22"/>
    <x v="4"/>
    <x v="4"/>
    <x v="33"/>
    <n v="34056"/>
    <x v="196"/>
    <x v="219"/>
    <n v="75"/>
    <n v="1339"/>
  </r>
  <r>
    <n v="1783"/>
    <x v="0"/>
    <x v="22"/>
    <x v="22"/>
    <x v="4"/>
    <x v="4"/>
    <x v="30"/>
    <n v="34049"/>
    <x v="94"/>
    <x v="99"/>
    <n v="30"/>
    <n v="1363"/>
  </r>
  <r>
    <n v="1784"/>
    <x v="0"/>
    <x v="22"/>
    <x v="22"/>
    <x v="4"/>
    <x v="4"/>
    <x v="34"/>
    <n v="34035"/>
    <x v="45"/>
    <x v="80"/>
    <n v="20"/>
    <n v="1000"/>
  </r>
  <r>
    <n v="1785"/>
    <x v="0"/>
    <x v="22"/>
    <x v="22"/>
    <x v="4"/>
    <x v="4"/>
    <x v="32"/>
    <n v="34014"/>
    <x v="13"/>
    <x v="13"/>
    <n v="15"/>
    <n v="1250"/>
  </r>
  <r>
    <n v="1786"/>
    <x v="0"/>
    <x v="22"/>
    <x v="22"/>
    <x v="4"/>
    <x v="4"/>
    <x v="31"/>
    <n v="34021"/>
    <x v="13"/>
    <x v="13"/>
    <n v="15"/>
    <n v="1250"/>
  </r>
  <r>
    <n v="1787"/>
    <x v="0"/>
    <x v="22"/>
    <x v="22"/>
    <x v="4"/>
    <x v="4"/>
    <x v="81"/>
    <n v="34042"/>
    <x v="50"/>
    <x v="136"/>
    <n v="15"/>
    <n v="1364"/>
  </r>
  <r>
    <n v="1788"/>
    <x v="0"/>
    <x v="22"/>
    <x v="22"/>
    <x v="6"/>
    <x v="6"/>
    <x v="40"/>
    <n v="54021"/>
    <x v="373"/>
    <x v="225"/>
    <n v="40"/>
    <n v="667"/>
  </r>
  <r>
    <n v="1789"/>
    <x v="0"/>
    <x v="22"/>
    <x v="22"/>
    <x v="6"/>
    <x v="6"/>
    <x v="114"/>
    <n v="54014"/>
    <x v="125"/>
    <x v="139"/>
    <n v="28"/>
    <n v="800"/>
  </r>
  <r>
    <n v="1790"/>
    <x v="0"/>
    <x v="22"/>
    <x v="22"/>
    <x v="6"/>
    <x v="6"/>
    <x v="42"/>
    <n v="54105"/>
    <x v="125"/>
    <x v="102"/>
    <n v="25"/>
    <n v="700"/>
  </r>
  <r>
    <n v="1791"/>
    <x v="0"/>
    <x v="22"/>
    <x v="22"/>
    <x v="6"/>
    <x v="6"/>
    <x v="41"/>
    <n v="54098"/>
    <x v="131"/>
    <x v="72"/>
    <n v="21"/>
    <n v="700"/>
  </r>
  <r>
    <n v="1792"/>
    <x v="0"/>
    <x v="22"/>
    <x v="22"/>
    <x v="6"/>
    <x v="6"/>
    <x v="116"/>
    <n v="54063"/>
    <x v="45"/>
    <x v="79"/>
    <n v="11"/>
    <n v="678"/>
  </r>
  <r>
    <n v="1793"/>
    <x v="0"/>
    <x v="22"/>
    <x v="22"/>
    <x v="6"/>
    <x v="6"/>
    <x v="39"/>
    <n v="54007"/>
    <x v="13"/>
    <x v="67"/>
    <n v="7"/>
    <n v="875"/>
  </r>
  <r>
    <n v="1794"/>
    <x v="0"/>
    <x v="22"/>
    <x v="22"/>
    <x v="6"/>
    <x v="6"/>
    <x v="43"/>
    <n v="54035"/>
    <x v="13"/>
    <x v="32"/>
    <n v="7"/>
    <n v="700"/>
  </r>
  <r>
    <n v="1795"/>
    <x v="0"/>
    <x v="22"/>
    <x v="22"/>
    <x v="6"/>
    <x v="6"/>
    <x v="37"/>
    <n v="54112"/>
    <x v="33"/>
    <x v="33"/>
    <n v="4"/>
    <n v="800"/>
  </r>
  <r>
    <n v="1796"/>
    <x v="0"/>
    <x v="22"/>
    <x v="22"/>
    <x v="6"/>
    <x v="6"/>
    <x v="115"/>
    <n v="54056"/>
    <x v="34"/>
    <x v="34"/>
    <n v="1"/>
    <n v="500"/>
  </r>
  <r>
    <n v="1797"/>
    <x v="0"/>
    <x v="22"/>
    <x v="22"/>
    <x v="6"/>
    <x v="6"/>
    <x v="12"/>
    <n v="54028"/>
    <x v="48"/>
    <x v="47"/>
    <n v="1"/>
    <n v="1000"/>
  </r>
  <r>
    <n v="1798"/>
    <x v="0"/>
    <x v="22"/>
    <x v="22"/>
    <x v="11"/>
    <x v="11"/>
    <x v="106"/>
    <n v="66112"/>
    <x v="44"/>
    <x v="111"/>
    <n v="75"/>
    <n v="1500"/>
  </r>
  <r>
    <n v="1799"/>
    <x v="0"/>
    <x v="22"/>
    <x v="22"/>
    <x v="13"/>
    <x v="13"/>
    <x v="94"/>
    <n v="74035"/>
    <x v="89"/>
    <x v="76"/>
    <n v="73"/>
    <n v="973"/>
  </r>
  <r>
    <n v="1800"/>
    <x v="0"/>
    <x v="22"/>
    <x v="22"/>
    <x v="13"/>
    <x v="13"/>
    <x v="86"/>
    <n v="74021"/>
    <x v="33"/>
    <x v="33"/>
    <n v="5"/>
    <n v="1000"/>
  </r>
  <r>
    <n v="1801"/>
    <x v="0"/>
    <x v="22"/>
    <x v="22"/>
    <x v="13"/>
    <x v="13"/>
    <x v="87"/>
    <n v="74028"/>
    <x v="34"/>
    <x v="34"/>
    <n v="2"/>
    <n v="1000"/>
  </r>
  <r>
    <n v="1802"/>
    <x v="0"/>
    <x v="22"/>
    <x v="22"/>
    <x v="7"/>
    <x v="7"/>
    <x v="45"/>
    <n v="82035"/>
    <x v="10"/>
    <x v="282"/>
    <n v="890"/>
    <n v="1112"/>
  </r>
  <r>
    <n v="1803"/>
    <x v="0"/>
    <x v="22"/>
    <x v="22"/>
    <x v="7"/>
    <x v="7"/>
    <x v="44"/>
    <n v="82049"/>
    <x v="153"/>
    <x v="57"/>
    <n v="700"/>
    <n v="1000"/>
  </r>
  <r>
    <n v="1804"/>
    <x v="0"/>
    <x v="22"/>
    <x v="22"/>
    <x v="7"/>
    <x v="7"/>
    <x v="42"/>
    <n v="82098"/>
    <x v="44"/>
    <x v="45"/>
    <n v="40"/>
    <n v="1000"/>
  </r>
  <r>
    <n v="1805"/>
    <x v="0"/>
    <x v="22"/>
    <x v="22"/>
    <x v="9"/>
    <x v="9"/>
    <x v="55"/>
    <n v="90007"/>
    <x v="302"/>
    <x v="62"/>
    <n v="175"/>
    <n v="795"/>
  </r>
  <r>
    <n v="1806"/>
    <x v="0"/>
    <x v="22"/>
    <x v="22"/>
    <x v="9"/>
    <x v="9"/>
    <x v="65"/>
    <n v="90014"/>
    <x v="143"/>
    <x v="23"/>
    <n v="80"/>
    <n v="800"/>
  </r>
  <r>
    <n v="1807"/>
    <x v="0"/>
    <x v="22"/>
    <x v="22"/>
    <x v="9"/>
    <x v="9"/>
    <x v="63"/>
    <n v="90028"/>
    <x v="31"/>
    <x v="31"/>
    <n v="15"/>
    <n v="1000"/>
  </r>
  <r>
    <n v="1808"/>
    <x v="0"/>
    <x v="22"/>
    <x v="22"/>
    <x v="9"/>
    <x v="9"/>
    <x v="66"/>
    <n v="90056"/>
    <x v="32"/>
    <x v="32"/>
    <n v="8"/>
    <n v="800"/>
  </r>
  <r>
    <n v="1809"/>
    <x v="0"/>
    <x v="22"/>
    <x v="22"/>
    <x v="9"/>
    <x v="9"/>
    <x v="64"/>
    <n v="90112"/>
    <x v="32"/>
    <x v="32"/>
    <n v="10"/>
    <n v="1000"/>
  </r>
  <r>
    <n v="1810"/>
    <x v="0"/>
    <x v="23"/>
    <x v="23"/>
    <x v="1"/>
    <x v="1"/>
    <x v="142"/>
    <n v="14007"/>
    <x v="394"/>
    <x v="395"/>
    <n v="51500"/>
    <n v="990"/>
  </r>
  <r>
    <n v="1811"/>
    <x v="0"/>
    <x v="23"/>
    <x v="23"/>
    <x v="1"/>
    <x v="1"/>
    <x v="8"/>
    <n v="14119"/>
    <x v="386"/>
    <x v="396"/>
    <n v="15870"/>
    <n v="844"/>
  </r>
  <r>
    <n v="1812"/>
    <x v="0"/>
    <x v="23"/>
    <x v="23"/>
    <x v="1"/>
    <x v="1"/>
    <x v="7"/>
    <n v="14147"/>
    <x v="395"/>
    <x v="397"/>
    <n v="11590"/>
    <n v="594"/>
  </r>
  <r>
    <n v="1813"/>
    <x v="0"/>
    <x v="23"/>
    <x v="23"/>
    <x v="1"/>
    <x v="1"/>
    <x v="70"/>
    <n v="14007"/>
    <x v="157"/>
    <x v="162"/>
    <n v="4500"/>
    <n v="900"/>
  </r>
  <r>
    <n v="1814"/>
    <x v="0"/>
    <x v="23"/>
    <x v="23"/>
    <x v="1"/>
    <x v="1"/>
    <x v="13"/>
    <n v="14098"/>
    <x v="226"/>
    <x v="127"/>
    <n v="4500"/>
    <n v="1000"/>
  </r>
  <r>
    <n v="1815"/>
    <x v="0"/>
    <x v="23"/>
    <x v="23"/>
    <x v="1"/>
    <x v="1"/>
    <x v="9"/>
    <n v="14105"/>
    <x v="81"/>
    <x v="153"/>
    <n v="450"/>
    <n v="500"/>
  </r>
  <r>
    <n v="1816"/>
    <x v="0"/>
    <x v="23"/>
    <x v="23"/>
    <x v="1"/>
    <x v="1"/>
    <x v="107"/>
    <n v="14056"/>
    <x v="11"/>
    <x v="354"/>
    <n v="850"/>
    <n v="1000"/>
  </r>
  <r>
    <n v="1817"/>
    <x v="0"/>
    <x v="23"/>
    <x v="23"/>
    <x v="1"/>
    <x v="1"/>
    <x v="12"/>
    <n v="14014"/>
    <x v="153"/>
    <x v="57"/>
    <n v="560"/>
    <n v="800"/>
  </r>
  <r>
    <n v="1818"/>
    <x v="0"/>
    <x v="23"/>
    <x v="23"/>
    <x v="1"/>
    <x v="1"/>
    <x v="46"/>
    <n v="14140"/>
    <x v="26"/>
    <x v="18"/>
    <n v="80"/>
    <n v="400"/>
  </r>
  <r>
    <n v="1819"/>
    <x v="0"/>
    <x v="23"/>
    <x v="23"/>
    <x v="1"/>
    <x v="1"/>
    <x v="143"/>
    <n v="14042"/>
    <x v="396"/>
    <x v="398"/>
    <n v="200"/>
    <n v="1005"/>
  </r>
  <r>
    <n v="1820"/>
    <x v="0"/>
    <x v="23"/>
    <x v="23"/>
    <x v="1"/>
    <x v="1"/>
    <x v="11"/>
    <n v="14021"/>
    <x v="18"/>
    <x v="23"/>
    <n v="50"/>
    <n v="500"/>
  </r>
  <r>
    <n v="1821"/>
    <x v="0"/>
    <x v="23"/>
    <x v="23"/>
    <x v="1"/>
    <x v="1"/>
    <x v="133"/>
    <n v="14112"/>
    <x v="72"/>
    <x v="80"/>
    <n v="10"/>
    <n v="500"/>
  </r>
  <r>
    <n v="1822"/>
    <x v="0"/>
    <x v="23"/>
    <x v="23"/>
    <x v="1"/>
    <x v="1"/>
    <x v="84"/>
    <n v="14168"/>
    <x v="72"/>
    <x v="78"/>
    <n v="12"/>
    <n v="480"/>
  </r>
  <r>
    <n v="1823"/>
    <x v="0"/>
    <x v="23"/>
    <x v="23"/>
    <x v="1"/>
    <x v="1"/>
    <x v="131"/>
    <n v="14126"/>
    <x v="45"/>
    <x v="31"/>
    <n v="12"/>
    <n v="800"/>
  </r>
  <r>
    <n v="1824"/>
    <x v="0"/>
    <x v="23"/>
    <x v="23"/>
    <x v="1"/>
    <x v="1"/>
    <x v="144"/>
    <n v="14175"/>
    <x v="45"/>
    <x v="31"/>
    <n v="7"/>
    <n v="467"/>
  </r>
  <r>
    <n v="1825"/>
    <x v="0"/>
    <x v="23"/>
    <x v="23"/>
    <x v="1"/>
    <x v="1"/>
    <x v="42"/>
    <n v="14133"/>
    <x v="32"/>
    <x v="67"/>
    <n v="6"/>
    <n v="750"/>
  </r>
  <r>
    <n v="1826"/>
    <x v="0"/>
    <x v="23"/>
    <x v="23"/>
    <x v="1"/>
    <x v="1"/>
    <x v="134"/>
    <n v="14091"/>
    <x v="77"/>
    <x v="49"/>
    <n v="3"/>
    <n v="500"/>
  </r>
  <r>
    <n v="1827"/>
    <x v="0"/>
    <x v="23"/>
    <x v="23"/>
    <x v="3"/>
    <x v="3"/>
    <x v="28"/>
    <n v="30028"/>
    <x v="11"/>
    <x v="283"/>
    <n v="1132"/>
    <n v="1300"/>
  </r>
  <r>
    <n v="1828"/>
    <x v="0"/>
    <x v="23"/>
    <x v="23"/>
    <x v="3"/>
    <x v="3"/>
    <x v="29"/>
    <n v="30015"/>
    <x v="20"/>
    <x v="150"/>
    <n v="156"/>
    <n v="1200"/>
  </r>
  <r>
    <n v="1829"/>
    <x v="0"/>
    <x v="23"/>
    <x v="23"/>
    <x v="3"/>
    <x v="3"/>
    <x v="11"/>
    <n v="30008"/>
    <x v="92"/>
    <x v="80"/>
    <n v="12"/>
    <n v="600"/>
  </r>
  <r>
    <n v="1830"/>
    <x v="0"/>
    <x v="23"/>
    <x v="23"/>
    <x v="4"/>
    <x v="4"/>
    <x v="33"/>
    <n v="34056"/>
    <x v="39"/>
    <x v="45"/>
    <n v="52"/>
    <n v="1300"/>
  </r>
  <r>
    <n v="1831"/>
    <x v="0"/>
    <x v="23"/>
    <x v="23"/>
    <x v="4"/>
    <x v="4"/>
    <x v="34"/>
    <n v="34035"/>
    <x v="45"/>
    <x v="80"/>
    <n v="30"/>
    <n v="1500"/>
  </r>
  <r>
    <n v="1832"/>
    <x v="0"/>
    <x v="23"/>
    <x v="23"/>
    <x v="4"/>
    <x v="4"/>
    <x v="30"/>
    <n v="34049"/>
    <x v="107"/>
    <x v="13"/>
    <n v="12"/>
    <n v="1000"/>
  </r>
  <r>
    <n v="1833"/>
    <x v="0"/>
    <x v="23"/>
    <x v="23"/>
    <x v="4"/>
    <x v="4"/>
    <x v="32"/>
    <n v="34014"/>
    <x v="32"/>
    <x v="29"/>
    <n v="7"/>
    <n v="1000"/>
  </r>
  <r>
    <n v="1834"/>
    <x v="0"/>
    <x v="23"/>
    <x v="23"/>
    <x v="4"/>
    <x v="4"/>
    <x v="31"/>
    <n v="34021"/>
    <x v="32"/>
    <x v="67"/>
    <n v="8"/>
    <n v="1000"/>
  </r>
  <r>
    <n v="1835"/>
    <x v="0"/>
    <x v="23"/>
    <x v="23"/>
    <x v="4"/>
    <x v="4"/>
    <x v="81"/>
    <n v="34042"/>
    <x v="77"/>
    <x v="29"/>
    <n v="8"/>
    <n v="1143"/>
  </r>
  <r>
    <n v="1836"/>
    <x v="0"/>
    <x v="23"/>
    <x v="23"/>
    <x v="6"/>
    <x v="6"/>
    <x v="40"/>
    <n v="54021"/>
    <x v="224"/>
    <x v="93"/>
    <n v="64"/>
    <n v="790"/>
  </r>
  <r>
    <n v="1837"/>
    <x v="0"/>
    <x v="23"/>
    <x v="23"/>
    <x v="6"/>
    <x v="6"/>
    <x v="42"/>
    <n v="54105"/>
    <x v="273"/>
    <x v="27"/>
    <n v="52"/>
    <n v="800"/>
  </r>
  <r>
    <n v="1838"/>
    <x v="0"/>
    <x v="23"/>
    <x v="23"/>
    <x v="6"/>
    <x v="6"/>
    <x v="114"/>
    <n v="54014"/>
    <x v="225"/>
    <x v="181"/>
    <n v="54"/>
    <n v="1000"/>
  </r>
  <r>
    <n v="1839"/>
    <x v="0"/>
    <x v="23"/>
    <x v="23"/>
    <x v="6"/>
    <x v="6"/>
    <x v="41"/>
    <n v="54098"/>
    <x v="44"/>
    <x v="39"/>
    <n v="36"/>
    <n v="800"/>
  </r>
  <r>
    <n v="1840"/>
    <x v="0"/>
    <x v="23"/>
    <x v="23"/>
    <x v="6"/>
    <x v="6"/>
    <x v="116"/>
    <n v="54063"/>
    <x v="92"/>
    <x v="80"/>
    <n v="16"/>
    <n v="800"/>
  </r>
  <r>
    <n v="1841"/>
    <x v="0"/>
    <x v="23"/>
    <x v="23"/>
    <x v="6"/>
    <x v="6"/>
    <x v="39"/>
    <n v="54007"/>
    <x v="31"/>
    <x v="135"/>
    <n v="13"/>
    <n v="1000"/>
  </r>
  <r>
    <n v="1842"/>
    <x v="0"/>
    <x v="23"/>
    <x v="23"/>
    <x v="6"/>
    <x v="6"/>
    <x v="43"/>
    <n v="54035"/>
    <x v="13"/>
    <x v="32"/>
    <n v="8"/>
    <n v="800"/>
  </r>
  <r>
    <n v="1843"/>
    <x v="0"/>
    <x v="23"/>
    <x v="23"/>
    <x v="6"/>
    <x v="6"/>
    <x v="115"/>
    <n v="54056"/>
    <x v="32"/>
    <x v="67"/>
    <n v="8"/>
    <n v="1000"/>
  </r>
  <r>
    <n v="1844"/>
    <x v="0"/>
    <x v="23"/>
    <x v="23"/>
    <x v="6"/>
    <x v="6"/>
    <x v="37"/>
    <n v="54112"/>
    <x v="33"/>
    <x v="33"/>
    <n v="4"/>
    <n v="800"/>
  </r>
  <r>
    <n v="1845"/>
    <x v="0"/>
    <x v="23"/>
    <x v="23"/>
    <x v="6"/>
    <x v="6"/>
    <x v="12"/>
    <n v="54028"/>
    <x v="34"/>
    <x v="183"/>
    <m/>
    <m/>
  </r>
  <r>
    <n v="1846"/>
    <x v="0"/>
    <x v="23"/>
    <x v="23"/>
    <x v="11"/>
    <x v="11"/>
    <x v="106"/>
    <n v="66112"/>
    <x v="44"/>
    <x v="111"/>
    <n v="70"/>
    <n v="1400"/>
  </r>
  <r>
    <n v="1847"/>
    <x v="0"/>
    <x v="23"/>
    <x v="23"/>
    <x v="13"/>
    <x v="13"/>
    <x v="94"/>
    <n v="74035"/>
    <x v="33"/>
    <x v="33"/>
    <n v="5"/>
    <n v="1000"/>
  </r>
  <r>
    <n v="1848"/>
    <x v="0"/>
    <x v="23"/>
    <x v="23"/>
    <x v="13"/>
    <x v="13"/>
    <x v="87"/>
    <n v="74028"/>
    <x v="34"/>
    <x v="34"/>
    <n v="2"/>
    <n v="1000"/>
  </r>
  <r>
    <n v="1849"/>
    <x v="0"/>
    <x v="23"/>
    <x v="23"/>
    <x v="13"/>
    <x v="13"/>
    <x v="86"/>
    <n v="74021"/>
    <x v="48"/>
    <x v="47"/>
    <n v="1"/>
    <n v="1000"/>
  </r>
  <r>
    <n v="1850"/>
    <x v="0"/>
    <x v="23"/>
    <x v="23"/>
    <x v="7"/>
    <x v="7"/>
    <x v="45"/>
    <n v="82035"/>
    <x v="180"/>
    <x v="212"/>
    <n v="630"/>
    <n v="1400"/>
  </r>
  <r>
    <n v="1851"/>
    <x v="0"/>
    <x v="23"/>
    <x v="23"/>
    <x v="7"/>
    <x v="7"/>
    <x v="44"/>
    <n v="82049"/>
    <x v="14"/>
    <x v="212"/>
    <n v="570"/>
    <n v="1267"/>
  </r>
  <r>
    <n v="1852"/>
    <x v="0"/>
    <x v="23"/>
    <x v="23"/>
    <x v="9"/>
    <x v="9"/>
    <x v="55"/>
    <n v="90007"/>
    <x v="44"/>
    <x v="72"/>
    <n v="21"/>
    <n v="700"/>
  </r>
  <r>
    <n v="1853"/>
    <x v="0"/>
    <x v="23"/>
    <x v="23"/>
    <x v="9"/>
    <x v="9"/>
    <x v="65"/>
    <n v="90014"/>
    <x v="44"/>
    <x v="182"/>
    <n v="18"/>
    <n v="692"/>
  </r>
  <r>
    <n v="1854"/>
    <x v="0"/>
    <x v="23"/>
    <x v="23"/>
    <x v="9"/>
    <x v="9"/>
    <x v="63"/>
    <n v="90028"/>
    <x v="33"/>
    <x v="46"/>
    <n v="4"/>
    <n v="1000"/>
  </r>
  <r>
    <n v="1855"/>
    <x v="0"/>
    <x v="23"/>
    <x v="23"/>
    <x v="9"/>
    <x v="9"/>
    <x v="66"/>
    <n v="90056"/>
    <x v="33"/>
    <x v="33"/>
    <n v="4"/>
    <n v="800"/>
  </r>
  <r>
    <n v="1856"/>
    <x v="0"/>
    <x v="23"/>
    <x v="23"/>
    <x v="9"/>
    <x v="9"/>
    <x v="64"/>
    <n v="90112"/>
    <x v="33"/>
    <x v="46"/>
    <n v="3"/>
    <n v="750"/>
  </r>
  <r>
    <n v="1857"/>
    <x v="0"/>
    <x v="24"/>
    <x v="24"/>
    <x v="1"/>
    <x v="1"/>
    <x v="142"/>
    <n v="14007"/>
    <x v="397"/>
    <x v="399"/>
    <n v="82300"/>
    <n v="1200"/>
  </r>
  <r>
    <n v="1858"/>
    <x v="0"/>
    <x v="24"/>
    <x v="24"/>
    <x v="1"/>
    <x v="1"/>
    <x v="8"/>
    <n v="14119"/>
    <x v="398"/>
    <x v="400"/>
    <n v="35300"/>
    <n v="1000"/>
  </r>
  <r>
    <n v="1859"/>
    <x v="0"/>
    <x v="24"/>
    <x v="24"/>
    <x v="1"/>
    <x v="1"/>
    <x v="7"/>
    <n v="14147"/>
    <x v="375"/>
    <x v="401"/>
    <n v="25000"/>
    <n v="1000"/>
  </r>
  <r>
    <n v="1860"/>
    <x v="0"/>
    <x v="24"/>
    <x v="24"/>
    <x v="1"/>
    <x v="1"/>
    <x v="70"/>
    <n v="14007"/>
    <x v="226"/>
    <x v="402"/>
    <n v="4200"/>
    <n v="1000"/>
  </r>
  <r>
    <n v="1861"/>
    <x v="0"/>
    <x v="24"/>
    <x v="24"/>
    <x v="1"/>
    <x v="1"/>
    <x v="13"/>
    <n v="14098"/>
    <x v="399"/>
    <x v="377"/>
    <n v="3520"/>
    <n v="1100"/>
  </r>
  <r>
    <n v="1862"/>
    <x v="0"/>
    <x v="24"/>
    <x v="24"/>
    <x v="1"/>
    <x v="1"/>
    <x v="12"/>
    <n v="14014"/>
    <x v="81"/>
    <x v="11"/>
    <n v="900"/>
    <n v="900"/>
  </r>
  <r>
    <n v="1863"/>
    <x v="0"/>
    <x v="24"/>
    <x v="24"/>
    <x v="1"/>
    <x v="1"/>
    <x v="107"/>
    <n v="14056"/>
    <x v="153"/>
    <x v="207"/>
    <n v="540"/>
    <n v="900"/>
  </r>
  <r>
    <n v="1864"/>
    <x v="0"/>
    <x v="24"/>
    <x v="24"/>
    <x v="1"/>
    <x v="1"/>
    <x v="9"/>
    <n v="14105"/>
    <x v="180"/>
    <x v="403"/>
    <n v="337"/>
    <n v="797"/>
  </r>
  <r>
    <n v="1865"/>
    <x v="0"/>
    <x v="24"/>
    <x v="24"/>
    <x v="1"/>
    <x v="1"/>
    <x v="11"/>
    <n v="14021"/>
    <x v="14"/>
    <x v="59"/>
    <n v="320"/>
    <n v="800"/>
  </r>
  <r>
    <n v="1866"/>
    <x v="0"/>
    <x v="24"/>
    <x v="24"/>
    <x v="1"/>
    <x v="1"/>
    <x v="143"/>
    <n v="14042"/>
    <x v="61"/>
    <x v="193"/>
    <n v="225"/>
    <n v="1000"/>
  </r>
  <r>
    <n v="1867"/>
    <x v="0"/>
    <x v="24"/>
    <x v="24"/>
    <x v="1"/>
    <x v="1"/>
    <x v="46"/>
    <n v="14140"/>
    <x v="18"/>
    <x v="21"/>
    <n v="112"/>
    <n v="800"/>
  </r>
  <r>
    <n v="1868"/>
    <x v="0"/>
    <x v="24"/>
    <x v="24"/>
    <x v="1"/>
    <x v="1"/>
    <x v="131"/>
    <n v="14126"/>
    <x v="72"/>
    <x v="31"/>
    <n v="12"/>
    <n v="800"/>
  </r>
  <r>
    <n v="1869"/>
    <x v="0"/>
    <x v="24"/>
    <x v="24"/>
    <x v="1"/>
    <x v="1"/>
    <x v="84"/>
    <n v="14168"/>
    <x v="72"/>
    <x v="32"/>
    <n v="7"/>
    <n v="700"/>
  </r>
  <r>
    <n v="1870"/>
    <x v="0"/>
    <x v="24"/>
    <x v="24"/>
    <x v="1"/>
    <x v="1"/>
    <x v="134"/>
    <n v="14091"/>
    <x v="45"/>
    <x v="32"/>
    <n v="8"/>
    <n v="800"/>
  </r>
  <r>
    <n v="1871"/>
    <x v="0"/>
    <x v="24"/>
    <x v="24"/>
    <x v="1"/>
    <x v="1"/>
    <x v="42"/>
    <n v="14133"/>
    <x v="45"/>
    <x v="32"/>
    <n v="8"/>
    <n v="800"/>
  </r>
  <r>
    <n v="1872"/>
    <x v="0"/>
    <x v="24"/>
    <x v="24"/>
    <x v="1"/>
    <x v="1"/>
    <x v="144"/>
    <n v="14175"/>
    <x v="45"/>
    <x v="32"/>
    <n v="7"/>
    <n v="700"/>
  </r>
  <r>
    <n v="1873"/>
    <x v="0"/>
    <x v="24"/>
    <x v="24"/>
    <x v="1"/>
    <x v="1"/>
    <x v="135"/>
    <n v="14028"/>
    <x v="32"/>
    <x v="33"/>
    <n v="3"/>
    <n v="600"/>
  </r>
  <r>
    <n v="1874"/>
    <x v="0"/>
    <x v="24"/>
    <x v="24"/>
    <x v="1"/>
    <x v="1"/>
    <x v="133"/>
    <n v="14112"/>
    <x v="32"/>
    <x v="34"/>
    <n v="1"/>
    <n v="500"/>
  </r>
  <r>
    <n v="1875"/>
    <x v="0"/>
    <x v="24"/>
    <x v="24"/>
    <x v="2"/>
    <x v="2"/>
    <x v="15"/>
    <n v="18112"/>
    <x v="400"/>
    <x v="404"/>
    <n v="269"/>
    <n v="885"/>
  </r>
  <r>
    <n v="1876"/>
    <x v="0"/>
    <x v="24"/>
    <x v="24"/>
    <x v="2"/>
    <x v="2"/>
    <x v="24"/>
    <n v="18140"/>
    <x v="67"/>
    <x v="225"/>
    <n v="57"/>
    <n v="950"/>
  </r>
  <r>
    <n v="1877"/>
    <x v="0"/>
    <x v="24"/>
    <x v="24"/>
    <x v="2"/>
    <x v="2"/>
    <x v="17"/>
    <n v="18042"/>
    <x v="127"/>
    <x v="38"/>
    <n v="50"/>
    <n v="909"/>
  </r>
  <r>
    <n v="1878"/>
    <x v="0"/>
    <x v="24"/>
    <x v="24"/>
    <x v="2"/>
    <x v="2"/>
    <x v="12"/>
    <n v="18021"/>
    <x v="45"/>
    <x v="79"/>
    <n v="16"/>
    <n v="1000"/>
  </r>
  <r>
    <n v="1879"/>
    <x v="0"/>
    <x v="24"/>
    <x v="24"/>
    <x v="2"/>
    <x v="2"/>
    <x v="23"/>
    <n v="18126"/>
    <x v="46"/>
    <x v="31"/>
    <n v="9"/>
    <n v="600"/>
  </r>
  <r>
    <n v="1880"/>
    <x v="0"/>
    <x v="24"/>
    <x v="24"/>
    <x v="2"/>
    <x v="2"/>
    <x v="43"/>
    <n v="18028"/>
    <x v="31"/>
    <x v="13"/>
    <n v="11"/>
    <n v="917"/>
  </r>
  <r>
    <n v="1881"/>
    <x v="0"/>
    <x v="24"/>
    <x v="24"/>
    <x v="2"/>
    <x v="2"/>
    <x v="72"/>
    <n v="18063"/>
    <x v="31"/>
    <x v="135"/>
    <n v="14"/>
    <n v="1077"/>
  </r>
  <r>
    <n v="1882"/>
    <x v="0"/>
    <x v="24"/>
    <x v="24"/>
    <x v="2"/>
    <x v="2"/>
    <x v="19"/>
    <n v="18133"/>
    <x v="31"/>
    <x v="136"/>
    <n v="10"/>
    <n v="909"/>
  </r>
  <r>
    <n v="1883"/>
    <x v="0"/>
    <x v="24"/>
    <x v="24"/>
    <x v="2"/>
    <x v="2"/>
    <x v="75"/>
    <n v="18014"/>
    <x v="32"/>
    <x v="67"/>
    <n v="6"/>
    <n v="750"/>
  </r>
  <r>
    <n v="1884"/>
    <x v="0"/>
    <x v="24"/>
    <x v="24"/>
    <x v="2"/>
    <x v="2"/>
    <x v="25"/>
    <n v="18035"/>
    <x v="32"/>
    <x v="67"/>
    <n v="7"/>
    <n v="875"/>
  </r>
  <r>
    <n v="1885"/>
    <x v="0"/>
    <x v="24"/>
    <x v="24"/>
    <x v="2"/>
    <x v="2"/>
    <x v="22"/>
    <n v="18084"/>
    <x v="32"/>
    <x v="33"/>
    <n v="5"/>
    <n v="1000"/>
  </r>
  <r>
    <n v="1886"/>
    <x v="0"/>
    <x v="24"/>
    <x v="24"/>
    <x v="2"/>
    <x v="2"/>
    <x v="76"/>
    <n v="18154"/>
    <x v="32"/>
    <x v="67"/>
    <n v="7"/>
    <n v="875"/>
  </r>
  <r>
    <n v="1887"/>
    <x v="0"/>
    <x v="24"/>
    <x v="24"/>
    <x v="2"/>
    <x v="2"/>
    <x v="71"/>
    <n v="18098"/>
    <x v="77"/>
    <x v="49"/>
    <n v="5"/>
    <n v="833"/>
  </r>
  <r>
    <n v="1888"/>
    <x v="0"/>
    <x v="24"/>
    <x v="24"/>
    <x v="2"/>
    <x v="2"/>
    <x v="73"/>
    <n v="18077"/>
    <x v="29"/>
    <x v="46"/>
    <n v="4"/>
    <n v="1000"/>
  </r>
  <r>
    <n v="1889"/>
    <x v="0"/>
    <x v="24"/>
    <x v="24"/>
    <x v="2"/>
    <x v="2"/>
    <x v="20"/>
    <n v="18147"/>
    <x v="33"/>
    <x v="33"/>
    <n v="4"/>
    <n v="800"/>
  </r>
  <r>
    <n v="1890"/>
    <x v="0"/>
    <x v="24"/>
    <x v="24"/>
    <x v="2"/>
    <x v="2"/>
    <x v="27"/>
    <n v="18168"/>
    <x v="33"/>
    <x v="46"/>
    <n v="2"/>
    <n v="500"/>
  </r>
  <r>
    <n v="1891"/>
    <x v="0"/>
    <x v="24"/>
    <x v="24"/>
    <x v="2"/>
    <x v="2"/>
    <x v="78"/>
    <n v="18105"/>
    <x v="34"/>
    <x v="34"/>
    <n v="2"/>
    <n v="1000"/>
  </r>
  <r>
    <n v="1892"/>
    <x v="0"/>
    <x v="24"/>
    <x v="24"/>
    <x v="2"/>
    <x v="2"/>
    <x v="77"/>
    <n v="18119"/>
    <x v="34"/>
    <x v="34"/>
    <n v="2"/>
    <n v="1000"/>
  </r>
  <r>
    <n v="1893"/>
    <x v="0"/>
    <x v="24"/>
    <x v="24"/>
    <x v="3"/>
    <x v="3"/>
    <x v="28"/>
    <n v="30028"/>
    <x v="153"/>
    <x v="337"/>
    <n v="326"/>
    <n v="509"/>
  </r>
  <r>
    <n v="1894"/>
    <x v="0"/>
    <x v="24"/>
    <x v="24"/>
    <x v="3"/>
    <x v="3"/>
    <x v="29"/>
    <n v="30015"/>
    <x v="20"/>
    <x v="131"/>
    <n v="60"/>
    <n v="500"/>
  </r>
  <r>
    <n v="1895"/>
    <x v="0"/>
    <x v="24"/>
    <x v="24"/>
    <x v="3"/>
    <x v="3"/>
    <x v="11"/>
    <n v="30008"/>
    <x v="45"/>
    <x v="32"/>
    <n v="4"/>
    <n v="400"/>
  </r>
  <r>
    <n v="1896"/>
    <x v="0"/>
    <x v="24"/>
    <x v="24"/>
    <x v="4"/>
    <x v="4"/>
    <x v="33"/>
    <n v="34056"/>
    <x v="44"/>
    <x v="111"/>
    <n v="49"/>
    <n v="980"/>
  </r>
  <r>
    <n v="1897"/>
    <x v="0"/>
    <x v="24"/>
    <x v="24"/>
    <x v="4"/>
    <x v="4"/>
    <x v="34"/>
    <n v="34035"/>
    <x v="45"/>
    <x v="80"/>
    <n v="14"/>
    <n v="700"/>
  </r>
  <r>
    <n v="1898"/>
    <x v="0"/>
    <x v="24"/>
    <x v="24"/>
    <x v="4"/>
    <x v="4"/>
    <x v="31"/>
    <n v="34021"/>
    <x v="32"/>
    <x v="32"/>
    <n v="10"/>
    <n v="1000"/>
  </r>
  <r>
    <n v="1899"/>
    <x v="0"/>
    <x v="24"/>
    <x v="24"/>
    <x v="4"/>
    <x v="4"/>
    <x v="30"/>
    <n v="34049"/>
    <x v="32"/>
    <x v="32"/>
    <n v="10"/>
    <n v="1000"/>
  </r>
  <r>
    <n v="1900"/>
    <x v="0"/>
    <x v="24"/>
    <x v="24"/>
    <x v="4"/>
    <x v="4"/>
    <x v="32"/>
    <n v="34014"/>
    <x v="77"/>
    <x v="67"/>
    <n v="9"/>
    <n v="1125"/>
  </r>
  <r>
    <n v="1901"/>
    <x v="0"/>
    <x v="24"/>
    <x v="24"/>
    <x v="4"/>
    <x v="4"/>
    <x v="81"/>
    <n v="34042"/>
    <x v="77"/>
    <x v="67"/>
    <n v="8"/>
    <n v="1000"/>
  </r>
  <r>
    <n v="1902"/>
    <x v="0"/>
    <x v="24"/>
    <x v="24"/>
    <x v="6"/>
    <x v="6"/>
    <x v="40"/>
    <n v="54021"/>
    <x v="224"/>
    <x v="236"/>
    <n v="57"/>
    <n v="792"/>
  </r>
  <r>
    <n v="1903"/>
    <x v="0"/>
    <x v="24"/>
    <x v="24"/>
    <x v="6"/>
    <x v="6"/>
    <x v="42"/>
    <n v="54105"/>
    <x v="273"/>
    <x v="225"/>
    <n v="48"/>
    <n v="800"/>
  </r>
  <r>
    <n v="1904"/>
    <x v="0"/>
    <x v="24"/>
    <x v="24"/>
    <x v="6"/>
    <x v="6"/>
    <x v="114"/>
    <n v="54014"/>
    <x v="225"/>
    <x v="97"/>
    <n v="48"/>
    <n v="1000"/>
  </r>
  <r>
    <n v="1905"/>
    <x v="0"/>
    <x v="24"/>
    <x v="24"/>
    <x v="6"/>
    <x v="6"/>
    <x v="41"/>
    <n v="54098"/>
    <x v="44"/>
    <x v="45"/>
    <n v="28"/>
    <n v="700"/>
  </r>
  <r>
    <n v="1906"/>
    <x v="0"/>
    <x v="24"/>
    <x v="24"/>
    <x v="6"/>
    <x v="6"/>
    <x v="116"/>
    <n v="54063"/>
    <x v="92"/>
    <x v="80"/>
    <n v="16"/>
    <n v="800"/>
  </r>
  <r>
    <n v="1907"/>
    <x v="0"/>
    <x v="24"/>
    <x v="24"/>
    <x v="6"/>
    <x v="6"/>
    <x v="39"/>
    <n v="54007"/>
    <x v="31"/>
    <x v="13"/>
    <n v="8"/>
    <n v="667"/>
  </r>
  <r>
    <n v="1908"/>
    <x v="0"/>
    <x v="24"/>
    <x v="24"/>
    <x v="6"/>
    <x v="6"/>
    <x v="43"/>
    <n v="54035"/>
    <x v="13"/>
    <x v="32"/>
    <n v="7"/>
    <n v="700"/>
  </r>
  <r>
    <n v="1909"/>
    <x v="0"/>
    <x v="24"/>
    <x v="24"/>
    <x v="6"/>
    <x v="6"/>
    <x v="115"/>
    <n v="54056"/>
    <x v="32"/>
    <x v="67"/>
    <n v="8"/>
    <n v="1000"/>
  </r>
  <r>
    <n v="1910"/>
    <x v="0"/>
    <x v="24"/>
    <x v="24"/>
    <x v="6"/>
    <x v="6"/>
    <x v="37"/>
    <n v="54112"/>
    <x v="33"/>
    <x v="46"/>
    <n v="4"/>
    <n v="1000"/>
  </r>
  <r>
    <n v="1911"/>
    <x v="0"/>
    <x v="24"/>
    <x v="24"/>
    <x v="6"/>
    <x v="6"/>
    <x v="12"/>
    <n v="54028"/>
    <x v="34"/>
    <x v="47"/>
    <n v="1"/>
    <n v="1000"/>
  </r>
  <r>
    <n v="1912"/>
    <x v="0"/>
    <x v="24"/>
    <x v="24"/>
    <x v="11"/>
    <x v="11"/>
    <x v="106"/>
    <n v="66112"/>
    <x v="44"/>
    <x v="39"/>
    <n v="58"/>
    <n v="1289"/>
  </r>
  <r>
    <n v="1913"/>
    <x v="0"/>
    <x v="24"/>
    <x v="24"/>
    <x v="13"/>
    <x v="13"/>
    <x v="94"/>
    <n v="74035"/>
    <x v="47"/>
    <x v="46"/>
    <n v="5"/>
    <n v="1250"/>
  </r>
  <r>
    <n v="1914"/>
    <x v="0"/>
    <x v="24"/>
    <x v="24"/>
    <x v="13"/>
    <x v="13"/>
    <x v="87"/>
    <n v="74028"/>
    <x v="34"/>
    <x v="34"/>
    <n v="2"/>
    <n v="1000"/>
  </r>
  <r>
    <n v="1915"/>
    <x v="0"/>
    <x v="24"/>
    <x v="24"/>
    <x v="7"/>
    <x v="7"/>
    <x v="44"/>
    <n v="82049"/>
    <x v="401"/>
    <x v="59"/>
    <n v="240"/>
    <n v="600"/>
  </r>
  <r>
    <n v="1916"/>
    <x v="0"/>
    <x v="24"/>
    <x v="24"/>
    <x v="7"/>
    <x v="7"/>
    <x v="45"/>
    <n v="82035"/>
    <x v="14"/>
    <x v="59"/>
    <n v="400"/>
    <n v="1000"/>
  </r>
  <r>
    <n v="1917"/>
    <x v="0"/>
    <x v="25"/>
    <x v="25"/>
    <x v="1"/>
    <x v="1"/>
    <x v="142"/>
    <n v="14007"/>
    <x v="402"/>
    <x v="405"/>
    <n v="98598"/>
    <n v="1300"/>
  </r>
  <r>
    <n v="1918"/>
    <x v="0"/>
    <x v="25"/>
    <x v="25"/>
    <x v="1"/>
    <x v="1"/>
    <x v="8"/>
    <n v="14119"/>
    <x v="403"/>
    <x v="406"/>
    <n v="43470"/>
    <n v="1050"/>
  </r>
  <r>
    <n v="1919"/>
    <x v="0"/>
    <x v="25"/>
    <x v="25"/>
    <x v="1"/>
    <x v="1"/>
    <x v="7"/>
    <n v="14147"/>
    <x v="404"/>
    <x v="407"/>
    <n v="47624"/>
    <n v="1100"/>
  </r>
  <r>
    <n v="1920"/>
    <x v="0"/>
    <x v="25"/>
    <x v="25"/>
    <x v="1"/>
    <x v="1"/>
    <x v="70"/>
    <n v="14007"/>
    <x v="226"/>
    <x v="408"/>
    <n v="4950"/>
    <n v="1000"/>
  </r>
  <r>
    <n v="1921"/>
    <x v="0"/>
    <x v="25"/>
    <x v="25"/>
    <x v="1"/>
    <x v="1"/>
    <x v="13"/>
    <n v="14098"/>
    <x v="399"/>
    <x v="409"/>
    <n v="3942"/>
    <n v="950"/>
  </r>
  <r>
    <n v="1922"/>
    <x v="0"/>
    <x v="25"/>
    <x v="25"/>
    <x v="1"/>
    <x v="1"/>
    <x v="9"/>
    <n v="14105"/>
    <x v="11"/>
    <x v="153"/>
    <n v="765"/>
    <n v="850"/>
  </r>
  <r>
    <n v="1923"/>
    <x v="0"/>
    <x v="25"/>
    <x v="25"/>
    <x v="1"/>
    <x v="1"/>
    <x v="12"/>
    <n v="14014"/>
    <x v="405"/>
    <x v="410"/>
    <n v="960"/>
    <n v="1000"/>
  </r>
  <r>
    <n v="1924"/>
    <x v="0"/>
    <x v="25"/>
    <x v="25"/>
    <x v="1"/>
    <x v="1"/>
    <x v="107"/>
    <n v="14056"/>
    <x v="153"/>
    <x v="282"/>
    <n v="840"/>
    <n v="1050"/>
  </r>
  <r>
    <n v="1925"/>
    <x v="0"/>
    <x v="25"/>
    <x v="25"/>
    <x v="1"/>
    <x v="1"/>
    <x v="143"/>
    <n v="14042"/>
    <x v="12"/>
    <x v="12"/>
    <n v="390"/>
    <n v="1300"/>
  </r>
  <r>
    <n v="1926"/>
    <x v="0"/>
    <x v="25"/>
    <x v="25"/>
    <x v="1"/>
    <x v="1"/>
    <x v="11"/>
    <n v="14021"/>
    <x v="63"/>
    <x v="19"/>
    <n v="153"/>
    <n v="900"/>
  </r>
  <r>
    <n v="1927"/>
    <x v="0"/>
    <x v="25"/>
    <x v="25"/>
    <x v="1"/>
    <x v="1"/>
    <x v="42"/>
    <n v="14133"/>
    <x v="406"/>
    <x v="69"/>
    <n v="128"/>
    <n v="800"/>
  </r>
  <r>
    <n v="1928"/>
    <x v="0"/>
    <x v="25"/>
    <x v="25"/>
    <x v="1"/>
    <x v="1"/>
    <x v="46"/>
    <n v="14140"/>
    <x v="23"/>
    <x v="151"/>
    <n v="72"/>
    <n v="800"/>
  </r>
  <r>
    <n v="1929"/>
    <x v="0"/>
    <x v="25"/>
    <x v="25"/>
    <x v="1"/>
    <x v="1"/>
    <x v="84"/>
    <n v="14168"/>
    <x v="181"/>
    <x v="225"/>
    <n v="48"/>
    <n v="800"/>
  </r>
  <r>
    <n v="1930"/>
    <x v="0"/>
    <x v="25"/>
    <x v="25"/>
    <x v="1"/>
    <x v="1"/>
    <x v="131"/>
    <n v="14126"/>
    <x v="250"/>
    <x v="111"/>
    <n v="40"/>
    <n v="800"/>
  </r>
  <r>
    <n v="1931"/>
    <x v="0"/>
    <x v="25"/>
    <x v="25"/>
    <x v="1"/>
    <x v="1"/>
    <x v="133"/>
    <n v="14112"/>
    <x v="199"/>
    <x v="45"/>
    <n v="28"/>
    <n v="700"/>
  </r>
  <r>
    <n v="1932"/>
    <x v="0"/>
    <x v="25"/>
    <x v="25"/>
    <x v="1"/>
    <x v="1"/>
    <x v="135"/>
    <n v="14028"/>
    <x v="146"/>
    <x v="78"/>
    <n v="25"/>
    <n v="1000"/>
  </r>
  <r>
    <n v="1933"/>
    <x v="0"/>
    <x v="25"/>
    <x v="25"/>
    <x v="1"/>
    <x v="1"/>
    <x v="151"/>
    <n v="14077"/>
    <x v="77"/>
    <x v="29"/>
    <n v="5"/>
    <n v="700"/>
  </r>
  <r>
    <n v="1934"/>
    <x v="0"/>
    <x v="25"/>
    <x v="25"/>
    <x v="1"/>
    <x v="1"/>
    <x v="144"/>
    <n v="14175"/>
    <x v="77"/>
    <x v="29"/>
    <n v="5"/>
    <n v="700"/>
  </r>
  <r>
    <n v="1935"/>
    <x v="0"/>
    <x v="25"/>
    <x v="25"/>
    <x v="1"/>
    <x v="1"/>
    <x v="132"/>
    <n v="14049"/>
    <x v="33"/>
    <x v="46"/>
    <n v="4"/>
    <n v="1000"/>
  </r>
  <r>
    <n v="1936"/>
    <x v="0"/>
    <x v="25"/>
    <x v="25"/>
    <x v="1"/>
    <x v="1"/>
    <x v="134"/>
    <n v="14091"/>
    <x v="47"/>
    <x v="30"/>
    <n v="3"/>
    <n v="1000"/>
  </r>
  <r>
    <n v="1937"/>
    <x v="0"/>
    <x v="25"/>
    <x v="25"/>
    <x v="2"/>
    <x v="2"/>
    <x v="15"/>
    <n v="18112"/>
    <x v="66"/>
    <x v="411"/>
    <n v="288"/>
    <n v="800"/>
  </r>
  <r>
    <n v="1938"/>
    <x v="0"/>
    <x v="25"/>
    <x v="25"/>
    <x v="2"/>
    <x v="2"/>
    <x v="17"/>
    <n v="18042"/>
    <x v="127"/>
    <x v="225"/>
    <n v="42"/>
    <n v="700"/>
  </r>
  <r>
    <n v="1939"/>
    <x v="0"/>
    <x v="25"/>
    <x v="25"/>
    <x v="2"/>
    <x v="2"/>
    <x v="24"/>
    <n v="18140"/>
    <x v="225"/>
    <x v="111"/>
    <n v="40"/>
    <n v="800"/>
  </r>
  <r>
    <n v="1940"/>
    <x v="0"/>
    <x v="25"/>
    <x v="25"/>
    <x v="2"/>
    <x v="2"/>
    <x v="12"/>
    <n v="18021"/>
    <x v="92"/>
    <x v="80"/>
    <n v="15"/>
    <n v="750"/>
  </r>
  <r>
    <n v="1941"/>
    <x v="0"/>
    <x v="25"/>
    <x v="25"/>
    <x v="2"/>
    <x v="2"/>
    <x v="23"/>
    <n v="18126"/>
    <x v="31"/>
    <x v="135"/>
    <n v="10"/>
    <n v="800"/>
  </r>
  <r>
    <n v="1942"/>
    <x v="0"/>
    <x v="25"/>
    <x v="25"/>
    <x v="2"/>
    <x v="2"/>
    <x v="43"/>
    <n v="18028"/>
    <x v="32"/>
    <x v="49"/>
    <n v="5"/>
    <n v="800"/>
  </r>
  <r>
    <n v="1943"/>
    <x v="0"/>
    <x v="25"/>
    <x v="25"/>
    <x v="2"/>
    <x v="2"/>
    <x v="72"/>
    <n v="18063"/>
    <x v="32"/>
    <x v="67"/>
    <n v="6"/>
    <n v="700"/>
  </r>
  <r>
    <n v="1944"/>
    <x v="0"/>
    <x v="25"/>
    <x v="25"/>
    <x v="2"/>
    <x v="2"/>
    <x v="22"/>
    <n v="18084"/>
    <x v="32"/>
    <x v="49"/>
    <n v="4"/>
    <n v="700"/>
  </r>
  <r>
    <n v="1945"/>
    <x v="0"/>
    <x v="25"/>
    <x v="25"/>
    <x v="2"/>
    <x v="2"/>
    <x v="19"/>
    <n v="18133"/>
    <x v="32"/>
    <x v="67"/>
    <n v="6"/>
    <n v="750"/>
  </r>
  <r>
    <n v="1946"/>
    <x v="0"/>
    <x v="25"/>
    <x v="25"/>
    <x v="2"/>
    <x v="2"/>
    <x v="75"/>
    <n v="18014"/>
    <x v="77"/>
    <x v="33"/>
    <n v="4"/>
    <n v="800"/>
  </r>
  <r>
    <n v="1947"/>
    <x v="0"/>
    <x v="25"/>
    <x v="25"/>
    <x v="2"/>
    <x v="2"/>
    <x v="73"/>
    <n v="18077"/>
    <x v="29"/>
    <x v="46"/>
    <n v="2"/>
    <n v="600"/>
  </r>
  <r>
    <n v="1948"/>
    <x v="0"/>
    <x v="25"/>
    <x v="25"/>
    <x v="2"/>
    <x v="2"/>
    <x v="71"/>
    <n v="18098"/>
    <x v="33"/>
    <x v="46"/>
    <n v="3"/>
    <n v="700"/>
  </r>
  <r>
    <n v="1949"/>
    <x v="0"/>
    <x v="25"/>
    <x v="25"/>
    <x v="3"/>
    <x v="3"/>
    <x v="28"/>
    <n v="30028"/>
    <x v="26"/>
    <x v="411"/>
    <n v="270"/>
    <n v="750"/>
  </r>
  <r>
    <n v="1950"/>
    <x v="0"/>
    <x v="25"/>
    <x v="25"/>
    <x v="3"/>
    <x v="3"/>
    <x v="29"/>
    <n v="30015"/>
    <x v="123"/>
    <x v="274"/>
    <n v="80"/>
    <n v="730"/>
  </r>
  <r>
    <n v="1951"/>
    <x v="0"/>
    <x v="25"/>
    <x v="25"/>
    <x v="4"/>
    <x v="4"/>
    <x v="33"/>
    <n v="34056"/>
    <x v="44"/>
    <x v="139"/>
    <n v="39"/>
    <n v="1100"/>
  </r>
  <r>
    <n v="1952"/>
    <x v="0"/>
    <x v="25"/>
    <x v="25"/>
    <x v="4"/>
    <x v="4"/>
    <x v="34"/>
    <n v="34035"/>
    <x v="72"/>
    <x v="80"/>
    <n v="22"/>
    <n v="1100"/>
  </r>
  <r>
    <n v="1953"/>
    <x v="0"/>
    <x v="25"/>
    <x v="25"/>
    <x v="4"/>
    <x v="4"/>
    <x v="81"/>
    <n v="34042"/>
    <x v="31"/>
    <x v="13"/>
    <n v="13"/>
    <n v="1100"/>
  </r>
  <r>
    <n v="1954"/>
    <x v="0"/>
    <x v="25"/>
    <x v="25"/>
    <x v="4"/>
    <x v="4"/>
    <x v="30"/>
    <n v="34049"/>
    <x v="31"/>
    <x v="135"/>
    <n v="14"/>
    <n v="1100"/>
  </r>
  <r>
    <n v="1955"/>
    <x v="0"/>
    <x v="25"/>
    <x v="25"/>
    <x v="4"/>
    <x v="4"/>
    <x v="32"/>
    <n v="34014"/>
    <x v="32"/>
    <x v="32"/>
    <n v="11"/>
    <n v="1100"/>
  </r>
  <r>
    <n v="1956"/>
    <x v="0"/>
    <x v="25"/>
    <x v="25"/>
    <x v="4"/>
    <x v="4"/>
    <x v="31"/>
    <n v="34021"/>
    <x v="32"/>
    <x v="32"/>
    <n v="11"/>
    <n v="1100"/>
  </r>
  <r>
    <n v="1957"/>
    <x v="0"/>
    <x v="25"/>
    <x v="25"/>
    <x v="6"/>
    <x v="6"/>
    <x v="40"/>
    <n v="54021"/>
    <x v="123"/>
    <x v="208"/>
    <n v="77"/>
    <n v="800"/>
  </r>
  <r>
    <n v="1958"/>
    <x v="0"/>
    <x v="25"/>
    <x v="25"/>
    <x v="6"/>
    <x v="6"/>
    <x v="114"/>
    <n v="54014"/>
    <x v="23"/>
    <x v="44"/>
    <n v="64"/>
    <n v="800"/>
  </r>
  <r>
    <n v="1959"/>
    <x v="0"/>
    <x v="25"/>
    <x v="25"/>
    <x v="6"/>
    <x v="6"/>
    <x v="42"/>
    <n v="54105"/>
    <x v="23"/>
    <x v="44"/>
    <n v="64"/>
    <n v="800"/>
  </r>
  <r>
    <n v="1960"/>
    <x v="0"/>
    <x v="25"/>
    <x v="25"/>
    <x v="6"/>
    <x v="6"/>
    <x v="41"/>
    <n v="54098"/>
    <x v="225"/>
    <x v="97"/>
    <n v="38"/>
    <n v="800"/>
  </r>
  <r>
    <n v="1961"/>
    <x v="0"/>
    <x v="25"/>
    <x v="25"/>
    <x v="6"/>
    <x v="6"/>
    <x v="116"/>
    <n v="54063"/>
    <x v="72"/>
    <x v="6"/>
    <n v="24"/>
    <n v="1000"/>
  </r>
  <r>
    <n v="1962"/>
    <x v="0"/>
    <x v="25"/>
    <x v="25"/>
    <x v="6"/>
    <x v="6"/>
    <x v="39"/>
    <n v="54007"/>
    <x v="92"/>
    <x v="80"/>
    <n v="12"/>
    <n v="600"/>
  </r>
  <r>
    <n v="1963"/>
    <x v="0"/>
    <x v="25"/>
    <x v="25"/>
    <x v="6"/>
    <x v="6"/>
    <x v="43"/>
    <n v="54035"/>
    <x v="45"/>
    <x v="79"/>
    <n v="12"/>
    <n v="750"/>
  </r>
  <r>
    <n v="1964"/>
    <x v="0"/>
    <x v="25"/>
    <x v="25"/>
    <x v="6"/>
    <x v="6"/>
    <x v="115"/>
    <n v="54056"/>
    <x v="32"/>
    <x v="67"/>
    <n v="8"/>
    <n v="1000"/>
  </r>
  <r>
    <n v="1965"/>
    <x v="0"/>
    <x v="25"/>
    <x v="25"/>
    <x v="6"/>
    <x v="6"/>
    <x v="37"/>
    <n v="54112"/>
    <x v="33"/>
    <x v="46"/>
    <n v="4"/>
    <n v="1000"/>
  </r>
  <r>
    <n v="1966"/>
    <x v="0"/>
    <x v="25"/>
    <x v="25"/>
    <x v="6"/>
    <x v="6"/>
    <x v="164"/>
    <n v="54028"/>
    <x v="34"/>
    <x v="34"/>
    <n v="2"/>
    <n v="1000"/>
  </r>
  <r>
    <n v="1967"/>
    <x v="0"/>
    <x v="25"/>
    <x v="25"/>
    <x v="11"/>
    <x v="11"/>
    <x v="106"/>
    <n v="66112"/>
    <x v="127"/>
    <x v="45"/>
    <n v="60"/>
    <n v="1500"/>
  </r>
  <r>
    <n v="1968"/>
    <x v="0"/>
    <x v="25"/>
    <x v="25"/>
    <x v="7"/>
    <x v="7"/>
    <x v="44"/>
    <n v="82049"/>
    <x v="401"/>
    <x v="412"/>
    <n v="490"/>
    <n v="1000"/>
  </r>
  <r>
    <n v="1969"/>
    <x v="0"/>
    <x v="25"/>
    <x v="25"/>
    <x v="7"/>
    <x v="7"/>
    <x v="45"/>
    <n v="82035"/>
    <x v="20"/>
    <x v="21"/>
    <n v="210"/>
    <n v="1500"/>
  </r>
  <r>
    <n v="1970"/>
    <x v="0"/>
    <x v="26"/>
    <x v="26"/>
    <x v="15"/>
    <x v="15"/>
    <x v="165"/>
    <n v="6875"/>
    <x v="33"/>
    <x v="33"/>
    <n v="6"/>
    <n v="1200"/>
  </r>
  <r>
    <n v="1971"/>
    <x v="0"/>
    <x v="26"/>
    <x v="26"/>
    <x v="1"/>
    <x v="1"/>
    <x v="142"/>
    <n v="14007"/>
    <x v="407"/>
    <x v="413"/>
    <n v="87120"/>
    <n v="1100"/>
  </r>
  <r>
    <n v="1972"/>
    <x v="0"/>
    <x v="26"/>
    <x v="26"/>
    <x v="1"/>
    <x v="1"/>
    <x v="8"/>
    <n v="14119"/>
    <x v="408"/>
    <x v="414"/>
    <n v="33790"/>
    <n v="800"/>
  </r>
  <r>
    <n v="1973"/>
    <x v="0"/>
    <x v="26"/>
    <x v="26"/>
    <x v="1"/>
    <x v="1"/>
    <x v="7"/>
    <n v="14147"/>
    <x v="409"/>
    <x v="415"/>
    <n v="34123"/>
    <n v="750"/>
  </r>
  <r>
    <n v="1974"/>
    <x v="0"/>
    <x v="26"/>
    <x v="26"/>
    <x v="1"/>
    <x v="1"/>
    <x v="70"/>
    <n v="14007"/>
    <x v="226"/>
    <x v="162"/>
    <n v="5000"/>
    <n v="1000"/>
  </r>
  <r>
    <n v="1975"/>
    <x v="0"/>
    <x v="26"/>
    <x v="26"/>
    <x v="1"/>
    <x v="1"/>
    <x v="13"/>
    <n v="14098"/>
    <x v="226"/>
    <x v="162"/>
    <n v="5500"/>
    <n v="1100"/>
  </r>
  <r>
    <n v="1976"/>
    <x v="0"/>
    <x v="26"/>
    <x v="26"/>
    <x v="1"/>
    <x v="1"/>
    <x v="107"/>
    <n v="14056"/>
    <x v="11"/>
    <x v="11"/>
    <n v="1200"/>
    <n v="1200"/>
  </r>
  <r>
    <n v="1977"/>
    <x v="0"/>
    <x v="26"/>
    <x v="26"/>
    <x v="1"/>
    <x v="1"/>
    <x v="12"/>
    <n v="14014"/>
    <x v="410"/>
    <x v="416"/>
    <n v="623"/>
    <n v="700"/>
  </r>
  <r>
    <n v="1978"/>
    <x v="0"/>
    <x v="26"/>
    <x v="26"/>
    <x v="1"/>
    <x v="1"/>
    <x v="9"/>
    <n v="14105"/>
    <x v="153"/>
    <x v="57"/>
    <n v="350"/>
    <n v="500"/>
  </r>
  <r>
    <n v="1979"/>
    <x v="0"/>
    <x v="26"/>
    <x v="26"/>
    <x v="1"/>
    <x v="1"/>
    <x v="143"/>
    <n v="14042"/>
    <x v="12"/>
    <x v="12"/>
    <n v="330"/>
    <n v="1100"/>
  </r>
  <r>
    <n v="1980"/>
    <x v="0"/>
    <x v="26"/>
    <x v="26"/>
    <x v="1"/>
    <x v="1"/>
    <x v="46"/>
    <n v="14140"/>
    <x v="23"/>
    <x v="151"/>
    <n v="50"/>
    <n v="556"/>
  </r>
  <r>
    <n v="1981"/>
    <x v="0"/>
    <x v="26"/>
    <x v="26"/>
    <x v="1"/>
    <x v="1"/>
    <x v="11"/>
    <n v="14021"/>
    <x v="44"/>
    <x v="97"/>
    <n v="33"/>
    <n v="687"/>
  </r>
  <r>
    <n v="1982"/>
    <x v="0"/>
    <x v="26"/>
    <x v="26"/>
    <x v="1"/>
    <x v="1"/>
    <x v="42"/>
    <n v="14133"/>
    <x v="44"/>
    <x v="97"/>
    <n v="29"/>
    <n v="604"/>
  </r>
  <r>
    <n v="1983"/>
    <x v="0"/>
    <x v="26"/>
    <x v="26"/>
    <x v="1"/>
    <x v="1"/>
    <x v="131"/>
    <n v="14126"/>
    <x v="72"/>
    <x v="258"/>
    <n v="17"/>
    <n v="586"/>
  </r>
  <r>
    <n v="1984"/>
    <x v="0"/>
    <x v="26"/>
    <x v="26"/>
    <x v="1"/>
    <x v="1"/>
    <x v="135"/>
    <n v="14028"/>
    <x v="32"/>
    <x v="32"/>
    <n v="6"/>
    <n v="600"/>
  </r>
  <r>
    <n v="1985"/>
    <x v="0"/>
    <x v="26"/>
    <x v="26"/>
    <x v="1"/>
    <x v="1"/>
    <x v="84"/>
    <n v="14168"/>
    <x v="32"/>
    <x v="52"/>
    <n v="5"/>
    <n v="555"/>
  </r>
  <r>
    <n v="1986"/>
    <x v="0"/>
    <x v="26"/>
    <x v="26"/>
    <x v="1"/>
    <x v="1"/>
    <x v="132"/>
    <n v="14049"/>
    <x v="34"/>
    <x v="34"/>
    <n v="1"/>
    <n v="500"/>
  </r>
  <r>
    <n v="1987"/>
    <x v="0"/>
    <x v="26"/>
    <x v="26"/>
    <x v="1"/>
    <x v="1"/>
    <x v="133"/>
    <n v="14112"/>
    <x v="34"/>
    <x v="34"/>
    <n v="1"/>
    <n v="500"/>
  </r>
  <r>
    <n v="1988"/>
    <x v="0"/>
    <x v="26"/>
    <x v="26"/>
    <x v="1"/>
    <x v="1"/>
    <x v="144"/>
    <n v="14175"/>
    <x v="34"/>
    <x v="34"/>
    <n v="1"/>
    <n v="500"/>
  </r>
  <r>
    <n v="1989"/>
    <x v="0"/>
    <x v="26"/>
    <x v="26"/>
    <x v="1"/>
    <x v="1"/>
    <x v="151"/>
    <n v="14077"/>
    <x v="48"/>
    <x v="47"/>
    <n v="1"/>
    <n v="1000"/>
  </r>
  <r>
    <n v="1990"/>
    <x v="0"/>
    <x v="26"/>
    <x v="26"/>
    <x v="2"/>
    <x v="2"/>
    <x v="15"/>
    <n v="18112"/>
    <x v="16"/>
    <x v="417"/>
    <n v="283"/>
    <n v="950"/>
  </r>
  <r>
    <n v="1991"/>
    <x v="0"/>
    <x v="26"/>
    <x v="26"/>
    <x v="2"/>
    <x v="2"/>
    <x v="17"/>
    <n v="18042"/>
    <x v="125"/>
    <x v="102"/>
    <n v="25"/>
    <n v="781"/>
  </r>
  <r>
    <n v="1992"/>
    <x v="0"/>
    <x v="26"/>
    <x v="26"/>
    <x v="2"/>
    <x v="2"/>
    <x v="24"/>
    <n v="18140"/>
    <x v="72"/>
    <x v="6"/>
    <n v="19"/>
    <n v="792"/>
  </r>
  <r>
    <n v="1993"/>
    <x v="0"/>
    <x v="26"/>
    <x v="26"/>
    <x v="2"/>
    <x v="2"/>
    <x v="12"/>
    <n v="18021"/>
    <x v="45"/>
    <x v="79"/>
    <n v="12"/>
    <n v="750"/>
  </r>
  <r>
    <n v="1994"/>
    <x v="0"/>
    <x v="26"/>
    <x v="26"/>
    <x v="2"/>
    <x v="2"/>
    <x v="25"/>
    <n v="18035"/>
    <x v="45"/>
    <x v="79"/>
    <n v="13"/>
    <n v="812"/>
  </r>
  <r>
    <n v="1995"/>
    <x v="0"/>
    <x v="26"/>
    <x v="26"/>
    <x v="2"/>
    <x v="2"/>
    <x v="23"/>
    <n v="18126"/>
    <x v="31"/>
    <x v="13"/>
    <n v="9"/>
    <n v="750"/>
  </r>
  <r>
    <n v="1996"/>
    <x v="0"/>
    <x v="26"/>
    <x v="26"/>
    <x v="2"/>
    <x v="2"/>
    <x v="43"/>
    <n v="18028"/>
    <x v="32"/>
    <x v="49"/>
    <n v="4"/>
    <n v="666"/>
  </r>
  <r>
    <n v="1997"/>
    <x v="0"/>
    <x v="26"/>
    <x v="26"/>
    <x v="2"/>
    <x v="2"/>
    <x v="22"/>
    <n v="18084"/>
    <x v="32"/>
    <x v="49"/>
    <n v="4"/>
    <n v="666"/>
  </r>
  <r>
    <n v="1998"/>
    <x v="0"/>
    <x v="26"/>
    <x v="26"/>
    <x v="2"/>
    <x v="2"/>
    <x v="19"/>
    <n v="18133"/>
    <x v="32"/>
    <x v="67"/>
    <n v="6"/>
    <n v="750"/>
  </r>
  <r>
    <n v="1999"/>
    <x v="0"/>
    <x v="26"/>
    <x v="26"/>
    <x v="2"/>
    <x v="2"/>
    <x v="76"/>
    <n v="18154"/>
    <x v="32"/>
    <x v="29"/>
    <n v="6"/>
    <n v="857"/>
  </r>
  <r>
    <n v="2000"/>
    <x v="0"/>
    <x v="26"/>
    <x v="26"/>
    <x v="2"/>
    <x v="2"/>
    <x v="72"/>
    <n v="18063"/>
    <x v="78"/>
    <x v="33"/>
    <n v="4"/>
    <n v="800"/>
  </r>
  <r>
    <n v="2001"/>
    <x v="0"/>
    <x v="26"/>
    <x v="26"/>
    <x v="2"/>
    <x v="2"/>
    <x v="73"/>
    <n v="18077"/>
    <x v="33"/>
    <x v="46"/>
    <n v="3"/>
    <n v="750"/>
  </r>
  <r>
    <n v="2002"/>
    <x v="0"/>
    <x v="26"/>
    <x v="26"/>
    <x v="2"/>
    <x v="2"/>
    <x v="71"/>
    <n v="18098"/>
    <x v="33"/>
    <x v="30"/>
    <n v="2"/>
    <n v="666"/>
  </r>
  <r>
    <n v="2003"/>
    <x v="0"/>
    <x v="26"/>
    <x v="26"/>
    <x v="2"/>
    <x v="2"/>
    <x v="75"/>
    <n v="18014"/>
    <x v="47"/>
    <x v="30"/>
    <n v="2"/>
    <n v="666"/>
  </r>
  <r>
    <n v="2004"/>
    <x v="0"/>
    <x v="26"/>
    <x v="26"/>
    <x v="3"/>
    <x v="3"/>
    <x v="28"/>
    <n v="30028"/>
    <x v="411"/>
    <x v="18"/>
    <n v="180"/>
    <n v="900"/>
  </r>
  <r>
    <n v="2005"/>
    <x v="0"/>
    <x v="26"/>
    <x v="26"/>
    <x v="3"/>
    <x v="3"/>
    <x v="29"/>
    <n v="30015"/>
    <x v="27"/>
    <x v="225"/>
    <n v="54"/>
    <n v="900"/>
  </r>
  <r>
    <n v="2006"/>
    <x v="0"/>
    <x v="26"/>
    <x v="26"/>
    <x v="4"/>
    <x v="4"/>
    <x v="33"/>
    <n v="34056"/>
    <x v="39"/>
    <x v="39"/>
    <n v="72"/>
    <n v="1600"/>
  </r>
  <r>
    <n v="2007"/>
    <x v="0"/>
    <x v="26"/>
    <x v="26"/>
    <x v="4"/>
    <x v="4"/>
    <x v="34"/>
    <n v="34035"/>
    <x v="45"/>
    <x v="80"/>
    <n v="24"/>
    <n v="1200"/>
  </r>
  <r>
    <n v="2008"/>
    <x v="0"/>
    <x v="26"/>
    <x v="26"/>
    <x v="4"/>
    <x v="4"/>
    <x v="30"/>
    <n v="34049"/>
    <x v="31"/>
    <x v="31"/>
    <n v="27"/>
    <n v="1800"/>
  </r>
  <r>
    <n v="2009"/>
    <x v="0"/>
    <x v="26"/>
    <x v="26"/>
    <x v="4"/>
    <x v="4"/>
    <x v="81"/>
    <n v="34042"/>
    <x v="13"/>
    <x v="13"/>
    <n v="19"/>
    <n v="1600"/>
  </r>
  <r>
    <n v="2010"/>
    <x v="0"/>
    <x v="26"/>
    <x v="26"/>
    <x v="4"/>
    <x v="4"/>
    <x v="32"/>
    <n v="34014"/>
    <x v="32"/>
    <x v="32"/>
    <n v="14"/>
    <n v="1400"/>
  </r>
  <r>
    <n v="2011"/>
    <x v="0"/>
    <x v="26"/>
    <x v="26"/>
    <x v="4"/>
    <x v="4"/>
    <x v="31"/>
    <n v="34021"/>
    <x v="32"/>
    <x v="32"/>
    <n v="16"/>
    <n v="1600"/>
  </r>
  <r>
    <n v="2012"/>
    <x v="0"/>
    <x v="26"/>
    <x v="26"/>
    <x v="6"/>
    <x v="6"/>
    <x v="40"/>
    <n v="54021"/>
    <x v="23"/>
    <x v="44"/>
    <n v="64"/>
    <n v="800"/>
  </r>
  <r>
    <n v="2013"/>
    <x v="0"/>
    <x v="26"/>
    <x v="26"/>
    <x v="6"/>
    <x v="6"/>
    <x v="42"/>
    <n v="54105"/>
    <x v="23"/>
    <x v="44"/>
    <n v="64"/>
    <n v="800"/>
  </r>
  <r>
    <n v="2014"/>
    <x v="0"/>
    <x v="26"/>
    <x v="26"/>
    <x v="6"/>
    <x v="6"/>
    <x v="114"/>
    <n v="54014"/>
    <x v="89"/>
    <x v="225"/>
    <n v="48"/>
    <n v="800"/>
  </r>
  <r>
    <n v="2015"/>
    <x v="0"/>
    <x v="26"/>
    <x v="26"/>
    <x v="6"/>
    <x v="6"/>
    <x v="41"/>
    <n v="54098"/>
    <x v="225"/>
    <x v="97"/>
    <n v="38"/>
    <n v="792"/>
  </r>
  <r>
    <n v="2016"/>
    <x v="0"/>
    <x v="26"/>
    <x v="26"/>
    <x v="6"/>
    <x v="6"/>
    <x v="116"/>
    <n v="54063"/>
    <x v="72"/>
    <x v="6"/>
    <n v="19"/>
    <n v="800"/>
  </r>
  <r>
    <n v="2017"/>
    <x v="0"/>
    <x v="26"/>
    <x v="26"/>
    <x v="6"/>
    <x v="6"/>
    <x v="43"/>
    <n v="54035"/>
    <x v="45"/>
    <x v="79"/>
    <n v="13"/>
    <n v="812"/>
  </r>
  <r>
    <n v="2018"/>
    <x v="0"/>
    <x v="26"/>
    <x v="26"/>
    <x v="6"/>
    <x v="6"/>
    <x v="39"/>
    <n v="54007"/>
    <x v="31"/>
    <x v="13"/>
    <n v="10"/>
    <n v="833"/>
  </r>
  <r>
    <n v="2019"/>
    <x v="0"/>
    <x v="26"/>
    <x v="26"/>
    <x v="6"/>
    <x v="6"/>
    <x v="115"/>
    <n v="54056"/>
    <x v="32"/>
    <x v="67"/>
    <n v="6"/>
    <n v="750"/>
  </r>
  <r>
    <n v="2020"/>
    <x v="0"/>
    <x v="26"/>
    <x v="26"/>
    <x v="6"/>
    <x v="6"/>
    <x v="37"/>
    <n v="54112"/>
    <x v="33"/>
    <x v="46"/>
    <n v="3"/>
    <n v="800"/>
  </r>
  <r>
    <n v="2021"/>
    <x v="0"/>
    <x v="26"/>
    <x v="26"/>
    <x v="11"/>
    <x v="11"/>
    <x v="106"/>
    <n v="66112"/>
    <x v="125"/>
    <x v="45"/>
    <n v="52"/>
    <n v="1300"/>
  </r>
  <r>
    <n v="2022"/>
    <x v="0"/>
    <x v="26"/>
    <x v="26"/>
    <x v="7"/>
    <x v="7"/>
    <x v="44"/>
    <n v="82049"/>
    <x v="18"/>
    <x v="18"/>
    <n v="180"/>
    <n v="900"/>
  </r>
  <r>
    <n v="2023"/>
    <x v="0"/>
    <x v="26"/>
    <x v="26"/>
    <x v="7"/>
    <x v="7"/>
    <x v="45"/>
    <n v="82035"/>
    <x v="23"/>
    <x v="23"/>
    <n v="150"/>
    <n v="1500"/>
  </r>
  <r>
    <n v="2024"/>
    <x v="0"/>
    <x v="26"/>
    <x v="26"/>
    <x v="9"/>
    <x v="9"/>
    <x v="55"/>
    <n v="90007"/>
    <x v="45"/>
    <x v="67"/>
    <n v="6"/>
    <n v="750"/>
  </r>
  <r>
    <n v="2025"/>
    <x v="0"/>
    <x v="26"/>
    <x v="26"/>
    <x v="9"/>
    <x v="9"/>
    <x v="65"/>
    <n v="90014"/>
    <x v="32"/>
    <x v="49"/>
    <n v="5"/>
    <n v="833"/>
  </r>
  <r>
    <n v="2026"/>
    <x v="0"/>
    <x v="26"/>
    <x v="26"/>
    <x v="9"/>
    <x v="9"/>
    <x v="63"/>
    <n v="90028"/>
    <x v="33"/>
    <x v="30"/>
    <n v="2"/>
    <n v="666"/>
  </r>
  <r>
    <n v="2027"/>
    <x v="0"/>
    <x v="26"/>
    <x v="26"/>
    <x v="9"/>
    <x v="9"/>
    <x v="66"/>
    <n v="90056"/>
    <x v="33"/>
    <x v="33"/>
    <n v="4"/>
    <n v="800"/>
  </r>
  <r>
    <n v="2028"/>
    <x v="0"/>
    <x v="26"/>
    <x v="26"/>
    <x v="9"/>
    <x v="9"/>
    <x v="64"/>
    <n v="90112"/>
    <x v="30"/>
    <x v="34"/>
    <n v="2"/>
    <n v="1000"/>
  </r>
  <r>
    <n v="2029"/>
    <x v="0"/>
    <x v="27"/>
    <x v="27"/>
    <x v="1"/>
    <x v="1"/>
    <x v="142"/>
    <n v="14007"/>
    <x v="412"/>
    <x v="418"/>
    <n v="57600"/>
    <n v="800"/>
  </r>
  <r>
    <n v="2030"/>
    <x v="0"/>
    <x v="27"/>
    <x v="27"/>
    <x v="1"/>
    <x v="1"/>
    <x v="8"/>
    <n v="14119"/>
    <x v="403"/>
    <x v="419"/>
    <n v="31280"/>
    <n v="800"/>
  </r>
  <r>
    <n v="2031"/>
    <x v="0"/>
    <x v="27"/>
    <x v="27"/>
    <x v="1"/>
    <x v="1"/>
    <x v="7"/>
    <n v="14147"/>
    <x v="386"/>
    <x v="420"/>
    <n v="16800"/>
    <n v="700"/>
  </r>
  <r>
    <n v="2032"/>
    <x v="0"/>
    <x v="27"/>
    <x v="27"/>
    <x v="1"/>
    <x v="1"/>
    <x v="70"/>
    <n v="14007"/>
    <x v="226"/>
    <x v="162"/>
    <n v="4500"/>
    <n v="900"/>
  </r>
  <r>
    <n v="2033"/>
    <x v="0"/>
    <x v="27"/>
    <x v="27"/>
    <x v="1"/>
    <x v="1"/>
    <x v="13"/>
    <n v="14098"/>
    <x v="226"/>
    <x v="162"/>
    <n v="4500"/>
    <n v="900"/>
  </r>
  <r>
    <n v="2034"/>
    <x v="0"/>
    <x v="27"/>
    <x v="27"/>
    <x v="1"/>
    <x v="1"/>
    <x v="107"/>
    <n v="14056"/>
    <x v="11"/>
    <x v="11"/>
    <n v="900"/>
    <n v="900"/>
  </r>
  <r>
    <n v="2035"/>
    <x v="0"/>
    <x v="27"/>
    <x v="27"/>
    <x v="1"/>
    <x v="1"/>
    <x v="9"/>
    <n v="14105"/>
    <x v="58"/>
    <x v="207"/>
    <n v="450"/>
    <n v="750"/>
  </r>
  <r>
    <n v="2036"/>
    <x v="0"/>
    <x v="27"/>
    <x v="27"/>
    <x v="1"/>
    <x v="1"/>
    <x v="12"/>
    <n v="14014"/>
    <x v="184"/>
    <x v="380"/>
    <n v="304"/>
    <n v="800"/>
  </r>
  <r>
    <n v="2037"/>
    <x v="0"/>
    <x v="27"/>
    <x v="27"/>
    <x v="1"/>
    <x v="1"/>
    <x v="143"/>
    <n v="14042"/>
    <x v="12"/>
    <x v="12"/>
    <n v="366"/>
    <n v="1220"/>
  </r>
  <r>
    <n v="2038"/>
    <x v="0"/>
    <x v="27"/>
    <x v="27"/>
    <x v="1"/>
    <x v="1"/>
    <x v="46"/>
    <n v="14140"/>
    <x v="127"/>
    <x v="225"/>
    <n v="39"/>
    <n v="650"/>
  </r>
  <r>
    <n v="2039"/>
    <x v="0"/>
    <x v="27"/>
    <x v="27"/>
    <x v="1"/>
    <x v="1"/>
    <x v="11"/>
    <n v="14021"/>
    <x v="45"/>
    <x v="31"/>
    <n v="10"/>
    <n v="700"/>
  </r>
  <r>
    <n v="2040"/>
    <x v="0"/>
    <x v="27"/>
    <x v="27"/>
    <x v="1"/>
    <x v="1"/>
    <x v="42"/>
    <n v="14133"/>
    <x v="31"/>
    <x v="77"/>
    <n v="14"/>
    <n v="1000"/>
  </r>
  <r>
    <n v="2041"/>
    <x v="0"/>
    <x v="27"/>
    <x v="27"/>
    <x v="1"/>
    <x v="1"/>
    <x v="131"/>
    <n v="14126"/>
    <x v="32"/>
    <x v="67"/>
    <n v="8"/>
    <n v="1000"/>
  </r>
  <r>
    <n v="2042"/>
    <x v="0"/>
    <x v="27"/>
    <x v="27"/>
    <x v="1"/>
    <x v="1"/>
    <x v="135"/>
    <n v="14028"/>
    <x v="33"/>
    <x v="46"/>
    <n v="4"/>
    <n v="1000"/>
  </r>
  <r>
    <n v="2043"/>
    <x v="0"/>
    <x v="27"/>
    <x v="27"/>
    <x v="1"/>
    <x v="1"/>
    <x v="84"/>
    <n v="14168"/>
    <x v="34"/>
    <x v="47"/>
    <n v="1"/>
    <n v="1000"/>
  </r>
  <r>
    <n v="2044"/>
    <x v="0"/>
    <x v="27"/>
    <x v="27"/>
    <x v="2"/>
    <x v="2"/>
    <x v="15"/>
    <n v="18112"/>
    <x v="16"/>
    <x v="16"/>
    <n v="350"/>
    <n v="1000"/>
  </r>
  <r>
    <n v="2045"/>
    <x v="0"/>
    <x v="27"/>
    <x v="27"/>
    <x v="2"/>
    <x v="2"/>
    <x v="17"/>
    <n v="18042"/>
    <x v="67"/>
    <x v="421"/>
    <n v="55"/>
    <n v="750"/>
  </r>
  <r>
    <n v="2046"/>
    <x v="0"/>
    <x v="27"/>
    <x v="27"/>
    <x v="2"/>
    <x v="2"/>
    <x v="24"/>
    <n v="18140"/>
    <x v="44"/>
    <x v="201"/>
    <n v="32"/>
    <n v="750"/>
  </r>
  <r>
    <n v="2047"/>
    <x v="0"/>
    <x v="27"/>
    <x v="27"/>
    <x v="2"/>
    <x v="2"/>
    <x v="12"/>
    <n v="18021"/>
    <x v="131"/>
    <x v="72"/>
    <n v="22"/>
    <n v="750"/>
  </r>
  <r>
    <n v="2048"/>
    <x v="0"/>
    <x v="27"/>
    <x v="27"/>
    <x v="2"/>
    <x v="2"/>
    <x v="25"/>
    <n v="18035"/>
    <x v="72"/>
    <x v="72"/>
    <n v="27"/>
    <n v="900"/>
  </r>
  <r>
    <n v="2049"/>
    <x v="0"/>
    <x v="27"/>
    <x v="27"/>
    <x v="2"/>
    <x v="2"/>
    <x v="23"/>
    <n v="18126"/>
    <x v="72"/>
    <x v="78"/>
    <n v="20"/>
    <n v="800"/>
  </r>
  <r>
    <n v="2050"/>
    <x v="0"/>
    <x v="27"/>
    <x v="27"/>
    <x v="2"/>
    <x v="2"/>
    <x v="19"/>
    <n v="18133"/>
    <x v="92"/>
    <x v="99"/>
    <n v="18"/>
    <n v="800"/>
  </r>
  <r>
    <n v="2051"/>
    <x v="0"/>
    <x v="27"/>
    <x v="27"/>
    <x v="2"/>
    <x v="2"/>
    <x v="43"/>
    <n v="18028"/>
    <x v="32"/>
    <x v="29"/>
    <n v="6"/>
    <n v="800"/>
  </r>
  <r>
    <n v="2052"/>
    <x v="0"/>
    <x v="27"/>
    <x v="27"/>
    <x v="2"/>
    <x v="2"/>
    <x v="72"/>
    <n v="18063"/>
    <x v="32"/>
    <x v="29"/>
    <n v="5"/>
    <n v="750"/>
  </r>
  <r>
    <n v="2053"/>
    <x v="0"/>
    <x v="27"/>
    <x v="27"/>
    <x v="2"/>
    <x v="2"/>
    <x v="22"/>
    <n v="18084"/>
    <x v="32"/>
    <x v="49"/>
    <n v="5"/>
    <n v="750"/>
  </r>
  <r>
    <n v="2054"/>
    <x v="0"/>
    <x v="27"/>
    <x v="27"/>
    <x v="2"/>
    <x v="2"/>
    <x v="76"/>
    <n v="18154"/>
    <x v="32"/>
    <x v="67"/>
    <n v="6"/>
    <n v="800"/>
  </r>
  <r>
    <n v="2055"/>
    <x v="0"/>
    <x v="27"/>
    <x v="27"/>
    <x v="2"/>
    <x v="2"/>
    <x v="73"/>
    <n v="18077"/>
    <x v="77"/>
    <x v="49"/>
    <n v="4"/>
    <n v="700"/>
  </r>
  <r>
    <n v="2056"/>
    <x v="0"/>
    <x v="27"/>
    <x v="27"/>
    <x v="2"/>
    <x v="2"/>
    <x v="71"/>
    <n v="18098"/>
    <x v="77"/>
    <x v="49"/>
    <n v="5"/>
    <n v="800"/>
  </r>
  <r>
    <n v="2057"/>
    <x v="0"/>
    <x v="27"/>
    <x v="27"/>
    <x v="2"/>
    <x v="2"/>
    <x v="75"/>
    <n v="18014"/>
    <x v="48"/>
    <x v="47"/>
    <n v="1"/>
    <n v="700"/>
  </r>
  <r>
    <n v="2058"/>
    <x v="0"/>
    <x v="27"/>
    <x v="27"/>
    <x v="3"/>
    <x v="3"/>
    <x v="28"/>
    <n v="30028"/>
    <x v="70"/>
    <x v="274"/>
    <n v="88"/>
    <n v="800"/>
  </r>
  <r>
    <n v="2059"/>
    <x v="0"/>
    <x v="27"/>
    <x v="27"/>
    <x v="3"/>
    <x v="3"/>
    <x v="11"/>
    <n v="30008"/>
    <x v="39"/>
    <x v="45"/>
    <n v="32"/>
    <n v="800"/>
  </r>
  <r>
    <n v="2060"/>
    <x v="0"/>
    <x v="27"/>
    <x v="27"/>
    <x v="4"/>
    <x v="4"/>
    <x v="33"/>
    <n v="34056"/>
    <x v="131"/>
    <x v="139"/>
    <n v="49"/>
    <n v="1400"/>
  </r>
  <r>
    <n v="2061"/>
    <x v="0"/>
    <x v="27"/>
    <x v="27"/>
    <x v="4"/>
    <x v="4"/>
    <x v="34"/>
    <n v="34035"/>
    <x v="31"/>
    <x v="31"/>
    <n v="15"/>
    <n v="1000"/>
  </r>
  <r>
    <n v="2062"/>
    <x v="0"/>
    <x v="27"/>
    <x v="27"/>
    <x v="4"/>
    <x v="4"/>
    <x v="30"/>
    <n v="34049"/>
    <x v="13"/>
    <x v="13"/>
    <n v="19"/>
    <n v="1600"/>
  </r>
  <r>
    <n v="2063"/>
    <x v="0"/>
    <x v="27"/>
    <x v="27"/>
    <x v="4"/>
    <x v="4"/>
    <x v="81"/>
    <n v="34042"/>
    <x v="32"/>
    <x v="32"/>
    <n v="16"/>
    <n v="1600"/>
  </r>
  <r>
    <n v="2064"/>
    <x v="0"/>
    <x v="27"/>
    <x v="27"/>
    <x v="4"/>
    <x v="4"/>
    <x v="32"/>
    <n v="34014"/>
    <x v="77"/>
    <x v="67"/>
    <n v="11"/>
    <n v="1400"/>
  </r>
  <r>
    <n v="2065"/>
    <x v="0"/>
    <x v="27"/>
    <x v="27"/>
    <x v="4"/>
    <x v="4"/>
    <x v="31"/>
    <n v="34021"/>
    <x v="77"/>
    <x v="67"/>
    <n v="11"/>
    <n v="1400"/>
  </r>
  <r>
    <n v="2066"/>
    <x v="0"/>
    <x v="27"/>
    <x v="27"/>
    <x v="6"/>
    <x v="6"/>
    <x v="40"/>
    <n v="54021"/>
    <x v="67"/>
    <x v="225"/>
    <n v="48"/>
    <n v="800"/>
  </r>
  <r>
    <n v="2067"/>
    <x v="0"/>
    <x v="27"/>
    <x v="27"/>
    <x v="6"/>
    <x v="6"/>
    <x v="42"/>
    <n v="54105"/>
    <x v="67"/>
    <x v="225"/>
    <n v="48"/>
    <n v="800"/>
  </r>
  <r>
    <n v="2068"/>
    <x v="0"/>
    <x v="27"/>
    <x v="27"/>
    <x v="6"/>
    <x v="6"/>
    <x v="114"/>
    <n v="54014"/>
    <x v="225"/>
    <x v="39"/>
    <n v="36"/>
    <n v="800"/>
  </r>
  <r>
    <n v="2069"/>
    <x v="0"/>
    <x v="27"/>
    <x v="27"/>
    <x v="6"/>
    <x v="6"/>
    <x v="41"/>
    <n v="54098"/>
    <x v="100"/>
    <x v="290"/>
    <n v="25"/>
    <n v="810"/>
  </r>
  <r>
    <n v="2070"/>
    <x v="0"/>
    <x v="27"/>
    <x v="27"/>
    <x v="6"/>
    <x v="6"/>
    <x v="116"/>
    <n v="54063"/>
    <x v="95"/>
    <x v="135"/>
    <n v="10"/>
    <n v="770"/>
  </r>
  <r>
    <n v="2071"/>
    <x v="0"/>
    <x v="27"/>
    <x v="27"/>
    <x v="6"/>
    <x v="6"/>
    <x v="43"/>
    <n v="54035"/>
    <x v="132"/>
    <x v="13"/>
    <n v="10"/>
    <n v="840"/>
  </r>
  <r>
    <n v="2072"/>
    <x v="0"/>
    <x v="27"/>
    <x v="27"/>
    <x v="6"/>
    <x v="6"/>
    <x v="39"/>
    <n v="54007"/>
    <x v="13"/>
    <x v="52"/>
    <n v="7"/>
    <n v="780"/>
  </r>
  <r>
    <n v="2073"/>
    <x v="0"/>
    <x v="27"/>
    <x v="27"/>
    <x v="6"/>
    <x v="6"/>
    <x v="115"/>
    <n v="54056"/>
    <x v="32"/>
    <x v="67"/>
    <n v="6"/>
    <n v="750"/>
  </r>
  <r>
    <n v="2074"/>
    <x v="0"/>
    <x v="27"/>
    <x v="27"/>
    <x v="6"/>
    <x v="6"/>
    <x v="37"/>
    <n v="54112"/>
    <x v="33"/>
    <x v="46"/>
    <n v="3"/>
    <n v="750"/>
  </r>
  <r>
    <n v="2075"/>
    <x v="0"/>
    <x v="27"/>
    <x v="27"/>
    <x v="11"/>
    <x v="11"/>
    <x v="106"/>
    <n v="66112"/>
    <x v="72"/>
    <x v="72"/>
    <n v="36"/>
    <n v="1200"/>
  </r>
  <r>
    <n v="2076"/>
    <x v="0"/>
    <x v="27"/>
    <x v="27"/>
    <x v="7"/>
    <x v="7"/>
    <x v="45"/>
    <n v="82035"/>
    <x v="23"/>
    <x v="23"/>
    <n v="130"/>
    <n v="1300"/>
  </r>
  <r>
    <n v="2077"/>
    <x v="0"/>
    <x v="27"/>
    <x v="27"/>
    <x v="7"/>
    <x v="7"/>
    <x v="44"/>
    <n v="82049"/>
    <x v="44"/>
    <x v="111"/>
    <n v="40"/>
    <n v="800"/>
  </r>
  <r>
    <n v="2078"/>
    <x v="0"/>
    <x v="27"/>
    <x v="27"/>
    <x v="9"/>
    <x v="9"/>
    <x v="55"/>
    <n v="90007"/>
    <x v="45"/>
    <x v="79"/>
    <n v="13"/>
    <n v="820"/>
  </r>
  <r>
    <n v="2079"/>
    <x v="0"/>
    <x v="27"/>
    <x v="27"/>
    <x v="9"/>
    <x v="9"/>
    <x v="65"/>
    <n v="90014"/>
    <x v="32"/>
    <x v="67"/>
    <n v="7"/>
    <n v="880"/>
  </r>
  <r>
    <n v="2080"/>
    <x v="0"/>
    <x v="27"/>
    <x v="27"/>
    <x v="9"/>
    <x v="9"/>
    <x v="63"/>
    <n v="90028"/>
    <x v="33"/>
    <x v="46"/>
    <n v="3"/>
    <n v="750"/>
  </r>
  <r>
    <n v="2081"/>
    <x v="0"/>
    <x v="27"/>
    <x v="27"/>
    <x v="9"/>
    <x v="9"/>
    <x v="66"/>
    <n v="90056"/>
    <x v="33"/>
    <x v="46"/>
    <n v="3"/>
    <n v="750"/>
  </r>
  <r>
    <n v="2082"/>
    <x v="0"/>
    <x v="27"/>
    <x v="27"/>
    <x v="9"/>
    <x v="9"/>
    <x v="64"/>
    <n v="90112"/>
    <x v="30"/>
    <x v="30"/>
    <n v="2"/>
    <n v="670"/>
  </r>
  <r>
    <n v="2083"/>
    <x v="0"/>
    <x v="28"/>
    <x v="28"/>
    <x v="1"/>
    <x v="1"/>
    <x v="10"/>
    <n v="14161"/>
    <x v="413"/>
    <x v="422"/>
    <n v="115000"/>
    <n v="1150"/>
  </r>
  <r>
    <n v="2084"/>
    <x v="0"/>
    <x v="28"/>
    <x v="28"/>
    <x v="1"/>
    <x v="1"/>
    <x v="8"/>
    <n v="14119"/>
    <x v="414"/>
    <x v="423"/>
    <n v="58508"/>
    <n v="1100"/>
  </r>
  <r>
    <n v="2085"/>
    <x v="0"/>
    <x v="28"/>
    <x v="28"/>
    <x v="1"/>
    <x v="1"/>
    <x v="7"/>
    <n v="14147"/>
    <x v="375"/>
    <x v="373"/>
    <n v="25650"/>
    <n v="950"/>
  </r>
  <r>
    <n v="2086"/>
    <x v="0"/>
    <x v="28"/>
    <x v="28"/>
    <x v="1"/>
    <x v="1"/>
    <x v="70"/>
    <n v="14007"/>
    <x v="226"/>
    <x v="162"/>
    <n v="5500"/>
    <n v="1100"/>
  </r>
  <r>
    <n v="2087"/>
    <x v="0"/>
    <x v="28"/>
    <x v="28"/>
    <x v="1"/>
    <x v="1"/>
    <x v="107"/>
    <n v="14056"/>
    <x v="226"/>
    <x v="162"/>
    <n v="6500"/>
    <n v="1300"/>
  </r>
  <r>
    <n v="2088"/>
    <x v="0"/>
    <x v="28"/>
    <x v="28"/>
    <x v="1"/>
    <x v="1"/>
    <x v="13"/>
    <n v="14098"/>
    <x v="147"/>
    <x v="101"/>
    <n v="3000"/>
    <n v="1000"/>
  </r>
  <r>
    <n v="2089"/>
    <x v="0"/>
    <x v="28"/>
    <x v="28"/>
    <x v="1"/>
    <x v="1"/>
    <x v="9"/>
    <n v="14105"/>
    <x v="180"/>
    <x v="147"/>
    <n v="378"/>
    <n v="700"/>
  </r>
  <r>
    <n v="2090"/>
    <x v="0"/>
    <x v="28"/>
    <x v="28"/>
    <x v="1"/>
    <x v="1"/>
    <x v="143"/>
    <n v="14042"/>
    <x v="63"/>
    <x v="63"/>
    <n v="216"/>
    <n v="1200"/>
  </r>
  <r>
    <n v="2091"/>
    <x v="0"/>
    <x v="28"/>
    <x v="28"/>
    <x v="1"/>
    <x v="1"/>
    <x v="46"/>
    <n v="14140"/>
    <x v="23"/>
    <x v="44"/>
    <n v="48"/>
    <n v="600"/>
  </r>
  <r>
    <n v="2092"/>
    <x v="0"/>
    <x v="28"/>
    <x v="28"/>
    <x v="2"/>
    <x v="2"/>
    <x v="15"/>
    <n v="18112"/>
    <x v="16"/>
    <x v="12"/>
    <n v="270"/>
    <n v="900"/>
  </r>
  <r>
    <n v="2093"/>
    <x v="0"/>
    <x v="28"/>
    <x v="28"/>
    <x v="2"/>
    <x v="2"/>
    <x v="17"/>
    <n v="18042"/>
    <x v="44"/>
    <x v="39"/>
    <n v="38"/>
    <n v="845"/>
  </r>
  <r>
    <n v="2094"/>
    <x v="0"/>
    <x v="28"/>
    <x v="28"/>
    <x v="2"/>
    <x v="2"/>
    <x v="25"/>
    <n v="18035"/>
    <x v="72"/>
    <x v="78"/>
    <n v="22"/>
    <n v="880"/>
  </r>
  <r>
    <n v="2095"/>
    <x v="0"/>
    <x v="28"/>
    <x v="28"/>
    <x v="2"/>
    <x v="2"/>
    <x v="23"/>
    <n v="18126"/>
    <x v="72"/>
    <x v="157"/>
    <n v="23"/>
    <n v="852"/>
  </r>
  <r>
    <n v="2096"/>
    <x v="0"/>
    <x v="28"/>
    <x v="28"/>
    <x v="2"/>
    <x v="2"/>
    <x v="12"/>
    <n v="18021"/>
    <x v="45"/>
    <x v="140"/>
    <n v="14"/>
    <n v="778"/>
  </r>
  <r>
    <n v="2097"/>
    <x v="0"/>
    <x v="28"/>
    <x v="28"/>
    <x v="2"/>
    <x v="2"/>
    <x v="24"/>
    <n v="18140"/>
    <x v="45"/>
    <x v="140"/>
    <n v="14"/>
    <n v="778"/>
  </r>
  <r>
    <n v="2098"/>
    <x v="0"/>
    <x v="28"/>
    <x v="28"/>
    <x v="2"/>
    <x v="2"/>
    <x v="43"/>
    <n v="18028"/>
    <x v="32"/>
    <x v="52"/>
    <n v="7"/>
    <n v="778"/>
  </r>
  <r>
    <n v="2099"/>
    <x v="0"/>
    <x v="28"/>
    <x v="28"/>
    <x v="2"/>
    <x v="2"/>
    <x v="19"/>
    <n v="18133"/>
    <x v="32"/>
    <x v="52"/>
    <n v="7"/>
    <n v="778"/>
  </r>
  <r>
    <n v="2100"/>
    <x v="0"/>
    <x v="28"/>
    <x v="28"/>
    <x v="2"/>
    <x v="2"/>
    <x v="76"/>
    <n v="18154"/>
    <x v="32"/>
    <x v="52"/>
    <n v="8"/>
    <n v="889"/>
  </r>
  <r>
    <n v="2101"/>
    <x v="0"/>
    <x v="28"/>
    <x v="28"/>
    <x v="2"/>
    <x v="2"/>
    <x v="72"/>
    <n v="18063"/>
    <x v="77"/>
    <x v="29"/>
    <n v="5"/>
    <n v="714"/>
  </r>
  <r>
    <n v="2102"/>
    <x v="0"/>
    <x v="28"/>
    <x v="28"/>
    <x v="2"/>
    <x v="2"/>
    <x v="71"/>
    <n v="18098"/>
    <x v="77"/>
    <x v="29"/>
    <n v="6"/>
    <n v="857"/>
  </r>
  <r>
    <n v="2103"/>
    <x v="0"/>
    <x v="28"/>
    <x v="28"/>
    <x v="2"/>
    <x v="2"/>
    <x v="73"/>
    <n v="18077"/>
    <x v="33"/>
    <x v="46"/>
    <n v="3"/>
    <n v="750"/>
  </r>
  <r>
    <n v="2104"/>
    <x v="0"/>
    <x v="28"/>
    <x v="28"/>
    <x v="2"/>
    <x v="2"/>
    <x v="22"/>
    <n v="18084"/>
    <x v="33"/>
    <x v="46"/>
    <n v="3"/>
    <n v="750"/>
  </r>
  <r>
    <n v="2105"/>
    <x v="0"/>
    <x v="28"/>
    <x v="28"/>
    <x v="3"/>
    <x v="3"/>
    <x v="28"/>
    <n v="30028"/>
    <x v="70"/>
    <x v="23"/>
    <n v="70"/>
    <n v="700"/>
  </r>
  <r>
    <n v="2106"/>
    <x v="0"/>
    <x v="28"/>
    <x v="28"/>
    <x v="3"/>
    <x v="3"/>
    <x v="29"/>
    <n v="30015"/>
    <x v="39"/>
    <x v="139"/>
    <n v="25"/>
    <n v="714"/>
  </r>
  <r>
    <n v="2107"/>
    <x v="0"/>
    <x v="28"/>
    <x v="28"/>
    <x v="4"/>
    <x v="4"/>
    <x v="33"/>
    <n v="34056"/>
    <x v="39"/>
    <x v="39"/>
    <n v="54"/>
    <n v="1200"/>
  </r>
  <r>
    <n v="2108"/>
    <x v="0"/>
    <x v="28"/>
    <x v="28"/>
    <x v="4"/>
    <x v="4"/>
    <x v="34"/>
    <n v="34035"/>
    <x v="31"/>
    <x v="31"/>
    <n v="10"/>
    <n v="667"/>
  </r>
  <r>
    <n v="2109"/>
    <x v="0"/>
    <x v="28"/>
    <x v="28"/>
    <x v="4"/>
    <x v="4"/>
    <x v="81"/>
    <n v="34042"/>
    <x v="31"/>
    <x v="31"/>
    <n v="23"/>
    <n v="1534"/>
  </r>
  <r>
    <n v="2110"/>
    <x v="0"/>
    <x v="28"/>
    <x v="28"/>
    <x v="4"/>
    <x v="4"/>
    <x v="30"/>
    <n v="34049"/>
    <x v="31"/>
    <x v="31"/>
    <n v="22"/>
    <n v="1467"/>
  </r>
  <r>
    <n v="2111"/>
    <x v="0"/>
    <x v="28"/>
    <x v="28"/>
    <x v="4"/>
    <x v="4"/>
    <x v="32"/>
    <n v="34014"/>
    <x v="13"/>
    <x v="13"/>
    <n v="12"/>
    <n v="1000"/>
  </r>
  <r>
    <n v="2112"/>
    <x v="0"/>
    <x v="28"/>
    <x v="28"/>
    <x v="4"/>
    <x v="4"/>
    <x v="31"/>
    <n v="34021"/>
    <x v="32"/>
    <x v="32"/>
    <n v="12"/>
    <n v="1200"/>
  </r>
  <r>
    <n v="2113"/>
    <x v="0"/>
    <x v="28"/>
    <x v="28"/>
    <x v="6"/>
    <x v="6"/>
    <x v="40"/>
    <n v="54021"/>
    <x v="89"/>
    <x v="125"/>
    <n v="38"/>
    <n v="717"/>
  </r>
  <r>
    <n v="2114"/>
    <x v="0"/>
    <x v="28"/>
    <x v="28"/>
    <x v="6"/>
    <x v="6"/>
    <x v="42"/>
    <n v="54105"/>
    <x v="89"/>
    <x v="125"/>
    <n v="38"/>
    <n v="717"/>
  </r>
  <r>
    <n v="2115"/>
    <x v="0"/>
    <x v="28"/>
    <x v="28"/>
    <x v="6"/>
    <x v="6"/>
    <x v="114"/>
    <n v="54014"/>
    <x v="196"/>
    <x v="138"/>
    <n v="27"/>
    <n v="692"/>
  </r>
  <r>
    <n v="2116"/>
    <x v="0"/>
    <x v="28"/>
    <x v="28"/>
    <x v="6"/>
    <x v="6"/>
    <x v="41"/>
    <n v="54098"/>
    <x v="130"/>
    <x v="157"/>
    <n v="17"/>
    <n v="630"/>
  </r>
  <r>
    <n v="2117"/>
    <x v="0"/>
    <x v="28"/>
    <x v="28"/>
    <x v="6"/>
    <x v="6"/>
    <x v="116"/>
    <n v="54063"/>
    <x v="107"/>
    <x v="13"/>
    <n v="6"/>
    <n v="500"/>
  </r>
  <r>
    <n v="2118"/>
    <x v="0"/>
    <x v="28"/>
    <x v="28"/>
    <x v="6"/>
    <x v="6"/>
    <x v="43"/>
    <n v="54035"/>
    <x v="31"/>
    <x v="136"/>
    <n v="8"/>
    <n v="727"/>
  </r>
  <r>
    <n v="2119"/>
    <x v="0"/>
    <x v="28"/>
    <x v="28"/>
    <x v="6"/>
    <x v="6"/>
    <x v="39"/>
    <n v="54007"/>
    <x v="13"/>
    <x v="52"/>
    <n v="6"/>
    <n v="667"/>
  </r>
  <r>
    <n v="2120"/>
    <x v="0"/>
    <x v="28"/>
    <x v="28"/>
    <x v="6"/>
    <x v="6"/>
    <x v="115"/>
    <n v="54056"/>
    <x v="32"/>
    <x v="67"/>
    <n v="4"/>
    <n v="500"/>
  </r>
  <r>
    <n v="2121"/>
    <x v="0"/>
    <x v="28"/>
    <x v="28"/>
    <x v="6"/>
    <x v="6"/>
    <x v="37"/>
    <n v="54112"/>
    <x v="33"/>
    <x v="46"/>
    <n v="2"/>
    <n v="500"/>
  </r>
  <r>
    <n v="2122"/>
    <x v="0"/>
    <x v="28"/>
    <x v="28"/>
    <x v="11"/>
    <x v="11"/>
    <x v="106"/>
    <n v="66112"/>
    <x v="72"/>
    <x v="72"/>
    <n v="36"/>
    <n v="1200"/>
  </r>
  <r>
    <n v="2123"/>
    <x v="0"/>
    <x v="28"/>
    <x v="28"/>
    <x v="7"/>
    <x v="7"/>
    <x v="44"/>
    <n v="82049"/>
    <x v="26"/>
    <x v="16"/>
    <n v="350"/>
    <n v="1000"/>
  </r>
  <r>
    <n v="2124"/>
    <x v="0"/>
    <x v="28"/>
    <x v="28"/>
    <x v="7"/>
    <x v="7"/>
    <x v="45"/>
    <n v="82035"/>
    <x v="143"/>
    <x v="150"/>
    <n v="175"/>
    <n v="1346"/>
  </r>
  <r>
    <n v="2125"/>
    <x v="0"/>
    <x v="28"/>
    <x v="28"/>
    <x v="9"/>
    <x v="9"/>
    <x v="55"/>
    <n v="90007"/>
    <x v="94"/>
    <x v="80"/>
    <n v="20"/>
    <n v="1000"/>
  </r>
  <r>
    <n v="2126"/>
    <x v="0"/>
    <x v="28"/>
    <x v="28"/>
    <x v="9"/>
    <x v="9"/>
    <x v="65"/>
    <n v="90014"/>
    <x v="50"/>
    <x v="32"/>
    <n v="10"/>
    <n v="1000"/>
  </r>
  <r>
    <n v="2127"/>
    <x v="0"/>
    <x v="28"/>
    <x v="28"/>
    <x v="9"/>
    <x v="9"/>
    <x v="63"/>
    <n v="90028"/>
    <x v="78"/>
    <x v="49"/>
    <n v="6"/>
    <n v="1000"/>
  </r>
  <r>
    <n v="2128"/>
    <x v="0"/>
    <x v="28"/>
    <x v="28"/>
    <x v="9"/>
    <x v="9"/>
    <x v="66"/>
    <n v="90056"/>
    <x v="78"/>
    <x v="49"/>
    <n v="6"/>
    <n v="1000"/>
  </r>
  <r>
    <n v="2129"/>
    <x v="0"/>
    <x v="28"/>
    <x v="28"/>
    <x v="9"/>
    <x v="9"/>
    <x v="64"/>
    <n v="90112"/>
    <x v="30"/>
    <x v="30"/>
    <n v="3"/>
    <n v="1000"/>
  </r>
  <r>
    <n v="2130"/>
    <x v="0"/>
    <x v="29"/>
    <x v="29"/>
    <x v="0"/>
    <x v="0"/>
    <x v="88"/>
    <n v="22084"/>
    <x v="93"/>
    <x v="98"/>
    <n v="18"/>
    <n v="783"/>
  </r>
  <r>
    <n v="2131"/>
    <x v="0"/>
    <x v="29"/>
    <x v="29"/>
    <x v="0"/>
    <x v="0"/>
    <x v="166"/>
    <n v="22119"/>
    <x v="132"/>
    <x v="79"/>
    <n v="11"/>
    <n v="687"/>
  </r>
  <r>
    <n v="2132"/>
    <x v="0"/>
    <x v="29"/>
    <x v="29"/>
    <x v="0"/>
    <x v="0"/>
    <x v="167"/>
    <n v="22154"/>
    <x v="29"/>
    <x v="29"/>
    <n v="6"/>
    <n v="857"/>
  </r>
  <r>
    <n v="2133"/>
    <x v="0"/>
    <x v="29"/>
    <x v="29"/>
    <x v="0"/>
    <x v="0"/>
    <x v="168"/>
    <n v="22056"/>
    <x v="47"/>
    <x v="46"/>
    <n v="3"/>
    <n v="750"/>
  </r>
  <r>
    <n v="2134"/>
    <x v="0"/>
    <x v="29"/>
    <x v="29"/>
    <x v="0"/>
    <x v="0"/>
    <x v="169"/>
    <n v="22126"/>
    <x v="34"/>
    <x v="34"/>
    <n v="2"/>
    <n v="1000"/>
  </r>
  <r>
    <n v="2135"/>
    <x v="0"/>
    <x v="29"/>
    <x v="29"/>
    <x v="0"/>
    <x v="0"/>
    <x v="170"/>
    <n v="22077"/>
    <x v="48"/>
    <x v="47"/>
    <n v="1"/>
    <n v="1000"/>
  </r>
  <r>
    <n v="2136"/>
    <x v="0"/>
    <x v="29"/>
    <x v="29"/>
    <x v="1"/>
    <x v="1"/>
    <x v="10"/>
    <n v="14161"/>
    <x v="415"/>
    <x v="424"/>
    <n v="135700"/>
    <n v="1399"/>
  </r>
  <r>
    <n v="2137"/>
    <x v="0"/>
    <x v="29"/>
    <x v="29"/>
    <x v="1"/>
    <x v="1"/>
    <x v="8"/>
    <n v="14119"/>
    <x v="416"/>
    <x v="425"/>
    <n v="104000"/>
    <n v="1600"/>
  </r>
  <r>
    <n v="2138"/>
    <x v="0"/>
    <x v="29"/>
    <x v="29"/>
    <x v="1"/>
    <x v="1"/>
    <x v="7"/>
    <n v="14147"/>
    <x v="417"/>
    <x v="341"/>
    <n v="42000"/>
    <n v="1400"/>
  </r>
  <r>
    <n v="2139"/>
    <x v="0"/>
    <x v="29"/>
    <x v="29"/>
    <x v="1"/>
    <x v="1"/>
    <x v="107"/>
    <n v="14056"/>
    <x v="222"/>
    <x v="233"/>
    <n v="19600"/>
    <n v="1400"/>
  </r>
  <r>
    <n v="2140"/>
    <x v="0"/>
    <x v="29"/>
    <x v="29"/>
    <x v="1"/>
    <x v="1"/>
    <x v="70"/>
    <n v="14007"/>
    <x v="157"/>
    <x v="209"/>
    <n v="7200"/>
    <n v="1200"/>
  </r>
  <r>
    <n v="2141"/>
    <x v="0"/>
    <x v="29"/>
    <x v="29"/>
    <x v="1"/>
    <x v="1"/>
    <x v="13"/>
    <n v="14098"/>
    <x v="158"/>
    <x v="163"/>
    <n v="4400"/>
    <n v="1100"/>
  </r>
  <r>
    <n v="2142"/>
    <x v="0"/>
    <x v="29"/>
    <x v="29"/>
    <x v="1"/>
    <x v="1"/>
    <x v="9"/>
    <n v="14105"/>
    <x v="418"/>
    <x v="426"/>
    <n v="1270"/>
    <n v="648"/>
  </r>
  <r>
    <n v="2143"/>
    <x v="0"/>
    <x v="29"/>
    <x v="29"/>
    <x v="1"/>
    <x v="1"/>
    <x v="143"/>
    <n v="14042"/>
    <x v="180"/>
    <x v="207"/>
    <n v="1020"/>
    <n v="1700"/>
  </r>
  <r>
    <n v="2144"/>
    <x v="0"/>
    <x v="29"/>
    <x v="29"/>
    <x v="1"/>
    <x v="1"/>
    <x v="135"/>
    <n v="14028"/>
    <x v="26"/>
    <x v="26"/>
    <n v="546"/>
    <n v="1400"/>
  </r>
  <r>
    <n v="2145"/>
    <x v="0"/>
    <x v="29"/>
    <x v="29"/>
    <x v="1"/>
    <x v="1"/>
    <x v="12"/>
    <n v="14014"/>
    <x v="61"/>
    <x v="61"/>
    <n v="250"/>
    <n v="1000"/>
  </r>
  <r>
    <n v="2146"/>
    <x v="0"/>
    <x v="29"/>
    <x v="29"/>
    <x v="1"/>
    <x v="1"/>
    <x v="46"/>
    <n v="14140"/>
    <x v="62"/>
    <x v="195"/>
    <n v="130"/>
    <n v="695"/>
  </r>
  <r>
    <n v="2147"/>
    <x v="0"/>
    <x v="29"/>
    <x v="29"/>
    <x v="1"/>
    <x v="1"/>
    <x v="84"/>
    <n v="14168"/>
    <x v="39"/>
    <x v="39"/>
    <n v="45"/>
    <n v="1000"/>
  </r>
  <r>
    <n v="2148"/>
    <x v="0"/>
    <x v="29"/>
    <x v="29"/>
    <x v="1"/>
    <x v="1"/>
    <x v="11"/>
    <n v="14021"/>
    <x v="92"/>
    <x v="78"/>
    <n v="25"/>
    <n v="1000"/>
  </r>
  <r>
    <n v="2149"/>
    <x v="0"/>
    <x v="29"/>
    <x v="29"/>
    <x v="1"/>
    <x v="1"/>
    <x v="131"/>
    <n v="14126"/>
    <x v="32"/>
    <x v="32"/>
    <n v="14"/>
    <n v="1400"/>
  </r>
  <r>
    <n v="2150"/>
    <x v="0"/>
    <x v="29"/>
    <x v="29"/>
    <x v="2"/>
    <x v="2"/>
    <x v="15"/>
    <n v="18112"/>
    <x v="16"/>
    <x v="427"/>
    <n v="297"/>
    <n v="900"/>
  </r>
  <r>
    <n v="2151"/>
    <x v="0"/>
    <x v="29"/>
    <x v="29"/>
    <x v="2"/>
    <x v="2"/>
    <x v="17"/>
    <n v="18042"/>
    <x v="225"/>
    <x v="97"/>
    <n v="25"/>
    <n v="521"/>
  </r>
  <r>
    <n v="2152"/>
    <x v="0"/>
    <x v="29"/>
    <x v="29"/>
    <x v="2"/>
    <x v="2"/>
    <x v="23"/>
    <n v="18126"/>
    <x v="131"/>
    <x v="202"/>
    <n v="16"/>
    <n v="571"/>
  </r>
  <r>
    <n v="2153"/>
    <x v="0"/>
    <x v="29"/>
    <x v="29"/>
    <x v="2"/>
    <x v="2"/>
    <x v="24"/>
    <n v="18140"/>
    <x v="131"/>
    <x v="258"/>
    <n v="19"/>
    <n v="655"/>
  </r>
  <r>
    <n v="2154"/>
    <x v="0"/>
    <x v="29"/>
    <x v="29"/>
    <x v="2"/>
    <x v="2"/>
    <x v="12"/>
    <n v="18021"/>
    <x v="72"/>
    <x v="78"/>
    <n v="14"/>
    <n v="560"/>
  </r>
  <r>
    <n v="2155"/>
    <x v="0"/>
    <x v="29"/>
    <x v="29"/>
    <x v="2"/>
    <x v="2"/>
    <x v="25"/>
    <n v="18035"/>
    <x v="72"/>
    <x v="78"/>
    <n v="20"/>
    <n v="800"/>
  </r>
  <r>
    <n v="2156"/>
    <x v="0"/>
    <x v="29"/>
    <x v="29"/>
    <x v="2"/>
    <x v="2"/>
    <x v="72"/>
    <n v="18063"/>
    <x v="31"/>
    <x v="13"/>
    <n v="7"/>
    <n v="583"/>
  </r>
  <r>
    <n v="2157"/>
    <x v="0"/>
    <x v="29"/>
    <x v="29"/>
    <x v="2"/>
    <x v="2"/>
    <x v="71"/>
    <n v="18098"/>
    <x v="31"/>
    <x v="13"/>
    <n v="7"/>
    <n v="583"/>
  </r>
  <r>
    <n v="2158"/>
    <x v="0"/>
    <x v="29"/>
    <x v="29"/>
    <x v="2"/>
    <x v="2"/>
    <x v="19"/>
    <n v="18133"/>
    <x v="31"/>
    <x v="13"/>
    <n v="7"/>
    <n v="583"/>
  </r>
  <r>
    <n v="2159"/>
    <x v="0"/>
    <x v="29"/>
    <x v="29"/>
    <x v="2"/>
    <x v="2"/>
    <x v="76"/>
    <n v="18154"/>
    <x v="31"/>
    <x v="135"/>
    <n v="8"/>
    <n v="615"/>
  </r>
  <r>
    <n v="2160"/>
    <x v="0"/>
    <x v="29"/>
    <x v="29"/>
    <x v="2"/>
    <x v="2"/>
    <x v="75"/>
    <n v="18014"/>
    <x v="32"/>
    <x v="29"/>
    <n v="4"/>
    <n v="571"/>
  </r>
  <r>
    <n v="2161"/>
    <x v="0"/>
    <x v="29"/>
    <x v="29"/>
    <x v="2"/>
    <x v="2"/>
    <x v="43"/>
    <n v="18028"/>
    <x v="32"/>
    <x v="29"/>
    <n v="4"/>
    <n v="571"/>
  </r>
  <r>
    <n v="2162"/>
    <x v="0"/>
    <x v="29"/>
    <x v="29"/>
    <x v="2"/>
    <x v="2"/>
    <x v="22"/>
    <n v="18084"/>
    <x v="77"/>
    <x v="49"/>
    <n v="3"/>
    <n v="500"/>
  </r>
  <r>
    <n v="2163"/>
    <x v="0"/>
    <x v="29"/>
    <x v="29"/>
    <x v="2"/>
    <x v="2"/>
    <x v="73"/>
    <n v="18077"/>
    <x v="33"/>
    <x v="46"/>
    <n v="2"/>
    <n v="500"/>
  </r>
  <r>
    <n v="2164"/>
    <x v="0"/>
    <x v="29"/>
    <x v="29"/>
    <x v="3"/>
    <x v="3"/>
    <x v="28"/>
    <n v="30028"/>
    <x v="23"/>
    <x v="44"/>
    <n v="40"/>
    <n v="500"/>
  </r>
  <r>
    <n v="2165"/>
    <x v="0"/>
    <x v="29"/>
    <x v="29"/>
    <x v="3"/>
    <x v="3"/>
    <x v="112"/>
    <n v="30113"/>
    <x v="39"/>
    <x v="139"/>
    <n v="28"/>
    <n v="800"/>
  </r>
  <r>
    <n v="2166"/>
    <x v="0"/>
    <x v="29"/>
    <x v="29"/>
    <x v="3"/>
    <x v="3"/>
    <x v="29"/>
    <n v="30015"/>
    <x v="125"/>
    <x v="72"/>
    <n v="15"/>
    <n v="500"/>
  </r>
  <r>
    <n v="2167"/>
    <x v="0"/>
    <x v="29"/>
    <x v="29"/>
    <x v="3"/>
    <x v="3"/>
    <x v="11"/>
    <n v="30008"/>
    <x v="34"/>
    <x v="34"/>
    <n v="1"/>
    <n v="500"/>
  </r>
  <r>
    <n v="2168"/>
    <x v="0"/>
    <x v="29"/>
    <x v="29"/>
    <x v="4"/>
    <x v="4"/>
    <x v="33"/>
    <n v="34056"/>
    <x v="39"/>
    <x v="45"/>
    <n v="48"/>
    <n v="1200"/>
  </r>
  <r>
    <n v="2169"/>
    <x v="0"/>
    <x v="29"/>
    <x v="29"/>
    <x v="4"/>
    <x v="4"/>
    <x v="30"/>
    <n v="34049"/>
    <x v="94"/>
    <x v="140"/>
    <n v="18"/>
    <n v="1000"/>
  </r>
  <r>
    <n v="2170"/>
    <x v="0"/>
    <x v="29"/>
    <x v="29"/>
    <x v="4"/>
    <x v="4"/>
    <x v="81"/>
    <n v="34042"/>
    <x v="132"/>
    <x v="135"/>
    <n v="13"/>
    <n v="1000"/>
  </r>
  <r>
    <n v="2171"/>
    <x v="0"/>
    <x v="29"/>
    <x v="29"/>
    <x v="4"/>
    <x v="4"/>
    <x v="32"/>
    <n v="34014"/>
    <x v="31"/>
    <x v="135"/>
    <n v="13"/>
    <n v="1000"/>
  </r>
  <r>
    <n v="2172"/>
    <x v="0"/>
    <x v="29"/>
    <x v="29"/>
    <x v="4"/>
    <x v="4"/>
    <x v="34"/>
    <n v="34035"/>
    <x v="13"/>
    <x v="32"/>
    <n v="8"/>
    <n v="800"/>
  </r>
  <r>
    <n v="2173"/>
    <x v="0"/>
    <x v="29"/>
    <x v="29"/>
    <x v="4"/>
    <x v="4"/>
    <x v="31"/>
    <n v="34021"/>
    <x v="32"/>
    <x v="67"/>
    <n v="10"/>
    <n v="1250"/>
  </r>
  <r>
    <n v="2174"/>
    <x v="0"/>
    <x v="29"/>
    <x v="29"/>
    <x v="6"/>
    <x v="6"/>
    <x v="42"/>
    <n v="54105"/>
    <x v="188"/>
    <x v="23"/>
    <n v="80"/>
    <n v="800"/>
  </r>
  <r>
    <n v="2175"/>
    <x v="0"/>
    <x v="29"/>
    <x v="29"/>
    <x v="6"/>
    <x v="6"/>
    <x v="40"/>
    <n v="54021"/>
    <x v="67"/>
    <x v="134"/>
    <n v="56"/>
    <n v="800"/>
  </r>
  <r>
    <n v="2176"/>
    <x v="0"/>
    <x v="29"/>
    <x v="29"/>
    <x v="6"/>
    <x v="6"/>
    <x v="114"/>
    <n v="54014"/>
    <x v="127"/>
    <x v="321"/>
    <n v="50"/>
    <n v="794"/>
  </r>
  <r>
    <n v="2177"/>
    <x v="0"/>
    <x v="29"/>
    <x v="29"/>
    <x v="6"/>
    <x v="6"/>
    <x v="41"/>
    <n v="54098"/>
    <x v="44"/>
    <x v="39"/>
    <n v="33"/>
    <n v="733"/>
  </r>
  <r>
    <n v="2178"/>
    <x v="0"/>
    <x v="29"/>
    <x v="29"/>
    <x v="6"/>
    <x v="6"/>
    <x v="116"/>
    <n v="54063"/>
    <x v="72"/>
    <x v="157"/>
    <n v="20"/>
    <n v="741"/>
  </r>
  <r>
    <n v="2179"/>
    <x v="0"/>
    <x v="29"/>
    <x v="29"/>
    <x v="6"/>
    <x v="6"/>
    <x v="43"/>
    <n v="54035"/>
    <x v="92"/>
    <x v="98"/>
    <n v="17"/>
    <n v="739"/>
  </r>
  <r>
    <n v="2180"/>
    <x v="0"/>
    <x v="29"/>
    <x v="29"/>
    <x v="6"/>
    <x v="6"/>
    <x v="39"/>
    <n v="54007"/>
    <x v="45"/>
    <x v="140"/>
    <n v="14"/>
    <n v="800"/>
  </r>
  <r>
    <n v="2181"/>
    <x v="0"/>
    <x v="29"/>
    <x v="29"/>
    <x v="6"/>
    <x v="6"/>
    <x v="115"/>
    <n v="54056"/>
    <x v="31"/>
    <x v="135"/>
    <n v="10"/>
    <n v="769"/>
  </r>
  <r>
    <n v="2182"/>
    <x v="0"/>
    <x v="29"/>
    <x v="29"/>
    <x v="11"/>
    <x v="11"/>
    <x v="106"/>
    <n v="66112"/>
    <x v="419"/>
    <x v="215"/>
    <n v="220"/>
    <n v="1189"/>
  </r>
  <r>
    <n v="2183"/>
    <x v="0"/>
    <x v="29"/>
    <x v="29"/>
    <x v="11"/>
    <x v="11"/>
    <x v="117"/>
    <n v="66007"/>
    <x v="114"/>
    <x v="121"/>
    <n v="173"/>
    <n v="1102"/>
  </r>
  <r>
    <n v="2184"/>
    <x v="0"/>
    <x v="29"/>
    <x v="29"/>
    <x v="11"/>
    <x v="11"/>
    <x v="12"/>
    <n v="66028"/>
    <x v="34"/>
    <x v="34"/>
    <n v="2"/>
    <n v="1000"/>
  </r>
  <r>
    <n v="2185"/>
    <x v="0"/>
    <x v="29"/>
    <x v="29"/>
    <x v="11"/>
    <x v="11"/>
    <x v="171"/>
    <n v="66056"/>
    <x v="34"/>
    <x v="34"/>
    <n v="2"/>
    <n v="1000"/>
  </r>
  <r>
    <n v="2186"/>
    <x v="0"/>
    <x v="29"/>
    <x v="29"/>
    <x v="7"/>
    <x v="7"/>
    <x v="44"/>
    <n v="82049"/>
    <x v="26"/>
    <x v="12"/>
    <n v="255"/>
    <n v="850"/>
  </r>
  <r>
    <n v="2187"/>
    <x v="0"/>
    <x v="29"/>
    <x v="29"/>
    <x v="7"/>
    <x v="7"/>
    <x v="45"/>
    <n v="82035"/>
    <x v="20"/>
    <x v="20"/>
    <n v="165"/>
    <n v="1100"/>
  </r>
  <r>
    <n v="2188"/>
    <x v="0"/>
    <x v="29"/>
    <x v="29"/>
    <x v="9"/>
    <x v="9"/>
    <x v="68"/>
    <n v="90105"/>
    <x v="128"/>
    <x v="135"/>
    <n v="15"/>
    <n v="1154"/>
  </r>
  <r>
    <n v="2189"/>
    <x v="0"/>
    <x v="29"/>
    <x v="29"/>
    <x v="9"/>
    <x v="9"/>
    <x v="55"/>
    <n v="90007"/>
    <x v="53"/>
    <x v="49"/>
    <n v="5"/>
    <n v="833"/>
  </r>
  <r>
    <n v="2190"/>
    <x v="0"/>
    <x v="29"/>
    <x v="29"/>
    <x v="9"/>
    <x v="9"/>
    <x v="63"/>
    <n v="90028"/>
    <x v="78"/>
    <x v="33"/>
    <n v="4"/>
    <n v="800"/>
  </r>
  <r>
    <n v="2191"/>
    <x v="0"/>
    <x v="29"/>
    <x v="29"/>
    <x v="9"/>
    <x v="9"/>
    <x v="12"/>
    <n v="90084"/>
    <x v="33"/>
    <x v="46"/>
    <n v="4"/>
    <n v="1000"/>
  </r>
  <r>
    <n v="2192"/>
    <x v="0"/>
    <x v="29"/>
    <x v="29"/>
    <x v="9"/>
    <x v="9"/>
    <x v="65"/>
    <n v="90014"/>
    <x v="30"/>
    <x v="34"/>
    <n v="1"/>
    <n v="500"/>
  </r>
  <r>
    <n v="2193"/>
    <x v="0"/>
    <x v="29"/>
    <x v="29"/>
    <x v="9"/>
    <x v="9"/>
    <x v="67"/>
    <n v="90070"/>
    <x v="30"/>
    <x v="34"/>
    <n v="1"/>
    <n v="500"/>
  </r>
  <r>
    <n v="2194"/>
    <x v="0"/>
    <x v="29"/>
    <x v="29"/>
    <x v="9"/>
    <x v="9"/>
    <x v="66"/>
    <n v="90056"/>
    <x v="34"/>
    <x v="34"/>
    <n v="1"/>
    <n v="500"/>
  </r>
  <r>
    <n v="2195"/>
    <x v="0"/>
    <x v="29"/>
    <x v="29"/>
    <x v="9"/>
    <x v="9"/>
    <x v="82"/>
    <n v="90077"/>
    <x v="34"/>
    <x v="34"/>
    <n v="1"/>
    <n v="500"/>
  </r>
  <r>
    <n v="2196"/>
    <x v="0"/>
    <x v="29"/>
    <x v="29"/>
    <x v="9"/>
    <x v="9"/>
    <x v="64"/>
    <n v="90112"/>
    <x v="34"/>
    <x v="34"/>
    <n v="2"/>
    <n v="1000"/>
  </r>
  <r>
    <n v="2197"/>
    <x v="0"/>
    <x v="29"/>
    <x v="29"/>
    <x v="9"/>
    <x v="9"/>
    <x v="83"/>
    <n v="90021"/>
    <x v="48"/>
    <x v="47"/>
    <n v="1"/>
    <n v="1000"/>
  </r>
  <r>
    <n v="2198"/>
    <x v="0"/>
    <x v="30"/>
    <x v="30"/>
    <x v="0"/>
    <x v="0"/>
    <x v="88"/>
    <n v="22084"/>
    <x v="341"/>
    <x v="428"/>
    <n v="269"/>
    <n v="389"/>
  </r>
  <r>
    <n v="2199"/>
    <x v="0"/>
    <x v="30"/>
    <x v="30"/>
    <x v="0"/>
    <x v="0"/>
    <x v="167"/>
    <n v="22154"/>
    <x v="250"/>
    <x v="111"/>
    <n v="25"/>
    <n v="500"/>
  </r>
  <r>
    <n v="2200"/>
    <x v="0"/>
    <x v="30"/>
    <x v="30"/>
    <x v="0"/>
    <x v="0"/>
    <x v="172"/>
    <n v="22105"/>
    <x v="38"/>
    <x v="39"/>
    <n v="18"/>
    <n v="400"/>
  </r>
  <r>
    <n v="2201"/>
    <x v="0"/>
    <x v="30"/>
    <x v="30"/>
    <x v="0"/>
    <x v="0"/>
    <x v="173"/>
    <n v="22133"/>
    <x v="131"/>
    <x v="72"/>
    <n v="12"/>
    <n v="400"/>
  </r>
  <r>
    <n v="2202"/>
    <x v="0"/>
    <x v="30"/>
    <x v="30"/>
    <x v="0"/>
    <x v="0"/>
    <x v="174"/>
    <n v="22168"/>
    <x v="72"/>
    <x v="78"/>
    <n v="10"/>
    <n v="400"/>
  </r>
  <r>
    <n v="2203"/>
    <x v="0"/>
    <x v="30"/>
    <x v="30"/>
    <x v="0"/>
    <x v="0"/>
    <x v="168"/>
    <n v="22056"/>
    <x v="146"/>
    <x v="40"/>
    <n v="11"/>
    <n v="524"/>
  </r>
  <r>
    <n v="2204"/>
    <x v="0"/>
    <x v="30"/>
    <x v="30"/>
    <x v="0"/>
    <x v="0"/>
    <x v="142"/>
    <n v="22049"/>
    <x v="46"/>
    <x v="100"/>
    <n v="12"/>
    <n v="706"/>
  </r>
  <r>
    <n v="2205"/>
    <x v="0"/>
    <x v="30"/>
    <x v="30"/>
    <x v="0"/>
    <x v="0"/>
    <x v="4"/>
    <n v="22014"/>
    <x v="107"/>
    <x v="13"/>
    <n v="6"/>
    <n v="500"/>
  </r>
  <r>
    <n v="2206"/>
    <x v="0"/>
    <x v="30"/>
    <x v="30"/>
    <x v="0"/>
    <x v="0"/>
    <x v="175"/>
    <n v="22140"/>
    <x v="29"/>
    <x v="33"/>
    <n v="3"/>
    <n v="600"/>
  </r>
  <r>
    <n v="2207"/>
    <x v="0"/>
    <x v="30"/>
    <x v="30"/>
    <x v="0"/>
    <x v="0"/>
    <x v="176"/>
    <n v="22063"/>
    <x v="78"/>
    <x v="33"/>
    <n v="3"/>
    <n v="600"/>
  </r>
  <r>
    <n v="2208"/>
    <x v="0"/>
    <x v="30"/>
    <x v="30"/>
    <x v="0"/>
    <x v="0"/>
    <x v="166"/>
    <n v="22119"/>
    <x v="78"/>
    <x v="46"/>
    <n v="2"/>
    <n v="500"/>
  </r>
  <r>
    <n v="2209"/>
    <x v="0"/>
    <x v="30"/>
    <x v="30"/>
    <x v="0"/>
    <x v="0"/>
    <x v="87"/>
    <n v="22028"/>
    <x v="33"/>
    <x v="46"/>
    <n v="2"/>
    <n v="500"/>
  </r>
  <r>
    <n v="2210"/>
    <x v="0"/>
    <x v="30"/>
    <x v="30"/>
    <x v="0"/>
    <x v="0"/>
    <x v="177"/>
    <n v="22091"/>
    <x v="47"/>
    <x v="46"/>
    <n v="2"/>
    <n v="500"/>
  </r>
  <r>
    <n v="2211"/>
    <x v="0"/>
    <x v="30"/>
    <x v="30"/>
    <x v="0"/>
    <x v="0"/>
    <x v="178"/>
    <n v="22036"/>
    <x v="34"/>
    <x v="34"/>
    <n v="1"/>
    <n v="500"/>
  </r>
  <r>
    <n v="2212"/>
    <x v="0"/>
    <x v="30"/>
    <x v="30"/>
    <x v="0"/>
    <x v="0"/>
    <x v="179"/>
    <n v="22043"/>
    <x v="34"/>
    <x v="34"/>
    <n v="1"/>
    <n v="500"/>
  </r>
  <r>
    <n v="2213"/>
    <x v="0"/>
    <x v="30"/>
    <x v="30"/>
    <x v="0"/>
    <x v="0"/>
    <x v="180"/>
    <n v="22021"/>
    <x v="48"/>
    <x v="183"/>
    <m/>
    <m/>
  </r>
  <r>
    <n v="2214"/>
    <x v="0"/>
    <x v="30"/>
    <x v="30"/>
    <x v="0"/>
    <x v="0"/>
    <x v="170"/>
    <n v="22077"/>
    <x v="48"/>
    <x v="47"/>
    <n v="1"/>
    <n v="1000"/>
  </r>
  <r>
    <n v="2215"/>
    <x v="0"/>
    <x v="30"/>
    <x v="30"/>
    <x v="0"/>
    <x v="0"/>
    <x v="181"/>
    <n v="22112"/>
    <x v="48"/>
    <x v="47"/>
    <n v="1"/>
    <n v="1000"/>
  </r>
  <r>
    <n v="2216"/>
    <x v="0"/>
    <x v="30"/>
    <x v="30"/>
    <x v="0"/>
    <x v="0"/>
    <x v="169"/>
    <n v="22126"/>
    <x v="48"/>
    <x v="47"/>
    <n v="1"/>
    <n v="1000"/>
  </r>
  <r>
    <n v="2217"/>
    <x v="0"/>
    <x v="30"/>
    <x v="30"/>
    <x v="1"/>
    <x v="1"/>
    <x v="10"/>
    <n v="14161"/>
    <x v="415"/>
    <x v="429"/>
    <n v="122400"/>
    <n v="1249"/>
  </r>
  <r>
    <n v="2218"/>
    <x v="0"/>
    <x v="30"/>
    <x v="30"/>
    <x v="1"/>
    <x v="1"/>
    <x v="8"/>
    <n v="14119"/>
    <x v="416"/>
    <x v="430"/>
    <n v="66000"/>
    <n v="1100"/>
  </r>
  <r>
    <n v="2219"/>
    <x v="0"/>
    <x v="30"/>
    <x v="30"/>
    <x v="1"/>
    <x v="1"/>
    <x v="7"/>
    <n v="14147"/>
    <x v="417"/>
    <x v="431"/>
    <n v="35811"/>
    <n v="1178"/>
  </r>
  <r>
    <n v="2220"/>
    <x v="0"/>
    <x v="30"/>
    <x v="30"/>
    <x v="1"/>
    <x v="1"/>
    <x v="107"/>
    <n v="14056"/>
    <x v="395"/>
    <x v="432"/>
    <n v="33350"/>
    <n v="1450"/>
  </r>
  <r>
    <n v="2221"/>
    <x v="0"/>
    <x v="30"/>
    <x v="30"/>
    <x v="1"/>
    <x v="1"/>
    <x v="143"/>
    <n v="14042"/>
    <x v="189"/>
    <x v="198"/>
    <n v="11050"/>
    <n v="1300"/>
  </r>
  <r>
    <n v="2222"/>
    <x v="0"/>
    <x v="30"/>
    <x v="30"/>
    <x v="1"/>
    <x v="1"/>
    <x v="70"/>
    <n v="14007"/>
    <x v="382"/>
    <x v="220"/>
    <n v="8750"/>
    <n v="1250"/>
  </r>
  <r>
    <n v="2223"/>
    <x v="0"/>
    <x v="30"/>
    <x v="30"/>
    <x v="1"/>
    <x v="1"/>
    <x v="13"/>
    <n v="14098"/>
    <x v="226"/>
    <x v="162"/>
    <n v="5750"/>
    <n v="1150"/>
  </r>
  <r>
    <n v="2224"/>
    <x v="0"/>
    <x v="30"/>
    <x v="30"/>
    <x v="1"/>
    <x v="1"/>
    <x v="9"/>
    <n v="14105"/>
    <x v="159"/>
    <x v="101"/>
    <n v="2400"/>
    <n v="800"/>
  </r>
  <r>
    <n v="2225"/>
    <x v="0"/>
    <x v="30"/>
    <x v="30"/>
    <x v="1"/>
    <x v="1"/>
    <x v="90"/>
    <n v="14182"/>
    <x v="81"/>
    <x v="433"/>
    <n v="1680"/>
    <n v="1200"/>
  </r>
  <r>
    <n v="2226"/>
    <x v="0"/>
    <x v="30"/>
    <x v="30"/>
    <x v="1"/>
    <x v="1"/>
    <x v="12"/>
    <n v="14014"/>
    <x v="16"/>
    <x v="16"/>
    <n v="437"/>
    <n v="1249"/>
  </r>
  <r>
    <n v="2227"/>
    <x v="0"/>
    <x v="30"/>
    <x v="30"/>
    <x v="1"/>
    <x v="1"/>
    <x v="46"/>
    <n v="14140"/>
    <x v="61"/>
    <x v="18"/>
    <n v="160"/>
    <n v="800"/>
  </r>
  <r>
    <n v="2228"/>
    <x v="0"/>
    <x v="30"/>
    <x v="30"/>
    <x v="1"/>
    <x v="1"/>
    <x v="135"/>
    <n v="14028"/>
    <x v="23"/>
    <x v="23"/>
    <n v="130"/>
    <n v="1300"/>
  </r>
  <r>
    <n v="2229"/>
    <x v="0"/>
    <x v="30"/>
    <x v="30"/>
    <x v="1"/>
    <x v="1"/>
    <x v="84"/>
    <n v="14168"/>
    <x v="39"/>
    <x v="39"/>
    <n v="45"/>
    <n v="1000"/>
  </r>
  <r>
    <n v="2230"/>
    <x v="0"/>
    <x v="30"/>
    <x v="30"/>
    <x v="1"/>
    <x v="1"/>
    <x v="11"/>
    <n v="14021"/>
    <x v="92"/>
    <x v="78"/>
    <n v="25"/>
    <n v="1000"/>
  </r>
  <r>
    <n v="2231"/>
    <x v="0"/>
    <x v="30"/>
    <x v="30"/>
    <x v="1"/>
    <x v="1"/>
    <x v="131"/>
    <n v="14126"/>
    <x v="32"/>
    <x v="32"/>
    <n v="12"/>
    <n v="1200"/>
  </r>
  <r>
    <n v="2232"/>
    <x v="0"/>
    <x v="30"/>
    <x v="30"/>
    <x v="2"/>
    <x v="2"/>
    <x v="15"/>
    <n v="18112"/>
    <x v="16"/>
    <x v="16"/>
    <n v="259"/>
    <n v="740"/>
  </r>
  <r>
    <n v="2233"/>
    <x v="0"/>
    <x v="30"/>
    <x v="30"/>
    <x v="2"/>
    <x v="2"/>
    <x v="17"/>
    <n v="18042"/>
    <x v="125"/>
    <x v="139"/>
    <n v="28"/>
    <n v="800"/>
  </r>
  <r>
    <n v="2234"/>
    <x v="0"/>
    <x v="30"/>
    <x v="30"/>
    <x v="2"/>
    <x v="2"/>
    <x v="25"/>
    <n v="18035"/>
    <x v="72"/>
    <x v="72"/>
    <n v="21"/>
    <n v="700"/>
  </r>
  <r>
    <n v="2235"/>
    <x v="0"/>
    <x v="30"/>
    <x v="30"/>
    <x v="2"/>
    <x v="2"/>
    <x v="23"/>
    <n v="18126"/>
    <x v="92"/>
    <x v="80"/>
    <n v="16"/>
    <n v="800"/>
  </r>
  <r>
    <n v="2236"/>
    <x v="0"/>
    <x v="30"/>
    <x v="30"/>
    <x v="2"/>
    <x v="2"/>
    <x v="24"/>
    <n v="18140"/>
    <x v="45"/>
    <x v="79"/>
    <n v="14"/>
    <n v="875"/>
  </r>
  <r>
    <n v="2237"/>
    <x v="0"/>
    <x v="30"/>
    <x v="30"/>
    <x v="2"/>
    <x v="2"/>
    <x v="12"/>
    <n v="18021"/>
    <x v="31"/>
    <x v="13"/>
    <n v="9"/>
    <n v="750"/>
  </r>
  <r>
    <n v="2238"/>
    <x v="0"/>
    <x v="30"/>
    <x v="30"/>
    <x v="2"/>
    <x v="2"/>
    <x v="72"/>
    <n v="18063"/>
    <x v="31"/>
    <x v="13"/>
    <n v="9"/>
    <n v="750"/>
  </r>
  <r>
    <n v="2239"/>
    <x v="0"/>
    <x v="30"/>
    <x v="30"/>
    <x v="2"/>
    <x v="2"/>
    <x v="71"/>
    <n v="18098"/>
    <x v="31"/>
    <x v="135"/>
    <n v="10"/>
    <n v="769"/>
  </r>
  <r>
    <n v="2240"/>
    <x v="0"/>
    <x v="30"/>
    <x v="30"/>
    <x v="2"/>
    <x v="2"/>
    <x v="76"/>
    <n v="18154"/>
    <x v="31"/>
    <x v="135"/>
    <n v="11"/>
    <n v="846"/>
  </r>
  <r>
    <n v="2241"/>
    <x v="0"/>
    <x v="30"/>
    <x v="30"/>
    <x v="2"/>
    <x v="2"/>
    <x v="43"/>
    <n v="18028"/>
    <x v="32"/>
    <x v="67"/>
    <n v="7"/>
    <n v="875"/>
  </r>
  <r>
    <n v="2242"/>
    <x v="0"/>
    <x v="30"/>
    <x v="30"/>
    <x v="2"/>
    <x v="2"/>
    <x v="19"/>
    <n v="18133"/>
    <x v="32"/>
    <x v="67"/>
    <n v="7"/>
    <n v="875"/>
  </r>
  <r>
    <n v="2243"/>
    <x v="0"/>
    <x v="30"/>
    <x v="30"/>
    <x v="2"/>
    <x v="2"/>
    <x v="75"/>
    <n v="18014"/>
    <x v="33"/>
    <x v="46"/>
    <n v="3"/>
    <n v="750"/>
  </r>
  <r>
    <n v="2244"/>
    <x v="0"/>
    <x v="30"/>
    <x v="30"/>
    <x v="2"/>
    <x v="2"/>
    <x v="73"/>
    <n v="18077"/>
    <x v="33"/>
    <x v="46"/>
    <n v="3"/>
    <n v="750"/>
  </r>
  <r>
    <n v="2245"/>
    <x v="0"/>
    <x v="30"/>
    <x v="30"/>
    <x v="2"/>
    <x v="2"/>
    <x v="22"/>
    <n v="18084"/>
    <x v="33"/>
    <x v="46"/>
    <n v="3"/>
    <n v="750"/>
  </r>
  <r>
    <n v="2246"/>
    <x v="0"/>
    <x v="30"/>
    <x v="30"/>
    <x v="3"/>
    <x v="3"/>
    <x v="28"/>
    <n v="30028"/>
    <x v="254"/>
    <x v="76"/>
    <n v="47"/>
    <n v="627"/>
  </r>
  <r>
    <n v="2247"/>
    <x v="0"/>
    <x v="30"/>
    <x v="30"/>
    <x v="3"/>
    <x v="3"/>
    <x v="29"/>
    <n v="30015"/>
    <x v="125"/>
    <x v="139"/>
    <n v="21"/>
    <n v="600"/>
  </r>
  <r>
    <n v="2248"/>
    <x v="0"/>
    <x v="30"/>
    <x v="30"/>
    <x v="3"/>
    <x v="3"/>
    <x v="11"/>
    <n v="30008"/>
    <x v="30"/>
    <x v="30"/>
    <n v="2"/>
    <n v="667"/>
  </r>
  <r>
    <n v="2249"/>
    <x v="0"/>
    <x v="30"/>
    <x v="30"/>
    <x v="4"/>
    <x v="4"/>
    <x v="33"/>
    <n v="34056"/>
    <x v="125"/>
    <x v="45"/>
    <n v="40"/>
    <n v="1000"/>
  </r>
  <r>
    <n v="2250"/>
    <x v="0"/>
    <x v="30"/>
    <x v="30"/>
    <x v="4"/>
    <x v="4"/>
    <x v="30"/>
    <n v="34049"/>
    <x v="92"/>
    <x v="80"/>
    <n v="20"/>
    <n v="1000"/>
  </r>
  <r>
    <n v="2251"/>
    <x v="0"/>
    <x v="30"/>
    <x v="30"/>
    <x v="4"/>
    <x v="4"/>
    <x v="32"/>
    <n v="34014"/>
    <x v="45"/>
    <x v="31"/>
    <n v="15"/>
    <n v="1000"/>
  </r>
  <r>
    <n v="2252"/>
    <x v="0"/>
    <x v="30"/>
    <x v="30"/>
    <x v="4"/>
    <x v="4"/>
    <x v="81"/>
    <n v="34042"/>
    <x v="31"/>
    <x v="32"/>
    <n v="8"/>
    <n v="800"/>
  </r>
  <r>
    <n v="2253"/>
    <x v="0"/>
    <x v="30"/>
    <x v="30"/>
    <x v="4"/>
    <x v="4"/>
    <x v="31"/>
    <n v="34021"/>
    <x v="32"/>
    <x v="32"/>
    <n v="11"/>
    <n v="1100"/>
  </r>
  <r>
    <n v="2254"/>
    <x v="0"/>
    <x v="30"/>
    <x v="30"/>
    <x v="4"/>
    <x v="4"/>
    <x v="34"/>
    <n v="34035"/>
    <x v="32"/>
    <x v="67"/>
    <n v="6"/>
    <n v="750"/>
  </r>
  <r>
    <n v="2255"/>
    <x v="0"/>
    <x v="30"/>
    <x v="30"/>
    <x v="6"/>
    <x v="6"/>
    <x v="40"/>
    <n v="54021"/>
    <x v="67"/>
    <x v="76"/>
    <n v="45"/>
    <n v="600"/>
  </r>
  <r>
    <n v="2256"/>
    <x v="0"/>
    <x v="30"/>
    <x v="30"/>
    <x v="6"/>
    <x v="6"/>
    <x v="182"/>
    <n v="54091"/>
    <x v="256"/>
    <x v="257"/>
    <n v="39"/>
    <n v="574"/>
  </r>
  <r>
    <n v="2257"/>
    <x v="0"/>
    <x v="30"/>
    <x v="30"/>
    <x v="6"/>
    <x v="6"/>
    <x v="41"/>
    <n v="54098"/>
    <x v="118"/>
    <x v="111"/>
    <n v="25"/>
    <n v="500"/>
  </r>
  <r>
    <n v="2258"/>
    <x v="0"/>
    <x v="30"/>
    <x v="30"/>
    <x v="6"/>
    <x v="6"/>
    <x v="43"/>
    <n v="54035"/>
    <x v="92"/>
    <x v="98"/>
    <n v="12"/>
    <n v="522"/>
  </r>
  <r>
    <n v="2259"/>
    <x v="0"/>
    <x v="30"/>
    <x v="30"/>
    <x v="6"/>
    <x v="6"/>
    <x v="183"/>
    <n v="54070"/>
    <x v="92"/>
    <x v="99"/>
    <n v="14"/>
    <n v="636"/>
  </r>
  <r>
    <n v="2260"/>
    <x v="0"/>
    <x v="30"/>
    <x v="30"/>
    <x v="6"/>
    <x v="6"/>
    <x v="42"/>
    <n v="54105"/>
    <x v="92"/>
    <x v="99"/>
    <n v="14"/>
    <n v="636"/>
  </r>
  <r>
    <n v="2261"/>
    <x v="0"/>
    <x v="30"/>
    <x v="30"/>
    <x v="6"/>
    <x v="6"/>
    <x v="114"/>
    <n v="54014"/>
    <x v="94"/>
    <x v="40"/>
    <n v="10"/>
    <n v="476"/>
  </r>
  <r>
    <n v="2262"/>
    <x v="0"/>
    <x v="30"/>
    <x v="30"/>
    <x v="6"/>
    <x v="6"/>
    <x v="184"/>
    <n v="54084"/>
    <x v="94"/>
    <x v="40"/>
    <n v="10"/>
    <n v="476"/>
  </r>
  <r>
    <n v="2263"/>
    <x v="0"/>
    <x v="30"/>
    <x v="30"/>
    <x v="6"/>
    <x v="6"/>
    <x v="39"/>
    <n v="54007"/>
    <x v="45"/>
    <x v="140"/>
    <n v="11"/>
    <n v="611"/>
  </r>
  <r>
    <n v="2264"/>
    <x v="0"/>
    <x v="30"/>
    <x v="30"/>
    <x v="6"/>
    <x v="6"/>
    <x v="185"/>
    <n v="54042"/>
    <x v="31"/>
    <x v="13"/>
    <n v="6"/>
    <n v="500"/>
  </r>
  <r>
    <n v="2265"/>
    <x v="0"/>
    <x v="30"/>
    <x v="30"/>
    <x v="6"/>
    <x v="6"/>
    <x v="116"/>
    <n v="54063"/>
    <x v="31"/>
    <x v="77"/>
    <n v="6"/>
    <n v="429"/>
  </r>
  <r>
    <n v="2266"/>
    <x v="0"/>
    <x v="30"/>
    <x v="30"/>
    <x v="6"/>
    <x v="6"/>
    <x v="88"/>
    <n v="54077"/>
    <x v="31"/>
    <x v="77"/>
    <n v="8"/>
    <n v="571"/>
  </r>
  <r>
    <n v="2267"/>
    <x v="0"/>
    <x v="30"/>
    <x v="30"/>
    <x v="11"/>
    <x v="11"/>
    <x v="117"/>
    <n v="66007"/>
    <x v="195"/>
    <x v="172"/>
    <n v="128"/>
    <n v="1008"/>
  </r>
  <r>
    <n v="2268"/>
    <x v="0"/>
    <x v="30"/>
    <x v="30"/>
    <x v="11"/>
    <x v="11"/>
    <x v="171"/>
    <n v="66056"/>
    <x v="31"/>
    <x v="13"/>
    <n v="14"/>
    <n v="1167"/>
  </r>
  <r>
    <n v="2269"/>
    <x v="0"/>
    <x v="30"/>
    <x v="30"/>
    <x v="11"/>
    <x v="11"/>
    <x v="106"/>
    <n v="66112"/>
    <x v="47"/>
    <x v="46"/>
    <n v="5"/>
    <n v="1250"/>
  </r>
  <r>
    <n v="2270"/>
    <x v="0"/>
    <x v="30"/>
    <x v="30"/>
    <x v="11"/>
    <x v="11"/>
    <x v="97"/>
    <n v="66147"/>
    <x v="34"/>
    <x v="34"/>
    <n v="3"/>
    <n v="1500"/>
  </r>
  <r>
    <n v="2271"/>
    <x v="0"/>
    <x v="30"/>
    <x v="30"/>
    <x v="7"/>
    <x v="7"/>
    <x v="45"/>
    <n v="82035"/>
    <x v="303"/>
    <x v="380"/>
    <n v="950"/>
    <n v="2500"/>
  </r>
  <r>
    <n v="2272"/>
    <x v="0"/>
    <x v="30"/>
    <x v="30"/>
    <x v="7"/>
    <x v="7"/>
    <x v="44"/>
    <n v="82049"/>
    <x v="45"/>
    <x v="80"/>
    <n v="20"/>
    <n v="1000"/>
  </r>
  <r>
    <n v="2273"/>
    <x v="0"/>
    <x v="30"/>
    <x v="30"/>
    <x v="9"/>
    <x v="9"/>
    <x v="65"/>
    <n v="90014"/>
    <x v="32"/>
    <x v="49"/>
    <n v="6"/>
    <n v="1000"/>
  </r>
  <r>
    <n v="2274"/>
    <x v="0"/>
    <x v="30"/>
    <x v="30"/>
    <x v="9"/>
    <x v="9"/>
    <x v="66"/>
    <n v="90056"/>
    <x v="32"/>
    <x v="29"/>
    <n v="7"/>
    <n v="1000"/>
  </r>
  <r>
    <n v="2275"/>
    <x v="0"/>
    <x v="30"/>
    <x v="30"/>
    <x v="9"/>
    <x v="9"/>
    <x v="69"/>
    <n v="90035"/>
    <x v="77"/>
    <x v="29"/>
    <n v="7"/>
    <n v="1000"/>
  </r>
  <r>
    <n v="2276"/>
    <x v="0"/>
    <x v="30"/>
    <x v="30"/>
    <x v="9"/>
    <x v="9"/>
    <x v="55"/>
    <n v="90007"/>
    <x v="30"/>
    <x v="30"/>
    <n v="3"/>
    <n v="1000"/>
  </r>
  <r>
    <n v="2277"/>
    <x v="0"/>
    <x v="30"/>
    <x v="30"/>
    <x v="9"/>
    <x v="9"/>
    <x v="82"/>
    <n v="90077"/>
    <x v="30"/>
    <x v="47"/>
    <n v="1"/>
    <n v="1000"/>
  </r>
  <r>
    <n v="2278"/>
    <x v="0"/>
    <x v="30"/>
    <x v="30"/>
    <x v="9"/>
    <x v="9"/>
    <x v="83"/>
    <n v="90021"/>
    <x v="34"/>
    <x v="34"/>
    <n v="2"/>
    <n v="1000"/>
  </r>
  <r>
    <n v="2279"/>
    <x v="0"/>
    <x v="30"/>
    <x v="30"/>
    <x v="9"/>
    <x v="9"/>
    <x v="67"/>
    <n v="90070"/>
    <x v="34"/>
    <x v="34"/>
    <n v="2"/>
    <n v="1000"/>
  </r>
  <r>
    <n v="2280"/>
    <x v="0"/>
    <x v="30"/>
    <x v="30"/>
    <x v="9"/>
    <x v="9"/>
    <x v="12"/>
    <n v="90084"/>
    <x v="48"/>
    <x v="47"/>
    <n v="1"/>
    <n v="1000"/>
  </r>
  <r>
    <n v="2281"/>
    <x v="0"/>
    <x v="30"/>
    <x v="30"/>
    <x v="9"/>
    <x v="9"/>
    <x v="64"/>
    <n v="90112"/>
    <x v="48"/>
    <x v="47"/>
    <n v="1"/>
    <n v="1000"/>
  </r>
  <r>
    <n v="2282"/>
    <x v="0"/>
    <x v="31"/>
    <x v="31"/>
    <x v="0"/>
    <x v="0"/>
    <x v="88"/>
    <n v="22084"/>
    <x v="58"/>
    <x v="59"/>
    <n v="190"/>
    <n v="475"/>
  </r>
  <r>
    <n v="2283"/>
    <x v="0"/>
    <x v="31"/>
    <x v="31"/>
    <x v="0"/>
    <x v="0"/>
    <x v="167"/>
    <n v="22154"/>
    <x v="225"/>
    <x v="72"/>
    <n v="15"/>
    <n v="500"/>
  </r>
  <r>
    <n v="2284"/>
    <x v="0"/>
    <x v="31"/>
    <x v="31"/>
    <x v="0"/>
    <x v="0"/>
    <x v="172"/>
    <n v="22105"/>
    <x v="250"/>
    <x v="38"/>
    <n v="27"/>
    <n v="491"/>
  </r>
  <r>
    <n v="2285"/>
    <x v="0"/>
    <x v="31"/>
    <x v="31"/>
    <x v="0"/>
    <x v="0"/>
    <x v="173"/>
    <n v="22133"/>
    <x v="131"/>
    <x v="5"/>
    <n v="19"/>
    <n v="576"/>
  </r>
  <r>
    <n v="2286"/>
    <x v="0"/>
    <x v="31"/>
    <x v="31"/>
    <x v="0"/>
    <x v="0"/>
    <x v="142"/>
    <n v="22049"/>
    <x v="96"/>
    <x v="72"/>
    <n v="17"/>
    <n v="567"/>
  </r>
  <r>
    <n v="2287"/>
    <x v="0"/>
    <x v="31"/>
    <x v="31"/>
    <x v="0"/>
    <x v="0"/>
    <x v="174"/>
    <n v="22168"/>
    <x v="72"/>
    <x v="40"/>
    <n v="11"/>
    <n v="524"/>
  </r>
  <r>
    <n v="2288"/>
    <x v="0"/>
    <x v="31"/>
    <x v="31"/>
    <x v="0"/>
    <x v="0"/>
    <x v="4"/>
    <n v="22014"/>
    <x v="132"/>
    <x v="32"/>
    <n v="3"/>
    <n v="300"/>
  </r>
  <r>
    <n v="2289"/>
    <x v="0"/>
    <x v="31"/>
    <x v="31"/>
    <x v="0"/>
    <x v="0"/>
    <x v="168"/>
    <n v="22056"/>
    <x v="31"/>
    <x v="33"/>
    <n v="1"/>
    <n v="200"/>
  </r>
  <r>
    <n v="2290"/>
    <x v="0"/>
    <x v="31"/>
    <x v="31"/>
    <x v="0"/>
    <x v="0"/>
    <x v="166"/>
    <n v="22119"/>
    <x v="31"/>
    <x v="52"/>
    <n v="5"/>
    <n v="556"/>
  </r>
  <r>
    <n v="2291"/>
    <x v="0"/>
    <x v="31"/>
    <x v="31"/>
    <x v="0"/>
    <x v="0"/>
    <x v="175"/>
    <n v="22140"/>
    <x v="77"/>
    <x v="46"/>
    <n v="2"/>
    <n v="500"/>
  </r>
  <r>
    <n v="2292"/>
    <x v="0"/>
    <x v="31"/>
    <x v="31"/>
    <x v="0"/>
    <x v="0"/>
    <x v="176"/>
    <n v="22063"/>
    <x v="29"/>
    <x v="29"/>
    <n v="4"/>
    <n v="571"/>
  </r>
  <r>
    <n v="2293"/>
    <x v="0"/>
    <x v="31"/>
    <x v="31"/>
    <x v="0"/>
    <x v="0"/>
    <x v="87"/>
    <n v="22028"/>
    <x v="33"/>
    <x v="33"/>
    <n v="3"/>
    <n v="600"/>
  </r>
  <r>
    <n v="2294"/>
    <x v="0"/>
    <x v="31"/>
    <x v="31"/>
    <x v="0"/>
    <x v="0"/>
    <x v="177"/>
    <n v="22091"/>
    <x v="47"/>
    <x v="46"/>
    <n v="2"/>
    <n v="500"/>
  </r>
  <r>
    <n v="2295"/>
    <x v="0"/>
    <x v="31"/>
    <x v="31"/>
    <x v="0"/>
    <x v="0"/>
    <x v="180"/>
    <n v="22021"/>
    <x v="30"/>
    <x v="30"/>
    <n v="1"/>
    <n v="333"/>
  </r>
  <r>
    <n v="2296"/>
    <x v="0"/>
    <x v="31"/>
    <x v="31"/>
    <x v="0"/>
    <x v="0"/>
    <x v="178"/>
    <n v="22036"/>
    <x v="30"/>
    <x v="30"/>
    <n v="2"/>
    <n v="667"/>
  </r>
  <r>
    <n v="2297"/>
    <x v="0"/>
    <x v="31"/>
    <x v="31"/>
    <x v="0"/>
    <x v="0"/>
    <x v="179"/>
    <n v="22043"/>
    <x v="30"/>
    <x v="30"/>
    <n v="1"/>
    <n v="333"/>
  </r>
  <r>
    <n v="2298"/>
    <x v="0"/>
    <x v="31"/>
    <x v="31"/>
    <x v="0"/>
    <x v="0"/>
    <x v="170"/>
    <n v="22077"/>
    <x v="30"/>
    <x v="47"/>
    <n v="1"/>
    <n v="1000"/>
  </r>
  <r>
    <n v="2299"/>
    <x v="0"/>
    <x v="31"/>
    <x v="31"/>
    <x v="0"/>
    <x v="0"/>
    <x v="169"/>
    <n v="22126"/>
    <x v="34"/>
    <x v="47"/>
    <n v="1"/>
    <n v="1000"/>
  </r>
  <r>
    <n v="2300"/>
    <x v="0"/>
    <x v="31"/>
    <x v="31"/>
    <x v="0"/>
    <x v="0"/>
    <x v="6"/>
    <n v="22161"/>
    <x v="48"/>
    <x v="47"/>
    <n v="1"/>
    <n v="1000"/>
  </r>
  <r>
    <n v="2301"/>
    <x v="0"/>
    <x v="31"/>
    <x v="31"/>
    <x v="1"/>
    <x v="1"/>
    <x v="10"/>
    <n v="14161"/>
    <x v="415"/>
    <x v="434"/>
    <n v="95000"/>
    <n v="1000"/>
  </r>
  <r>
    <n v="2302"/>
    <x v="0"/>
    <x v="31"/>
    <x v="31"/>
    <x v="1"/>
    <x v="1"/>
    <x v="8"/>
    <n v="14119"/>
    <x v="416"/>
    <x v="435"/>
    <n v="58500"/>
    <n v="1000"/>
  </r>
  <r>
    <n v="2303"/>
    <x v="0"/>
    <x v="31"/>
    <x v="31"/>
    <x v="1"/>
    <x v="1"/>
    <x v="107"/>
    <n v="14056"/>
    <x v="420"/>
    <x v="436"/>
    <n v="41000"/>
    <n v="1000"/>
  </r>
  <r>
    <n v="2304"/>
    <x v="0"/>
    <x v="31"/>
    <x v="31"/>
    <x v="1"/>
    <x v="1"/>
    <x v="7"/>
    <n v="14147"/>
    <x v="417"/>
    <x v="437"/>
    <n v="17684"/>
    <n v="648"/>
  </r>
  <r>
    <n v="2305"/>
    <x v="0"/>
    <x v="31"/>
    <x v="31"/>
    <x v="1"/>
    <x v="1"/>
    <x v="143"/>
    <n v="14042"/>
    <x v="421"/>
    <x v="438"/>
    <n v="8500"/>
    <n v="800"/>
  </r>
  <r>
    <n v="2306"/>
    <x v="0"/>
    <x v="31"/>
    <x v="31"/>
    <x v="1"/>
    <x v="1"/>
    <x v="70"/>
    <n v="14007"/>
    <x v="79"/>
    <x v="142"/>
    <n v="7700"/>
    <n v="700"/>
  </r>
  <r>
    <n v="2307"/>
    <x v="0"/>
    <x v="31"/>
    <x v="31"/>
    <x v="1"/>
    <x v="1"/>
    <x v="13"/>
    <n v="14098"/>
    <x v="210"/>
    <x v="291"/>
    <n v="5600"/>
    <n v="700"/>
  </r>
  <r>
    <n v="2308"/>
    <x v="0"/>
    <x v="31"/>
    <x v="31"/>
    <x v="1"/>
    <x v="1"/>
    <x v="9"/>
    <n v="14105"/>
    <x v="147"/>
    <x v="152"/>
    <n v="2430"/>
    <n v="900"/>
  </r>
  <r>
    <n v="2309"/>
    <x v="0"/>
    <x v="31"/>
    <x v="31"/>
    <x v="1"/>
    <x v="1"/>
    <x v="90"/>
    <n v="14182"/>
    <x v="147"/>
    <x v="128"/>
    <n v="1800"/>
    <n v="900"/>
  </r>
  <r>
    <n v="2310"/>
    <x v="0"/>
    <x v="31"/>
    <x v="31"/>
    <x v="1"/>
    <x v="1"/>
    <x v="12"/>
    <n v="14014"/>
    <x v="16"/>
    <x v="16"/>
    <n v="262"/>
    <n v="750"/>
  </r>
  <r>
    <n v="2311"/>
    <x v="0"/>
    <x v="31"/>
    <x v="31"/>
    <x v="1"/>
    <x v="1"/>
    <x v="46"/>
    <n v="14140"/>
    <x v="12"/>
    <x v="277"/>
    <n v="232"/>
    <n v="800"/>
  </r>
  <r>
    <n v="2312"/>
    <x v="0"/>
    <x v="31"/>
    <x v="31"/>
    <x v="1"/>
    <x v="1"/>
    <x v="186"/>
    <n v="14063"/>
    <x v="18"/>
    <x v="20"/>
    <n v="150"/>
    <n v="1000"/>
  </r>
  <r>
    <n v="2313"/>
    <x v="0"/>
    <x v="31"/>
    <x v="31"/>
    <x v="1"/>
    <x v="1"/>
    <x v="11"/>
    <n v="14021"/>
    <x v="39"/>
    <x v="39"/>
    <n v="27"/>
    <n v="600"/>
  </r>
  <r>
    <n v="2314"/>
    <x v="0"/>
    <x v="31"/>
    <x v="31"/>
    <x v="1"/>
    <x v="1"/>
    <x v="84"/>
    <n v="14168"/>
    <x v="92"/>
    <x v="78"/>
    <n v="15"/>
    <n v="600"/>
  </r>
  <r>
    <n v="2315"/>
    <x v="0"/>
    <x v="31"/>
    <x v="31"/>
    <x v="2"/>
    <x v="2"/>
    <x v="15"/>
    <n v="18112"/>
    <x v="320"/>
    <x v="439"/>
    <n v="134"/>
    <n v="502"/>
  </r>
  <r>
    <n v="2316"/>
    <x v="0"/>
    <x v="31"/>
    <x v="31"/>
    <x v="2"/>
    <x v="2"/>
    <x v="25"/>
    <n v="18035"/>
    <x v="44"/>
    <x v="72"/>
    <n v="15"/>
    <n v="500"/>
  </r>
  <r>
    <n v="2317"/>
    <x v="0"/>
    <x v="31"/>
    <x v="31"/>
    <x v="2"/>
    <x v="2"/>
    <x v="17"/>
    <n v="18042"/>
    <x v="39"/>
    <x v="72"/>
    <n v="15"/>
    <n v="500"/>
  </r>
  <r>
    <n v="2318"/>
    <x v="0"/>
    <x v="31"/>
    <x v="31"/>
    <x v="2"/>
    <x v="2"/>
    <x v="72"/>
    <n v="18063"/>
    <x v="92"/>
    <x v="32"/>
    <n v="5"/>
    <n v="500"/>
  </r>
  <r>
    <n v="2319"/>
    <x v="0"/>
    <x v="31"/>
    <x v="31"/>
    <x v="2"/>
    <x v="2"/>
    <x v="71"/>
    <n v="18098"/>
    <x v="92"/>
    <x v="32"/>
    <n v="3"/>
    <n v="300"/>
  </r>
  <r>
    <n v="2320"/>
    <x v="0"/>
    <x v="31"/>
    <x v="31"/>
    <x v="2"/>
    <x v="2"/>
    <x v="23"/>
    <n v="18126"/>
    <x v="92"/>
    <x v="32"/>
    <n v="4"/>
    <n v="400"/>
  </r>
  <r>
    <n v="2321"/>
    <x v="0"/>
    <x v="31"/>
    <x v="31"/>
    <x v="2"/>
    <x v="2"/>
    <x v="24"/>
    <n v="18140"/>
    <x v="92"/>
    <x v="31"/>
    <n v="8"/>
    <n v="533"/>
  </r>
  <r>
    <n v="2322"/>
    <x v="0"/>
    <x v="31"/>
    <x v="31"/>
    <x v="2"/>
    <x v="2"/>
    <x v="12"/>
    <n v="18021"/>
    <x v="45"/>
    <x v="31"/>
    <n v="7"/>
    <n v="467"/>
  </r>
  <r>
    <n v="2323"/>
    <x v="0"/>
    <x v="31"/>
    <x v="31"/>
    <x v="2"/>
    <x v="2"/>
    <x v="19"/>
    <n v="18133"/>
    <x v="45"/>
    <x v="31"/>
    <n v="7"/>
    <n v="467"/>
  </r>
  <r>
    <n v="2324"/>
    <x v="0"/>
    <x v="31"/>
    <x v="31"/>
    <x v="2"/>
    <x v="2"/>
    <x v="76"/>
    <n v="18154"/>
    <x v="45"/>
    <x v="13"/>
    <n v="5"/>
    <n v="417"/>
  </r>
  <r>
    <n v="2325"/>
    <x v="0"/>
    <x v="31"/>
    <x v="31"/>
    <x v="2"/>
    <x v="2"/>
    <x v="43"/>
    <n v="18028"/>
    <x v="31"/>
    <x v="32"/>
    <n v="4"/>
    <n v="400"/>
  </r>
  <r>
    <n v="2326"/>
    <x v="0"/>
    <x v="31"/>
    <x v="31"/>
    <x v="2"/>
    <x v="2"/>
    <x v="75"/>
    <n v="18014"/>
    <x v="78"/>
    <x v="46"/>
    <n v="1"/>
    <n v="250"/>
  </r>
  <r>
    <n v="2327"/>
    <x v="0"/>
    <x v="31"/>
    <x v="31"/>
    <x v="2"/>
    <x v="2"/>
    <x v="73"/>
    <n v="18077"/>
    <x v="33"/>
    <x v="30"/>
    <n v="1"/>
    <n v="333"/>
  </r>
  <r>
    <n v="2328"/>
    <x v="0"/>
    <x v="31"/>
    <x v="31"/>
    <x v="2"/>
    <x v="2"/>
    <x v="22"/>
    <n v="18084"/>
    <x v="33"/>
    <x v="30"/>
    <n v="1"/>
    <n v="333"/>
  </r>
  <r>
    <n v="2329"/>
    <x v="0"/>
    <x v="31"/>
    <x v="31"/>
    <x v="3"/>
    <x v="3"/>
    <x v="28"/>
    <n v="30028"/>
    <x v="67"/>
    <x v="38"/>
    <n v="33"/>
    <n v="600"/>
  </r>
  <r>
    <n v="2330"/>
    <x v="0"/>
    <x v="31"/>
    <x v="31"/>
    <x v="3"/>
    <x v="3"/>
    <x v="29"/>
    <n v="30015"/>
    <x v="72"/>
    <x v="80"/>
    <n v="12"/>
    <n v="600"/>
  </r>
  <r>
    <n v="2331"/>
    <x v="0"/>
    <x v="31"/>
    <x v="31"/>
    <x v="3"/>
    <x v="3"/>
    <x v="11"/>
    <n v="30008"/>
    <x v="33"/>
    <x v="33"/>
    <n v="3"/>
    <n v="600"/>
  </r>
  <r>
    <n v="2332"/>
    <x v="0"/>
    <x v="31"/>
    <x v="31"/>
    <x v="4"/>
    <x v="4"/>
    <x v="33"/>
    <n v="34056"/>
    <x v="72"/>
    <x v="78"/>
    <n v="20"/>
    <n v="800"/>
  </r>
  <r>
    <n v="2333"/>
    <x v="0"/>
    <x v="31"/>
    <x v="31"/>
    <x v="4"/>
    <x v="4"/>
    <x v="30"/>
    <n v="34049"/>
    <x v="45"/>
    <x v="31"/>
    <n v="11"/>
    <n v="733"/>
  </r>
  <r>
    <n v="2334"/>
    <x v="0"/>
    <x v="31"/>
    <x v="31"/>
    <x v="4"/>
    <x v="4"/>
    <x v="32"/>
    <n v="34014"/>
    <x v="31"/>
    <x v="13"/>
    <n v="10"/>
    <n v="833"/>
  </r>
  <r>
    <n v="2335"/>
    <x v="0"/>
    <x v="31"/>
    <x v="31"/>
    <x v="4"/>
    <x v="4"/>
    <x v="81"/>
    <n v="34042"/>
    <x v="13"/>
    <x v="32"/>
    <n v="7"/>
    <n v="700"/>
  </r>
  <r>
    <n v="2336"/>
    <x v="0"/>
    <x v="31"/>
    <x v="31"/>
    <x v="4"/>
    <x v="4"/>
    <x v="34"/>
    <n v="34035"/>
    <x v="32"/>
    <x v="67"/>
    <n v="6"/>
    <n v="750"/>
  </r>
  <r>
    <n v="2337"/>
    <x v="0"/>
    <x v="31"/>
    <x v="31"/>
    <x v="4"/>
    <x v="4"/>
    <x v="31"/>
    <n v="34021"/>
    <x v="77"/>
    <x v="67"/>
    <n v="6"/>
    <n v="750"/>
  </r>
  <r>
    <n v="2338"/>
    <x v="0"/>
    <x v="31"/>
    <x v="31"/>
    <x v="6"/>
    <x v="6"/>
    <x v="40"/>
    <n v="54021"/>
    <x v="67"/>
    <x v="421"/>
    <n v="51"/>
    <n v="699"/>
  </r>
  <r>
    <n v="2339"/>
    <x v="0"/>
    <x v="31"/>
    <x v="31"/>
    <x v="6"/>
    <x v="6"/>
    <x v="182"/>
    <n v="54091"/>
    <x v="273"/>
    <x v="345"/>
    <n v="48"/>
    <n v="716"/>
  </r>
  <r>
    <n v="2340"/>
    <x v="0"/>
    <x v="31"/>
    <x v="31"/>
    <x v="6"/>
    <x v="6"/>
    <x v="41"/>
    <n v="54098"/>
    <x v="118"/>
    <x v="111"/>
    <n v="35"/>
    <n v="700"/>
  </r>
  <r>
    <n v="2341"/>
    <x v="0"/>
    <x v="31"/>
    <x v="31"/>
    <x v="6"/>
    <x v="6"/>
    <x v="183"/>
    <n v="54070"/>
    <x v="146"/>
    <x v="78"/>
    <n v="17"/>
    <n v="680"/>
  </r>
  <r>
    <n v="2342"/>
    <x v="0"/>
    <x v="31"/>
    <x v="31"/>
    <x v="6"/>
    <x v="6"/>
    <x v="39"/>
    <n v="54007"/>
    <x v="92"/>
    <x v="99"/>
    <n v="15"/>
    <n v="682"/>
  </r>
  <r>
    <n v="2343"/>
    <x v="0"/>
    <x v="31"/>
    <x v="31"/>
    <x v="6"/>
    <x v="6"/>
    <x v="43"/>
    <n v="54035"/>
    <x v="92"/>
    <x v="98"/>
    <n v="16"/>
    <n v="696"/>
  </r>
  <r>
    <n v="2344"/>
    <x v="0"/>
    <x v="31"/>
    <x v="31"/>
    <x v="6"/>
    <x v="6"/>
    <x v="114"/>
    <n v="54014"/>
    <x v="94"/>
    <x v="80"/>
    <n v="16"/>
    <n v="800"/>
  </r>
  <r>
    <n v="2345"/>
    <x v="0"/>
    <x v="31"/>
    <x v="31"/>
    <x v="6"/>
    <x v="6"/>
    <x v="184"/>
    <n v="54084"/>
    <x v="94"/>
    <x v="80"/>
    <n v="16"/>
    <n v="800"/>
  </r>
  <r>
    <n v="2346"/>
    <x v="0"/>
    <x v="31"/>
    <x v="31"/>
    <x v="6"/>
    <x v="6"/>
    <x v="42"/>
    <n v="54105"/>
    <x v="45"/>
    <x v="140"/>
    <n v="13"/>
    <n v="722"/>
  </r>
  <r>
    <n v="2347"/>
    <x v="0"/>
    <x v="31"/>
    <x v="31"/>
    <x v="6"/>
    <x v="6"/>
    <x v="185"/>
    <n v="54042"/>
    <x v="31"/>
    <x v="77"/>
    <n v="11"/>
    <n v="786"/>
  </r>
  <r>
    <n v="2348"/>
    <x v="0"/>
    <x v="31"/>
    <x v="31"/>
    <x v="6"/>
    <x v="6"/>
    <x v="116"/>
    <n v="54063"/>
    <x v="31"/>
    <x v="77"/>
    <n v="11"/>
    <n v="786"/>
  </r>
  <r>
    <n v="2349"/>
    <x v="0"/>
    <x v="31"/>
    <x v="31"/>
    <x v="6"/>
    <x v="6"/>
    <x v="88"/>
    <n v="54077"/>
    <x v="31"/>
    <x v="77"/>
    <n v="11"/>
    <n v="786"/>
  </r>
  <r>
    <n v="2350"/>
    <x v="0"/>
    <x v="31"/>
    <x v="31"/>
    <x v="11"/>
    <x v="11"/>
    <x v="171"/>
    <n v="66056"/>
    <x v="32"/>
    <x v="32"/>
    <n v="12"/>
    <n v="1200"/>
  </r>
  <r>
    <n v="2351"/>
    <x v="0"/>
    <x v="31"/>
    <x v="31"/>
    <x v="11"/>
    <x v="11"/>
    <x v="106"/>
    <n v="66112"/>
    <x v="77"/>
    <x v="67"/>
    <n v="11"/>
    <n v="1375"/>
  </r>
  <r>
    <n v="2352"/>
    <x v="0"/>
    <x v="31"/>
    <x v="31"/>
    <x v="11"/>
    <x v="11"/>
    <x v="187"/>
    <n v="66161"/>
    <x v="29"/>
    <x v="29"/>
    <n v="5"/>
    <n v="714"/>
  </r>
  <r>
    <n v="2353"/>
    <x v="0"/>
    <x v="31"/>
    <x v="31"/>
    <x v="11"/>
    <x v="11"/>
    <x v="140"/>
    <n v="66126"/>
    <x v="33"/>
    <x v="33"/>
    <n v="6"/>
    <n v="1200"/>
  </r>
  <r>
    <n v="2354"/>
    <x v="0"/>
    <x v="31"/>
    <x v="31"/>
    <x v="11"/>
    <x v="11"/>
    <x v="97"/>
    <n v="66147"/>
    <x v="34"/>
    <x v="34"/>
    <n v="3"/>
    <n v="1500"/>
  </r>
  <r>
    <n v="2355"/>
    <x v="0"/>
    <x v="31"/>
    <x v="31"/>
    <x v="11"/>
    <x v="11"/>
    <x v="93"/>
    <n v="66035"/>
    <x v="48"/>
    <x v="47"/>
    <n v="1"/>
    <n v="1000"/>
  </r>
  <r>
    <n v="2356"/>
    <x v="0"/>
    <x v="31"/>
    <x v="31"/>
    <x v="13"/>
    <x v="13"/>
    <x v="94"/>
    <n v="74035"/>
    <x v="58"/>
    <x v="207"/>
    <n v="350"/>
    <n v="583"/>
  </r>
  <r>
    <n v="2357"/>
    <x v="0"/>
    <x v="31"/>
    <x v="31"/>
    <x v="7"/>
    <x v="7"/>
    <x v="45"/>
    <n v="82035"/>
    <x v="422"/>
    <x v="277"/>
    <n v="590"/>
    <n v="2034"/>
  </r>
  <r>
    <n v="2358"/>
    <x v="0"/>
    <x v="31"/>
    <x v="31"/>
    <x v="7"/>
    <x v="7"/>
    <x v="44"/>
    <n v="82049"/>
    <x v="72"/>
    <x v="32"/>
    <n v="10"/>
    <n v="1000"/>
  </r>
  <r>
    <n v="2359"/>
    <x v="0"/>
    <x v="31"/>
    <x v="31"/>
    <x v="9"/>
    <x v="9"/>
    <x v="66"/>
    <n v="90056"/>
    <x v="32"/>
    <x v="67"/>
    <n v="4"/>
    <n v="500"/>
  </r>
  <r>
    <n v="2360"/>
    <x v="0"/>
    <x v="31"/>
    <x v="31"/>
    <x v="9"/>
    <x v="9"/>
    <x v="68"/>
    <n v="90105"/>
    <x v="32"/>
    <x v="52"/>
    <n v="9"/>
    <n v="1000"/>
  </r>
  <r>
    <n v="2361"/>
    <x v="0"/>
    <x v="31"/>
    <x v="31"/>
    <x v="9"/>
    <x v="9"/>
    <x v="55"/>
    <n v="90007"/>
    <x v="33"/>
    <x v="46"/>
    <n v="4"/>
    <n v="1000"/>
  </r>
  <r>
    <n v="2362"/>
    <x v="0"/>
    <x v="31"/>
    <x v="31"/>
    <x v="9"/>
    <x v="9"/>
    <x v="65"/>
    <n v="90014"/>
    <x v="33"/>
    <x v="46"/>
    <n v="4"/>
    <n v="1000"/>
  </r>
  <r>
    <n v="2363"/>
    <x v="0"/>
    <x v="31"/>
    <x v="31"/>
    <x v="9"/>
    <x v="9"/>
    <x v="82"/>
    <n v="90077"/>
    <x v="30"/>
    <x v="34"/>
    <n v="2"/>
    <n v="1000"/>
  </r>
  <r>
    <n v="2364"/>
    <x v="0"/>
    <x v="31"/>
    <x v="31"/>
    <x v="9"/>
    <x v="9"/>
    <x v="83"/>
    <n v="90021"/>
    <x v="34"/>
    <x v="34"/>
    <n v="1"/>
    <n v="500"/>
  </r>
  <r>
    <n v="2365"/>
    <x v="0"/>
    <x v="31"/>
    <x v="31"/>
    <x v="9"/>
    <x v="9"/>
    <x v="67"/>
    <n v="90070"/>
    <x v="34"/>
    <x v="34"/>
    <n v="2"/>
    <n v="1000"/>
  </r>
  <r>
    <n v="2366"/>
    <x v="0"/>
    <x v="31"/>
    <x v="31"/>
    <x v="9"/>
    <x v="9"/>
    <x v="12"/>
    <n v="90084"/>
    <x v="48"/>
    <x v="47"/>
    <n v="1"/>
    <n v="1000"/>
  </r>
  <r>
    <n v="2367"/>
    <x v="0"/>
    <x v="31"/>
    <x v="31"/>
    <x v="9"/>
    <x v="9"/>
    <x v="64"/>
    <n v="90112"/>
    <x v="48"/>
    <x v="47"/>
    <n v="1"/>
    <n v="1000"/>
  </r>
  <r>
    <n v="2368"/>
    <x v="0"/>
    <x v="32"/>
    <x v="32"/>
    <x v="0"/>
    <x v="0"/>
    <x v="88"/>
    <n v="22084"/>
    <x v="180"/>
    <x v="165"/>
    <n v="341"/>
    <n v="598"/>
  </r>
  <r>
    <n v="2369"/>
    <x v="0"/>
    <x v="32"/>
    <x v="32"/>
    <x v="0"/>
    <x v="0"/>
    <x v="167"/>
    <n v="22154"/>
    <x v="27"/>
    <x v="96"/>
    <n v="37"/>
    <n v="597"/>
  </r>
  <r>
    <n v="2370"/>
    <x v="0"/>
    <x v="32"/>
    <x v="32"/>
    <x v="0"/>
    <x v="0"/>
    <x v="172"/>
    <n v="22105"/>
    <x v="220"/>
    <x v="201"/>
    <n v="32"/>
    <n v="744"/>
  </r>
  <r>
    <n v="2371"/>
    <x v="0"/>
    <x v="32"/>
    <x v="32"/>
    <x v="0"/>
    <x v="0"/>
    <x v="173"/>
    <n v="22133"/>
    <x v="101"/>
    <x v="78"/>
    <n v="18"/>
    <n v="720"/>
  </r>
  <r>
    <n v="2372"/>
    <x v="0"/>
    <x v="32"/>
    <x v="32"/>
    <x v="0"/>
    <x v="0"/>
    <x v="142"/>
    <n v="22049"/>
    <x v="96"/>
    <x v="157"/>
    <n v="18"/>
    <n v="667"/>
  </r>
  <r>
    <n v="2373"/>
    <x v="0"/>
    <x v="32"/>
    <x v="32"/>
    <x v="0"/>
    <x v="0"/>
    <x v="174"/>
    <n v="22168"/>
    <x v="45"/>
    <x v="31"/>
    <n v="12"/>
    <n v="800"/>
  </r>
  <r>
    <n v="2374"/>
    <x v="0"/>
    <x v="32"/>
    <x v="32"/>
    <x v="0"/>
    <x v="0"/>
    <x v="166"/>
    <n v="22119"/>
    <x v="95"/>
    <x v="77"/>
    <n v="11"/>
    <n v="786"/>
  </r>
  <r>
    <n v="2375"/>
    <x v="0"/>
    <x v="32"/>
    <x v="32"/>
    <x v="0"/>
    <x v="0"/>
    <x v="188"/>
    <n v="22007"/>
    <x v="107"/>
    <x v="79"/>
    <n v="8"/>
    <n v="500"/>
  </r>
  <r>
    <n v="2376"/>
    <x v="0"/>
    <x v="32"/>
    <x v="32"/>
    <x v="0"/>
    <x v="0"/>
    <x v="168"/>
    <n v="22056"/>
    <x v="31"/>
    <x v="31"/>
    <n v="6"/>
    <n v="400"/>
  </r>
  <r>
    <n v="2377"/>
    <x v="0"/>
    <x v="32"/>
    <x v="32"/>
    <x v="0"/>
    <x v="0"/>
    <x v="175"/>
    <n v="22140"/>
    <x v="77"/>
    <x v="49"/>
    <n v="4"/>
    <n v="667"/>
  </r>
  <r>
    <n v="2378"/>
    <x v="0"/>
    <x v="32"/>
    <x v="32"/>
    <x v="0"/>
    <x v="0"/>
    <x v="176"/>
    <n v="22063"/>
    <x v="29"/>
    <x v="29"/>
    <n v="4"/>
    <n v="571"/>
  </r>
  <r>
    <n v="2379"/>
    <x v="0"/>
    <x v="32"/>
    <x v="32"/>
    <x v="0"/>
    <x v="0"/>
    <x v="87"/>
    <n v="22028"/>
    <x v="33"/>
    <x v="33"/>
    <n v="3"/>
    <n v="600"/>
  </r>
  <r>
    <n v="2380"/>
    <x v="0"/>
    <x v="32"/>
    <x v="32"/>
    <x v="0"/>
    <x v="0"/>
    <x v="180"/>
    <n v="22021"/>
    <x v="47"/>
    <x v="46"/>
    <n v="2"/>
    <n v="500"/>
  </r>
  <r>
    <n v="2381"/>
    <x v="0"/>
    <x v="32"/>
    <x v="32"/>
    <x v="0"/>
    <x v="0"/>
    <x v="177"/>
    <n v="22091"/>
    <x v="47"/>
    <x v="46"/>
    <n v="2"/>
    <n v="500"/>
  </r>
  <r>
    <n v="2382"/>
    <x v="0"/>
    <x v="32"/>
    <x v="32"/>
    <x v="0"/>
    <x v="0"/>
    <x v="178"/>
    <n v="22036"/>
    <x v="30"/>
    <x v="30"/>
    <n v="2"/>
    <n v="667"/>
  </r>
  <r>
    <n v="2383"/>
    <x v="0"/>
    <x v="32"/>
    <x v="32"/>
    <x v="0"/>
    <x v="0"/>
    <x v="179"/>
    <n v="22043"/>
    <x v="30"/>
    <x v="30"/>
    <n v="2"/>
    <n v="667"/>
  </r>
  <r>
    <n v="2384"/>
    <x v="0"/>
    <x v="32"/>
    <x v="32"/>
    <x v="0"/>
    <x v="0"/>
    <x v="170"/>
    <n v="22077"/>
    <x v="30"/>
    <x v="34"/>
    <n v="1"/>
    <n v="500"/>
  </r>
  <r>
    <n v="2385"/>
    <x v="0"/>
    <x v="32"/>
    <x v="32"/>
    <x v="0"/>
    <x v="0"/>
    <x v="169"/>
    <n v="22126"/>
    <x v="30"/>
    <x v="30"/>
    <n v="1"/>
    <n v="333"/>
  </r>
  <r>
    <n v="2386"/>
    <x v="0"/>
    <x v="32"/>
    <x v="32"/>
    <x v="0"/>
    <x v="0"/>
    <x v="6"/>
    <n v="22161"/>
    <x v="48"/>
    <x v="47"/>
    <n v="1"/>
    <n v="1000"/>
  </r>
  <r>
    <n v="2387"/>
    <x v="0"/>
    <x v="32"/>
    <x v="32"/>
    <x v="1"/>
    <x v="1"/>
    <x v="10"/>
    <n v="14161"/>
    <x v="423"/>
    <x v="440"/>
    <n v="79200"/>
    <n v="1199"/>
  </r>
  <r>
    <n v="2388"/>
    <x v="0"/>
    <x v="32"/>
    <x v="32"/>
    <x v="1"/>
    <x v="1"/>
    <x v="8"/>
    <n v="14119"/>
    <x v="424"/>
    <x v="441"/>
    <n v="51700"/>
    <n v="1100"/>
  </r>
  <r>
    <n v="2389"/>
    <x v="0"/>
    <x v="32"/>
    <x v="32"/>
    <x v="1"/>
    <x v="1"/>
    <x v="107"/>
    <n v="14056"/>
    <x v="375"/>
    <x v="365"/>
    <n v="28600"/>
    <n v="1100"/>
  </r>
  <r>
    <n v="2390"/>
    <x v="0"/>
    <x v="32"/>
    <x v="32"/>
    <x v="1"/>
    <x v="1"/>
    <x v="7"/>
    <n v="14147"/>
    <x v="425"/>
    <x v="442"/>
    <n v="21600"/>
    <n v="1000"/>
  </r>
  <r>
    <n v="2391"/>
    <x v="0"/>
    <x v="32"/>
    <x v="32"/>
    <x v="1"/>
    <x v="1"/>
    <x v="70"/>
    <n v="14007"/>
    <x v="54"/>
    <x v="443"/>
    <n v="8550"/>
    <n v="950"/>
  </r>
  <r>
    <n v="2392"/>
    <x v="0"/>
    <x v="32"/>
    <x v="32"/>
    <x v="1"/>
    <x v="1"/>
    <x v="143"/>
    <n v="14042"/>
    <x v="382"/>
    <x v="220"/>
    <n v="8400"/>
    <n v="1200"/>
  </r>
  <r>
    <n v="2393"/>
    <x v="0"/>
    <x v="32"/>
    <x v="32"/>
    <x v="1"/>
    <x v="1"/>
    <x v="13"/>
    <n v="14098"/>
    <x v="157"/>
    <x v="444"/>
    <n v="5130"/>
    <n v="950"/>
  </r>
  <r>
    <n v="2394"/>
    <x v="0"/>
    <x v="32"/>
    <x v="32"/>
    <x v="1"/>
    <x v="1"/>
    <x v="9"/>
    <n v="14105"/>
    <x v="159"/>
    <x v="101"/>
    <n v="2677"/>
    <n v="892"/>
  </r>
  <r>
    <n v="2395"/>
    <x v="0"/>
    <x v="32"/>
    <x v="32"/>
    <x v="1"/>
    <x v="1"/>
    <x v="90"/>
    <n v="14182"/>
    <x v="74"/>
    <x v="56"/>
    <n v="960"/>
    <n v="800"/>
  </r>
  <r>
    <n v="2396"/>
    <x v="0"/>
    <x v="32"/>
    <x v="32"/>
    <x v="1"/>
    <x v="1"/>
    <x v="46"/>
    <n v="14140"/>
    <x v="26"/>
    <x v="59"/>
    <n v="320"/>
    <n v="800"/>
  </r>
  <r>
    <n v="2397"/>
    <x v="0"/>
    <x v="32"/>
    <x v="32"/>
    <x v="1"/>
    <x v="1"/>
    <x v="12"/>
    <n v="14014"/>
    <x v="18"/>
    <x v="18"/>
    <n v="165"/>
    <n v="825"/>
  </r>
  <r>
    <n v="2398"/>
    <x v="0"/>
    <x v="32"/>
    <x v="32"/>
    <x v="1"/>
    <x v="1"/>
    <x v="186"/>
    <n v="14063"/>
    <x v="23"/>
    <x v="111"/>
    <n v="40"/>
    <n v="800"/>
  </r>
  <r>
    <n v="2399"/>
    <x v="0"/>
    <x v="32"/>
    <x v="32"/>
    <x v="1"/>
    <x v="1"/>
    <x v="11"/>
    <n v="14021"/>
    <x v="44"/>
    <x v="111"/>
    <n v="36"/>
    <n v="720"/>
  </r>
  <r>
    <n v="2400"/>
    <x v="0"/>
    <x v="32"/>
    <x v="32"/>
    <x v="1"/>
    <x v="1"/>
    <x v="84"/>
    <n v="14168"/>
    <x v="45"/>
    <x v="80"/>
    <n v="16"/>
    <n v="800"/>
  </r>
  <r>
    <n v="2401"/>
    <x v="0"/>
    <x v="32"/>
    <x v="32"/>
    <x v="1"/>
    <x v="1"/>
    <x v="135"/>
    <n v="14028"/>
    <x v="32"/>
    <x v="32"/>
    <n v="6"/>
    <n v="600"/>
  </r>
  <r>
    <n v="2402"/>
    <x v="0"/>
    <x v="32"/>
    <x v="32"/>
    <x v="2"/>
    <x v="2"/>
    <x v="15"/>
    <n v="18112"/>
    <x v="16"/>
    <x v="445"/>
    <n v="156"/>
    <n v="582"/>
  </r>
  <r>
    <n v="2403"/>
    <x v="0"/>
    <x v="32"/>
    <x v="32"/>
    <x v="2"/>
    <x v="2"/>
    <x v="25"/>
    <n v="18035"/>
    <x v="44"/>
    <x v="72"/>
    <n v="15"/>
    <n v="500"/>
  </r>
  <r>
    <n v="2404"/>
    <x v="0"/>
    <x v="32"/>
    <x v="32"/>
    <x v="2"/>
    <x v="2"/>
    <x v="24"/>
    <n v="18140"/>
    <x v="275"/>
    <x v="72"/>
    <n v="20"/>
    <n v="667"/>
  </r>
  <r>
    <n v="2405"/>
    <x v="0"/>
    <x v="32"/>
    <x v="32"/>
    <x v="2"/>
    <x v="2"/>
    <x v="17"/>
    <n v="18042"/>
    <x v="131"/>
    <x v="78"/>
    <n v="17"/>
    <n v="680"/>
  </r>
  <r>
    <n v="2406"/>
    <x v="0"/>
    <x v="32"/>
    <x v="32"/>
    <x v="2"/>
    <x v="2"/>
    <x v="12"/>
    <n v="18021"/>
    <x v="72"/>
    <x v="78"/>
    <n v="15"/>
    <n v="600"/>
  </r>
  <r>
    <n v="2407"/>
    <x v="0"/>
    <x v="32"/>
    <x v="32"/>
    <x v="2"/>
    <x v="2"/>
    <x v="76"/>
    <n v="18154"/>
    <x v="72"/>
    <x v="31"/>
    <n v="9"/>
    <n v="600"/>
  </r>
  <r>
    <n v="2408"/>
    <x v="0"/>
    <x v="32"/>
    <x v="32"/>
    <x v="2"/>
    <x v="2"/>
    <x v="72"/>
    <n v="18063"/>
    <x v="92"/>
    <x v="80"/>
    <n v="13"/>
    <n v="650"/>
  </r>
  <r>
    <n v="2409"/>
    <x v="0"/>
    <x v="32"/>
    <x v="32"/>
    <x v="2"/>
    <x v="2"/>
    <x v="71"/>
    <n v="18098"/>
    <x v="92"/>
    <x v="99"/>
    <n v="15"/>
    <n v="682"/>
  </r>
  <r>
    <n v="2410"/>
    <x v="0"/>
    <x v="32"/>
    <x v="32"/>
    <x v="2"/>
    <x v="2"/>
    <x v="19"/>
    <n v="18133"/>
    <x v="92"/>
    <x v="80"/>
    <n v="13"/>
    <n v="650"/>
  </r>
  <r>
    <n v="2411"/>
    <x v="0"/>
    <x v="32"/>
    <x v="32"/>
    <x v="2"/>
    <x v="2"/>
    <x v="43"/>
    <n v="18028"/>
    <x v="45"/>
    <x v="31"/>
    <n v="10"/>
    <n v="667"/>
  </r>
  <r>
    <n v="2412"/>
    <x v="0"/>
    <x v="32"/>
    <x v="32"/>
    <x v="2"/>
    <x v="2"/>
    <x v="75"/>
    <n v="18014"/>
    <x v="33"/>
    <x v="46"/>
    <n v="3"/>
    <n v="750"/>
  </r>
  <r>
    <n v="2413"/>
    <x v="0"/>
    <x v="32"/>
    <x v="32"/>
    <x v="2"/>
    <x v="2"/>
    <x v="73"/>
    <n v="18077"/>
    <x v="33"/>
    <x v="30"/>
    <n v="2"/>
    <n v="667"/>
  </r>
  <r>
    <n v="2414"/>
    <x v="0"/>
    <x v="32"/>
    <x v="32"/>
    <x v="2"/>
    <x v="2"/>
    <x v="22"/>
    <n v="18084"/>
    <x v="30"/>
    <x v="30"/>
    <n v="2"/>
    <n v="667"/>
  </r>
  <r>
    <n v="2415"/>
    <x v="0"/>
    <x v="32"/>
    <x v="32"/>
    <x v="3"/>
    <x v="3"/>
    <x v="28"/>
    <n v="30028"/>
    <x v="426"/>
    <x v="72"/>
    <n v="17"/>
    <n v="567"/>
  </r>
  <r>
    <n v="2416"/>
    <x v="0"/>
    <x v="32"/>
    <x v="32"/>
    <x v="3"/>
    <x v="3"/>
    <x v="29"/>
    <n v="30015"/>
    <x v="45"/>
    <x v="31"/>
    <n v="7"/>
    <n v="467"/>
  </r>
  <r>
    <n v="2417"/>
    <x v="0"/>
    <x v="32"/>
    <x v="32"/>
    <x v="3"/>
    <x v="3"/>
    <x v="11"/>
    <n v="30008"/>
    <x v="29"/>
    <x v="29"/>
    <n v="3"/>
    <n v="429"/>
  </r>
  <r>
    <n v="2418"/>
    <x v="0"/>
    <x v="32"/>
    <x v="32"/>
    <x v="4"/>
    <x v="4"/>
    <x v="33"/>
    <n v="34056"/>
    <x v="131"/>
    <x v="72"/>
    <n v="39"/>
    <n v="1300"/>
  </r>
  <r>
    <n v="2419"/>
    <x v="0"/>
    <x v="32"/>
    <x v="32"/>
    <x v="4"/>
    <x v="4"/>
    <x v="30"/>
    <n v="34049"/>
    <x v="92"/>
    <x v="99"/>
    <n v="33"/>
    <n v="1500"/>
  </r>
  <r>
    <n v="2420"/>
    <x v="0"/>
    <x v="32"/>
    <x v="32"/>
    <x v="4"/>
    <x v="4"/>
    <x v="32"/>
    <n v="34014"/>
    <x v="31"/>
    <x v="135"/>
    <n v="17"/>
    <n v="1308"/>
  </r>
  <r>
    <n v="2421"/>
    <x v="0"/>
    <x v="32"/>
    <x v="32"/>
    <x v="4"/>
    <x v="4"/>
    <x v="81"/>
    <n v="34042"/>
    <x v="31"/>
    <x v="77"/>
    <n v="21"/>
    <n v="1500"/>
  </r>
  <r>
    <n v="2422"/>
    <x v="0"/>
    <x v="32"/>
    <x v="32"/>
    <x v="4"/>
    <x v="4"/>
    <x v="31"/>
    <n v="34021"/>
    <x v="32"/>
    <x v="52"/>
    <n v="12"/>
    <n v="1333"/>
  </r>
  <r>
    <n v="2423"/>
    <x v="0"/>
    <x v="32"/>
    <x v="32"/>
    <x v="4"/>
    <x v="4"/>
    <x v="34"/>
    <n v="34035"/>
    <x v="32"/>
    <x v="67"/>
    <n v="8"/>
    <n v="1000"/>
  </r>
  <r>
    <n v="2424"/>
    <x v="0"/>
    <x v="32"/>
    <x v="32"/>
    <x v="6"/>
    <x v="6"/>
    <x v="40"/>
    <n v="54021"/>
    <x v="427"/>
    <x v="257"/>
    <n v="40"/>
    <n v="588"/>
  </r>
  <r>
    <n v="2425"/>
    <x v="0"/>
    <x v="32"/>
    <x v="32"/>
    <x v="6"/>
    <x v="6"/>
    <x v="182"/>
    <n v="54091"/>
    <x v="273"/>
    <x v="345"/>
    <n v="53"/>
    <n v="791"/>
  </r>
  <r>
    <n v="2426"/>
    <x v="0"/>
    <x v="32"/>
    <x v="32"/>
    <x v="6"/>
    <x v="6"/>
    <x v="41"/>
    <n v="54098"/>
    <x v="118"/>
    <x v="111"/>
    <n v="37"/>
    <n v="740"/>
  </r>
  <r>
    <n v="2427"/>
    <x v="0"/>
    <x v="32"/>
    <x v="32"/>
    <x v="6"/>
    <x v="6"/>
    <x v="43"/>
    <n v="54035"/>
    <x v="76"/>
    <x v="6"/>
    <n v="14"/>
    <n v="583"/>
  </r>
  <r>
    <n v="2428"/>
    <x v="0"/>
    <x v="32"/>
    <x v="32"/>
    <x v="6"/>
    <x v="6"/>
    <x v="39"/>
    <n v="54007"/>
    <x v="92"/>
    <x v="99"/>
    <n v="16"/>
    <n v="727"/>
  </r>
  <r>
    <n v="2429"/>
    <x v="0"/>
    <x v="32"/>
    <x v="32"/>
    <x v="6"/>
    <x v="6"/>
    <x v="183"/>
    <n v="54070"/>
    <x v="92"/>
    <x v="99"/>
    <n v="16"/>
    <n v="727"/>
  </r>
  <r>
    <n v="2430"/>
    <x v="0"/>
    <x v="32"/>
    <x v="32"/>
    <x v="6"/>
    <x v="6"/>
    <x v="114"/>
    <n v="54014"/>
    <x v="94"/>
    <x v="80"/>
    <n v="16"/>
    <n v="800"/>
  </r>
  <r>
    <n v="2431"/>
    <x v="0"/>
    <x v="32"/>
    <x v="32"/>
    <x v="6"/>
    <x v="6"/>
    <x v="184"/>
    <n v="54084"/>
    <x v="94"/>
    <x v="80"/>
    <n v="16"/>
    <n v="800"/>
  </r>
  <r>
    <n v="2432"/>
    <x v="0"/>
    <x v="32"/>
    <x v="32"/>
    <x v="6"/>
    <x v="6"/>
    <x v="42"/>
    <n v="54105"/>
    <x v="94"/>
    <x v="80"/>
    <n v="14"/>
    <n v="700"/>
  </r>
  <r>
    <n v="2433"/>
    <x v="0"/>
    <x v="32"/>
    <x v="32"/>
    <x v="6"/>
    <x v="6"/>
    <x v="185"/>
    <n v="54042"/>
    <x v="31"/>
    <x v="77"/>
    <n v="11"/>
    <n v="786"/>
  </r>
  <r>
    <n v="2434"/>
    <x v="0"/>
    <x v="32"/>
    <x v="32"/>
    <x v="6"/>
    <x v="6"/>
    <x v="116"/>
    <n v="54063"/>
    <x v="31"/>
    <x v="77"/>
    <n v="11"/>
    <n v="786"/>
  </r>
  <r>
    <n v="2435"/>
    <x v="0"/>
    <x v="32"/>
    <x v="32"/>
    <x v="6"/>
    <x v="6"/>
    <x v="88"/>
    <n v="54077"/>
    <x v="31"/>
    <x v="77"/>
    <n v="11"/>
    <n v="786"/>
  </r>
  <r>
    <n v="2436"/>
    <x v="0"/>
    <x v="32"/>
    <x v="32"/>
    <x v="11"/>
    <x v="11"/>
    <x v="171"/>
    <n v="66056"/>
    <x v="13"/>
    <x v="32"/>
    <n v="12"/>
    <n v="1200"/>
  </r>
  <r>
    <n v="2437"/>
    <x v="0"/>
    <x v="32"/>
    <x v="32"/>
    <x v="11"/>
    <x v="11"/>
    <x v="106"/>
    <n v="66112"/>
    <x v="77"/>
    <x v="67"/>
    <n v="15"/>
    <n v="1875"/>
  </r>
  <r>
    <n v="2438"/>
    <x v="0"/>
    <x v="32"/>
    <x v="32"/>
    <x v="11"/>
    <x v="11"/>
    <x v="187"/>
    <n v="66161"/>
    <x v="29"/>
    <x v="29"/>
    <n v="5"/>
    <n v="714"/>
  </r>
  <r>
    <n v="2439"/>
    <x v="0"/>
    <x v="32"/>
    <x v="32"/>
    <x v="11"/>
    <x v="11"/>
    <x v="140"/>
    <n v="66126"/>
    <x v="33"/>
    <x v="33"/>
    <n v="6"/>
    <n v="1200"/>
  </r>
  <r>
    <n v="2440"/>
    <x v="0"/>
    <x v="32"/>
    <x v="32"/>
    <x v="11"/>
    <x v="11"/>
    <x v="97"/>
    <n v="66147"/>
    <x v="34"/>
    <x v="34"/>
    <n v="3"/>
    <n v="1500"/>
  </r>
  <r>
    <n v="2441"/>
    <x v="0"/>
    <x v="32"/>
    <x v="32"/>
    <x v="11"/>
    <x v="11"/>
    <x v="93"/>
    <n v="66035"/>
    <x v="48"/>
    <x v="47"/>
    <n v="1"/>
    <n v="1000"/>
  </r>
  <r>
    <n v="2442"/>
    <x v="0"/>
    <x v="32"/>
    <x v="32"/>
    <x v="13"/>
    <x v="13"/>
    <x v="94"/>
    <n v="74035"/>
    <x v="179"/>
    <x v="59"/>
    <n v="200"/>
    <n v="500"/>
  </r>
  <r>
    <n v="2443"/>
    <x v="0"/>
    <x v="32"/>
    <x v="32"/>
    <x v="7"/>
    <x v="7"/>
    <x v="45"/>
    <n v="82035"/>
    <x v="302"/>
    <x v="18"/>
    <n v="400"/>
    <n v="2000"/>
  </r>
  <r>
    <n v="2444"/>
    <x v="0"/>
    <x v="32"/>
    <x v="32"/>
    <x v="7"/>
    <x v="7"/>
    <x v="44"/>
    <n v="82049"/>
    <x v="44"/>
    <x v="80"/>
    <n v="15"/>
    <n v="750"/>
  </r>
  <r>
    <n v="2445"/>
    <x v="0"/>
    <x v="32"/>
    <x v="32"/>
    <x v="9"/>
    <x v="9"/>
    <x v="69"/>
    <n v="90035"/>
    <x v="32"/>
    <x v="52"/>
    <n v="9"/>
    <n v="1000"/>
  </r>
  <r>
    <n v="2446"/>
    <x v="0"/>
    <x v="32"/>
    <x v="32"/>
    <x v="9"/>
    <x v="9"/>
    <x v="66"/>
    <n v="90056"/>
    <x v="32"/>
    <x v="29"/>
    <n v="7"/>
    <n v="1000"/>
  </r>
  <r>
    <n v="2447"/>
    <x v="0"/>
    <x v="32"/>
    <x v="32"/>
    <x v="9"/>
    <x v="9"/>
    <x v="68"/>
    <n v="90105"/>
    <x v="77"/>
    <x v="33"/>
    <n v="3"/>
    <n v="600"/>
  </r>
  <r>
    <n v="2448"/>
    <x v="0"/>
    <x v="32"/>
    <x v="32"/>
    <x v="9"/>
    <x v="9"/>
    <x v="55"/>
    <n v="90007"/>
    <x v="78"/>
    <x v="46"/>
    <n v="4"/>
    <n v="1000"/>
  </r>
  <r>
    <n v="2449"/>
    <x v="0"/>
    <x v="32"/>
    <x v="32"/>
    <x v="9"/>
    <x v="9"/>
    <x v="65"/>
    <n v="90014"/>
    <x v="78"/>
    <x v="33"/>
    <n v="6"/>
    <n v="1200"/>
  </r>
  <r>
    <n v="2450"/>
    <x v="0"/>
    <x v="32"/>
    <x v="32"/>
    <x v="9"/>
    <x v="9"/>
    <x v="82"/>
    <n v="90077"/>
    <x v="30"/>
    <x v="34"/>
    <n v="1"/>
    <n v="500"/>
  </r>
  <r>
    <n v="2451"/>
    <x v="0"/>
    <x v="32"/>
    <x v="32"/>
    <x v="9"/>
    <x v="9"/>
    <x v="12"/>
    <n v="90084"/>
    <x v="34"/>
    <x v="34"/>
    <n v="1"/>
    <n v="500"/>
  </r>
  <r>
    <n v="2452"/>
    <x v="0"/>
    <x v="32"/>
    <x v="32"/>
    <x v="9"/>
    <x v="9"/>
    <x v="83"/>
    <n v="90021"/>
    <x v="34"/>
    <x v="34"/>
    <n v="2"/>
    <n v="1000"/>
  </r>
  <r>
    <n v="2453"/>
    <x v="0"/>
    <x v="32"/>
    <x v="32"/>
    <x v="9"/>
    <x v="9"/>
    <x v="67"/>
    <n v="90070"/>
    <x v="34"/>
    <x v="34"/>
    <n v="2"/>
    <n v="1000"/>
  </r>
  <r>
    <n v="2454"/>
    <x v="0"/>
    <x v="32"/>
    <x v="32"/>
    <x v="9"/>
    <x v="9"/>
    <x v="64"/>
    <n v="90112"/>
    <x v="48"/>
    <x v="47"/>
    <n v="1"/>
    <n v="1000"/>
  </r>
  <r>
    <n v="2455"/>
    <x v="0"/>
    <x v="33"/>
    <x v="33"/>
    <x v="0"/>
    <x v="0"/>
    <x v="88"/>
    <n v="22084"/>
    <x v="217"/>
    <x v="446"/>
    <n v="375"/>
    <n v="756"/>
  </r>
  <r>
    <n v="2456"/>
    <x v="0"/>
    <x v="33"/>
    <x v="33"/>
    <x v="0"/>
    <x v="0"/>
    <x v="172"/>
    <n v="22105"/>
    <x v="192"/>
    <x v="231"/>
    <n v="28"/>
    <n v="528"/>
  </r>
  <r>
    <n v="2457"/>
    <x v="0"/>
    <x v="33"/>
    <x v="33"/>
    <x v="0"/>
    <x v="0"/>
    <x v="167"/>
    <n v="22154"/>
    <x v="44"/>
    <x v="39"/>
    <n v="31"/>
    <n v="689"/>
  </r>
  <r>
    <n v="2458"/>
    <x v="0"/>
    <x v="33"/>
    <x v="33"/>
    <x v="0"/>
    <x v="0"/>
    <x v="142"/>
    <n v="22049"/>
    <x v="131"/>
    <x v="258"/>
    <n v="17"/>
    <n v="586"/>
  </r>
  <r>
    <n v="2459"/>
    <x v="0"/>
    <x v="33"/>
    <x v="33"/>
    <x v="0"/>
    <x v="0"/>
    <x v="173"/>
    <n v="22133"/>
    <x v="72"/>
    <x v="182"/>
    <n v="14"/>
    <n v="538"/>
  </r>
  <r>
    <n v="2460"/>
    <x v="0"/>
    <x v="33"/>
    <x v="33"/>
    <x v="0"/>
    <x v="0"/>
    <x v="174"/>
    <n v="22168"/>
    <x v="45"/>
    <x v="13"/>
    <n v="9"/>
    <n v="750"/>
  </r>
  <r>
    <n v="2461"/>
    <x v="0"/>
    <x v="33"/>
    <x v="33"/>
    <x v="0"/>
    <x v="0"/>
    <x v="166"/>
    <n v="22119"/>
    <x v="132"/>
    <x v="136"/>
    <n v="9"/>
    <n v="818"/>
  </r>
  <r>
    <n v="2462"/>
    <x v="0"/>
    <x v="33"/>
    <x v="33"/>
    <x v="0"/>
    <x v="0"/>
    <x v="4"/>
    <n v="22014"/>
    <x v="13"/>
    <x v="32"/>
    <n v="7"/>
    <n v="700"/>
  </r>
  <r>
    <n v="2463"/>
    <x v="0"/>
    <x v="33"/>
    <x v="33"/>
    <x v="0"/>
    <x v="0"/>
    <x v="175"/>
    <n v="22140"/>
    <x v="53"/>
    <x v="29"/>
    <n v="5"/>
    <n v="714"/>
  </r>
  <r>
    <n v="2464"/>
    <x v="0"/>
    <x v="33"/>
    <x v="33"/>
    <x v="0"/>
    <x v="0"/>
    <x v="168"/>
    <n v="22056"/>
    <x v="77"/>
    <x v="29"/>
    <n v="5"/>
    <n v="714"/>
  </r>
  <r>
    <n v="2465"/>
    <x v="0"/>
    <x v="33"/>
    <x v="33"/>
    <x v="0"/>
    <x v="0"/>
    <x v="176"/>
    <n v="22063"/>
    <x v="29"/>
    <x v="49"/>
    <n v="3"/>
    <n v="500"/>
  </r>
  <r>
    <n v="2466"/>
    <x v="0"/>
    <x v="33"/>
    <x v="33"/>
    <x v="0"/>
    <x v="0"/>
    <x v="180"/>
    <n v="22021"/>
    <x v="33"/>
    <x v="33"/>
    <n v="3"/>
    <n v="600"/>
  </r>
  <r>
    <n v="2467"/>
    <x v="0"/>
    <x v="33"/>
    <x v="33"/>
    <x v="0"/>
    <x v="0"/>
    <x v="87"/>
    <n v="22028"/>
    <x v="33"/>
    <x v="33"/>
    <n v="2"/>
    <n v="400"/>
  </r>
  <r>
    <n v="2468"/>
    <x v="0"/>
    <x v="33"/>
    <x v="33"/>
    <x v="0"/>
    <x v="0"/>
    <x v="177"/>
    <n v="22091"/>
    <x v="33"/>
    <x v="33"/>
    <n v="3"/>
    <n v="600"/>
  </r>
  <r>
    <n v="2469"/>
    <x v="0"/>
    <x v="33"/>
    <x v="33"/>
    <x v="0"/>
    <x v="0"/>
    <x v="169"/>
    <n v="22126"/>
    <x v="33"/>
    <x v="33"/>
    <n v="3"/>
    <n v="600"/>
  </r>
  <r>
    <n v="2470"/>
    <x v="0"/>
    <x v="33"/>
    <x v="33"/>
    <x v="0"/>
    <x v="0"/>
    <x v="179"/>
    <n v="22043"/>
    <x v="30"/>
    <x v="30"/>
    <n v="2"/>
    <n v="667"/>
  </r>
  <r>
    <n v="2471"/>
    <x v="0"/>
    <x v="33"/>
    <x v="33"/>
    <x v="0"/>
    <x v="0"/>
    <x v="170"/>
    <n v="22077"/>
    <x v="30"/>
    <x v="30"/>
    <n v="2"/>
    <n v="667"/>
  </r>
  <r>
    <n v="2472"/>
    <x v="0"/>
    <x v="33"/>
    <x v="33"/>
    <x v="0"/>
    <x v="0"/>
    <x v="178"/>
    <n v="22036"/>
    <x v="34"/>
    <x v="34"/>
    <n v="1"/>
    <n v="500"/>
  </r>
  <r>
    <n v="2473"/>
    <x v="0"/>
    <x v="33"/>
    <x v="33"/>
    <x v="0"/>
    <x v="0"/>
    <x v="6"/>
    <n v="22161"/>
    <x v="48"/>
    <x v="47"/>
    <n v="1"/>
    <n v="1000"/>
  </r>
  <r>
    <n v="2474"/>
    <x v="0"/>
    <x v="33"/>
    <x v="33"/>
    <x v="1"/>
    <x v="1"/>
    <x v="10"/>
    <n v="14161"/>
    <x v="428"/>
    <x v="447"/>
    <n v="106200"/>
    <n v="1496"/>
  </r>
  <r>
    <n v="2475"/>
    <x v="0"/>
    <x v="33"/>
    <x v="33"/>
    <x v="1"/>
    <x v="1"/>
    <x v="8"/>
    <n v="14119"/>
    <x v="429"/>
    <x v="448"/>
    <n v="86107"/>
    <n v="1598"/>
  </r>
  <r>
    <n v="2476"/>
    <x v="0"/>
    <x v="33"/>
    <x v="33"/>
    <x v="1"/>
    <x v="1"/>
    <x v="7"/>
    <n v="14147"/>
    <x v="430"/>
    <x v="449"/>
    <n v="20885"/>
    <n v="1175"/>
  </r>
  <r>
    <n v="2477"/>
    <x v="0"/>
    <x v="33"/>
    <x v="33"/>
    <x v="1"/>
    <x v="1"/>
    <x v="107"/>
    <n v="14056"/>
    <x v="431"/>
    <x v="450"/>
    <n v="25800"/>
    <n v="1200"/>
  </r>
  <r>
    <n v="2478"/>
    <x v="0"/>
    <x v="33"/>
    <x v="33"/>
    <x v="1"/>
    <x v="1"/>
    <x v="70"/>
    <n v="14007"/>
    <x v="189"/>
    <x v="234"/>
    <n v="8100"/>
    <n v="1000"/>
  </r>
  <r>
    <n v="2479"/>
    <x v="0"/>
    <x v="33"/>
    <x v="33"/>
    <x v="1"/>
    <x v="1"/>
    <x v="143"/>
    <n v="14042"/>
    <x v="157"/>
    <x v="209"/>
    <n v="8400"/>
    <n v="1400"/>
  </r>
  <r>
    <n v="2480"/>
    <x v="0"/>
    <x v="33"/>
    <x v="33"/>
    <x v="1"/>
    <x v="1"/>
    <x v="9"/>
    <n v="14105"/>
    <x v="432"/>
    <x v="368"/>
    <n v="3393"/>
    <n v="870"/>
  </r>
  <r>
    <n v="2481"/>
    <x v="0"/>
    <x v="33"/>
    <x v="33"/>
    <x v="1"/>
    <x v="1"/>
    <x v="13"/>
    <n v="14098"/>
    <x v="158"/>
    <x v="451"/>
    <n v="3700"/>
    <n v="1000"/>
  </r>
  <r>
    <n v="2482"/>
    <x v="0"/>
    <x v="33"/>
    <x v="33"/>
    <x v="1"/>
    <x v="1"/>
    <x v="90"/>
    <n v="14182"/>
    <x v="57"/>
    <x v="153"/>
    <n v="990"/>
    <n v="1100"/>
  </r>
  <r>
    <n v="2483"/>
    <x v="0"/>
    <x v="33"/>
    <x v="33"/>
    <x v="1"/>
    <x v="1"/>
    <x v="46"/>
    <n v="14140"/>
    <x v="433"/>
    <x v="452"/>
    <n v="336"/>
    <n v="800"/>
  </r>
  <r>
    <n v="2484"/>
    <x v="0"/>
    <x v="33"/>
    <x v="33"/>
    <x v="1"/>
    <x v="1"/>
    <x v="12"/>
    <n v="14014"/>
    <x v="23"/>
    <x v="71"/>
    <n v="89"/>
    <n v="1047"/>
  </r>
  <r>
    <n v="2485"/>
    <x v="0"/>
    <x v="33"/>
    <x v="33"/>
    <x v="2"/>
    <x v="2"/>
    <x v="24"/>
    <n v="18140"/>
    <x v="131"/>
    <x v="72"/>
    <n v="20"/>
    <n v="667"/>
  </r>
  <r>
    <n v="2486"/>
    <x v="0"/>
    <x v="33"/>
    <x v="33"/>
    <x v="2"/>
    <x v="2"/>
    <x v="17"/>
    <n v="18042"/>
    <x v="72"/>
    <x v="78"/>
    <n v="16"/>
    <n v="640"/>
  </r>
  <r>
    <n v="2487"/>
    <x v="0"/>
    <x v="33"/>
    <x v="33"/>
    <x v="2"/>
    <x v="2"/>
    <x v="12"/>
    <n v="18021"/>
    <x v="92"/>
    <x v="99"/>
    <n v="12"/>
    <n v="545"/>
  </r>
  <r>
    <n v="2488"/>
    <x v="0"/>
    <x v="33"/>
    <x v="33"/>
    <x v="2"/>
    <x v="2"/>
    <x v="43"/>
    <n v="18028"/>
    <x v="45"/>
    <x v="79"/>
    <n v="9"/>
    <n v="563"/>
  </r>
  <r>
    <n v="2489"/>
    <x v="0"/>
    <x v="33"/>
    <x v="33"/>
    <x v="2"/>
    <x v="2"/>
    <x v="19"/>
    <n v="18133"/>
    <x v="45"/>
    <x v="79"/>
    <n v="11"/>
    <n v="687"/>
  </r>
  <r>
    <n v="2490"/>
    <x v="0"/>
    <x v="33"/>
    <x v="33"/>
    <x v="2"/>
    <x v="2"/>
    <x v="76"/>
    <n v="18154"/>
    <x v="45"/>
    <x v="100"/>
    <n v="10"/>
    <n v="588"/>
  </r>
  <r>
    <n v="2491"/>
    <x v="0"/>
    <x v="33"/>
    <x v="33"/>
    <x v="2"/>
    <x v="2"/>
    <x v="71"/>
    <n v="18098"/>
    <x v="31"/>
    <x v="135"/>
    <n v="7"/>
    <n v="538"/>
  </r>
  <r>
    <n v="2492"/>
    <x v="0"/>
    <x v="33"/>
    <x v="33"/>
    <x v="2"/>
    <x v="2"/>
    <x v="23"/>
    <n v="18126"/>
    <x v="31"/>
    <x v="32"/>
    <n v="6"/>
    <n v="600"/>
  </r>
  <r>
    <n v="2493"/>
    <x v="0"/>
    <x v="33"/>
    <x v="33"/>
    <x v="2"/>
    <x v="2"/>
    <x v="72"/>
    <n v="18063"/>
    <x v="32"/>
    <x v="67"/>
    <n v="5"/>
    <n v="625"/>
  </r>
  <r>
    <n v="2494"/>
    <x v="0"/>
    <x v="33"/>
    <x v="33"/>
    <x v="2"/>
    <x v="2"/>
    <x v="75"/>
    <n v="18014"/>
    <x v="33"/>
    <x v="46"/>
    <n v="2"/>
    <n v="500"/>
  </r>
  <r>
    <n v="2495"/>
    <x v="0"/>
    <x v="33"/>
    <x v="33"/>
    <x v="2"/>
    <x v="2"/>
    <x v="73"/>
    <n v="18077"/>
    <x v="33"/>
    <x v="46"/>
    <n v="2"/>
    <n v="500"/>
  </r>
  <r>
    <n v="2496"/>
    <x v="0"/>
    <x v="33"/>
    <x v="33"/>
    <x v="3"/>
    <x v="3"/>
    <x v="28"/>
    <n v="30028"/>
    <x v="125"/>
    <x v="139"/>
    <n v="25"/>
    <n v="715"/>
  </r>
  <r>
    <n v="2497"/>
    <x v="0"/>
    <x v="33"/>
    <x v="33"/>
    <x v="3"/>
    <x v="3"/>
    <x v="29"/>
    <n v="30015"/>
    <x v="95"/>
    <x v="31"/>
    <n v="11"/>
    <n v="733"/>
  </r>
  <r>
    <n v="2498"/>
    <x v="0"/>
    <x v="33"/>
    <x v="33"/>
    <x v="3"/>
    <x v="3"/>
    <x v="11"/>
    <n v="30008"/>
    <x v="77"/>
    <x v="33"/>
    <n v="4"/>
    <n v="800"/>
  </r>
  <r>
    <n v="2499"/>
    <x v="0"/>
    <x v="33"/>
    <x v="33"/>
    <x v="4"/>
    <x v="4"/>
    <x v="33"/>
    <n v="34056"/>
    <x v="125"/>
    <x v="107"/>
    <n v="47"/>
    <n v="1382"/>
  </r>
  <r>
    <n v="2500"/>
    <x v="0"/>
    <x v="33"/>
    <x v="33"/>
    <x v="4"/>
    <x v="4"/>
    <x v="30"/>
    <n v="34049"/>
    <x v="72"/>
    <x v="98"/>
    <n v="35"/>
    <n v="1522"/>
  </r>
  <r>
    <n v="2501"/>
    <x v="0"/>
    <x v="33"/>
    <x v="33"/>
    <x v="4"/>
    <x v="4"/>
    <x v="81"/>
    <n v="34042"/>
    <x v="45"/>
    <x v="31"/>
    <n v="23"/>
    <n v="1533"/>
  </r>
  <r>
    <n v="2502"/>
    <x v="0"/>
    <x v="33"/>
    <x v="33"/>
    <x v="4"/>
    <x v="4"/>
    <x v="32"/>
    <n v="34014"/>
    <x v="31"/>
    <x v="136"/>
    <n v="17"/>
    <n v="1545"/>
  </r>
  <r>
    <n v="2503"/>
    <x v="0"/>
    <x v="33"/>
    <x v="33"/>
    <x v="4"/>
    <x v="4"/>
    <x v="34"/>
    <n v="34035"/>
    <x v="13"/>
    <x v="52"/>
    <n v="11"/>
    <n v="1222"/>
  </r>
  <r>
    <n v="2504"/>
    <x v="0"/>
    <x v="33"/>
    <x v="33"/>
    <x v="4"/>
    <x v="4"/>
    <x v="31"/>
    <n v="34021"/>
    <x v="32"/>
    <x v="67"/>
    <n v="12"/>
    <n v="1500"/>
  </r>
  <r>
    <n v="2505"/>
    <x v="0"/>
    <x v="33"/>
    <x v="33"/>
    <x v="6"/>
    <x v="6"/>
    <x v="182"/>
    <n v="54091"/>
    <x v="273"/>
    <x v="96"/>
    <n v="51"/>
    <n v="823"/>
  </r>
  <r>
    <n v="2506"/>
    <x v="0"/>
    <x v="33"/>
    <x v="33"/>
    <x v="6"/>
    <x v="6"/>
    <x v="40"/>
    <n v="54021"/>
    <x v="127"/>
    <x v="95"/>
    <n v="39"/>
    <n v="639"/>
  </r>
  <r>
    <n v="2507"/>
    <x v="0"/>
    <x v="33"/>
    <x v="33"/>
    <x v="6"/>
    <x v="6"/>
    <x v="41"/>
    <n v="54098"/>
    <x v="118"/>
    <x v="126"/>
    <n v="34"/>
    <n v="723"/>
  </r>
  <r>
    <n v="2508"/>
    <x v="0"/>
    <x v="33"/>
    <x v="33"/>
    <x v="6"/>
    <x v="6"/>
    <x v="39"/>
    <n v="54007"/>
    <x v="72"/>
    <x v="182"/>
    <n v="24"/>
    <n v="923"/>
  </r>
  <r>
    <n v="2509"/>
    <x v="0"/>
    <x v="33"/>
    <x v="33"/>
    <x v="6"/>
    <x v="6"/>
    <x v="183"/>
    <n v="54070"/>
    <x v="72"/>
    <x v="157"/>
    <n v="24"/>
    <n v="889"/>
  </r>
  <r>
    <n v="2510"/>
    <x v="0"/>
    <x v="33"/>
    <x v="33"/>
    <x v="6"/>
    <x v="6"/>
    <x v="43"/>
    <n v="54035"/>
    <x v="76"/>
    <x v="78"/>
    <n v="21"/>
    <n v="840"/>
  </r>
  <r>
    <n v="2511"/>
    <x v="0"/>
    <x v="33"/>
    <x v="33"/>
    <x v="6"/>
    <x v="6"/>
    <x v="114"/>
    <n v="54014"/>
    <x v="94"/>
    <x v="80"/>
    <n v="15"/>
    <n v="750"/>
  </r>
  <r>
    <n v="2512"/>
    <x v="0"/>
    <x v="33"/>
    <x v="33"/>
    <x v="6"/>
    <x v="6"/>
    <x v="184"/>
    <n v="54084"/>
    <x v="94"/>
    <x v="112"/>
    <n v="15"/>
    <n v="789"/>
  </r>
  <r>
    <n v="2513"/>
    <x v="0"/>
    <x v="33"/>
    <x v="33"/>
    <x v="6"/>
    <x v="6"/>
    <x v="42"/>
    <n v="54105"/>
    <x v="94"/>
    <x v="40"/>
    <n v="15"/>
    <n v="714"/>
  </r>
  <r>
    <n v="2514"/>
    <x v="0"/>
    <x v="33"/>
    <x v="33"/>
    <x v="6"/>
    <x v="6"/>
    <x v="185"/>
    <n v="54042"/>
    <x v="31"/>
    <x v="77"/>
    <n v="11"/>
    <n v="786"/>
  </r>
  <r>
    <n v="2515"/>
    <x v="0"/>
    <x v="33"/>
    <x v="33"/>
    <x v="6"/>
    <x v="6"/>
    <x v="116"/>
    <n v="54063"/>
    <x v="31"/>
    <x v="77"/>
    <n v="11"/>
    <n v="786"/>
  </r>
  <r>
    <n v="2516"/>
    <x v="0"/>
    <x v="33"/>
    <x v="33"/>
    <x v="6"/>
    <x v="6"/>
    <x v="88"/>
    <n v="54077"/>
    <x v="31"/>
    <x v="77"/>
    <n v="10"/>
    <n v="714"/>
  </r>
  <r>
    <n v="2517"/>
    <x v="0"/>
    <x v="33"/>
    <x v="33"/>
    <x v="11"/>
    <x v="11"/>
    <x v="106"/>
    <n v="66112"/>
    <x v="32"/>
    <x v="32"/>
    <n v="13"/>
    <n v="1300"/>
  </r>
  <r>
    <n v="2518"/>
    <x v="0"/>
    <x v="33"/>
    <x v="33"/>
    <x v="11"/>
    <x v="11"/>
    <x v="187"/>
    <n v="66161"/>
    <x v="29"/>
    <x v="49"/>
    <n v="5"/>
    <n v="833"/>
  </r>
  <r>
    <n v="2519"/>
    <x v="0"/>
    <x v="33"/>
    <x v="33"/>
    <x v="11"/>
    <x v="11"/>
    <x v="171"/>
    <n v="66056"/>
    <x v="78"/>
    <x v="49"/>
    <n v="7"/>
    <n v="1167"/>
  </r>
  <r>
    <n v="2520"/>
    <x v="0"/>
    <x v="33"/>
    <x v="33"/>
    <x v="11"/>
    <x v="11"/>
    <x v="140"/>
    <n v="66126"/>
    <x v="33"/>
    <x v="33"/>
    <n v="6"/>
    <n v="1200"/>
  </r>
  <r>
    <n v="2521"/>
    <x v="0"/>
    <x v="33"/>
    <x v="33"/>
    <x v="11"/>
    <x v="11"/>
    <x v="97"/>
    <n v="66147"/>
    <x v="34"/>
    <x v="34"/>
    <n v="3"/>
    <n v="1500"/>
  </r>
  <r>
    <n v="2522"/>
    <x v="0"/>
    <x v="33"/>
    <x v="33"/>
    <x v="11"/>
    <x v="11"/>
    <x v="93"/>
    <n v="66035"/>
    <x v="48"/>
    <x v="47"/>
    <n v="1"/>
    <n v="1000"/>
  </r>
  <r>
    <n v="2523"/>
    <x v="0"/>
    <x v="33"/>
    <x v="33"/>
    <x v="7"/>
    <x v="7"/>
    <x v="45"/>
    <n v="82035"/>
    <x v="320"/>
    <x v="17"/>
    <n v="570"/>
    <n v="2192"/>
  </r>
  <r>
    <n v="2524"/>
    <x v="0"/>
    <x v="33"/>
    <x v="33"/>
    <x v="7"/>
    <x v="7"/>
    <x v="44"/>
    <n v="82049"/>
    <x v="21"/>
    <x v="23"/>
    <n v="100"/>
    <n v="1000"/>
  </r>
  <r>
    <n v="2525"/>
    <x v="0"/>
    <x v="33"/>
    <x v="33"/>
    <x v="9"/>
    <x v="9"/>
    <x v="55"/>
    <n v="90007"/>
    <x v="434"/>
    <x v="103"/>
    <n v="196"/>
    <n v="957"/>
  </r>
  <r>
    <n v="2526"/>
    <x v="0"/>
    <x v="33"/>
    <x v="33"/>
    <x v="9"/>
    <x v="9"/>
    <x v="83"/>
    <n v="90021"/>
    <x v="32"/>
    <x v="52"/>
    <n v="9"/>
    <n v="1000"/>
  </r>
  <r>
    <n v="2527"/>
    <x v="0"/>
    <x v="33"/>
    <x v="33"/>
    <x v="9"/>
    <x v="9"/>
    <x v="68"/>
    <n v="90105"/>
    <x v="78"/>
    <x v="33"/>
    <n v="4"/>
    <n v="800"/>
  </r>
  <r>
    <n v="2528"/>
    <x v="0"/>
    <x v="33"/>
    <x v="33"/>
    <x v="9"/>
    <x v="9"/>
    <x v="69"/>
    <n v="90035"/>
    <x v="47"/>
    <x v="46"/>
    <n v="4"/>
    <n v="1000"/>
  </r>
  <r>
    <n v="2529"/>
    <x v="0"/>
    <x v="33"/>
    <x v="33"/>
    <x v="9"/>
    <x v="9"/>
    <x v="65"/>
    <n v="90014"/>
    <x v="30"/>
    <x v="30"/>
    <n v="3"/>
    <n v="1000"/>
  </r>
  <r>
    <n v="2530"/>
    <x v="0"/>
    <x v="33"/>
    <x v="33"/>
    <x v="9"/>
    <x v="9"/>
    <x v="66"/>
    <n v="90056"/>
    <x v="34"/>
    <x v="34"/>
    <n v="2"/>
    <n v="1000"/>
  </r>
  <r>
    <n v="2531"/>
    <x v="0"/>
    <x v="33"/>
    <x v="33"/>
    <x v="9"/>
    <x v="9"/>
    <x v="67"/>
    <n v="90070"/>
    <x v="48"/>
    <x v="47"/>
    <n v="1"/>
    <n v="1000"/>
  </r>
  <r>
    <n v="2532"/>
    <x v="0"/>
    <x v="33"/>
    <x v="33"/>
    <x v="9"/>
    <x v="9"/>
    <x v="64"/>
    <n v="90112"/>
    <x v="48"/>
    <x v="47"/>
    <n v="1"/>
    <n v="1000"/>
  </r>
  <r>
    <n v="2533"/>
    <x v="0"/>
    <x v="34"/>
    <x v="34"/>
    <x v="0"/>
    <x v="0"/>
    <x v="88"/>
    <n v="22084"/>
    <x v="401"/>
    <x v="453"/>
    <n v="364"/>
    <n v="700"/>
  </r>
  <r>
    <n v="2534"/>
    <x v="0"/>
    <x v="34"/>
    <x v="34"/>
    <x v="0"/>
    <x v="0"/>
    <x v="167"/>
    <n v="22154"/>
    <x v="27"/>
    <x v="225"/>
    <n v="45"/>
    <n v="750"/>
  </r>
  <r>
    <n v="2535"/>
    <x v="0"/>
    <x v="34"/>
    <x v="34"/>
    <x v="0"/>
    <x v="0"/>
    <x v="173"/>
    <n v="22133"/>
    <x v="435"/>
    <x v="97"/>
    <n v="30"/>
    <n v="625"/>
  </r>
  <r>
    <n v="2536"/>
    <x v="0"/>
    <x v="34"/>
    <x v="34"/>
    <x v="0"/>
    <x v="0"/>
    <x v="172"/>
    <n v="22105"/>
    <x v="44"/>
    <x v="126"/>
    <n v="23"/>
    <n v="489"/>
  </r>
  <r>
    <n v="2537"/>
    <x v="0"/>
    <x v="34"/>
    <x v="34"/>
    <x v="0"/>
    <x v="0"/>
    <x v="142"/>
    <n v="22049"/>
    <x v="125"/>
    <x v="454"/>
    <n v="23"/>
    <n v="605"/>
  </r>
  <r>
    <n v="2538"/>
    <x v="0"/>
    <x v="34"/>
    <x v="34"/>
    <x v="0"/>
    <x v="0"/>
    <x v="174"/>
    <n v="22168"/>
    <x v="45"/>
    <x v="77"/>
    <n v="11"/>
    <n v="786"/>
  </r>
  <r>
    <n v="2539"/>
    <x v="0"/>
    <x v="34"/>
    <x v="34"/>
    <x v="0"/>
    <x v="0"/>
    <x v="4"/>
    <n v="22014"/>
    <x v="107"/>
    <x v="77"/>
    <n v="9"/>
    <n v="643"/>
  </r>
  <r>
    <n v="2540"/>
    <x v="0"/>
    <x v="34"/>
    <x v="34"/>
    <x v="0"/>
    <x v="0"/>
    <x v="166"/>
    <n v="22119"/>
    <x v="132"/>
    <x v="135"/>
    <n v="10"/>
    <n v="769"/>
  </r>
  <r>
    <n v="2541"/>
    <x v="0"/>
    <x v="34"/>
    <x v="34"/>
    <x v="0"/>
    <x v="0"/>
    <x v="168"/>
    <n v="22056"/>
    <x v="31"/>
    <x v="135"/>
    <n v="9"/>
    <n v="692"/>
  </r>
  <r>
    <n v="2542"/>
    <x v="0"/>
    <x v="34"/>
    <x v="34"/>
    <x v="0"/>
    <x v="0"/>
    <x v="176"/>
    <n v="22063"/>
    <x v="32"/>
    <x v="32"/>
    <n v="6"/>
    <n v="600"/>
  </r>
  <r>
    <n v="2543"/>
    <x v="0"/>
    <x v="34"/>
    <x v="34"/>
    <x v="0"/>
    <x v="0"/>
    <x v="175"/>
    <n v="22140"/>
    <x v="53"/>
    <x v="29"/>
    <n v="5"/>
    <n v="714"/>
  </r>
  <r>
    <n v="2544"/>
    <x v="0"/>
    <x v="34"/>
    <x v="34"/>
    <x v="0"/>
    <x v="0"/>
    <x v="87"/>
    <n v="22028"/>
    <x v="33"/>
    <x v="33"/>
    <n v="3"/>
    <n v="460"/>
  </r>
  <r>
    <n v="2545"/>
    <x v="0"/>
    <x v="34"/>
    <x v="34"/>
    <x v="0"/>
    <x v="0"/>
    <x v="170"/>
    <n v="22077"/>
    <x v="30"/>
    <x v="30"/>
    <n v="2"/>
    <n v="667"/>
  </r>
  <r>
    <n v="2546"/>
    <x v="0"/>
    <x v="34"/>
    <x v="34"/>
    <x v="0"/>
    <x v="0"/>
    <x v="169"/>
    <n v="22126"/>
    <x v="30"/>
    <x v="30"/>
    <n v="2"/>
    <n v="667"/>
  </r>
  <r>
    <n v="2547"/>
    <x v="0"/>
    <x v="34"/>
    <x v="34"/>
    <x v="0"/>
    <x v="0"/>
    <x v="6"/>
    <n v="22161"/>
    <x v="48"/>
    <x v="47"/>
    <n v="1"/>
    <n v="1000"/>
  </r>
  <r>
    <n v="2548"/>
    <x v="0"/>
    <x v="34"/>
    <x v="34"/>
    <x v="1"/>
    <x v="1"/>
    <x v="10"/>
    <n v="14161"/>
    <x v="415"/>
    <x v="434"/>
    <n v="175400"/>
    <n v="1846"/>
  </r>
  <r>
    <n v="2549"/>
    <x v="0"/>
    <x v="34"/>
    <x v="34"/>
    <x v="1"/>
    <x v="1"/>
    <x v="8"/>
    <n v="14119"/>
    <x v="436"/>
    <x v="455"/>
    <n v="130000"/>
    <n v="1529"/>
  </r>
  <r>
    <n v="2550"/>
    <x v="0"/>
    <x v="34"/>
    <x v="34"/>
    <x v="1"/>
    <x v="1"/>
    <x v="107"/>
    <n v="14056"/>
    <x v="375"/>
    <x v="360"/>
    <n v="49300"/>
    <n v="1700"/>
  </r>
  <r>
    <n v="2551"/>
    <x v="0"/>
    <x v="34"/>
    <x v="34"/>
    <x v="1"/>
    <x v="1"/>
    <x v="7"/>
    <n v="14147"/>
    <x v="437"/>
    <x v="456"/>
    <n v="18000"/>
    <n v="900"/>
  </r>
  <r>
    <n v="2552"/>
    <x v="0"/>
    <x v="34"/>
    <x v="34"/>
    <x v="1"/>
    <x v="1"/>
    <x v="143"/>
    <n v="14042"/>
    <x v="438"/>
    <x v="457"/>
    <n v="20000"/>
    <n v="1143"/>
  </r>
  <r>
    <n v="2553"/>
    <x v="0"/>
    <x v="34"/>
    <x v="34"/>
    <x v="1"/>
    <x v="1"/>
    <x v="13"/>
    <n v="14098"/>
    <x v="439"/>
    <x v="458"/>
    <n v="17020"/>
    <n v="1199"/>
  </r>
  <r>
    <n v="2554"/>
    <x v="0"/>
    <x v="34"/>
    <x v="34"/>
    <x v="1"/>
    <x v="1"/>
    <x v="70"/>
    <n v="14007"/>
    <x v="54"/>
    <x v="54"/>
    <n v="11400"/>
    <n v="1200"/>
  </r>
  <r>
    <n v="2555"/>
    <x v="0"/>
    <x v="34"/>
    <x v="34"/>
    <x v="1"/>
    <x v="1"/>
    <x v="9"/>
    <n v="14105"/>
    <x v="440"/>
    <x v="301"/>
    <n v="5590"/>
    <n v="1300"/>
  </r>
  <r>
    <n v="2556"/>
    <x v="0"/>
    <x v="34"/>
    <x v="34"/>
    <x v="1"/>
    <x v="1"/>
    <x v="90"/>
    <n v="14182"/>
    <x v="74"/>
    <x v="82"/>
    <n v="2520"/>
    <n v="1400"/>
  </r>
  <r>
    <n v="2557"/>
    <x v="0"/>
    <x v="34"/>
    <x v="34"/>
    <x v="1"/>
    <x v="1"/>
    <x v="151"/>
    <n v="14077"/>
    <x v="180"/>
    <x v="207"/>
    <n v="780"/>
    <n v="1300"/>
  </r>
  <r>
    <n v="2558"/>
    <x v="0"/>
    <x v="34"/>
    <x v="34"/>
    <x v="1"/>
    <x v="1"/>
    <x v="131"/>
    <n v="14126"/>
    <x v="18"/>
    <x v="18"/>
    <n v="260"/>
    <n v="1300"/>
  </r>
  <r>
    <n v="2559"/>
    <x v="0"/>
    <x v="34"/>
    <x v="34"/>
    <x v="1"/>
    <x v="1"/>
    <x v="12"/>
    <n v="14014"/>
    <x v="23"/>
    <x v="23"/>
    <n v="100"/>
    <n v="1000"/>
  </r>
  <r>
    <n v="2560"/>
    <x v="0"/>
    <x v="34"/>
    <x v="34"/>
    <x v="1"/>
    <x v="1"/>
    <x v="42"/>
    <n v="14133"/>
    <x v="23"/>
    <x v="23"/>
    <n v="130"/>
    <n v="1300"/>
  </r>
  <r>
    <n v="2561"/>
    <x v="0"/>
    <x v="34"/>
    <x v="34"/>
    <x v="2"/>
    <x v="2"/>
    <x v="12"/>
    <n v="18021"/>
    <x v="32"/>
    <x v="67"/>
    <n v="5"/>
    <n v="625"/>
  </r>
  <r>
    <n v="2562"/>
    <x v="0"/>
    <x v="34"/>
    <x v="34"/>
    <x v="2"/>
    <x v="2"/>
    <x v="43"/>
    <n v="18028"/>
    <x v="32"/>
    <x v="52"/>
    <n v="7"/>
    <n v="778"/>
  </r>
  <r>
    <n v="2563"/>
    <x v="0"/>
    <x v="34"/>
    <x v="34"/>
    <x v="2"/>
    <x v="2"/>
    <x v="17"/>
    <n v="18042"/>
    <x v="32"/>
    <x v="52"/>
    <n v="6"/>
    <n v="667"/>
  </r>
  <r>
    <n v="2564"/>
    <x v="0"/>
    <x v="34"/>
    <x v="34"/>
    <x v="2"/>
    <x v="2"/>
    <x v="24"/>
    <n v="18140"/>
    <x v="32"/>
    <x v="32"/>
    <n v="6"/>
    <n v="600"/>
  </r>
  <r>
    <n v="2565"/>
    <x v="0"/>
    <x v="34"/>
    <x v="34"/>
    <x v="2"/>
    <x v="2"/>
    <x v="76"/>
    <n v="18154"/>
    <x v="32"/>
    <x v="52"/>
    <n v="6"/>
    <n v="667"/>
  </r>
  <r>
    <n v="2566"/>
    <x v="0"/>
    <x v="34"/>
    <x v="34"/>
    <x v="2"/>
    <x v="2"/>
    <x v="75"/>
    <n v="18014"/>
    <x v="33"/>
    <x v="33"/>
    <n v="3"/>
    <n v="600"/>
  </r>
  <r>
    <n v="2567"/>
    <x v="0"/>
    <x v="34"/>
    <x v="34"/>
    <x v="2"/>
    <x v="2"/>
    <x v="72"/>
    <n v="18063"/>
    <x v="33"/>
    <x v="33"/>
    <n v="3"/>
    <n v="600"/>
  </r>
  <r>
    <n v="2568"/>
    <x v="0"/>
    <x v="34"/>
    <x v="34"/>
    <x v="2"/>
    <x v="2"/>
    <x v="73"/>
    <n v="18077"/>
    <x v="33"/>
    <x v="46"/>
    <n v="3"/>
    <n v="750"/>
  </r>
  <r>
    <n v="2569"/>
    <x v="0"/>
    <x v="34"/>
    <x v="34"/>
    <x v="2"/>
    <x v="2"/>
    <x v="71"/>
    <n v="18098"/>
    <x v="33"/>
    <x v="46"/>
    <n v="3"/>
    <n v="750"/>
  </r>
  <r>
    <n v="2570"/>
    <x v="0"/>
    <x v="34"/>
    <x v="34"/>
    <x v="2"/>
    <x v="2"/>
    <x v="23"/>
    <n v="18126"/>
    <x v="33"/>
    <x v="33"/>
    <n v="3"/>
    <n v="600"/>
  </r>
  <r>
    <n v="2571"/>
    <x v="0"/>
    <x v="34"/>
    <x v="34"/>
    <x v="2"/>
    <x v="2"/>
    <x v="19"/>
    <n v="18133"/>
    <x v="33"/>
    <x v="46"/>
    <n v="2"/>
    <n v="500"/>
  </r>
  <r>
    <n v="2572"/>
    <x v="0"/>
    <x v="34"/>
    <x v="34"/>
    <x v="3"/>
    <x v="3"/>
    <x v="28"/>
    <n v="30028"/>
    <x v="93"/>
    <x v="99"/>
    <n v="15"/>
    <n v="682"/>
  </r>
  <r>
    <n v="2573"/>
    <x v="0"/>
    <x v="34"/>
    <x v="34"/>
    <x v="3"/>
    <x v="3"/>
    <x v="29"/>
    <n v="30015"/>
    <x v="32"/>
    <x v="67"/>
    <n v="6"/>
    <n v="750"/>
  </r>
  <r>
    <n v="2574"/>
    <x v="0"/>
    <x v="34"/>
    <x v="34"/>
    <x v="3"/>
    <x v="3"/>
    <x v="11"/>
    <n v="30008"/>
    <x v="29"/>
    <x v="29"/>
    <n v="3"/>
    <n v="429"/>
  </r>
  <r>
    <n v="2575"/>
    <x v="0"/>
    <x v="34"/>
    <x v="34"/>
    <x v="4"/>
    <x v="4"/>
    <x v="33"/>
    <n v="34056"/>
    <x v="5"/>
    <x v="80"/>
    <n v="20"/>
    <n v="1000"/>
  </r>
  <r>
    <n v="2576"/>
    <x v="0"/>
    <x v="34"/>
    <x v="34"/>
    <x v="4"/>
    <x v="4"/>
    <x v="30"/>
    <n v="34049"/>
    <x v="92"/>
    <x v="100"/>
    <n v="20"/>
    <n v="1176"/>
  </r>
  <r>
    <n v="2577"/>
    <x v="0"/>
    <x v="34"/>
    <x v="34"/>
    <x v="4"/>
    <x v="4"/>
    <x v="32"/>
    <n v="34014"/>
    <x v="31"/>
    <x v="32"/>
    <n v="10"/>
    <n v="1000"/>
  </r>
  <r>
    <n v="2578"/>
    <x v="0"/>
    <x v="34"/>
    <x v="34"/>
    <x v="4"/>
    <x v="4"/>
    <x v="81"/>
    <n v="34042"/>
    <x v="31"/>
    <x v="32"/>
    <n v="12"/>
    <n v="1200"/>
  </r>
  <r>
    <n v="2579"/>
    <x v="0"/>
    <x v="34"/>
    <x v="34"/>
    <x v="4"/>
    <x v="4"/>
    <x v="31"/>
    <n v="34021"/>
    <x v="13"/>
    <x v="67"/>
    <n v="8"/>
    <n v="1000"/>
  </r>
  <r>
    <n v="2580"/>
    <x v="0"/>
    <x v="34"/>
    <x v="34"/>
    <x v="4"/>
    <x v="4"/>
    <x v="34"/>
    <n v="34035"/>
    <x v="32"/>
    <x v="29"/>
    <n v="7"/>
    <n v="1000"/>
  </r>
  <r>
    <n v="2581"/>
    <x v="0"/>
    <x v="34"/>
    <x v="34"/>
    <x v="6"/>
    <x v="6"/>
    <x v="182"/>
    <n v="54091"/>
    <x v="318"/>
    <x v="95"/>
    <n v="46"/>
    <n v="754"/>
  </r>
  <r>
    <n v="2582"/>
    <x v="0"/>
    <x v="34"/>
    <x v="34"/>
    <x v="6"/>
    <x v="6"/>
    <x v="40"/>
    <n v="54021"/>
    <x v="225"/>
    <x v="219"/>
    <n v="39"/>
    <n v="696"/>
  </r>
  <r>
    <n v="2583"/>
    <x v="0"/>
    <x v="34"/>
    <x v="34"/>
    <x v="6"/>
    <x v="6"/>
    <x v="41"/>
    <n v="54098"/>
    <x v="118"/>
    <x v="126"/>
    <n v="32"/>
    <n v="681"/>
  </r>
  <r>
    <n v="2584"/>
    <x v="0"/>
    <x v="34"/>
    <x v="34"/>
    <x v="6"/>
    <x v="6"/>
    <x v="39"/>
    <n v="54007"/>
    <x v="131"/>
    <x v="102"/>
    <n v="25"/>
    <n v="781"/>
  </r>
  <r>
    <n v="2585"/>
    <x v="0"/>
    <x v="34"/>
    <x v="34"/>
    <x v="6"/>
    <x v="6"/>
    <x v="183"/>
    <n v="54070"/>
    <x v="131"/>
    <x v="102"/>
    <n v="25"/>
    <n v="781"/>
  </r>
  <r>
    <n v="2586"/>
    <x v="0"/>
    <x v="34"/>
    <x v="34"/>
    <x v="6"/>
    <x v="6"/>
    <x v="43"/>
    <n v="54035"/>
    <x v="72"/>
    <x v="202"/>
    <n v="22"/>
    <n v="786"/>
  </r>
  <r>
    <n v="2587"/>
    <x v="0"/>
    <x v="34"/>
    <x v="34"/>
    <x v="6"/>
    <x v="6"/>
    <x v="42"/>
    <n v="54105"/>
    <x v="92"/>
    <x v="98"/>
    <n v="16"/>
    <n v="696"/>
  </r>
  <r>
    <n v="2588"/>
    <x v="0"/>
    <x v="34"/>
    <x v="34"/>
    <x v="6"/>
    <x v="6"/>
    <x v="114"/>
    <n v="54014"/>
    <x v="94"/>
    <x v="80"/>
    <n v="16"/>
    <n v="800"/>
  </r>
  <r>
    <n v="2589"/>
    <x v="0"/>
    <x v="34"/>
    <x v="34"/>
    <x v="6"/>
    <x v="6"/>
    <x v="184"/>
    <n v="54084"/>
    <x v="94"/>
    <x v="112"/>
    <n v="16"/>
    <n v="842"/>
  </r>
  <r>
    <n v="2590"/>
    <x v="0"/>
    <x v="34"/>
    <x v="34"/>
    <x v="6"/>
    <x v="6"/>
    <x v="185"/>
    <n v="54042"/>
    <x v="31"/>
    <x v="77"/>
    <n v="11"/>
    <n v="786"/>
  </r>
  <r>
    <n v="2591"/>
    <x v="0"/>
    <x v="34"/>
    <x v="34"/>
    <x v="6"/>
    <x v="6"/>
    <x v="116"/>
    <n v="54063"/>
    <x v="31"/>
    <x v="77"/>
    <n v="11"/>
    <n v="786"/>
  </r>
  <r>
    <n v="2592"/>
    <x v="0"/>
    <x v="34"/>
    <x v="34"/>
    <x v="6"/>
    <x v="6"/>
    <x v="88"/>
    <n v="54077"/>
    <x v="31"/>
    <x v="77"/>
    <n v="11"/>
    <n v="786"/>
  </r>
  <r>
    <n v="2593"/>
    <x v="0"/>
    <x v="34"/>
    <x v="34"/>
    <x v="11"/>
    <x v="11"/>
    <x v="171"/>
    <n v="66056"/>
    <x v="77"/>
    <x v="49"/>
    <n v="7"/>
    <n v="1167"/>
  </r>
  <r>
    <n v="2594"/>
    <x v="0"/>
    <x v="34"/>
    <x v="34"/>
    <x v="11"/>
    <x v="11"/>
    <x v="106"/>
    <n v="66112"/>
    <x v="77"/>
    <x v="67"/>
    <n v="12"/>
    <n v="1500"/>
  </r>
  <r>
    <n v="2595"/>
    <x v="0"/>
    <x v="34"/>
    <x v="34"/>
    <x v="11"/>
    <x v="11"/>
    <x v="187"/>
    <n v="66161"/>
    <x v="30"/>
    <x v="30"/>
    <n v="2"/>
    <n v="667"/>
  </r>
  <r>
    <n v="2596"/>
    <x v="0"/>
    <x v="34"/>
    <x v="34"/>
    <x v="11"/>
    <x v="11"/>
    <x v="93"/>
    <n v="66035"/>
    <x v="34"/>
    <x v="34"/>
    <n v="3"/>
    <n v="1500"/>
  </r>
  <r>
    <n v="2597"/>
    <x v="0"/>
    <x v="34"/>
    <x v="34"/>
    <x v="11"/>
    <x v="11"/>
    <x v="140"/>
    <n v="66126"/>
    <x v="34"/>
    <x v="34"/>
    <n v="2"/>
    <n v="1000"/>
  </r>
  <r>
    <n v="2598"/>
    <x v="0"/>
    <x v="34"/>
    <x v="34"/>
    <x v="11"/>
    <x v="11"/>
    <x v="97"/>
    <n v="66147"/>
    <x v="34"/>
    <x v="34"/>
    <n v="3"/>
    <n v="1500"/>
  </r>
  <r>
    <n v="2599"/>
    <x v="0"/>
    <x v="34"/>
    <x v="34"/>
    <x v="7"/>
    <x v="7"/>
    <x v="45"/>
    <n v="82035"/>
    <x v="295"/>
    <x v="189"/>
    <n v="938"/>
    <n v="1996"/>
  </r>
  <r>
    <n v="2600"/>
    <x v="0"/>
    <x v="34"/>
    <x v="34"/>
    <x v="7"/>
    <x v="7"/>
    <x v="44"/>
    <n v="82049"/>
    <x v="20"/>
    <x v="131"/>
    <n v="102"/>
    <n v="850"/>
  </r>
  <r>
    <n v="2601"/>
    <x v="0"/>
    <x v="34"/>
    <x v="34"/>
    <x v="9"/>
    <x v="9"/>
    <x v="65"/>
    <n v="90014"/>
    <x v="441"/>
    <x v="459"/>
    <n v="262"/>
    <n v="1679"/>
  </r>
  <r>
    <n v="2602"/>
    <x v="0"/>
    <x v="34"/>
    <x v="34"/>
    <x v="9"/>
    <x v="9"/>
    <x v="55"/>
    <n v="90007"/>
    <x v="20"/>
    <x v="20"/>
    <n v="180"/>
    <n v="1200"/>
  </r>
  <r>
    <n v="2603"/>
    <x v="0"/>
    <x v="34"/>
    <x v="34"/>
    <x v="9"/>
    <x v="9"/>
    <x v="83"/>
    <n v="90021"/>
    <x v="32"/>
    <x v="32"/>
    <n v="12"/>
    <n v="1200"/>
  </r>
  <r>
    <n v="2604"/>
    <x v="0"/>
    <x v="34"/>
    <x v="34"/>
    <x v="9"/>
    <x v="9"/>
    <x v="69"/>
    <n v="90035"/>
    <x v="33"/>
    <x v="33"/>
    <n v="6"/>
    <n v="1200"/>
  </r>
  <r>
    <n v="2605"/>
    <x v="0"/>
    <x v="34"/>
    <x v="34"/>
    <x v="9"/>
    <x v="9"/>
    <x v="66"/>
    <n v="90056"/>
    <x v="30"/>
    <x v="30"/>
    <n v="4"/>
    <n v="1333"/>
  </r>
  <r>
    <n v="2606"/>
    <x v="0"/>
    <x v="34"/>
    <x v="34"/>
    <x v="9"/>
    <x v="9"/>
    <x v="68"/>
    <n v="90105"/>
    <x v="30"/>
    <x v="30"/>
    <n v="2"/>
    <n v="667"/>
  </r>
  <r>
    <n v="2607"/>
    <x v="0"/>
    <x v="34"/>
    <x v="34"/>
    <x v="9"/>
    <x v="9"/>
    <x v="67"/>
    <n v="90070"/>
    <x v="34"/>
    <x v="34"/>
    <n v="3"/>
    <n v="1500"/>
  </r>
  <r>
    <n v="2608"/>
    <x v="0"/>
    <x v="34"/>
    <x v="34"/>
    <x v="9"/>
    <x v="9"/>
    <x v="64"/>
    <n v="90112"/>
    <x v="48"/>
    <x v="47"/>
    <n v="1"/>
    <n v="1000"/>
  </r>
  <r>
    <n v="2609"/>
    <x v="0"/>
    <x v="35"/>
    <x v="35"/>
    <x v="0"/>
    <x v="0"/>
    <x v="88"/>
    <n v="22084"/>
    <x v="401"/>
    <x v="460"/>
    <n v="267"/>
    <n v="519"/>
  </r>
  <r>
    <n v="2610"/>
    <x v="0"/>
    <x v="35"/>
    <x v="35"/>
    <x v="0"/>
    <x v="0"/>
    <x v="167"/>
    <n v="22154"/>
    <x v="27"/>
    <x v="256"/>
    <n v="27"/>
    <n v="458"/>
  </r>
  <r>
    <n v="2611"/>
    <x v="0"/>
    <x v="35"/>
    <x v="35"/>
    <x v="0"/>
    <x v="0"/>
    <x v="173"/>
    <n v="22133"/>
    <x v="225"/>
    <x v="225"/>
    <n v="36"/>
    <n v="600"/>
  </r>
  <r>
    <n v="2612"/>
    <x v="0"/>
    <x v="35"/>
    <x v="35"/>
    <x v="0"/>
    <x v="0"/>
    <x v="142"/>
    <n v="22049"/>
    <x v="44"/>
    <x v="111"/>
    <n v="30"/>
    <n v="600"/>
  </r>
  <r>
    <n v="2613"/>
    <x v="0"/>
    <x v="35"/>
    <x v="35"/>
    <x v="0"/>
    <x v="0"/>
    <x v="172"/>
    <n v="22105"/>
    <x v="28"/>
    <x v="28"/>
    <n v="27"/>
    <n v="614"/>
  </r>
  <r>
    <n v="2614"/>
    <x v="0"/>
    <x v="35"/>
    <x v="35"/>
    <x v="0"/>
    <x v="0"/>
    <x v="174"/>
    <n v="22168"/>
    <x v="131"/>
    <x v="98"/>
    <n v="22"/>
    <n v="957"/>
  </r>
  <r>
    <n v="2615"/>
    <x v="0"/>
    <x v="35"/>
    <x v="35"/>
    <x v="0"/>
    <x v="0"/>
    <x v="166"/>
    <n v="22119"/>
    <x v="45"/>
    <x v="135"/>
    <n v="14"/>
    <n v="1077"/>
  </r>
  <r>
    <n v="2616"/>
    <x v="0"/>
    <x v="35"/>
    <x v="35"/>
    <x v="0"/>
    <x v="0"/>
    <x v="4"/>
    <n v="22014"/>
    <x v="107"/>
    <x v="31"/>
    <n v="5"/>
    <n v="333"/>
  </r>
  <r>
    <n v="2617"/>
    <x v="0"/>
    <x v="35"/>
    <x v="35"/>
    <x v="0"/>
    <x v="0"/>
    <x v="168"/>
    <n v="22056"/>
    <x v="31"/>
    <x v="77"/>
    <n v="4"/>
    <n v="286"/>
  </r>
  <r>
    <n v="2618"/>
    <x v="0"/>
    <x v="35"/>
    <x v="35"/>
    <x v="0"/>
    <x v="0"/>
    <x v="176"/>
    <n v="22063"/>
    <x v="170"/>
    <x v="77"/>
    <n v="8"/>
    <n v="571"/>
  </r>
  <r>
    <n v="2619"/>
    <x v="0"/>
    <x v="35"/>
    <x v="35"/>
    <x v="0"/>
    <x v="0"/>
    <x v="181"/>
    <n v="22112"/>
    <x v="128"/>
    <x v="135"/>
    <n v="8"/>
    <n v="615"/>
  </r>
  <r>
    <n v="2620"/>
    <x v="0"/>
    <x v="35"/>
    <x v="35"/>
    <x v="0"/>
    <x v="0"/>
    <x v="180"/>
    <n v="22021"/>
    <x v="13"/>
    <x v="13"/>
    <n v="7"/>
    <n v="583"/>
  </r>
  <r>
    <n v="2621"/>
    <x v="0"/>
    <x v="35"/>
    <x v="35"/>
    <x v="0"/>
    <x v="0"/>
    <x v="175"/>
    <n v="22140"/>
    <x v="32"/>
    <x v="49"/>
    <n v="6"/>
    <n v="1000"/>
  </r>
  <r>
    <n v="2622"/>
    <x v="0"/>
    <x v="35"/>
    <x v="35"/>
    <x v="0"/>
    <x v="0"/>
    <x v="170"/>
    <n v="22077"/>
    <x v="53"/>
    <x v="29"/>
    <n v="7"/>
    <n v="1000"/>
  </r>
  <r>
    <n v="2623"/>
    <x v="0"/>
    <x v="35"/>
    <x v="35"/>
    <x v="0"/>
    <x v="0"/>
    <x v="87"/>
    <n v="22028"/>
    <x v="33"/>
    <x v="33"/>
    <n v="2"/>
    <n v="400"/>
  </r>
  <r>
    <n v="2624"/>
    <x v="0"/>
    <x v="35"/>
    <x v="35"/>
    <x v="0"/>
    <x v="0"/>
    <x v="178"/>
    <n v="22036"/>
    <x v="33"/>
    <x v="33"/>
    <n v="3"/>
    <n v="600"/>
  </r>
  <r>
    <n v="2625"/>
    <x v="0"/>
    <x v="35"/>
    <x v="35"/>
    <x v="0"/>
    <x v="0"/>
    <x v="169"/>
    <n v="22126"/>
    <x v="30"/>
    <x v="30"/>
    <n v="2"/>
    <n v="667"/>
  </r>
  <r>
    <n v="2626"/>
    <x v="0"/>
    <x v="35"/>
    <x v="35"/>
    <x v="0"/>
    <x v="0"/>
    <x v="189"/>
    <n v="22147"/>
    <x v="30"/>
    <x v="30"/>
    <n v="2"/>
    <n v="667"/>
  </r>
  <r>
    <n v="2627"/>
    <x v="0"/>
    <x v="35"/>
    <x v="35"/>
    <x v="0"/>
    <x v="0"/>
    <x v="188"/>
    <n v="22007"/>
    <x v="34"/>
    <x v="34"/>
    <n v="1"/>
    <n v="500"/>
  </r>
  <r>
    <n v="2628"/>
    <x v="0"/>
    <x v="35"/>
    <x v="35"/>
    <x v="0"/>
    <x v="0"/>
    <x v="190"/>
    <n v="22070"/>
    <x v="34"/>
    <x v="34"/>
    <n v="1"/>
    <n v="500"/>
  </r>
  <r>
    <n v="2629"/>
    <x v="0"/>
    <x v="35"/>
    <x v="35"/>
    <x v="0"/>
    <x v="0"/>
    <x v="6"/>
    <n v="22161"/>
    <x v="48"/>
    <x v="47"/>
    <n v="1"/>
    <n v="1000"/>
  </r>
  <r>
    <n v="2630"/>
    <x v="0"/>
    <x v="35"/>
    <x v="35"/>
    <x v="1"/>
    <x v="1"/>
    <x v="10"/>
    <n v="14161"/>
    <x v="415"/>
    <x v="461"/>
    <n v="120900"/>
    <n v="13000"/>
  </r>
  <r>
    <n v="2631"/>
    <x v="0"/>
    <x v="35"/>
    <x v="35"/>
    <x v="1"/>
    <x v="1"/>
    <x v="8"/>
    <n v="14119"/>
    <x v="436"/>
    <x v="455"/>
    <n v="81060"/>
    <n v="954"/>
  </r>
  <r>
    <n v="2632"/>
    <x v="0"/>
    <x v="35"/>
    <x v="35"/>
    <x v="1"/>
    <x v="1"/>
    <x v="107"/>
    <n v="14056"/>
    <x v="442"/>
    <x v="462"/>
    <n v="47250"/>
    <n v="1500"/>
  </r>
  <r>
    <n v="2633"/>
    <x v="0"/>
    <x v="35"/>
    <x v="35"/>
    <x v="1"/>
    <x v="1"/>
    <x v="143"/>
    <n v="14042"/>
    <x v="443"/>
    <x v="463"/>
    <n v="15750"/>
    <n v="1000"/>
  </r>
  <r>
    <n v="2634"/>
    <x v="0"/>
    <x v="35"/>
    <x v="35"/>
    <x v="1"/>
    <x v="1"/>
    <x v="13"/>
    <n v="14098"/>
    <x v="439"/>
    <x v="233"/>
    <n v="16800"/>
    <n v="1200"/>
  </r>
  <r>
    <n v="2635"/>
    <x v="0"/>
    <x v="35"/>
    <x v="35"/>
    <x v="1"/>
    <x v="1"/>
    <x v="70"/>
    <n v="14007"/>
    <x v="54"/>
    <x v="8"/>
    <n v="11040"/>
    <n v="1200"/>
  </r>
  <r>
    <n v="2636"/>
    <x v="0"/>
    <x v="35"/>
    <x v="35"/>
    <x v="1"/>
    <x v="1"/>
    <x v="7"/>
    <n v="14147"/>
    <x v="444"/>
    <x v="464"/>
    <n v="8820"/>
    <n v="1050"/>
  </r>
  <r>
    <n v="2637"/>
    <x v="0"/>
    <x v="35"/>
    <x v="35"/>
    <x v="1"/>
    <x v="1"/>
    <x v="9"/>
    <n v="14105"/>
    <x v="147"/>
    <x v="465"/>
    <n v="2880"/>
    <n v="1200"/>
  </r>
  <r>
    <n v="2638"/>
    <x v="0"/>
    <x v="35"/>
    <x v="35"/>
    <x v="1"/>
    <x v="1"/>
    <x v="90"/>
    <n v="14182"/>
    <x v="81"/>
    <x v="114"/>
    <n v="1430"/>
    <n v="1100"/>
  </r>
  <r>
    <n v="2639"/>
    <x v="0"/>
    <x v="35"/>
    <x v="35"/>
    <x v="1"/>
    <x v="1"/>
    <x v="151"/>
    <n v="14077"/>
    <x v="14"/>
    <x v="14"/>
    <n v="500"/>
    <n v="1000"/>
  </r>
  <r>
    <n v="2640"/>
    <x v="0"/>
    <x v="35"/>
    <x v="35"/>
    <x v="1"/>
    <x v="1"/>
    <x v="46"/>
    <n v="14140"/>
    <x v="16"/>
    <x v="12"/>
    <n v="360"/>
    <n v="1200"/>
  </r>
  <r>
    <n v="2641"/>
    <x v="0"/>
    <x v="35"/>
    <x v="35"/>
    <x v="1"/>
    <x v="1"/>
    <x v="131"/>
    <n v="14126"/>
    <x v="20"/>
    <x v="20"/>
    <n v="150"/>
    <n v="1000"/>
  </r>
  <r>
    <n v="2642"/>
    <x v="0"/>
    <x v="35"/>
    <x v="35"/>
    <x v="1"/>
    <x v="1"/>
    <x v="186"/>
    <n v="14063"/>
    <x v="23"/>
    <x v="23"/>
    <n v="110"/>
    <n v="1100"/>
  </r>
  <r>
    <n v="2643"/>
    <x v="0"/>
    <x v="35"/>
    <x v="35"/>
    <x v="1"/>
    <x v="1"/>
    <x v="42"/>
    <n v="14133"/>
    <x v="67"/>
    <x v="44"/>
    <n v="80"/>
    <n v="1000"/>
  </r>
  <r>
    <n v="2644"/>
    <x v="0"/>
    <x v="35"/>
    <x v="35"/>
    <x v="1"/>
    <x v="1"/>
    <x v="12"/>
    <n v="14014"/>
    <x v="225"/>
    <x v="45"/>
    <n v="40"/>
    <n v="1000"/>
  </r>
  <r>
    <n v="2645"/>
    <x v="0"/>
    <x v="35"/>
    <x v="35"/>
    <x v="1"/>
    <x v="1"/>
    <x v="11"/>
    <n v="14021"/>
    <x v="45"/>
    <x v="80"/>
    <n v="20"/>
    <n v="1000"/>
  </r>
  <r>
    <n v="2646"/>
    <x v="0"/>
    <x v="35"/>
    <x v="35"/>
    <x v="1"/>
    <x v="1"/>
    <x v="135"/>
    <n v="14028"/>
    <x v="32"/>
    <x v="32"/>
    <n v="10"/>
    <n v="1000"/>
  </r>
  <r>
    <n v="2647"/>
    <x v="0"/>
    <x v="35"/>
    <x v="35"/>
    <x v="2"/>
    <x v="2"/>
    <x v="26"/>
    <n v="18070"/>
    <x v="180"/>
    <x v="207"/>
    <n v="900"/>
    <n v="1500"/>
  </r>
  <r>
    <n v="2648"/>
    <x v="0"/>
    <x v="35"/>
    <x v="35"/>
    <x v="2"/>
    <x v="2"/>
    <x v="74"/>
    <n v="18161"/>
    <x v="26"/>
    <x v="59"/>
    <n v="600"/>
    <n v="1500"/>
  </r>
  <r>
    <n v="2649"/>
    <x v="0"/>
    <x v="35"/>
    <x v="35"/>
    <x v="2"/>
    <x v="2"/>
    <x v="18"/>
    <n v="18049"/>
    <x v="61"/>
    <x v="61"/>
    <n v="400"/>
    <n v="1600"/>
  </r>
  <r>
    <n v="2650"/>
    <x v="0"/>
    <x v="35"/>
    <x v="35"/>
    <x v="2"/>
    <x v="2"/>
    <x v="19"/>
    <n v="18133"/>
    <x v="20"/>
    <x v="122"/>
    <n v="69"/>
    <n v="476"/>
  </r>
  <r>
    <n v="2651"/>
    <x v="0"/>
    <x v="35"/>
    <x v="35"/>
    <x v="2"/>
    <x v="2"/>
    <x v="61"/>
    <n v="18175"/>
    <x v="20"/>
    <x v="20"/>
    <n v="270"/>
    <n v="1800"/>
  </r>
  <r>
    <n v="2652"/>
    <x v="0"/>
    <x v="35"/>
    <x v="35"/>
    <x v="2"/>
    <x v="2"/>
    <x v="22"/>
    <n v="18084"/>
    <x v="23"/>
    <x v="208"/>
    <n v="52"/>
    <n v="542"/>
  </r>
  <r>
    <n v="2653"/>
    <x v="0"/>
    <x v="35"/>
    <x v="35"/>
    <x v="2"/>
    <x v="2"/>
    <x v="43"/>
    <n v="18028"/>
    <x v="44"/>
    <x v="39"/>
    <n v="25"/>
    <n v="556"/>
  </r>
  <r>
    <n v="2654"/>
    <x v="0"/>
    <x v="35"/>
    <x v="35"/>
    <x v="2"/>
    <x v="2"/>
    <x v="17"/>
    <n v="18042"/>
    <x v="44"/>
    <x v="39"/>
    <n v="25"/>
    <n v="550"/>
  </r>
  <r>
    <n v="2655"/>
    <x v="0"/>
    <x v="35"/>
    <x v="35"/>
    <x v="2"/>
    <x v="2"/>
    <x v="23"/>
    <n v="18126"/>
    <x v="72"/>
    <x v="72"/>
    <n v="15"/>
    <n v="500"/>
  </r>
  <r>
    <n v="2656"/>
    <x v="0"/>
    <x v="35"/>
    <x v="35"/>
    <x v="2"/>
    <x v="2"/>
    <x v="24"/>
    <n v="18140"/>
    <x v="72"/>
    <x v="72"/>
    <n v="18"/>
    <n v="600"/>
  </r>
  <r>
    <n v="2657"/>
    <x v="0"/>
    <x v="35"/>
    <x v="35"/>
    <x v="2"/>
    <x v="2"/>
    <x v="12"/>
    <n v="18021"/>
    <x v="92"/>
    <x v="6"/>
    <n v="11"/>
    <n v="458"/>
  </r>
  <r>
    <n v="2658"/>
    <x v="0"/>
    <x v="35"/>
    <x v="35"/>
    <x v="2"/>
    <x v="2"/>
    <x v="72"/>
    <n v="18063"/>
    <x v="45"/>
    <x v="80"/>
    <n v="12"/>
    <n v="600"/>
  </r>
  <r>
    <n v="2659"/>
    <x v="0"/>
    <x v="35"/>
    <x v="35"/>
    <x v="2"/>
    <x v="2"/>
    <x v="71"/>
    <n v="18098"/>
    <x v="32"/>
    <x v="32"/>
    <n v="6"/>
    <n v="600"/>
  </r>
  <r>
    <n v="2660"/>
    <x v="0"/>
    <x v="35"/>
    <x v="35"/>
    <x v="2"/>
    <x v="2"/>
    <x v="76"/>
    <n v="18154"/>
    <x v="32"/>
    <x v="32"/>
    <n v="5"/>
    <n v="500"/>
  </r>
  <r>
    <n v="2661"/>
    <x v="0"/>
    <x v="35"/>
    <x v="35"/>
    <x v="2"/>
    <x v="2"/>
    <x v="73"/>
    <n v="18077"/>
    <x v="33"/>
    <x v="33"/>
    <n v="2"/>
    <n v="400"/>
  </r>
  <r>
    <n v="2662"/>
    <x v="0"/>
    <x v="35"/>
    <x v="35"/>
    <x v="3"/>
    <x v="3"/>
    <x v="28"/>
    <n v="30028"/>
    <x v="92"/>
    <x v="99"/>
    <n v="19"/>
    <n v="864"/>
  </r>
  <r>
    <n v="2663"/>
    <x v="0"/>
    <x v="35"/>
    <x v="35"/>
    <x v="3"/>
    <x v="3"/>
    <x v="29"/>
    <n v="30015"/>
    <x v="32"/>
    <x v="67"/>
    <n v="7"/>
    <n v="875"/>
  </r>
  <r>
    <n v="2664"/>
    <x v="0"/>
    <x v="35"/>
    <x v="35"/>
    <x v="3"/>
    <x v="3"/>
    <x v="11"/>
    <n v="30008"/>
    <x v="33"/>
    <x v="33"/>
    <n v="4"/>
    <n v="800"/>
  </r>
  <r>
    <n v="2665"/>
    <x v="0"/>
    <x v="35"/>
    <x v="35"/>
    <x v="4"/>
    <x v="4"/>
    <x v="30"/>
    <n v="34049"/>
    <x v="72"/>
    <x v="72"/>
    <n v="45"/>
    <n v="1500"/>
  </r>
  <r>
    <n v="2666"/>
    <x v="0"/>
    <x v="35"/>
    <x v="35"/>
    <x v="4"/>
    <x v="4"/>
    <x v="33"/>
    <n v="34056"/>
    <x v="72"/>
    <x v="72"/>
    <n v="45"/>
    <n v="1500"/>
  </r>
  <r>
    <n v="2667"/>
    <x v="0"/>
    <x v="35"/>
    <x v="35"/>
    <x v="4"/>
    <x v="4"/>
    <x v="81"/>
    <n v="34042"/>
    <x v="45"/>
    <x v="80"/>
    <n v="30"/>
    <n v="1500"/>
  </r>
  <r>
    <n v="2668"/>
    <x v="0"/>
    <x v="35"/>
    <x v="35"/>
    <x v="4"/>
    <x v="4"/>
    <x v="32"/>
    <n v="34014"/>
    <x v="31"/>
    <x v="31"/>
    <n v="23"/>
    <n v="1533"/>
  </r>
  <r>
    <n v="2669"/>
    <x v="0"/>
    <x v="35"/>
    <x v="35"/>
    <x v="4"/>
    <x v="4"/>
    <x v="31"/>
    <n v="34021"/>
    <x v="32"/>
    <x v="32"/>
    <n v="15"/>
    <n v="1500"/>
  </r>
  <r>
    <n v="2670"/>
    <x v="0"/>
    <x v="35"/>
    <x v="35"/>
    <x v="4"/>
    <x v="4"/>
    <x v="34"/>
    <n v="34035"/>
    <x v="32"/>
    <x v="32"/>
    <n v="12"/>
    <n v="1200"/>
  </r>
  <r>
    <n v="2671"/>
    <x v="0"/>
    <x v="35"/>
    <x v="35"/>
    <x v="6"/>
    <x v="6"/>
    <x v="182"/>
    <n v="54091"/>
    <x v="127"/>
    <x v="134"/>
    <n v="58"/>
    <n v="829"/>
  </r>
  <r>
    <n v="2672"/>
    <x v="0"/>
    <x v="35"/>
    <x v="35"/>
    <x v="6"/>
    <x v="6"/>
    <x v="40"/>
    <n v="54021"/>
    <x v="27"/>
    <x v="231"/>
    <n v="31"/>
    <n v="596"/>
  </r>
  <r>
    <n v="2673"/>
    <x v="0"/>
    <x v="35"/>
    <x v="35"/>
    <x v="6"/>
    <x v="6"/>
    <x v="41"/>
    <n v="54098"/>
    <x v="435"/>
    <x v="466"/>
    <n v="40"/>
    <n v="784"/>
  </r>
  <r>
    <n v="2674"/>
    <x v="0"/>
    <x v="35"/>
    <x v="35"/>
    <x v="6"/>
    <x v="6"/>
    <x v="39"/>
    <n v="54007"/>
    <x v="131"/>
    <x v="72"/>
    <n v="19"/>
    <n v="633"/>
  </r>
  <r>
    <n v="2675"/>
    <x v="0"/>
    <x v="35"/>
    <x v="35"/>
    <x v="6"/>
    <x v="6"/>
    <x v="43"/>
    <n v="54035"/>
    <x v="72"/>
    <x v="6"/>
    <n v="15"/>
    <n v="625"/>
  </r>
  <r>
    <n v="2676"/>
    <x v="0"/>
    <x v="35"/>
    <x v="35"/>
    <x v="6"/>
    <x v="6"/>
    <x v="183"/>
    <n v="54070"/>
    <x v="92"/>
    <x v="80"/>
    <n v="14"/>
    <n v="700"/>
  </r>
  <r>
    <n v="2677"/>
    <x v="0"/>
    <x v="35"/>
    <x v="35"/>
    <x v="6"/>
    <x v="6"/>
    <x v="42"/>
    <n v="54105"/>
    <x v="92"/>
    <x v="6"/>
    <n v="15"/>
    <n v="625"/>
  </r>
  <r>
    <n v="2678"/>
    <x v="0"/>
    <x v="35"/>
    <x v="35"/>
    <x v="6"/>
    <x v="6"/>
    <x v="114"/>
    <n v="54014"/>
    <x v="94"/>
    <x v="99"/>
    <n v="17"/>
    <n v="773"/>
  </r>
  <r>
    <n v="2679"/>
    <x v="0"/>
    <x v="35"/>
    <x v="35"/>
    <x v="6"/>
    <x v="6"/>
    <x v="184"/>
    <n v="54084"/>
    <x v="94"/>
    <x v="99"/>
    <n v="18"/>
    <n v="818"/>
  </r>
  <r>
    <n v="2680"/>
    <x v="0"/>
    <x v="35"/>
    <x v="35"/>
    <x v="6"/>
    <x v="6"/>
    <x v="185"/>
    <n v="54042"/>
    <x v="31"/>
    <x v="31"/>
    <n v="11"/>
    <n v="733"/>
  </r>
  <r>
    <n v="2681"/>
    <x v="0"/>
    <x v="35"/>
    <x v="35"/>
    <x v="6"/>
    <x v="6"/>
    <x v="116"/>
    <n v="54063"/>
    <x v="31"/>
    <x v="31"/>
    <n v="11"/>
    <n v="733"/>
  </r>
  <r>
    <n v="2682"/>
    <x v="0"/>
    <x v="35"/>
    <x v="35"/>
    <x v="6"/>
    <x v="6"/>
    <x v="88"/>
    <n v="54077"/>
    <x v="31"/>
    <x v="31"/>
    <n v="11"/>
    <n v="733"/>
  </r>
  <r>
    <n v="2683"/>
    <x v="0"/>
    <x v="35"/>
    <x v="35"/>
    <x v="11"/>
    <x v="11"/>
    <x v="106"/>
    <n v="66112"/>
    <x v="32"/>
    <x v="32"/>
    <n v="15"/>
    <n v="1500"/>
  </r>
  <r>
    <n v="2684"/>
    <x v="0"/>
    <x v="35"/>
    <x v="35"/>
    <x v="11"/>
    <x v="11"/>
    <x v="93"/>
    <n v="66035"/>
    <x v="33"/>
    <x v="33"/>
    <n v="5"/>
    <n v="1000"/>
  </r>
  <r>
    <n v="2685"/>
    <x v="0"/>
    <x v="35"/>
    <x v="35"/>
    <x v="11"/>
    <x v="11"/>
    <x v="171"/>
    <n v="66056"/>
    <x v="33"/>
    <x v="33"/>
    <n v="8"/>
    <n v="1600"/>
  </r>
  <r>
    <n v="2686"/>
    <x v="0"/>
    <x v="35"/>
    <x v="35"/>
    <x v="11"/>
    <x v="11"/>
    <x v="97"/>
    <n v="66147"/>
    <x v="33"/>
    <x v="33"/>
    <n v="5"/>
    <n v="1000"/>
  </r>
  <r>
    <n v="2687"/>
    <x v="0"/>
    <x v="35"/>
    <x v="35"/>
    <x v="11"/>
    <x v="11"/>
    <x v="140"/>
    <n v="66126"/>
    <x v="47"/>
    <x v="46"/>
    <n v="6"/>
    <n v="1500"/>
  </r>
  <r>
    <n v="2688"/>
    <x v="0"/>
    <x v="35"/>
    <x v="35"/>
    <x v="11"/>
    <x v="11"/>
    <x v="187"/>
    <n v="66161"/>
    <x v="48"/>
    <x v="47"/>
    <n v="1"/>
    <n v="1000"/>
  </r>
  <r>
    <n v="2689"/>
    <x v="0"/>
    <x v="35"/>
    <x v="35"/>
    <x v="7"/>
    <x v="7"/>
    <x v="45"/>
    <n v="82035"/>
    <x v="26"/>
    <x v="16"/>
    <n v="657"/>
    <n v="1877"/>
  </r>
  <r>
    <n v="2690"/>
    <x v="0"/>
    <x v="35"/>
    <x v="35"/>
    <x v="7"/>
    <x v="7"/>
    <x v="44"/>
    <n v="82049"/>
    <x v="26"/>
    <x v="333"/>
    <n v="333"/>
    <n v="1877"/>
  </r>
  <r>
    <n v="2691"/>
    <x v="0"/>
    <x v="35"/>
    <x v="35"/>
    <x v="7"/>
    <x v="7"/>
    <x v="42"/>
    <n v="82098"/>
    <x v="20"/>
    <x v="150"/>
    <n v="110"/>
    <n v="846"/>
  </r>
  <r>
    <n v="2692"/>
    <x v="0"/>
    <x v="35"/>
    <x v="35"/>
    <x v="9"/>
    <x v="9"/>
    <x v="65"/>
    <n v="90014"/>
    <x v="445"/>
    <x v="215"/>
    <n v="204"/>
    <n v="1103"/>
  </r>
  <r>
    <n v="2693"/>
    <x v="0"/>
    <x v="35"/>
    <x v="35"/>
    <x v="9"/>
    <x v="9"/>
    <x v="55"/>
    <n v="90007"/>
    <x v="44"/>
    <x v="39"/>
    <n v="54"/>
    <n v="1200"/>
  </r>
  <r>
    <n v="2694"/>
    <x v="0"/>
    <x v="35"/>
    <x v="35"/>
    <x v="9"/>
    <x v="9"/>
    <x v="83"/>
    <n v="90021"/>
    <x v="39"/>
    <x v="45"/>
    <n v="48"/>
    <n v="1200"/>
  </r>
  <r>
    <n v="2695"/>
    <x v="0"/>
    <x v="35"/>
    <x v="35"/>
    <x v="9"/>
    <x v="9"/>
    <x v="82"/>
    <n v="90077"/>
    <x v="33"/>
    <x v="46"/>
    <n v="3"/>
    <n v="750"/>
  </r>
  <r>
    <n v="2696"/>
    <x v="0"/>
    <x v="35"/>
    <x v="35"/>
    <x v="9"/>
    <x v="9"/>
    <x v="66"/>
    <n v="90056"/>
    <x v="48"/>
    <x v="47"/>
    <n v="1"/>
    <n v="1000"/>
  </r>
  <r>
    <n v="2697"/>
    <x v="0"/>
    <x v="36"/>
    <x v="36"/>
    <x v="15"/>
    <x v="15"/>
    <x v="191"/>
    <n v="6392"/>
    <x v="20"/>
    <x v="20"/>
    <n v="110"/>
    <n v="733"/>
  </r>
  <r>
    <n v="2698"/>
    <x v="0"/>
    <x v="36"/>
    <x v="36"/>
    <x v="0"/>
    <x v="0"/>
    <x v="88"/>
    <n v="22084"/>
    <x v="446"/>
    <x v="467"/>
    <n v="305"/>
    <n v="570"/>
  </r>
  <r>
    <n v="2699"/>
    <x v="0"/>
    <x v="36"/>
    <x v="36"/>
    <x v="0"/>
    <x v="0"/>
    <x v="167"/>
    <n v="22154"/>
    <x v="27"/>
    <x v="27"/>
    <n v="34"/>
    <n v="523"/>
  </r>
  <r>
    <n v="2700"/>
    <x v="0"/>
    <x v="36"/>
    <x v="36"/>
    <x v="0"/>
    <x v="0"/>
    <x v="173"/>
    <n v="22133"/>
    <x v="225"/>
    <x v="38"/>
    <n v="30"/>
    <n v="545"/>
  </r>
  <r>
    <n v="2701"/>
    <x v="0"/>
    <x v="36"/>
    <x v="36"/>
    <x v="0"/>
    <x v="0"/>
    <x v="142"/>
    <n v="22049"/>
    <x v="196"/>
    <x v="219"/>
    <n v="34"/>
    <n v="607"/>
  </r>
  <r>
    <n v="2702"/>
    <x v="0"/>
    <x v="36"/>
    <x v="36"/>
    <x v="0"/>
    <x v="0"/>
    <x v="168"/>
    <n v="22056"/>
    <x v="44"/>
    <x v="97"/>
    <n v="24"/>
    <n v="500"/>
  </r>
  <r>
    <n v="2703"/>
    <x v="0"/>
    <x v="36"/>
    <x v="36"/>
    <x v="0"/>
    <x v="0"/>
    <x v="172"/>
    <n v="22105"/>
    <x v="131"/>
    <x v="139"/>
    <n v="15"/>
    <n v="429"/>
  </r>
  <r>
    <n v="2704"/>
    <x v="0"/>
    <x v="36"/>
    <x v="36"/>
    <x v="0"/>
    <x v="0"/>
    <x v="174"/>
    <n v="22168"/>
    <x v="131"/>
    <x v="5"/>
    <n v="30"/>
    <n v="909"/>
  </r>
  <r>
    <n v="2705"/>
    <x v="0"/>
    <x v="36"/>
    <x v="36"/>
    <x v="0"/>
    <x v="0"/>
    <x v="166"/>
    <n v="22119"/>
    <x v="45"/>
    <x v="80"/>
    <n v="18"/>
    <n v="900"/>
  </r>
  <r>
    <n v="2706"/>
    <x v="0"/>
    <x v="36"/>
    <x v="36"/>
    <x v="0"/>
    <x v="0"/>
    <x v="4"/>
    <n v="22014"/>
    <x v="107"/>
    <x v="100"/>
    <n v="9"/>
    <n v="529"/>
  </r>
  <r>
    <n v="2707"/>
    <x v="0"/>
    <x v="36"/>
    <x v="36"/>
    <x v="0"/>
    <x v="0"/>
    <x v="181"/>
    <n v="22112"/>
    <x v="170"/>
    <x v="77"/>
    <n v="6"/>
    <n v="429"/>
  </r>
  <r>
    <n v="2708"/>
    <x v="0"/>
    <x v="36"/>
    <x v="36"/>
    <x v="0"/>
    <x v="0"/>
    <x v="175"/>
    <n v="22140"/>
    <x v="13"/>
    <x v="32"/>
    <n v="9"/>
    <n v="900"/>
  </r>
  <r>
    <n v="2709"/>
    <x v="0"/>
    <x v="36"/>
    <x v="36"/>
    <x v="0"/>
    <x v="0"/>
    <x v="170"/>
    <n v="22077"/>
    <x v="50"/>
    <x v="67"/>
    <n v="7"/>
    <n v="875"/>
  </r>
  <r>
    <n v="2710"/>
    <x v="0"/>
    <x v="36"/>
    <x v="36"/>
    <x v="0"/>
    <x v="0"/>
    <x v="180"/>
    <n v="22021"/>
    <x v="53"/>
    <x v="52"/>
    <n v="5"/>
    <n v="556"/>
  </r>
  <r>
    <n v="2711"/>
    <x v="0"/>
    <x v="36"/>
    <x v="36"/>
    <x v="0"/>
    <x v="0"/>
    <x v="176"/>
    <n v="22063"/>
    <x v="53"/>
    <x v="52"/>
    <n v="4"/>
    <n v="444"/>
  </r>
  <r>
    <n v="2712"/>
    <x v="0"/>
    <x v="36"/>
    <x v="36"/>
    <x v="0"/>
    <x v="0"/>
    <x v="87"/>
    <n v="22028"/>
    <x v="33"/>
    <x v="33"/>
    <n v="2"/>
    <n v="400"/>
  </r>
  <r>
    <n v="2713"/>
    <x v="0"/>
    <x v="36"/>
    <x v="36"/>
    <x v="0"/>
    <x v="0"/>
    <x v="178"/>
    <n v="22036"/>
    <x v="33"/>
    <x v="33"/>
    <n v="2"/>
    <n v="400"/>
  </r>
  <r>
    <n v="2714"/>
    <x v="0"/>
    <x v="36"/>
    <x v="36"/>
    <x v="0"/>
    <x v="0"/>
    <x v="188"/>
    <n v="22007"/>
    <x v="30"/>
    <x v="30"/>
    <n v="1"/>
    <n v="333"/>
  </r>
  <r>
    <n v="2715"/>
    <x v="0"/>
    <x v="36"/>
    <x v="36"/>
    <x v="0"/>
    <x v="0"/>
    <x v="169"/>
    <n v="22126"/>
    <x v="30"/>
    <x v="30"/>
    <n v="2"/>
    <n v="667"/>
  </r>
  <r>
    <n v="2716"/>
    <x v="0"/>
    <x v="36"/>
    <x v="36"/>
    <x v="0"/>
    <x v="0"/>
    <x v="190"/>
    <n v="22070"/>
    <x v="34"/>
    <x v="34"/>
    <n v="1"/>
    <n v="500"/>
  </r>
  <r>
    <n v="2717"/>
    <x v="0"/>
    <x v="36"/>
    <x v="36"/>
    <x v="0"/>
    <x v="0"/>
    <x v="189"/>
    <n v="22147"/>
    <x v="34"/>
    <x v="34"/>
    <n v="1"/>
    <n v="500"/>
  </r>
  <r>
    <n v="2718"/>
    <x v="0"/>
    <x v="36"/>
    <x v="36"/>
    <x v="0"/>
    <x v="0"/>
    <x v="6"/>
    <n v="22161"/>
    <x v="34"/>
    <x v="47"/>
    <n v="1"/>
    <n v="1000"/>
  </r>
  <r>
    <n v="2719"/>
    <x v="0"/>
    <x v="36"/>
    <x v="36"/>
    <x v="1"/>
    <x v="1"/>
    <x v="10"/>
    <n v="14161"/>
    <x v="447"/>
    <x v="468"/>
    <n v="140087"/>
    <n v="1001"/>
  </r>
  <r>
    <n v="2720"/>
    <x v="0"/>
    <x v="36"/>
    <x v="36"/>
    <x v="1"/>
    <x v="1"/>
    <x v="8"/>
    <n v="14119"/>
    <x v="448"/>
    <x v="469"/>
    <n v="90000"/>
    <n v="1000"/>
  </r>
  <r>
    <n v="2721"/>
    <x v="0"/>
    <x v="36"/>
    <x v="36"/>
    <x v="1"/>
    <x v="1"/>
    <x v="107"/>
    <n v="14056"/>
    <x v="442"/>
    <x v="341"/>
    <n v="21429"/>
    <n v="714"/>
  </r>
  <r>
    <n v="2722"/>
    <x v="0"/>
    <x v="36"/>
    <x v="36"/>
    <x v="1"/>
    <x v="1"/>
    <x v="143"/>
    <n v="14042"/>
    <x v="386"/>
    <x v="401"/>
    <n v="25000"/>
    <n v="1000"/>
  </r>
  <r>
    <n v="2723"/>
    <x v="0"/>
    <x v="36"/>
    <x v="36"/>
    <x v="1"/>
    <x v="1"/>
    <x v="13"/>
    <n v="14098"/>
    <x v="386"/>
    <x v="432"/>
    <n v="23000"/>
    <n v="1000"/>
  </r>
  <r>
    <n v="2724"/>
    <x v="0"/>
    <x v="36"/>
    <x v="36"/>
    <x v="1"/>
    <x v="1"/>
    <x v="7"/>
    <n v="14147"/>
    <x v="449"/>
    <x v="470"/>
    <n v="18300"/>
    <n v="1000"/>
  </r>
  <r>
    <n v="2725"/>
    <x v="0"/>
    <x v="36"/>
    <x v="36"/>
    <x v="1"/>
    <x v="1"/>
    <x v="70"/>
    <n v="14007"/>
    <x v="210"/>
    <x v="291"/>
    <n v="5714"/>
    <n v="714"/>
  </r>
  <r>
    <n v="2726"/>
    <x v="0"/>
    <x v="36"/>
    <x v="36"/>
    <x v="1"/>
    <x v="1"/>
    <x v="9"/>
    <n v="14105"/>
    <x v="158"/>
    <x v="471"/>
    <n v="4047"/>
    <n v="1100"/>
  </r>
  <r>
    <n v="2727"/>
    <x v="0"/>
    <x v="36"/>
    <x v="36"/>
    <x v="1"/>
    <x v="1"/>
    <x v="90"/>
    <n v="14182"/>
    <x v="9"/>
    <x v="56"/>
    <n v="686"/>
    <n v="572"/>
  </r>
  <r>
    <n v="2728"/>
    <x v="0"/>
    <x v="36"/>
    <x v="36"/>
    <x v="1"/>
    <x v="1"/>
    <x v="160"/>
    <n v="14084"/>
    <x v="26"/>
    <x v="12"/>
    <n v="171"/>
    <n v="570"/>
  </r>
  <r>
    <n v="2729"/>
    <x v="0"/>
    <x v="36"/>
    <x v="36"/>
    <x v="1"/>
    <x v="1"/>
    <x v="46"/>
    <n v="14140"/>
    <x v="303"/>
    <x v="12"/>
    <n v="330"/>
    <n v="1100"/>
  </r>
  <r>
    <n v="2730"/>
    <x v="0"/>
    <x v="36"/>
    <x v="36"/>
    <x v="1"/>
    <x v="1"/>
    <x v="151"/>
    <n v="14077"/>
    <x v="352"/>
    <x v="69"/>
    <n v="137"/>
    <n v="856"/>
  </r>
  <r>
    <n v="2731"/>
    <x v="0"/>
    <x v="36"/>
    <x v="36"/>
    <x v="1"/>
    <x v="1"/>
    <x v="12"/>
    <n v="14014"/>
    <x v="21"/>
    <x v="21"/>
    <n v="160"/>
    <n v="1143"/>
  </r>
  <r>
    <n v="2732"/>
    <x v="0"/>
    <x v="36"/>
    <x v="36"/>
    <x v="1"/>
    <x v="1"/>
    <x v="135"/>
    <n v="14028"/>
    <x v="36"/>
    <x v="36"/>
    <n v="161"/>
    <n v="1288"/>
  </r>
  <r>
    <n v="2733"/>
    <x v="0"/>
    <x v="36"/>
    <x v="36"/>
    <x v="1"/>
    <x v="1"/>
    <x v="132"/>
    <n v="14049"/>
    <x v="23"/>
    <x v="23"/>
    <n v="129"/>
    <n v="1290"/>
  </r>
  <r>
    <n v="2734"/>
    <x v="0"/>
    <x v="36"/>
    <x v="36"/>
    <x v="1"/>
    <x v="1"/>
    <x v="186"/>
    <n v="14063"/>
    <x v="23"/>
    <x v="23"/>
    <n v="114"/>
    <n v="1140"/>
  </r>
  <r>
    <n v="2735"/>
    <x v="0"/>
    <x v="36"/>
    <x v="36"/>
    <x v="1"/>
    <x v="1"/>
    <x v="131"/>
    <n v="14126"/>
    <x v="23"/>
    <x v="44"/>
    <n v="69"/>
    <n v="863"/>
  </r>
  <r>
    <n v="2736"/>
    <x v="0"/>
    <x v="36"/>
    <x v="36"/>
    <x v="1"/>
    <x v="1"/>
    <x v="11"/>
    <n v="14021"/>
    <x v="71"/>
    <x v="71"/>
    <n v="97"/>
    <n v="1141"/>
  </r>
  <r>
    <n v="2737"/>
    <x v="0"/>
    <x v="36"/>
    <x v="36"/>
    <x v="1"/>
    <x v="1"/>
    <x v="84"/>
    <n v="14168"/>
    <x v="131"/>
    <x v="139"/>
    <n v="40"/>
    <n v="1143"/>
  </r>
  <r>
    <n v="2738"/>
    <x v="0"/>
    <x v="36"/>
    <x v="36"/>
    <x v="1"/>
    <x v="1"/>
    <x v="134"/>
    <n v="14091"/>
    <x v="92"/>
    <x v="78"/>
    <n v="29"/>
    <n v="1160"/>
  </r>
  <r>
    <n v="2739"/>
    <x v="0"/>
    <x v="36"/>
    <x v="36"/>
    <x v="2"/>
    <x v="2"/>
    <x v="26"/>
    <n v="18070"/>
    <x v="168"/>
    <x v="256"/>
    <n v="39"/>
    <n v="661"/>
  </r>
  <r>
    <n v="2740"/>
    <x v="0"/>
    <x v="36"/>
    <x v="36"/>
    <x v="2"/>
    <x v="2"/>
    <x v="74"/>
    <n v="18161"/>
    <x v="318"/>
    <x v="45"/>
    <n v="26"/>
    <n v="650"/>
  </r>
  <r>
    <n v="2741"/>
    <x v="0"/>
    <x v="36"/>
    <x v="36"/>
    <x v="2"/>
    <x v="2"/>
    <x v="17"/>
    <n v="18042"/>
    <x v="44"/>
    <x v="39"/>
    <n v="28"/>
    <n v="622"/>
  </r>
  <r>
    <n v="2742"/>
    <x v="0"/>
    <x v="36"/>
    <x v="36"/>
    <x v="2"/>
    <x v="2"/>
    <x v="24"/>
    <n v="18140"/>
    <x v="125"/>
    <x v="72"/>
    <n v="21"/>
    <n v="700"/>
  </r>
  <r>
    <n v="2743"/>
    <x v="0"/>
    <x v="36"/>
    <x v="36"/>
    <x v="2"/>
    <x v="2"/>
    <x v="18"/>
    <n v="18049"/>
    <x v="130"/>
    <x v="78"/>
    <n v="17"/>
    <n v="680"/>
  </r>
  <r>
    <n v="2744"/>
    <x v="0"/>
    <x v="36"/>
    <x v="36"/>
    <x v="2"/>
    <x v="2"/>
    <x v="19"/>
    <n v="18133"/>
    <x v="131"/>
    <x v="5"/>
    <n v="19"/>
    <n v="576"/>
  </r>
  <r>
    <n v="2745"/>
    <x v="0"/>
    <x v="36"/>
    <x v="36"/>
    <x v="2"/>
    <x v="2"/>
    <x v="43"/>
    <n v="18028"/>
    <x v="72"/>
    <x v="157"/>
    <n v="17"/>
    <n v="630"/>
  </r>
  <r>
    <n v="2746"/>
    <x v="0"/>
    <x v="36"/>
    <x v="36"/>
    <x v="2"/>
    <x v="2"/>
    <x v="72"/>
    <n v="18063"/>
    <x v="72"/>
    <x v="182"/>
    <n v="17"/>
    <n v="654"/>
  </r>
  <r>
    <n v="2747"/>
    <x v="0"/>
    <x v="36"/>
    <x v="36"/>
    <x v="2"/>
    <x v="2"/>
    <x v="22"/>
    <n v="18084"/>
    <x v="72"/>
    <x v="258"/>
    <n v="18"/>
    <n v="621"/>
  </r>
  <r>
    <n v="2748"/>
    <x v="0"/>
    <x v="36"/>
    <x v="36"/>
    <x v="2"/>
    <x v="2"/>
    <x v="61"/>
    <n v="18175"/>
    <x v="6"/>
    <x v="31"/>
    <n v="12"/>
    <n v="800"/>
  </r>
  <r>
    <n v="2749"/>
    <x v="0"/>
    <x v="36"/>
    <x v="36"/>
    <x v="2"/>
    <x v="2"/>
    <x v="12"/>
    <n v="18021"/>
    <x v="45"/>
    <x v="112"/>
    <n v="11"/>
    <n v="579"/>
  </r>
  <r>
    <n v="2750"/>
    <x v="0"/>
    <x v="36"/>
    <x v="36"/>
    <x v="2"/>
    <x v="2"/>
    <x v="23"/>
    <n v="18126"/>
    <x v="45"/>
    <x v="100"/>
    <n v="10"/>
    <n v="588"/>
  </r>
  <r>
    <n v="2751"/>
    <x v="0"/>
    <x v="36"/>
    <x v="36"/>
    <x v="2"/>
    <x v="2"/>
    <x v="71"/>
    <n v="18098"/>
    <x v="32"/>
    <x v="32"/>
    <n v="6"/>
    <n v="600"/>
  </r>
  <r>
    <n v="2752"/>
    <x v="0"/>
    <x v="36"/>
    <x v="36"/>
    <x v="2"/>
    <x v="2"/>
    <x v="20"/>
    <n v="18147"/>
    <x v="32"/>
    <x v="32"/>
    <n v="6"/>
    <n v="600"/>
  </r>
  <r>
    <n v="2753"/>
    <x v="0"/>
    <x v="36"/>
    <x v="36"/>
    <x v="2"/>
    <x v="2"/>
    <x v="73"/>
    <n v="18077"/>
    <x v="33"/>
    <x v="33"/>
    <n v="3"/>
    <n v="600"/>
  </r>
  <r>
    <n v="2754"/>
    <x v="0"/>
    <x v="36"/>
    <x v="36"/>
    <x v="3"/>
    <x v="3"/>
    <x v="28"/>
    <n v="30028"/>
    <x v="45"/>
    <x v="140"/>
    <n v="13"/>
    <n v="722"/>
  </r>
  <r>
    <n v="2755"/>
    <x v="0"/>
    <x v="36"/>
    <x v="36"/>
    <x v="3"/>
    <x v="3"/>
    <x v="29"/>
    <n v="30015"/>
    <x v="32"/>
    <x v="32"/>
    <n v="7"/>
    <n v="700"/>
  </r>
  <r>
    <n v="2756"/>
    <x v="0"/>
    <x v="36"/>
    <x v="36"/>
    <x v="3"/>
    <x v="3"/>
    <x v="11"/>
    <n v="30008"/>
    <x v="29"/>
    <x v="29"/>
    <n v="5"/>
    <n v="714"/>
  </r>
  <r>
    <n v="2757"/>
    <x v="0"/>
    <x v="36"/>
    <x v="36"/>
    <x v="4"/>
    <x v="4"/>
    <x v="30"/>
    <n v="34049"/>
    <x v="45"/>
    <x v="80"/>
    <n v="20"/>
    <n v="1000"/>
  </r>
  <r>
    <n v="2758"/>
    <x v="0"/>
    <x v="36"/>
    <x v="36"/>
    <x v="4"/>
    <x v="4"/>
    <x v="33"/>
    <n v="34056"/>
    <x v="45"/>
    <x v="80"/>
    <n v="20"/>
    <n v="1000"/>
  </r>
  <r>
    <n v="2759"/>
    <x v="0"/>
    <x v="36"/>
    <x v="36"/>
    <x v="4"/>
    <x v="4"/>
    <x v="81"/>
    <n v="34042"/>
    <x v="31"/>
    <x v="31"/>
    <n v="15"/>
    <n v="1000"/>
  </r>
  <r>
    <n v="2760"/>
    <x v="0"/>
    <x v="36"/>
    <x v="36"/>
    <x v="4"/>
    <x v="4"/>
    <x v="31"/>
    <n v="34021"/>
    <x v="32"/>
    <x v="32"/>
    <n v="10"/>
    <n v="1000"/>
  </r>
  <r>
    <n v="2761"/>
    <x v="0"/>
    <x v="36"/>
    <x v="36"/>
    <x v="4"/>
    <x v="4"/>
    <x v="32"/>
    <n v="34014"/>
    <x v="77"/>
    <x v="67"/>
    <n v="8"/>
    <n v="1000"/>
  </r>
  <r>
    <n v="2762"/>
    <x v="0"/>
    <x v="36"/>
    <x v="36"/>
    <x v="4"/>
    <x v="4"/>
    <x v="34"/>
    <n v="34035"/>
    <x v="33"/>
    <x v="33"/>
    <n v="2"/>
    <n v="400"/>
  </r>
  <r>
    <n v="2763"/>
    <x v="0"/>
    <x v="36"/>
    <x v="36"/>
    <x v="6"/>
    <x v="6"/>
    <x v="182"/>
    <n v="54091"/>
    <x v="273"/>
    <x v="236"/>
    <n v="58"/>
    <n v="806"/>
  </r>
  <r>
    <n v="2764"/>
    <x v="0"/>
    <x v="36"/>
    <x v="36"/>
    <x v="6"/>
    <x v="6"/>
    <x v="40"/>
    <n v="54021"/>
    <x v="225"/>
    <x v="201"/>
    <n v="26"/>
    <n v="605"/>
  </r>
  <r>
    <n v="2765"/>
    <x v="0"/>
    <x v="36"/>
    <x v="36"/>
    <x v="6"/>
    <x v="6"/>
    <x v="41"/>
    <n v="54098"/>
    <x v="118"/>
    <x v="125"/>
    <n v="43"/>
    <n v="811"/>
  </r>
  <r>
    <n v="2766"/>
    <x v="0"/>
    <x v="36"/>
    <x v="36"/>
    <x v="6"/>
    <x v="6"/>
    <x v="39"/>
    <n v="54007"/>
    <x v="125"/>
    <x v="202"/>
    <n v="17"/>
    <n v="607"/>
  </r>
  <r>
    <n v="2767"/>
    <x v="0"/>
    <x v="36"/>
    <x v="36"/>
    <x v="6"/>
    <x v="6"/>
    <x v="183"/>
    <n v="54070"/>
    <x v="125"/>
    <x v="202"/>
    <n v="18"/>
    <n v="643"/>
  </r>
  <r>
    <n v="2768"/>
    <x v="0"/>
    <x v="36"/>
    <x v="36"/>
    <x v="6"/>
    <x v="6"/>
    <x v="43"/>
    <n v="54035"/>
    <x v="5"/>
    <x v="98"/>
    <n v="14"/>
    <n v="609"/>
  </r>
  <r>
    <n v="2769"/>
    <x v="0"/>
    <x v="36"/>
    <x v="36"/>
    <x v="6"/>
    <x v="6"/>
    <x v="42"/>
    <n v="54105"/>
    <x v="72"/>
    <x v="40"/>
    <n v="14"/>
    <n v="667"/>
  </r>
  <r>
    <n v="2770"/>
    <x v="0"/>
    <x v="36"/>
    <x v="36"/>
    <x v="6"/>
    <x v="6"/>
    <x v="114"/>
    <n v="54014"/>
    <x v="94"/>
    <x v="99"/>
    <n v="17"/>
    <n v="773"/>
  </r>
  <r>
    <n v="2771"/>
    <x v="0"/>
    <x v="36"/>
    <x v="36"/>
    <x v="6"/>
    <x v="6"/>
    <x v="184"/>
    <n v="54084"/>
    <x v="94"/>
    <x v="99"/>
    <n v="17"/>
    <n v="773"/>
  </r>
  <r>
    <n v="2772"/>
    <x v="0"/>
    <x v="36"/>
    <x v="36"/>
    <x v="6"/>
    <x v="6"/>
    <x v="185"/>
    <n v="54042"/>
    <x v="31"/>
    <x v="31"/>
    <n v="11"/>
    <n v="733"/>
  </r>
  <r>
    <n v="2773"/>
    <x v="0"/>
    <x v="36"/>
    <x v="36"/>
    <x v="6"/>
    <x v="6"/>
    <x v="116"/>
    <n v="54063"/>
    <x v="31"/>
    <x v="31"/>
    <n v="12"/>
    <n v="800"/>
  </r>
  <r>
    <n v="2774"/>
    <x v="0"/>
    <x v="36"/>
    <x v="36"/>
    <x v="6"/>
    <x v="6"/>
    <x v="88"/>
    <n v="54077"/>
    <x v="31"/>
    <x v="31"/>
    <n v="11"/>
    <n v="733"/>
  </r>
  <r>
    <n v="2775"/>
    <x v="0"/>
    <x v="36"/>
    <x v="36"/>
    <x v="6"/>
    <x v="6"/>
    <x v="115"/>
    <n v="54056"/>
    <x v="33"/>
    <x v="33"/>
    <n v="4"/>
    <n v="800"/>
  </r>
  <r>
    <n v="2776"/>
    <x v="0"/>
    <x v="36"/>
    <x v="36"/>
    <x v="6"/>
    <x v="6"/>
    <x v="37"/>
    <n v="54112"/>
    <x v="33"/>
    <x v="33"/>
    <n v="4"/>
    <n v="800"/>
  </r>
  <r>
    <n v="2777"/>
    <x v="0"/>
    <x v="36"/>
    <x v="36"/>
    <x v="6"/>
    <x v="6"/>
    <x v="192"/>
    <n v="54049"/>
    <x v="30"/>
    <x v="30"/>
    <n v="2"/>
    <n v="667"/>
  </r>
  <r>
    <n v="2778"/>
    <x v="0"/>
    <x v="36"/>
    <x v="36"/>
    <x v="6"/>
    <x v="6"/>
    <x v="174"/>
    <n v="54119"/>
    <x v="30"/>
    <x v="30"/>
    <n v="2"/>
    <n v="667"/>
  </r>
  <r>
    <n v="2779"/>
    <x v="0"/>
    <x v="36"/>
    <x v="36"/>
    <x v="11"/>
    <x v="11"/>
    <x v="93"/>
    <n v="66035"/>
    <x v="12"/>
    <x v="12"/>
    <n v="405"/>
    <n v="1350"/>
  </r>
  <r>
    <n v="2780"/>
    <x v="0"/>
    <x v="36"/>
    <x v="36"/>
    <x v="11"/>
    <x v="11"/>
    <x v="12"/>
    <n v="66028"/>
    <x v="125"/>
    <x v="45"/>
    <n v="54"/>
    <n v="1350"/>
  </r>
  <r>
    <n v="2781"/>
    <x v="0"/>
    <x v="36"/>
    <x v="36"/>
    <x v="11"/>
    <x v="11"/>
    <x v="171"/>
    <n v="66056"/>
    <x v="101"/>
    <x v="107"/>
    <n v="47"/>
    <n v="1382"/>
  </r>
  <r>
    <n v="2782"/>
    <x v="0"/>
    <x v="36"/>
    <x v="36"/>
    <x v="11"/>
    <x v="11"/>
    <x v="97"/>
    <n v="66147"/>
    <x v="72"/>
    <x v="72"/>
    <n v="41"/>
    <n v="1367"/>
  </r>
  <r>
    <n v="2783"/>
    <x v="0"/>
    <x v="36"/>
    <x v="36"/>
    <x v="11"/>
    <x v="11"/>
    <x v="106"/>
    <n v="66112"/>
    <x v="32"/>
    <x v="32"/>
    <n v="14"/>
    <n v="1400"/>
  </r>
  <r>
    <n v="2784"/>
    <x v="0"/>
    <x v="36"/>
    <x v="36"/>
    <x v="11"/>
    <x v="11"/>
    <x v="140"/>
    <n v="66126"/>
    <x v="29"/>
    <x v="29"/>
    <n v="8"/>
    <n v="1143"/>
  </r>
  <r>
    <n v="2785"/>
    <x v="0"/>
    <x v="36"/>
    <x v="36"/>
    <x v="11"/>
    <x v="11"/>
    <x v="187"/>
    <n v="66161"/>
    <x v="48"/>
    <x v="47"/>
    <n v="1"/>
    <n v="1000"/>
  </r>
  <r>
    <n v="2786"/>
    <x v="0"/>
    <x v="36"/>
    <x v="36"/>
    <x v="7"/>
    <x v="7"/>
    <x v="45"/>
    <n v="82035"/>
    <x v="450"/>
    <x v="207"/>
    <n v="900"/>
    <n v="1500"/>
  </r>
  <r>
    <n v="2787"/>
    <x v="0"/>
    <x v="36"/>
    <x v="36"/>
    <x v="7"/>
    <x v="7"/>
    <x v="44"/>
    <n v="82049"/>
    <x v="451"/>
    <x v="472"/>
    <n v="300"/>
    <n v="923"/>
  </r>
  <r>
    <n v="2788"/>
    <x v="0"/>
    <x v="36"/>
    <x v="36"/>
    <x v="7"/>
    <x v="7"/>
    <x v="42"/>
    <n v="82098"/>
    <x v="125"/>
    <x v="72"/>
    <n v="30"/>
    <n v="1000"/>
  </r>
  <r>
    <n v="2789"/>
    <x v="0"/>
    <x v="36"/>
    <x v="36"/>
    <x v="9"/>
    <x v="9"/>
    <x v="65"/>
    <n v="90014"/>
    <x v="52"/>
    <x v="156"/>
    <n v="49"/>
    <n v="426"/>
  </r>
  <r>
    <n v="2790"/>
    <x v="0"/>
    <x v="36"/>
    <x v="36"/>
    <x v="9"/>
    <x v="9"/>
    <x v="55"/>
    <n v="90007"/>
    <x v="452"/>
    <x v="151"/>
    <n v="90"/>
    <n v="1000"/>
  </r>
  <r>
    <n v="2791"/>
    <x v="0"/>
    <x v="36"/>
    <x v="36"/>
    <x v="9"/>
    <x v="9"/>
    <x v="66"/>
    <n v="90056"/>
    <x v="453"/>
    <x v="225"/>
    <n v="42"/>
    <n v="700"/>
  </r>
  <r>
    <n v="2792"/>
    <x v="0"/>
    <x v="36"/>
    <x v="36"/>
    <x v="9"/>
    <x v="9"/>
    <x v="83"/>
    <n v="90021"/>
    <x v="39"/>
    <x v="106"/>
    <n v="42"/>
    <n v="1000"/>
  </r>
  <r>
    <n v="2793"/>
    <x v="0"/>
    <x v="36"/>
    <x v="36"/>
    <x v="9"/>
    <x v="9"/>
    <x v="82"/>
    <n v="90077"/>
    <x v="33"/>
    <x v="33"/>
    <n v="7"/>
    <n v="1400"/>
  </r>
  <r>
    <n v="2794"/>
    <x v="0"/>
    <x v="37"/>
    <x v="37"/>
    <x v="0"/>
    <x v="0"/>
    <x v="88"/>
    <n v="22084"/>
    <x v="401"/>
    <x v="473"/>
    <n v="344"/>
    <n v="681"/>
  </r>
  <r>
    <n v="2795"/>
    <x v="0"/>
    <x v="37"/>
    <x v="37"/>
    <x v="0"/>
    <x v="0"/>
    <x v="167"/>
    <n v="22154"/>
    <x v="273"/>
    <x v="96"/>
    <n v="34"/>
    <n v="548"/>
  </r>
  <r>
    <n v="2796"/>
    <x v="0"/>
    <x v="37"/>
    <x v="37"/>
    <x v="0"/>
    <x v="0"/>
    <x v="142"/>
    <n v="22049"/>
    <x v="225"/>
    <x v="237"/>
    <n v="27"/>
    <n v="474"/>
  </r>
  <r>
    <n v="2797"/>
    <x v="0"/>
    <x v="37"/>
    <x v="37"/>
    <x v="0"/>
    <x v="0"/>
    <x v="173"/>
    <n v="22133"/>
    <x v="225"/>
    <x v="317"/>
    <n v="27"/>
    <n v="466"/>
  </r>
  <r>
    <n v="2798"/>
    <x v="0"/>
    <x v="37"/>
    <x v="37"/>
    <x v="0"/>
    <x v="0"/>
    <x v="168"/>
    <n v="22056"/>
    <x v="38"/>
    <x v="111"/>
    <n v="30"/>
    <n v="600"/>
  </r>
  <r>
    <n v="2799"/>
    <x v="0"/>
    <x v="37"/>
    <x v="37"/>
    <x v="0"/>
    <x v="0"/>
    <x v="172"/>
    <n v="22105"/>
    <x v="28"/>
    <x v="106"/>
    <n v="19"/>
    <n v="452"/>
  </r>
  <r>
    <n v="2800"/>
    <x v="0"/>
    <x v="37"/>
    <x v="37"/>
    <x v="0"/>
    <x v="0"/>
    <x v="174"/>
    <n v="22168"/>
    <x v="28"/>
    <x v="107"/>
    <n v="26"/>
    <n v="765"/>
  </r>
  <r>
    <n v="2801"/>
    <x v="0"/>
    <x v="37"/>
    <x v="37"/>
    <x v="0"/>
    <x v="0"/>
    <x v="166"/>
    <n v="22119"/>
    <x v="76"/>
    <x v="40"/>
    <n v="15"/>
    <n v="714"/>
  </r>
  <r>
    <n v="2802"/>
    <x v="0"/>
    <x v="37"/>
    <x v="37"/>
    <x v="0"/>
    <x v="0"/>
    <x v="4"/>
    <n v="22014"/>
    <x v="46"/>
    <x v="100"/>
    <n v="10"/>
    <n v="588"/>
  </r>
  <r>
    <n v="2803"/>
    <x v="0"/>
    <x v="37"/>
    <x v="37"/>
    <x v="0"/>
    <x v="0"/>
    <x v="176"/>
    <n v="22063"/>
    <x v="95"/>
    <x v="100"/>
    <n v="8"/>
    <n v="470"/>
  </r>
  <r>
    <n v="2804"/>
    <x v="0"/>
    <x v="37"/>
    <x v="37"/>
    <x v="0"/>
    <x v="0"/>
    <x v="180"/>
    <n v="22021"/>
    <x v="31"/>
    <x v="77"/>
    <n v="7"/>
    <n v="500"/>
  </r>
  <r>
    <n v="2805"/>
    <x v="0"/>
    <x v="37"/>
    <x v="37"/>
    <x v="0"/>
    <x v="0"/>
    <x v="181"/>
    <n v="22112"/>
    <x v="31"/>
    <x v="31"/>
    <n v="9"/>
    <n v="600"/>
  </r>
  <r>
    <n v="2806"/>
    <x v="0"/>
    <x v="37"/>
    <x v="37"/>
    <x v="0"/>
    <x v="0"/>
    <x v="175"/>
    <n v="22140"/>
    <x v="170"/>
    <x v="136"/>
    <n v="7"/>
    <n v="636"/>
  </r>
  <r>
    <n v="2807"/>
    <x v="0"/>
    <x v="37"/>
    <x v="37"/>
    <x v="0"/>
    <x v="0"/>
    <x v="170"/>
    <n v="22077"/>
    <x v="128"/>
    <x v="52"/>
    <n v="6"/>
    <n v="667"/>
  </r>
  <r>
    <n v="2808"/>
    <x v="0"/>
    <x v="37"/>
    <x v="37"/>
    <x v="0"/>
    <x v="0"/>
    <x v="87"/>
    <n v="22028"/>
    <x v="78"/>
    <x v="49"/>
    <n v="3"/>
    <n v="500"/>
  </r>
  <r>
    <n v="2809"/>
    <x v="0"/>
    <x v="37"/>
    <x v="37"/>
    <x v="0"/>
    <x v="0"/>
    <x v="178"/>
    <n v="22036"/>
    <x v="33"/>
    <x v="33"/>
    <n v="2"/>
    <n v="400"/>
  </r>
  <r>
    <n v="2810"/>
    <x v="0"/>
    <x v="37"/>
    <x v="37"/>
    <x v="0"/>
    <x v="0"/>
    <x v="169"/>
    <n v="22126"/>
    <x v="47"/>
    <x v="46"/>
    <n v="2"/>
    <n v="500"/>
  </r>
  <r>
    <n v="2811"/>
    <x v="0"/>
    <x v="37"/>
    <x v="37"/>
    <x v="0"/>
    <x v="0"/>
    <x v="188"/>
    <n v="22007"/>
    <x v="30"/>
    <x v="34"/>
    <n v="1"/>
    <n v="500"/>
  </r>
  <r>
    <n v="2812"/>
    <x v="0"/>
    <x v="37"/>
    <x v="37"/>
    <x v="0"/>
    <x v="0"/>
    <x v="190"/>
    <n v="22070"/>
    <x v="34"/>
    <x v="34"/>
    <n v="1"/>
    <n v="500"/>
  </r>
  <r>
    <n v="2813"/>
    <x v="0"/>
    <x v="37"/>
    <x v="37"/>
    <x v="0"/>
    <x v="0"/>
    <x v="189"/>
    <n v="22147"/>
    <x v="34"/>
    <x v="34"/>
    <n v="1"/>
    <n v="500"/>
  </r>
  <r>
    <n v="2814"/>
    <x v="0"/>
    <x v="37"/>
    <x v="37"/>
    <x v="0"/>
    <x v="0"/>
    <x v="6"/>
    <n v="22161"/>
    <x v="34"/>
    <x v="34"/>
    <n v="1"/>
    <n v="500"/>
  </r>
  <r>
    <n v="2815"/>
    <x v="0"/>
    <x v="37"/>
    <x v="37"/>
    <x v="1"/>
    <x v="1"/>
    <x v="10"/>
    <n v="14161"/>
    <x v="454"/>
    <x v="474"/>
    <n v="165400"/>
    <n v="1194"/>
  </r>
  <r>
    <n v="2816"/>
    <x v="0"/>
    <x v="37"/>
    <x v="37"/>
    <x v="1"/>
    <x v="1"/>
    <x v="8"/>
    <n v="14119"/>
    <x v="455"/>
    <x v="475"/>
    <n v="106600"/>
    <n v="1194"/>
  </r>
  <r>
    <n v="2817"/>
    <x v="0"/>
    <x v="37"/>
    <x v="37"/>
    <x v="1"/>
    <x v="1"/>
    <x v="107"/>
    <n v="14056"/>
    <x v="390"/>
    <x v="476"/>
    <n v="42540"/>
    <n v="1119"/>
  </r>
  <r>
    <n v="2818"/>
    <x v="0"/>
    <x v="37"/>
    <x v="37"/>
    <x v="1"/>
    <x v="1"/>
    <x v="143"/>
    <n v="14042"/>
    <x v="367"/>
    <x v="477"/>
    <n v="41360"/>
    <n v="1194"/>
  </r>
  <r>
    <n v="2819"/>
    <x v="0"/>
    <x v="37"/>
    <x v="37"/>
    <x v="1"/>
    <x v="1"/>
    <x v="7"/>
    <n v="14147"/>
    <x v="380"/>
    <x v="462"/>
    <n v="35260"/>
    <n v="1119"/>
  </r>
  <r>
    <n v="2820"/>
    <x v="0"/>
    <x v="37"/>
    <x v="37"/>
    <x v="1"/>
    <x v="1"/>
    <x v="13"/>
    <n v="14098"/>
    <x v="386"/>
    <x v="401"/>
    <n v="26120"/>
    <n v="1045"/>
  </r>
  <r>
    <n v="2821"/>
    <x v="0"/>
    <x v="37"/>
    <x v="37"/>
    <x v="1"/>
    <x v="1"/>
    <x v="70"/>
    <n v="14007"/>
    <x v="210"/>
    <x v="443"/>
    <n v="10060"/>
    <n v="1118"/>
  </r>
  <r>
    <n v="2822"/>
    <x v="0"/>
    <x v="37"/>
    <x v="37"/>
    <x v="1"/>
    <x v="1"/>
    <x v="9"/>
    <n v="14105"/>
    <x v="189"/>
    <x v="318"/>
    <n v="5750"/>
    <n v="1045"/>
  </r>
  <r>
    <n v="2823"/>
    <x v="0"/>
    <x v="37"/>
    <x v="37"/>
    <x v="1"/>
    <x v="1"/>
    <x v="90"/>
    <n v="14182"/>
    <x v="81"/>
    <x v="83"/>
    <n v="1570"/>
    <n v="1047"/>
  </r>
  <r>
    <n v="2824"/>
    <x v="0"/>
    <x v="37"/>
    <x v="37"/>
    <x v="1"/>
    <x v="1"/>
    <x v="144"/>
    <n v="14175"/>
    <x v="11"/>
    <x v="59"/>
    <n v="180"/>
    <n v="450"/>
  </r>
  <r>
    <n v="2825"/>
    <x v="0"/>
    <x v="37"/>
    <x v="37"/>
    <x v="1"/>
    <x v="1"/>
    <x v="46"/>
    <n v="14140"/>
    <x v="26"/>
    <x v="380"/>
    <n v="390"/>
    <n v="1026"/>
  </r>
  <r>
    <n v="2826"/>
    <x v="0"/>
    <x v="37"/>
    <x v="37"/>
    <x v="1"/>
    <x v="1"/>
    <x v="151"/>
    <n v="14077"/>
    <x v="451"/>
    <x v="115"/>
    <n v="295"/>
    <n v="1054"/>
  </r>
  <r>
    <n v="2827"/>
    <x v="0"/>
    <x v="37"/>
    <x v="37"/>
    <x v="1"/>
    <x v="1"/>
    <x v="133"/>
    <n v="14112"/>
    <x v="456"/>
    <x v="23"/>
    <n v="38"/>
    <n v="380"/>
  </r>
  <r>
    <n v="2828"/>
    <x v="0"/>
    <x v="37"/>
    <x v="37"/>
    <x v="1"/>
    <x v="1"/>
    <x v="12"/>
    <n v="14014"/>
    <x v="69"/>
    <x v="69"/>
    <n v="150"/>
    <n v="937"/>
  </r>
  <r>
    <n v="2829"/>
    <x v="0"/>
    <x v="37"/>
    <x v="37"/>
    <x v="1"/>
    <x v="1"/>
    <x v="135"/>
    <n v="14028"/>
    <x v="143"/>
    <x v="39"/>
    <n v="20"/>
    <n v="444"/>
  </r>
  <r>
    <n v="2830"/>
    <x v="0"/>
    <x v="37"/>
    <x v="37"/>
    <x v="1"/>
    <x v="1"/>
    <x v="11"/>
    <n v="14021"/>
    <x v="23"/>
    <x v="44"/>
    <n v="60"/>
    <n v="750"/>
  </r>
  <r>
    <n v="2831"/>
    <x v="0"/>
    <x v="37"/>
    <x v="37"/>
    <x v="1"/>
    <x v="1"/>
    <x v="132"/>
    <n v="14049"/>
    <x v="23"/>
    <x v="78"/>
    <n v="11"/>
    <n v="440"/>
  </r>
  <r>
    <n v="2832"/>
    <x v="0"/>
    <x v="37"/>
    <x v="37"/>
    <x v="1"/>
    <x v="1"/>
    <x v="84"/>
    <n v="14168"/>
    <x v="44"/>
    <x v="45"/>
    <n v="24"/>
    <n v="600"/>
  </r>
  <r>
    <n v="2833"/>
    <x v="0"/>
    <x v="37"/>
    <x v="37"/>
    <x v="1"/>
    <x v="1"/>
    <x v="131"/>
    <n v="14126"/>
    <x v="125"/>
    <x v="45"/>
    <n v="35"/>
    <n v="875"/>
  </r>
  <r>
    <n v="2834"/>
    <x v="0"/>
    <x v="37"/>
    <x v="37"/>
    <x v="1"/>
    <x v="1"/>
    <x v="134"/>
    <n v="14091"/>
    <x v="92"/>
    <x v="78"/>
    <n v="19"/>
    <n v="760"/>
  </r>
  <r>
    <n v="2835"/>
    <x v="0"/>
    <x v="37"/>
    <x v="37"/>
    <x v="1"/>
    <x v="1"/>
    <x v="42"/>
    <n v="14133"/>
    <x v="45"/>
    <x v="80"/>
    <n v="18"/>
    <n v="900"/>
  </r>
  <r>
    <n v="2836"/>
    <x v="0"/>
    <x v="37"/>
    <x v="37"/>
    <x v="2"/>
    <x v="2"/>
    <x v="17"/>
    <n v="18042"/>
    <x v="131"/>
    <x v="72"/>
    <n v="21"/>
    <n v="700"/>
  </r>
  <r>
    <n v="2837"/>
    <x v="0"/>
    <x v="37"/>
    <x v="37"/>
    <x v="2"/>
    <x v="2"/>
    <x v="72"/>
    <n v="18063"/>
    <x v="72"/>
    <x v="157"/>
    <n v="19"/>
    <n v="704"/>
  </r>
  <r>
    <n v="2838"/>
    <x v="0"/>
    <x v="37"/>
    <x v="37"/>
    <x v="2"/>
    <x v="2"/>
    <x v="19"/>
    <n v="18133"/>
    <x v="72"/>
    <x v="78"/>
    <n v="16"/>
    <n v="640"/>
  </r>
  <r>
    <n v="2839"/>
    <x v="0"/>
    <x v="37"/>
    <x v="37"/>
    <x v="2"/>
    <x v="2"/>
    <x v="24"/>
    <n v="18140"/>
    <x v="72"/>
    <x v="157"/>
    <n v="20"/>
    <n v="740"/>
  </r>
  <r>
    <n v="2840"/>
    <x v="0"/>
    <x v="37"/>
    <x v="37"/>
    <x v="2"/>
    <x v="2"/>
    <x v="23"/>
    <n v="18126"/>
    <x v="93"/>
    <x v="79"/>
    <n v="10"/>
    <n v="625"/>
  </r>
  <r>
    <n v="2841"/>
    <x v="0"/>
    <x v="37"/>
    <x v="37"/>
    <x v="2"/>
    <x v="2"/>
    <x v="12"/>
    <n v="18021"/>
    <x v="45"/>
    <x v="140"/>
    <n v="12"/>
    <n v="667"/>
  </r>
  <r>
    <n v="2842"/>
    <x v="0"/>
    <x v="37"/>
    <x v="37"/>
    <x v="2"/>
    <x v="2"/>
    <x v="43"/>
    <n v="18028"/>
    <x v="31"/>
    <x v="49"/>
    <n v="3"/>
    <n v="500"/>
  </r>
  <r>
    <n v="2843"/>
    <x v="0"/>
    <x v="37"/>
    <x v="37"/>
    <x v="2"/>
    <x v="2"/>
    <x v="76"/>
    <n v="18154"/>
    <x v="31"/>
    <x v="77"/>
    <n v="10"/>
    <n v="714"/>
  </r>
  <r>
    <n v="2844"/>
    <x v="0"/>
    <x v="37"/>
    <x v="37"/>
    <x v="2"/>
    <x v="2"/>
    <x v="71"/>
    <n v="18098"/>
    <x v="13"/>
    <x v="29"/>
    <n v="4"/>
    <n v="571"/>
  </r>
  <r>
    <n v="2845"/>
    <x v="0"/>
    <x v="37"/>
    <x v="37"/>
    <x v="2"/>
    <x v="2"/>
    <x v="18"/>
    <n v="18049"/>
    <x v="33"/>
    <x v="34"/>
    <n v="1"/>
    <n v="500"/>
  </r>
  <r>
    <n v="2846"/>
    <x v="0"/>
    <x v="37"/>
    <x v="37"/>
    <x v="2"/>
    <x v="2"/>
    <x v="73"/>
    <n v="18077"/>
    <x v="33"/>
    <x v="33"/>
    <n v="3"/>
    <n v="600"/>
  </r>
  <r>
    <n v="2847"/>
    <x v="0"/>
    <x v="37"/>
    <x v="37"/>
    <x v="2"/>
    <x v="2"/>
    <x v="22"/>
    <n v="18084"/>
    <x v="33"/>
    <x v="34"/>
    <n v="1"/>
    <n v="500"/>
  </r>
  <r>
    <n v="2848"/>
    <x v="0"/>
    <x v="37"/>
    <x v="37"/>
    <x v="3"/>
    <x v="3"/>
    <x v="29"/>
    <n v="30015"/>
    <x v="223"/>
    <x v="32"/>
    <n v="4"/>
    <n v="400"/>
  </r>
  <r>
    <n v="2849"/>
    <x v="0"/>
    <x v="37"/>
    <x v="37"/>
    <x v="3"/>
    <x v="3"/>
    <x v="28"/>
    <n v="30028"/>
    <x v="125"/>
    <x v="33"/>
    <n v="2"/>
    <n v="400"/>
  </r>
  <r>
    <n v="2850"/>
    <x v="0"/>
    <x v="37"/>
    <x v="37"/>
    <x v="3"/>
    <x v="3"/>
    <x v="11"/>
    <n v="30008"/>
    <x v="33"/>
    <x v="46"/>
    <n v="2"/>
    <n v="500"/>
  </r>
  <r>
    <n v="2851"/>
    <x v="0"/>
    <x v="37"/>
    <x v="37"/>
    <x v="4"/>
    <x v="4"/>
    <x v="33"/>
    <n v="34056"/>
    <x v="72"/>
    <x v="80"/>
    <n v="14"/>
    <n v="700"/>
  </r>
  <r>
    <n v="2852"/>
    <x v="0"/>
    <x v="37"/>
    <x v="37"/>
    <x v="4"/>
    <x v="4"/>
    <x v="30"/>
    <n v="34049"/>
    <x v="92"/>
    <x v="140"/>
    <n v="11"/>
    <n v="611"/>
  </r>
  <r>
    <n v="2853"/>
    <x v="0"/>
    <x v="37"/>
    <x v="37"/>
    <x v="4"/>
    <x v="4"/>
    <x v="81"/>
    <n v="34042"/>
    <x v="45"/>
    <x v="31"/>
    <n v="10"/>
    <n v="667"/>
  </r>
  <r>
    <n v="2854"/>
    <x v="0"/>
    <x v="37"/>
    <x v="37"/>
    <x v="4"/>
    <x v="4"/>
    <x v="32"/>
    <n v="34014"/>
    <x v="31"/>
    <x v="32"/>
    <n v="6"/>
    <n v="600"/>
  </r>
  <r>
    <n v="2855"/>
    <x v="0"/>
    <x v="37"/>
    <x v="37"/>
    <x v="4"/>
    <x v="4"/>
    <x v="31"/>
    <n v="34021"/>
    <x v="31"/>
    <x v="13"/>
    <n v="7"/>
    <n v="583"/>
  </r>
  <r>
    <n v="2856"/>
    <x v="0"/>
    <x v="37"/>
    <x v="37"/>
    <x v="4"/>
    <x v="4"/>
    <x v="34"/>
    <n v="34035"/>
    <x v="32"/>
    <x v="67"/>
    <n v="6"/>
    <n v="750"/>
  </r>
  <r>
    <n v="2857"/>
    <x v="0"/>
    <x v="37"/>
    <x v="37"/>
    <x v="6"/>
    <x v="6"/>
    <x v="182"/>
    <n v="54091"/>
    <x v="273"/>
    <x v="236"/>
    <n v="58"/>
    <n v="806"/>
  </r>
  <r>
    <n v="2858"/>
    <x v="0"/>
    <x v="37"/>
    <x v="37"/>
    <x v="6"/>
    <x v="6"/>
    <x v="40"/>
    <n v="54021"/>
    <x v="38"/>
    <x v="111"/>
    <n v="40"/>
    <n v="800"/>
  </r>
  <r>
    <n v="2859"/>
    <x v="0"/>
    <x v="37"/>
    <x v="37"/>
    <x v="6"/>
    <x v="6"/>
    <x v="41"/>
    <n v="54098"/>
    <x v="118"/>
    <x v="125"/>
    <n v="42"/>
    <n v="792"/>
  </r>
  <r>
    <n v="2860"/>
    <x v="0"/>
    <x v="37"/>
    <x v="37"/>
    <x v="6"/>
    <x v="6"/>
    <x v="183"/>
    <n v="54070"/>
    <x v="220"/>
    <x v="201"/>
    <n v="37"/>
    <n v="860"/>
  </r>
  <r>
    <n v="2861"/>
    <x v="0"/>
    <x v="37"/>
    <x v="37"/>
    <x v="6"/>
    <x v="6"/>
    <x v="39"/>
    <n v="54007"/>
    <x v="197"/>
    <x v="138"/>
    <n v="30"/>
    <n v="769"/>
  </r>
  <r>
    <n v="2862"/>
    <x v="0"/>
    <x v="37"/>
    <x v="37"/>
    <x v="6"/>
    <x v="6"/>
    <x v="43"/>
    <n v="54035"/>
    <x v="131"/>
    <x v="102"/>
    <n v="25"/>
    <n v="781"/>
  </r>
  <r>
    <n v="2863"/>
    <x v="0"/>
    <x v="37"/>
    <x v="37"/>
    <x v="6"/>
    <x v="6"/>
    <x v="42"/>
    <n v="54105"/>
    <x v="92"/>
    <x v="99"/>
    <n v="18"/>
    <n v="818"/>
  </r>
  <r>
    <n v="2864"/>
    <x v="0"/>
    <x v="37"/>
    <x v="37"/>
    <x v="6"/>
    <x v="6"/>
    <x v="114"/>
    <n v="54014"/>
    <x v="94"/>
    <x v="99"/>
    <n v="17"/>
    <n v="773"/>
  </r>
  <r>
    <n v="2865"/>
    <x v="0"/>
    <x v="37"/>
    <x v="37"/>
    <x v="6"/>
    <x v="6"/>
    <x v="184"/>
    <n v="54084"/>
    <x v="94"/>
    <x v="99"/>
    <n v="18"/>
    <n v="818"/>
  </r>
  <r>
    <n v="2866"/>
    <x v="0"/>
    <x v="37"/>
    <x v="37"/>
    <x v="6"/>
    <x v="6"/>
    <x v="185"/>
    <n v="54042"/>
    <x v="31"/>
    <x v="31"/>
    <n v="11"/>
    <n v="733"/>
  </r>
  <r>
    <n v="2867"/>
    <x v="0"/>
    <x v="37"/>
    <x v="37"/>
    <x v="6"/>
    <x v="6"/>
    <x v="116"/>
    <n v="54063"/>
    <x v="31"/>
    <x v="31"/>
    <n v="11"/>
    <n v="733"/>
  </r>
  <r>
    <n v="2868"/>
    <x v="0"/>
    <x v="37"/>
    <x v="37"/>
    <x v="6"/>
    <x v="6"/>
    <x v="88"/>
    <n v="54077"/>
    <x v="31"/>
    <x v="31"/>
    <n v="11"/>
    <n v="733"/>
  </r>
  <r>
    <n v="2869"/>
    <x v="0"/>
    <x v="37"/>
    <x v="37"/>
    <x v="6"/>
    <x v="6"/>
    <x v="115"/>
    <n v="54056"/>
    <x v="33"/>
    <x v="33"/>
    <n v="4"/>
    <n v="800"/>
  </r>
  <r>
    <n v="2870"/>
    <x v="0"/>
    <x v="37"/>
    <x v="37"/>
    <x v="6"/>
    <x v="6"/>
    <x v="37"/>
    <n v="54112"/>
    <x v="33"/>
    <x v="33"/>
    <n v="4"/>
    <n v="800"/>
  </r>
  <r>
    <n v="2871"/>
    <x v="0"/>
    <x v="37"/>
    <x v="37"/>
    <x v="6"/>
    <x v="6"/>
    <x v="192"/>
    <n v="54049"/>
    <x v="30"/>
    <x v="30"/>
    <n v="2"/>
    <n v="667"/>
  </r>
  <r>
    <n v="2872"/>
    <x v="0"/>
    <x v="37"/>
    <x v="37"/>
    <x v="6"/>
    <x v="6"/>
    <x v="174"/>
    <n v="54119"/>
    <x v="30"/>
    <x v="30"/>
    <n v="2"/>
    <n v="667"/>
  </r>
  <r>
    <n v="2873"/>
    <x v="0"/>
    <x v="37"/>
    <x v="37"/>
    <x v="11"/>
    <x v="11"/>
    <x v="146"/>
    <n v="66140"/>
    <x v="457"/>
    <x v="61"/>
    <n v="427"/>
    <n v="1708"/>
  </r>
  <r>
    <n v="2874"/>
    <x v="0"/>
    <x v="37"/>
    <x v="37"/>
    <x v="11"/>
    <x v="11"/>
    <x v="117"/>
    <n v="66007"/>
    <x v="44"/>
    <x v="111"/>
    <n v="70"/>
    <n v="1400"/>
  </r>
  <r>
    <n v="2875"/>
    <x v="0"/>
    <x v="37"/>
    <x v="37"/>
    <x v="11"/>
    <x v="11"/>
    <x v="171"/>
    <n v="66056"/>
    <x v="125"/>
    <x v="45"/>
    <n v="48"/>
    <n v="1200"/>
  </r>
  <r>
    <n v="2876"/>
    <x v="0"/>
    <x v="37"/>
    <x v="37"/>
    <x v="11"/>
    <x v="11"/>
    <x v="106"/>
    <n v="66112"/>
    <x v="125"/>
    <x v="45"/>
    <n v="56"/>
    <n v="1400"/>
  </r>
  <r>
    <n v="2877"/>
    <x v="0"/>
    <x v="37"/>
    <x v="37"/>
    <x v="11"/>
    <x v="11"/>
    <x v="93"/>
    <n v="66035"/>
    <x v="72"/>
    <x v="202"/>
    <n v="38"/>
    <n v="1357"/>
  </r>
  <r>
    <n v="2878"/>
    <x v="0"/>
    <x v="37"/>
    <x v="37"/>
    <x v="11"/>
    <x v="11"/>
    <x v="123"/>
    <n v="66133"/>
    <x v="132"/>
    <x v="31"/>
    <n v="12"/>
    <n v="800"/>
  </r>
  <r>
    <n v="2879"/>
    <x v="0"/>
    <x v="37"/>
    <x v="37"/>
    <x v="11"/>
    <x v="11"/>
    <x v="193"/>
    <n v="66063"/>
    <x v="32"/>
    <x v="52"/>
    <n v="12"/>
    <n v="1333"/>
  </r>
  <r>
    <n v="2880"/>
    <x v="0"/>
    <x v="37"/>
    <x v="37"/>
    <x v="11"/>
    <x v="11"/>
    <x v="140"/>
    <n v="66126"/>
    <x v="77"/>
    <x v="67"/>
    <n v="9"/>
    <n v="1125"/>
  </r>
  <r>
    <n v="2881"/>
    <x v="0"/>
    <x v="37"/>
    <x v="37"/>
    <x v="11"/>
    <x v="11"/>
    <x v="97"/>
    <n v="66147"/>
    <x v="77"/>
    <x v="29"/>
    <n v="10"/>
    <n v="1429"/>
  </r>
  <r>
    <n v="2882"/>
    <x v="0"/>
    <x v="37"/>
    <x v="37"/>
    <x v="11"/>
    <x v="11"/>
    <x v="12"/>
    <n v="66028"/>
    <x v="29"/>
    <x v="49"/>
    <n v="8"/>
    <n v="1333"/>
  </r>
  <r>
    <n v="2883"/>
    <x v="0"/>
    <x v="37"/>
    <x v="37"/>
    <x v="13"/>
    <x v="13"/>
    <x v="12"/>
    <n v="74056"/>
    <x v="16"/>
    <x v="16"/>
    <n v="420"/>
    <n v="1200"/>
  </r>
  <r>
    <n v="2884"/>
    <x v="0"/>
    <x v="37"/>
    <x v="37"/>
    <x v="13"/>
    <x v="13"/>
    <x v="94"/>
    <n v="74035"/>
    <x v="164"/>
    <x v="169"/>
    <n v="230"/>
    <n v="1000"/>
  </r>
  <r>
    <n v="2885"/>
    <x v="0"/>
    <x v="37"/>
    <x v="37"/>
    <x v="13"/>
    <x v="13"/>
    <x v="86"/>
    <n v="74021"/>
    <x v="19"/>
    <x v="19"/>
    <n v="170"/>
    <n v="1000"/>
  </r>
  <r>
    <n v="2886"/>
    <x v="0"/>
    <x v="37"/>
    <x v="37"/>
    <x v="13"/>
    <x v="13"/>
    <x v="87"/>
    <n v="74028"/>
    <x v="23"/>
    <x v="23"/>
    <n v="80"/>
    <n v="800"/>
  </r>
  <r>
    <n v="2887"/>
    <x v="0"/>
    <x v="37"/>
    <x v="37"/>
    <x v="13"/>
    <x v="13"/>
    <x v="95"/>
    <n v="74049"/>
    <x v="127"/>
    <x v="134"/>
    <n v="70"/>
    <n v="1000"/>
  </r>
  <r>
    <n v="2888"/>
    <x v="0"/>
    <x v="37"/>
    <x v="37"/>
    <x v="7"/>
    <x v="7"/>
    <x v="45"/>
    <n v="82035"/>
    <x v="231"/>
    <x v="63"/>
    <n v="161"/>
    <n v="894"/>
  </r>
  <r>
    <n v="2889"/>
    <x v="0"/>
    <x v="37"/>
    <x v="37"/>
    <x v="7"/>
    <x v="7"/>
    <x v="44"/>
    <n v="82049"/>
    <x v="44"/>
    <x v="111"/>
    <n v="50"/>
    <n v="1000"/>
  </r>
  <r>
    <n v="2890"/>
    <x v="0"/>
    <x v="37"/>
    <x v="37"/>
    <x v="7"/>
    <x v="7"/>
    <x v="42"/>
    <n v="82098"/>
    <x v="32"/>
    <x v="32"/>
    <n v="7"/>
    <n v="700"/>
  </r>
  <r>
    <n v="2891"/>
    <x v="0"/>
    <x v="37"/>
    <x v="37"/>
    <x v="9"/>
    <x v="9"/>
    <x v="55"/>
    <n v="90007"/>
    <x v="153"/>
    <x v="478"/>
    <n v="348"/>
    <n v="605"/>
  </r>
  <r>
    <n v="2892"/>
    <x v="0"/>
    <x v="37"/>
    <x v="37"/>
    <x v="9"/>
    <x v="9"/>
    <x v="64"/>
    <n v="90112"/>
    <x v="20"/>
    <x v="111"/>
    <n v="30"/>
    <n v="600"/>
  </r>
  <r>
    <n v="2893"/>
    <x v="0"/>
    <x v="37"/>
    <x v="37"/>
    <x v="9"/>
    <x v="9"/>
    <x v="83"/>
    <n v="90021"/>
    <x v="44"/>
    <x v="39"/>
    <n v="35"/>
    <n v="778"/>
  </r>
  <r>
    <n v="2894"/>
    <x v="0"/>
    <x v="37"/>
    <x v="37"/>
    <x v="9"/>
    <x v="9"/>
    <x v="66"/>
    <n v="90056"/>
    <x v="170"/>
    <x v="77"/>
    <n v="12"/>
    <n v="857"/>
  </r>
  <r>
    <n v="2895"/>
    <x v="0"/>
    <x v="37"/>
    <x v="37"/>
    <x v="9"/>
    <x v="9"/>
    <x v="82"/>
    <n v="90077"/>
    <x v="78"/>
    <x v="49"/>
    <n v="5"/>
    <n v="833"/>
  </r>
  <r>
    <n v="2896"/>
    <x v="0"/>
    <x v="38"/>
    <x v="38"/>
    <x v="0"/>
    <x v="0"/>
    <x v="88"/>
    <n v="22084"/>
    <x v="59"/>
    <x v="214"/>
    <n v="126"/>
    <n v="525"/>
  </r>
  <r>
    <n v="2897"/>
    <x v="0"/>
    <x v="38"/>
    <x v="38"/>
    <x v="0"/>
    <x v="0"/>
    <x v="142"/>
    <n v="22049"/>
    <x v="117"/>
    <x v="183"/>
    <m/>
    <m/>
  </r>
  <r>
    <n v="2898"/>
    <x v="0"/>
    <x v="38"/>
    <x v="38"/>
    <x v="0"/>
    <x v="0"/>
    <x v="167"/>
    <n v="22154"/>
    <x v="27"/>
    <x v="78"/>
    <n v="10"/>
    <n v="400"/>
  </r>
  <r>
    <n v="2899"/>
    <x v="0"/>
    <x v="38"/>
    <x v="38"/>
    <x v="0"/>
    <x v="0"/>
    <x v="168"/>
    <n v="22056"/>
    <x v="44"/>
    <x v="80"/>
    <n v="8"/>
    <n v="400"/>
  </r>
  <r>
    <n v="2900"/>
    <x v="0"/>
    <x v="38"/>
    <x v="38"/>
    <x v="0"/>
    <x v="0"/>
    <x v="172"/>
    <n v="22105"/>
    <x v="44"/>
    <x v="183"/>
    <m/>
    <m/>
  </r>
  <r>
    <n v="2901"/>
    <x v="0"/>
    <x v="38"/>
    <x v="38"/>
    <x v="0"/>
    <x v="0"/>
    <x v="173"/>
    <n v="22133"/>
    <x v="44"/>
    <x v="183"/>
    <m/>
    <m/>
  </r>
  <r>
    <n v="2902"/>
    <x v="0"/>
    <x v="38"/>
    <x v="38"/>
    <x v="0"/>
    <x v="0"/>
    <x v="174"/>
    <n v="22168"/>
    <x v="44"/>
    <x v="107"/>
    <n v="12"/>
    <n v="353"/>
  </r>
  <r>
    <n v="2903"/>
    <x v="0"/>
    <x v="38"/>
    <x v="38"/>
    <x v="0"/>
    <x v="0"/>
    <x v="180"/>
    <n v="22021"/>
    <x v="72"/>
    <x v="183"/>
    <m/>
    <m/>
  </r>
  <r>
    <n v="2904"/>
    <x v="0"/>
    <x v="38"/>
    <x v="38"/>
    <x v="0"/>
    <x v="0"/>
    <x v="166"/>
    <n v="22119"/>
    <x v="72"/>
    <x v="112"/>
    <n v="7"/>
    <n v="368"/>
  </r>
  <r>
    <n v="2905"/>
    <x v="0"/>
    <x v="38"/>
    <x v="38"/>
    <x v="0"/>
    <x v="0"/>
    <x v="176"/>
    <n v="22063"/>
    <x v="45"/>
    <x v="183"/>
    <m/>
    <m/>
  </r>
  <r>
    <n v="2906"/>
    <x v="0"/>
    <x v="38"/>
    <x v="38"/>
    <x v="0"/>
    <x v="0"/>
    <x v="4"/>
    <n v="22014"/>
    <x v="107"/>
    <x v="33"/>
    <n v="2"/>
    <n v="400"/>
  </r>
  <r>
    <n v="2907"/>
    <x v="0"/>
    <x v="38"/>
    <x v="38"/>
    <x v="0"/>
    <x v="0"/>
    <x v="170"/>
    <n v="22077"/>
    <x v="31"/>
    <x v="52"/>
    <n v="3"/>
    <n v="333"/>
  </r>
  <r>
    <n v="2908"/>
    <x v="0"/>
    <x v="38"/>
    <x v="38"/>
    <x v="0"/>
    <x v="0"/>
    <x v="181"/>
    <n v="22112"/>
    <x v="31"/>
    <x v="183"/>
    <m/>
    <m/>
  </r>
  <r>
    <n v="2909"/>
    <x v="0"/>
    <x v="38"/>
    <x v="38"/>
    <x v="0"/>
    <x v="0"/>
    <x v="175"/>
    <n v="22140"/>
    <x v="170"/>
    <x v="67"/>
    <n v="2"/>
    <n v="250"/>
  </r>
  <r>
    <n v="2910"/>
    <x v="0"/>
    <x v="38"/>
    <x v="38"/>
    <x v="0"/>
    <x v="0"/>
    <x v="178"/>
    <n v="22036"/>
    <x v="29"/>
    <x v="183"/>
    <m/>
    <m/>
  </r>
  <r>
    <n v="2911"/>
    <x v="0"/>
    <x v="38"/>
    <x v="38"/>
    <x v="0"/>
    <x v="0"/>
    <x v="87"/>
    <n v="22028"/>
    <x v="78"/>
    <x v="183"/>
    <m/>
    <m/>
  </r>
  <r>
    <n v="2912"/>
    <x v="0"/>
    <x v="38"/>
    <x v="38"/>
    <x v="0"/>
    <x v="0"/>
    <x v="188"/>
    <n v="22007"/>
    <x v="30"/>
    <x v="183"/>
    <m/>
    <m/>
  </r>
  <r>
    <n v="2913"/>
    <x v="0"/>
    <x v="38"/>
    <x v="38"/>
    <x v="0"/>
    <x v="0"/>
    <x v="169"/>
    <n v="22126"/>
    <x v="30"/>
    <x v="183"/>
    <m/>
    <m/>
  </r>
  <r>
    <n v="2914"/>
    <x v="0"/>
    <x v="38"/>
    <x v="38"/>
    <x v="0"/>
    <x v="0"/>
    <x v="189"/>
    <n v="22147"/>
    <x v="30"/>
    <x v="183"/>
    <m/>
    <m/>
  </r>
  <r>
    <n v="2915"/>
    <x v="0"/>
    <x v="38"/>
    <x v="38"/>
    <x v="0"/>
    <x v="0"/>
    <x v="190"/>
    <n v="22070"/>
    <x v="34"/>
    <x v="183"/>
    <m/>
    <m/>
  </r>
  <r>
    <n v="2916"/>
    <x v="0"/>
    <x v="38"/>
    <x v="38"/>
    <x v="0"/>
    <x v="0"/>
    <x v="6"/>
    <n v="22161"/>
    <x v="34"/>
    <x v="183"/>
    <m/>
    <m/>
  </r>
  <r>
    <n v="2917"/>
    <x v="0"/>
    <x v="38"/>
    <x v="38"/>
    <x v="1"/>
    <x v="1"/>
    <x v="10"/>
    <n v="14161"/>
    <x v="458"/>
    <x v="479"/>
    <n v="169575"/>
    <n v="1330"/>
  </r>
  <r>
    <n v="2918"/>
    <x v="0"/>
    <x v="38"/>
    <x v="38"/>
    <x v="1"/>
    <x v="1"/>
    <x v="8"/>
    <n v="14119"/>
    <x v="459"/>
    <x v="480"/>
    <n v="88800"/>
    <n v="1200"/>
  </r>
  <r>
    <n v="2919"/>
    <x v="0"/>
    <x v="38"/>
    <x v="38"/>
    <x v="1"/>
    <x v="1"/>
    <x v="107"/>
    <n v="14056"/>
    <x v="442"/>
    <x v="481"/>
    <n v="37680"/>
    <n v="1200"/>
  </r>
  <r>
    <n v="2920"/>
    <x v="0"/>
    <x v="38"/>
    <x v="38"/>
    <x v="1"/>
    <x v="1"/>
    <x v="7"/>
    <n v="14147"/>
    <x v="417"/>
    <x v="360"/>
    <n v="34800"/>
    <n v="1200"/>
  </r>
  <r>
    <n v="2921"/>
    <x v="0"/>
    <x v="38"/>
    <x v="38"/>
    <x v="1"/>
    <x v="1"/>
    <x v="13"/>
    <n v="14098"/>
    <x v="460"/>
    <x v="373"/>
    <n v="28350"/>
    <n v="1050"/>
  </r>
  <r>
    <n v="2922"/>
    <x v="0"/>
    <x v="38"/>
    <x v="38"/>
    <x v="1"/>
    <x v="1"/>
    <x v="143"/>
    <n v="14042"/>
    <x v="461"/>
    <x v="365"/>
    <n v="31200"/>
    <n v="1200"/>
  </r>
  <r>
    <n v="2923"/>
    <x v="0"/>
    <x v="38"/>
    <x v="38"/>
    <x v="1"/>
    <x v="1"/>
    <x v="9"/>
    <n v="14105"/>
    <x v="210"/>
    <x v="127"/>
    <n v="4725"/>
    <n v="1050"/>
  </r>
  <r>
    <n v="2924"/>
    <x v="0"/>
    <x v="38"/>
    <x v="38"/>
    <x v="1"/>
    <x v="1"/>
    <x v="70"/>
    <n v="14007"/>
    <x v="462"/>
    <x v="482"/>
    <n v="9840"/>
    <n v="1200"/>
  </r>
  <r>
    <n v="2925"/>
    <x v="0"/>
    <x v="38"/>
    <x v="38"/>
    <x v="1"/>
    <x v="1"/>
    <x v="90"/>
    <n v="14182"/>
    <x v="108"/>
    <x v="56"/>
    <n v="1320"/>
    <n v="1100"/>
  </r>
  <r>
    <n v="2926"/>
    <x v="0"/>
    <x v="38"/>
    <x v="38"/>
    <x v="1"/>
    <x v="1"/>
    <x v="46"/>
    <n v="14140"/>
    <x v="180"/>
    <x v="14"/>
    <n v="450"/>
    <n v="900"/>
  </r>
  <r>
    <n v="2927"/>
    <x v="0"/>
    <x v="38"/>
    <x v="38"/>
    <x v="1"/>
    <x v="1"/>
    <x v="151"/>
    <n v="14077"/>
    <x v="18"/>
    <x v="18"/>
    <n v="204"/>
    <n v="1020"/>
  </r>
  <r>
    <n v="2928"/>
    <x v="0"/>
    <x v="38"/>
    <x v="38"/>
    <x v="1"/>
    <x v="1"/>
    <x v="12"/>
    <n v="14014"/>
    <x v="143"/>
    <x v="150"/>
    <n v="143"/>
    <n v="1100"/>
  </r>
  <r>
    <n v="2929"/>
    <x v="0"/>
    <x v="38"/>
    <x v="38"/>
    <x v="1"/>
    <x v="1"/>
    <x v="135"/>
    <n v="14028"/>
    <x v="224"/>
    <x v="151"/>
    <n v="99"/>
    <n v="1100"/>
  </r>
  <r>
    <n v="2930"/>
    <x v="0"/>
    <x v="38"/>
    <x v="38"/>
    <x v="1"/>
    <x v="1"/>
    <x v="144"/>
    <n v="14175"/>
    <x v="224"/>
    <x v="151"/>
    <n v="108"/>
    <n v="1200"/>
  </r>
  <r>
    <n v="2931"/>
    <x v="0"/>
    <x v="38"/>
    <x v="38"/>
    <x v="1"/>
    <x v="1"/>
    <x v="11"/>
    <n v="14021"/>
    <x v="225"/>
    <x v="225"/>
    <n v="66"/>
    <n v="1100"/>
  </r>
  <r>
    <n v="2932"/>
    <x v="0"/>
    <x v="38"/>
    <x v="38"/>
    <x v="1"/>
    <x v="1"/>
    <x v="132"/>
    <n v="14049"/>
    <x v="44"/>
    <x v="111"/>
    <n v="55"/>
    <n v="1100"/>
  </r>
  <r>
    <n v="2933"/>
    <x v="0"/>
    <x v="38"/>
    <x v="38"/>
    <x v="1"/>
    <x v="1"/>
    <x v="133"/>
    <n v="14112"/>
    <x v="44"/>
    <x v="111"/>
    <n v="55"/>
    <n v="1100"/>
  </r>
  <r>
    <n v="2934"/>
    <x v="0"/>
    <x v="38"/>
    <x v="38"/>
    <x v="1"/>
    <x v="1"/>
    <x v="131"/>
    <n v="14126"/>
    <x v="45"/>
    <x v="80"/>
    <n v="20"/>
    <n v="1000"/>
  </r>
  <r>
    <n v="2935"/>
    <x v="0"/>
    <x v="38"/>
    <x v="38"/>
    <x v="1"/>
    <x v="1"/>
    <x v="42"/>
    <n v="14133"/>
    <x v="32"/>
    <x v="32"/>
    <n v="10"/>
    <n v="1000"/>
  </r>
  <r>
    <n v="2936"/>
    <x v="0"/>
    <x v="38"/>
    <x v="38"/>
    <x v="2"/>
    <x v="2"/>
    <x v="19"/>
    <n v="18133"/>
    <x v="44"/>
    <x v="107"/>
    <n v="27"/>
    <n v="794"/>
  </r>
  <r>
    <n v="2937"/>
    <x v="0"/>
    <x v="38"/>
    <x v="38"/>
    <x v="2"/>
    <x v="2"/>
    <x v="24"/>
    <n v="18140"/>
    <x v="72"/>
    <x v="80"/>
    <n v="16"/>
    <n v="800"/>
  </r>
  <r>
    <n v="2938"/>
    <x v="0"/>
    <x v="38"/>
    <x v="38"/>
    <x v="2"/>
    <x v="2"/>
    <x v="17"/>
    <n v="18042"/>
    <x v="45"/>
    <x v="77"/>
    <n v="11"/>
    <n v="786"/>
  </r>
  <r>
    <n v="2939"/>
    <x v="0"/>
    <x v="38"/>
    <x v="38"/>
    <x v="2"/>
    <x v="2"/>
    <x v="12"/>
    <n v="18021"/>
    <x v="31"/>
    <x v="13"/>
    <n v="10"/>
    <n v="833"/>
  </r>
  <r>
    <n v="2940"/>
    <x v="0"/>
    <x v="38"/>
    <x v="38"/>
    <x v="2"/>
    <x v="2"/>
    <x v="72"/>
    <n v="18063"/>
    <x v="31"/>
    <x v="13"/>
    <n v="10"/>
    <n v="833"/>
  </r>
  <r>
    <n v="2941"/>
    <x v="0"/>
    <x v="38"/>
    <x v="38"/>
    <x v="2"/>
    <x v="2"/>
    <x v="76"/>
    <n v="18154"/>
    <x v="32"/>
    <x v="67"/>
    <n v="6"/>
    <n v="750"/>
  </r>
  <r>
    <n v="2942"/>
    <x v="0"/>
    <x v="38"/>
    <x v="38"/>
    <x v="3"/>
    <x v="3"/>
    <x v="29"/>
    <n v="30015"/>
    <x v="45"/>
    <x v="135"/>
    <n v="7"/>
    <n v="538"/>
  </r>
  <r>
    <n v="2943"/>
    <x v="0"/>
    <x v="38"/>
    <x v="38"/>
    <x v="3"/>
    <x v="3"/>
    <x v="28"/>
    <n v="30028"/>
    <x v="32"/>
    <x v="29"/>
    <n v="3"/>
    <n v="429"/>
  </r>
  <r>
    <n v="2944"/>
    <x v="0"/>
    <x v="38"/>
    <x v="38"/>
    <x v="4"/>
    <x v="4"/>
    <x v="33"/>
    <n v="34056"/>
    <x v="23"/>
    <x v="183"/>
    <m/>
    <m/>
  </r>
  <r>
    <n v="2945"/>
    <x v="0"/>
    <x v="38"/>
    <x v="38"/>
    <x v="4"/>
    <x v="4"/>
    <x v="31"/>
    <n v="34021"/>
    <x v="225"/>
    <x v="183"/>
    <m/>
    <m/>
  </r>
  <r>
    <n v="2946"/>
    <x v="0"/>
    <x v="38"/>
    <x v="38"/>
    <x v="4"/>
    <x v="4"/>
    <x v="32"/>
    <n v="34014"/>
    <x v="39"/>
    <x v="183"/>
    <m/>
    <m/>
  </r>
  <r>
    <n v="2947"/>
    <x v="0"/>
    <x v="38"/>
    <x v="38"/>
    <x v="4"/>
    <x v="4"/>
    <x v="30"/>
    <n v="34049"/>
    <x v="125"/>
    <x v="139"/>
    <n v="28"/>
    <n v="800"/>
  </r>
  <r>
    <n v="2948"/>
    <x v="0"/>
    <x v="38"/>
    <x v="38"/>
    <x v="4"/>
    <x v="4"/>
    <x v="81"/>
    <n v="34042"/>
    <x v="131"/>
    <x v="139"/>
    <n v="35"/>
    <n v="1000"/>
  </r>
  <r>
    <n v="2949"/>
    <x v="0"/>
    <x v="38"/>
    <x v="38"/>
    <x v="4"/>
    <x v="4"/>
    <x v="34"/>
    <n v="34035"/>
    <x v="45"/>
    <x v="80"/>
    <n v="17"/>
    <n v="850"/>
  </r>
  <r>
    <n v="2950"/>
    <x v="0"/>
    <x v="38"/>
    <x v="38"/>
    <x v="6"/>
    <x v="6"/>
    <x v="182"/>
    <n v="54091"/>
    <x v="127"/>
    <x v="134"/>
    <n v="56"/>
    <n v="800"/>
  </r>
  <r>
    <n v="2951"/>
    <x v="0"/>
    <x v="38"/>
    <x v="38"/>
    <x v="6"/>
    <x v="6"/>
    <x v="41"/>
    <n v="54098"/>
    <x v="38"/>
    <x v="38"/>
    <n v="44"/>
    <n v="800"/>
  </r>
  <r>
    <n v="2952"/>
    <x v="0"/>
    <x v="38"/>
    <x v="38"/>
    <x v="6"/>
    <x v="6"/>
    <x v="40"/>
    <n v="54021"/>
    <x v="44"/>
    <x v="111"/>
    <n v="40"/>
    <n v="800"/>
  </r>
  <r>
    <n v="2953"/>
    <x v="0"/>
    <x v="38"/>
    <x v="38"/>
    <x v="6"/>
    <x v="6"/>
    <x v="183"/>
    <n v="54070"/>
    <x v="44"/>
    <x v="111"/>
    <n v="40"/>
    <n v="800"/>
  </r>
  <r>
    <n v="2954"/>
    <x v="0"/>
    <x v="38"/>
    <x v="38"/>
    <x v="6"/>
    <x v="6"/>
    <x v="39"/>
    <n v="54007"/>
    <x v="39"/>
    <x v="39"/>
    <n v="36"/>
    <n v="800"/>
  </r>
  <r>
    <n v="2955"/>
    <x v="0"/>
    <x v="38"/>
    <x v="38"/>
    <x v="6"/>
    <x v="6"/>
    <x v="43"/>
    <n v="54035"/>
    <x v="131"/>
    <x v="139"/>
    <n v="28"/>
    <n v="800"/>
  </r>
  <r>
    <n v="2956"/>
    <x v="0"/>
    <x v="38"/>
    <x v="38"/>
    <x v="6"/>
    <x v="6"/>
    <x v="114"/>
    <n v="54014"/>
    <x v="92"/>
    <x v="78"/>
    <n v="20"/>
    <n v="800"/>
  </r>
  <r>
    <n v="2957"/>
    <x v="0"/>
    <x v="38"/>
    <x v="38"/>
    <x v="6"/>
    <x v="6"/>
    <x v="42"/>
    <n v="54105"/>
    <x v="92"/>
    <x v="78"/>
    <n v="20"/>
    <n v="800"/>
  </r>
  <r>
    <n v="2958"/>
    <x v="0"/>
    <x v="38"/>
    <x v="38"/>
    <x v="6"/>
    <x v="6"/>
    <x v="184"/>
    <n v="54084"/>
    <x v="45"/>
    <x v="80"/>
    <n v="16"/>
    <n v="800"/>
  </r>
  <r>
    <n v="2959"/>
    <x v="0"/>
    <x v="38"/>
    <x v="38"/>
    <x v="6"/>
    <x v="6"/>
    <x v="185"/>
    <n v="54042"/>
    <x v="31"/>
    <x v="31"/>
    <n v="12"/>
    <n v="800"/>
  </r>
  <r>
    <n v="2960"/>
    <x v="0"/>
    <x v="38"/>
    <x v="38"/>
    <x v="6"/>
    <x v="6"/>
    <x v="88"/>
    <n v="54077"/>
    <x v="31"/>
    <x v="31"/>
    <n v="12"/>
    <n v="800"/>
  </r>
  <r>
    <n v="2961"/>
    <x v="0"/>
    <x v="38"/>
    <x v="38"/>
    <x v="6"/>
    <x v="6"/>
    <x v="115"/>
    <n v="54056"/>
    <x v="32"/>
    <x v="32"/>
    <n v="7"/>
    <n v="700"/>
  </r>
  <r>
    <n v="2962"/>
    <x v="0"/>
    <x v="38"/>
    <x v="38"/>
    <x v="6"/>
    <x v="6"/>
    <x v="116"/>
    <n v="54063"/>
    <x v="32"/>
    <x v="32"/>
    <n v="7"/>
    <n v="700"/>
  </r>
  <r>
    <n v="2963"/>
    <x v="0"/>
    <x v="38"/>
    <x v="38"/>
    <x v="6"/>
    <x v="6"/>
    <x v="192"/>
    <n v="54049"/>
    <x v="33"/>
    <x v="33"/>
    <n v="4"/>
    <n v="800"/>
  </r>
  <r>
    <n v="2964"/>
    <x v="0"/>
    <x v="38"/>
    <x v="38"/>
    <x v="6"/>
    <x v="6"/>
    <x v="37"/>
    <n v="54112"/>
    <x v="33"/>
    <x v="33"/>
    <n v="4"/>
    <n v="800"/>
  </r>
  <r>
    <n v="2965"/>
    <x v="0"/>
    <x v="38"/>
    <x v="38"/>
    <x v="6"/>
    <x v="6"/>
    <x v="174"/>
    <n v="54119"/>
    <x v="33"/>
    <x v="33"/>
    <n v="4"/>
    <n v="800"/>
  </r>
  <r>
    <n v="2966"/>
    <x v="0"/>
    <x v="38"/>
    <x v="38"/>
    <x v="11"/>
    <x v="11"/>
    <x v="117"/>
    <n v="66007"/>
    <x v="23"/>
    <x v="23"/>
    <n v="150"/>
    <n v="1500"/>
  </r>
  <r>
    <n v="2967"/>
    <x v="0"/>
    <x v="38"/>
    <x v="38"/>
    <x v="11"/>
    <x v="11"/>
    <x v="146"/>
    <n v="66140"/>
    <x v="23"/>
    <x v="111"/>
    <n v="90"/>
    <n v="1800"/>
  </r>
  <r>
    <n v="2968"/>
    <x v="0"/>
    <x v="38"/>
    <x v="38"/>
    <x v="11"/>
    <x v="11"/>
    <x v="106"/>
    <n v="66112"/>
    <x v="225"/>
    <x v="225"/>
    <n v="102"/>
    <n v="1700"/>
  </r>
  <r>
    <n v="2969"/>
    <x v="0"/>
    <x v="38"/>
    <x v="38"/>
    <x v="11"/>
    <x v="11"/>
    <x v="93"/>
    <n v="66035"/>
    <x v="125"/>
    <x v="45"/>
    <n v="62"/>
    <n v="1550"/>
  </r>
  <r>
    <n v="2970"/>
    <x v="0"/>
    <x v="38"/>
    <x v="38"/>
    <x v="11"/>
    <x v="11"/>
    <x v="97"/>
    <n v="66147"/>
    <x v="96"/>
    <x v="102"/>
    <n v="48"/>
    <n v="1500"/>
  </r>
  <r>
    <n v="2971"/>
    <x v="0"/>
    <x v="38"/>
    <x v="38"/>
    <x v="11"/>
    <x v="11"/>
    <x v="12"/>
    <n v="66028"/>
    <x v="72"/>
    <x v="72"/>
    <n v="45"/>
    <n v="1500"/>
  </r>
  <r>
    <n v="2972"/>
    <x v="0"/>
    <x v="38"/>
    <x v="38"/>
    <x v="11"/>
    <x v="11"/>
    <x v="193"/>
    <n v="66063"/>
    <x v="45"/>
    <x v="80"/>
    <n v="30"/>
    <n v="1500"/>
  </r>
  <r>
    <n v="2973"/>
    <x v="0"/>
    <x v="38"/>
    <x v="38"/>
    <x v="11"/>
    <x v="11"/>
    <x v="171"/>
    <n v="66056"/>
    <x v="31"/>
    <x v="31"/>
    <n v="18"/>
    <n v="1200"/>
  </r>
  <r>
    <n v="2974"/>
    <x v="0"/>
    <x v="38"/>
    <x v="38"/>
    <x v="11"/>
    <x v="11"/>
    <x v="123"/>
    <n v="66133"/>
    <x v="31"/>
    <x v="31"/>
    <n v="15"/>
    <n v="1000"/>
  </r>
  <r>
    <n v="2975"/>
    <x v="0"/>
    <x v="38"/>
    <x v="38"/>
    <x v="11"/>
    <x v="11"/>
    <x v="140"/>
    <n v="66126"/>
    <x v="77"/>
    <x v="67"/>
    <n v="10"/>
    <n v="1250"/>
  </r>
  <r>
    <n v="2976"/>
    <x v="0"/>
    <x v="38"/>
    <x v="38"/>
    <x v="13"/>
    <x v="13"/>
    <x v="12"/>
    <n v="74056"/>
    <x v="84"/>
    <x v="63"/>
    <n v="135"/>
    <n v="750"/>
  </r>
  <r>
    <n v="2977"/>
    <x v="0"/>
    <x v="38"/>
    <x v="38"/>
    <x v="13"/>
    <x v="13"/>
    <x v="94"/>
    <n v="74035"/>
    <x v="63"/>
    <x v="131"/>
    <n v="90"/>
    <n v="750"/>
  </r>
  <r>
    <n v="2978"/>
    <x v="0"/>
    <x v="38"/>
    <x v="38"/>
    <x v="13"/>
    <x v="13"/>
    <x v="86"/>
    <n v="74021"/>
    <x v="20"/>
    <x v="274"/>
    <n v="88"/>
    <n v="800"/>
  </r>
  <r>
    <n v="2979"/>
    <x v="0"/>
    <x v="38"/>
    <x v="38"/>
    <x v="13"/>
    <x v="13"/>
    <x v="87"/>
    <n v="74028"/>
    <x v="67"/>
    <x v="225"/>
    <n v="48"/>
    <n v="800"/>
  </r>
  <r>
    <n v="2980"/>
    <x v="0"/>
    <x v="38"/>
    <x v="38"/>
    <x v="13"/>
    <x v="13"/>
    <x v="95"/>
    <n v="74049"/>
    <x v="225"/>
    <x v="111"/>
    <n v="39"/>
    <n v="780"/>
  </r>
  <r>
    <n v="2981"/>
    <x v="0"/>
    <x v="38"/>
    <x v="38"/>
    <x v="7"/>
    <x v="7"/>
    <x v="45"/>
    <n v="82035"/>
    <x v="463"/>
    <x v="70"/>
    <n v="266"/>
    <n v="1970"/>
  </r>
  <r>
    <n v="2982"/>
    <x v="0"/>
    <x v="38"/>
    <x v="38"/>
    <x v="7"/>
    <x v="7"/>
    <x v="44"/>
    <n v="82049"/>
    <x v="23"/>
    <x v="76"/>
    <n v="75"/>
    <n v="1000"/>
  </r>
  <r>
    <n v="2983"/>
    <x v="0"/>
    <x v="38"/>
    <x v="38"/>
    <x v="7"/>
    <x v="7"/>
    <x v="42"/>
    <n v="82098"/>
    <x v="92"/>
    <x v="80"/>
    <n v="19"/>
    <n v="950"/>
  </r>
  <r>
    <n v="2984"/>
    <x v="0"/>
    <x v="38"/>
    <x v="38"/>
    <x v="9"/>
    <x v="9"/>
    <x v="55"/>
    <n v="90007"/>
    <x v="369"/>
    <x v="11"/>
    <n v="1110"/>
    <n v="1110"/>
  </r>
  <r>
    <n v="2985"/>
    <x v="0"/>
    <x v="38"/>
    <x v="38"/>
    <x v="9"/>
    <x v="9"/>
    <x v="64"/>
    <n v="90112"/>
    <x v="23"/>
    <x v="151"/>
    <n v="90"/>
    <n v="1000"/>
  </r>
  <r>
    <n v="2986"/>
    <x v="0"/>
    <x v="38"/>
    <x v="38"/>
    <x v="9"/>
    <x v="9"/>
    <x v="83"/>
    <n v="90021"/>
    <x v="38"/>
    <x v="111"/>
    <n v="50"/>
    <n v="1000"/>
  </r>
  <r>
    <n v="2987"/>
    <x v="0"/>
    <x v="38"/>
    <x v="38"/>
    <x v="9"/>
    <x v="9"/>
    <x v="66"/>
    <n v="90056"/>
    <x v="95"/>
    <x v="79"/>
    <n v="16"/>
    <n v="1000"/>
  </r>
  <r>
    <n v="2988"/>
    <x v="0"/>
    <x v="38"/>
    <x v="38"/>
    <x v="9"/>
    <x v="9"/>
    <x v="69"/>
    <n v="90035"/>
    <x v="32"/>
    <x v="67"/>
    <n v="8"/>
    <n v="1000"/>
  </r>
  <r>
    <n v="2989"/>
    <x v="0"/>
    <x v="38"/>
    <x v="38"/>
    <x v="9"/>
    <x v="9"/>
    <x v="82"/>
    <n v="90077"/>
    <x v="29"/>
    <x v="49"/>
    <n v="6"/>
    <n v="1000"/>
  </r>
  <r>
    <n v="2990"/>
    <x v="0"/>
    <x v="39"/>
    <x v="39"/>
    <x v="0"/>
    <x v="0"/>
    <x v="88"/>
    <n v="22084"/>
    <x v="23"/>
    <x v="71"/>
    <n v="52"/>
    <n v="612"/>
  </r>
  <r>
    <n v="2991"/>
    <x v="0"/>
    <x v="39"/>
    <x v="39"/>
    <x v="0"/>
    <x v="0"/>
    <x v="174"/>
    <n v="22168"/>
    <x v="118"/>
    <x v="201"/>
    <n v="27"/>
    <n v="630"/>
  </r>
  <r>
    <n v="2992"/>
    <x v="0"/>
    <x v="39"/>
    <x v="39"/>
    <x v="0"/>
    <x v="0"/>
    <x v="142"/>
    <n v="22049"/>
    <x v="39"/>
    <x v="39"/>
    <n v="23"/>
    <n v="500"/>
  </r>
  <r>
    <n v="2993"/>
    <x v="0"/>
    <x v="39"/>
    <x v="39"/>
    <x v="0"/>
    <x v="0"/>
    <x v="167"/>
    <n v="22154"/>
    <x v="125"/>
    <x v="139"/>
    <n v="21"/>
    <n v="600"/>
  </r>
  <r>
    <n v="2994"/>
    <x v="0"/>
    <x v="39"/>
    <x v="39"/>
    <x v="0"/>
    <x v="0"/>
    <x v="168"/>
    <n v="22056"/>
    <x v="72"/>
    <x v="202"/>
    <n v="14"/>
    <n v="500"/>
  </r>
  <r>
    <n v="2995"/>
    <x v="0"/>
    <x v="39"/>
    <x v="39"/>
    <x v="0"/>
    <x v="0"/>
    <x v="172"/>
    <n v="22105"/>
    <x v="72"/>
    <x v="72"/>
    <n v="17"/>
    <n v="567"/>
  </r>
  <r>
    <n v="2996"/>
    <x v="0"/>
    <x v="39"/>
    <x v="39"/>
    <x v="0"/>
    <x v="0"/>
    <x v="173"/>
    <n v="22133"/>
    <x v="93"/>
    <x v="98"/>
    <n v="12"/>
    <n v="530"/>
  </r>
  <r>
    <n v="2997"/>
    <x v="0"/>
    <x v="39"/>
    <x v="39"/>
    <x v="0"/>
    <x v="0"/>
    <x v="166"/>
    <n v="22119"/>
    <x v="45"/>
    <x v="77"/>
    <n v="8"/>
    <n v="580"/>
  </r>
  <r>
    <n v="2998"/>
    <x v="0"/>
    <x v="39"/>
    <x v="39"/>
    <x v="0"/>
    <x v="0"/>
    <x v="180"/>
    <n v="22021"/>
    <x v="95"/>
    <x v="140"/>
    <n v="9"/>
    <n v="500"/>
  </r>
  <r>
    <n v="2999"/>
    <x v="0"/>
    <x v="39"/>
    <x v="39"/>
    <x v="0"/>
    <x v="0"/>
    <x v="170"/>
    <n v="22077"/>
    <x v="107"/>
    <x v="135"/>
    <n v="8"/>
    <n v="616"/>
  </r>
  <r>
    <n v="3000"/>
    <x v="0"/>
    <x v="39"/>
    <x v="39"/>
    <x v="0"/>
    <x v="0"/>
    <x v="175"/>
    <n v="22140"/>
    <x v="107"/>
    <x v="77"/>
    <n v="8"/>
    <n v="580"/>
  </r>
  <r>
    <n v="3001"/>
    <x v="0"/>
    <x v="39"/>
    <x v="39"/>
    <x v="0"/>
    <x v="0"/>
    <x v="176"/>
    <n v="22063"/>
    <x v="31"/>
    <x v="31"/>
    <n v="7"/>
    <n v="470"/>
  </r>
  <r>
    <n v="3002"/>
    <x v="0"/>
    <x v="39"/>
    <x v="39"/>
    <x v="0"/>
    <x v="0"/>
    <x v="4"/>
    <n v="22014"/>
    <x v="32"/>
    <x v="67"/>
    <n v="4"/>
    <n v="500"/>
  </r>
  <r>
    <n v="3003"/>
    <x v="0"/>
    <x v="39"/>
    <x v="39"/>
    <x v="0"/>
    <x v="0"/>
    <x v="181"/>
    <n v="22112"/>
    <x v="32"/>
    <x v="32"/>
    <n v="5"/>
    <n v="500"/>
  </r>
  <r>
    <n v="3004"/>
    <x v="0"/>
    <x v="39"/>
    <x v="39"/>
    <x v="0"/>
    <x v="0"/>
    <x v="178"/>
    <n v="22036"/>
    <x v="33"/>
    <x v="33"/>
    <n v="3"/>
    <n v="600"/>
  </r>
  <r>
    <n v="3005"/>
    <x v="0"/>
    <x v="39"/>
    <x v="39"/>
    <x v="0"/>
    <x v="0"/>
    <x v="169"/>
    <n v="22126"/>
    <x v="30"/>
    <x v="34"/>
    <n v="1"/>
    <n v="500"/>
  </r>
  <r>
    <n v="3006"/>
    <x v="0"/>
    <x v="39"/>
    <x v="39"/>
    <x v="0"/>
    <x v="0"/>
    <x v="87"/>
    <n v="22028"/>
    <x v="34"/>
    <x v="34"/>
    <n v="1"/>
    <n v="500"/>
  </r>
  <r>
    <n v="3007"/>
    <x v="0"/>
    <x v="39"/>
    <x v="39"/>
    <x v="0"/>
    <x v="0"/>
    <x v="6"/>
    <n v="22161"/>
    <x v="34"/>
    <x v="183"/>
    <m/>
    <m/>
  </r>
  <r>
    <n v="3008"/>
    <x v="0"/>
    <x v="39"/>
    <x v="39"/>
    <x v="1"/>
    <x v="1"/>
    <x v="10"/>
    <n v="14161"/>
    <x v="464"/>
    <x v="483"/>
    <n v="147178"/>
    <n v="1074"/>
  </r>
  <r>
    <n v="3009"/>
    <x v="0"/>
    <x v="39"/>
    <x v="39"/>
    <x v="1"/>
    <x v="1"/>
    <x v="8"/>
    <n v="14119"/>
    <x v="397"/>
    <x v="484"/>
    <n v="78358"/>
    <n v="1119"/>
  </r>
  <r>
    <n v="3010"/>
    <x v="0"/>
    <x v="39"/>
    <x v="39"/>
    <x v="1"/>
    <x v="1"/>
    <x v="107"/>
    <n v="14056"/>
    <x v="442"/>
    <x v="485"/>
    <n v="39403"/>
    <n v="1194"/>
  </r>
  <r>
    <n v="3011"/>
    <x v="0"/>
    <x v="39"/>
    <x v="39"/>
    <x v="1"/>
    <x v="1"/>
    <x v="7"/>
    <n v="14147"/>
    <x v="465"/>
    <x v="486"/>
    <n v="27940"/>
    <n v="896"/>
  </r>
  <r>
    <n v="3012"/>
    <x v="0"/>
    <x v="39"/>
    <x v="39"/>
    <x v="1"/>
    <x v="1"/>
    <x v="143"/>
    <n v="14042"/>
    <x v="466"/>
    <x v="420"/>
    <n v="26866"/>
    <n v="1119"/>
  </r>
  <r>
    <n v="3013"/>
    <x v="0"/>
    <x v="39"/>
    <x v="39"/>
    <x v="1"/>
    <x v="1"/>
    <x v="13"/>
    <n v="14098"/>
    <x v="222"/>
    <x v="487"/>
    <n v="15522"/>
    <n v="1194"/>
  </r>
  <r>
    <n v="3014"/>
    <x v="0"/>
    <x v="39"/>
    <x v="39"/>
    <x v="1"/>
    <x v="1"/>
    <x v="9"/>
    <n v="14105"/>
    <x v="55"/>
    <x v="162"/>
    <n v="4478"/>
    <n v="896"/>
  </r>
  <r>
    <n v="3015"/>
    <x v="0"/>
    <x v="39"/>
    <x v="39"/>
    <x v="1"/>
    <x v="1"/>
    <x v="70"/>
    <n v="14007"/>
    <x v="210"/>
    <x v="443"/>
    <n v="8463"/>
    <n v="940"/>
  </r>
  <r>
    <n v="3016"/>
    <x v="0"/>
    <x v="39"/>
    <x v="39"/>
    <x v="1"/>
    <x v="1"/>
    <x v="90"/>
    <n v="14182"/>
    <x v="467"/>
    <x v="488"/>
    <n v="1552"/>
    <n v="1158"/>
  </r>
  <r>
    <n v="3017"/>
    <x v="0"/>
    <x v="39"/>
    <x v="39"/>
    <x v="1"/>
    <x v="1"/>
    <x v="46"/>
    <n v="14140"/>
    <x v="58"/>
    <x v="16"/>
    <n v="261"/>
    <n v="746"/>
  </r>
  <r>
    <n v="3018"/>
    <x v="0"/>
    <x v="39"/>
    <x v="39"/>
    <x v="1"/>
    <x v="1"/>
    <x v="12"/>
    <n v="14014"/>
    <x v="67"/>
    <x v="134"/>
    <n v="95"/>
    <n v="1357"/>
  </r>
  <r>
    <n v="3019"/>
    <x v="0"/>
    <x v="39"/>
    <x v="39"/>
    <x v="1"/>
    <x v="1"/>
    <x v="11"/>
    <n v="14021"/>
    <x v="44"/>
    <x v="45"/>
    <n v="60"/>
    <n v="1500"/>
  </r>
  <r>
    <n v="3020"/>
    <x v="0"/>
    <x v="39"/>
    <x v="39"/>
    <x v="1"/>
    <x v="1"/>
    <x v="135"/>
    <n v="14028"/>
    <x v="44"/>
    <x v="45"/>
    <n v="52"/>
    <n v="1300"/>
  </r>
  <r>
    <n v="3021"/>
    <x v="0"/>
    <x v="39"/>
    <x v="39"/>
    <x v="1"/>
    <x v="1"/>
    <x v="132"/>
    <n v="14049"/>
    <x v="44"/>
    <x v="45"/>
    <n v="45"/>
    <n v="1125"/>
  </r>
  <r>
    <n v="3022"/>
    <x v="0"/>
    <x v="39"/>
    <x v="39"/>
    <x v="1"/>
    <x v="1"/>
    <x v="84"/>
    <n v="14168"/>
    <x v="72"/>
    <x v="80"/>
    <n v="27"/>
    <n v="1350"/>
  </r>
  <r>
    <n v="3023"/>
    <x v="0"/>
    <x v="39"/>
    <x v="39"/>
    <x v="2"/>
    <x v="2"/>
    <x v="43"/>
    <n v="18028"/>
    <x v="62"/>
    <x v="62"/>
    <n v="374"/>
    <n v="1700"/>
  </r>
  <r>
    <n v="3024"/>
    <x v="0"/>
    <x v="39"/>
    <x v="39"/>
    <x v="2"/>
    <x v="2"/>
    <x v="23"/>
    <n v="18126"/>
    <x v="23"/>
    <x v="23"/>
    <n v="155"/>
    <n v="1550"/>
  </r>
  <r>
    <n v="3025"/>
    <x v="0"/>
    <x v="39"/>
    <x v="39"/>
    <x v="2"/>
    <x v="2"/>
    <x v="71"/>
    <n v="18098"/>
    <x v="67"/>
    <x v="44"/>
    <n v="124"/>
    <n v="1550"/>
  </r>
  <r>
    <n v="3026"/>
    <x v="0"/>
    <x v="39"/>
    <x v="39"/>
    <x v="2"/>
    <x v="2"/>
    <x v="21"/>
    <n v="18007"/>
    <x v="44"/>
    <x v="111"/>
    <n v="80"/>
    <n v="1600"/>
  </r>
  <r>
    <n v="3027"/>
    <x v="0"/>
    <x v="39"/>
    <x v="39"/>
    <x v="2"/>
    <x v="2"/>
    <x v="17"/>
    <n v="18042"/>
    <x v="44"/>
    <x v="97"/>
    <n v="54"/>
    <n v="1125"/>
  </r>
  <r>
    <n v="3028"/>
    <x v="0"/>
    <x v="39"/>
    <x v="39"/>
    <x v="2"/>
    <x v="2"/>
    <x v="24"/>
    <n v="18140"/>
    <x v="44"/>
    <x v="97"/>
    <n v="58"/>
    <n v="1208"/>
  </r>
  <r>
    <n v="3029"/>
    <x v="0"/>
    <x v="39"/>
    <x v="39"/>
    <x v="2"/>
    <x v="2"/>
    <x v="19"/>
    <n v="18133"/>
    <x v="125"/>
    <x v="454"/>
    <n v="43"/>
    <n v="1132"/>
  </r>
  <r>
    <n v="3030"/>
    <x v="0"/>
    <x v="39"/>
    <x v="39"/>
    <x v="2"/>
    <x v="2"/>
    <x v="76"/>
    <n v="18154"/>
    <x v="131"/>
    <x v="107"/>
    <n v="37"/>
    <n v="1088"/>
  </r>
  <r>
    <n v="3031"/>
    <x v="0"/>
    <x v="39"/>
    <x v="39"/>
    <x v="2"/>
    <x v="2"/>
    <x v="12"/>
    <n v="18021"/>
    <x v="72"/>
    <x v="72"/>
    <n v="30"/>
    <n v="1000"/>
  </r>
  <r>
    <n v="3032"/>
    <x v="0"/>
    <x v="39"/>
    <x v="39"/>
    <x v="2"/>
    <x v="2"/>
    <x v="72"/>
    <n v="18063"/>
    <x v="72"/>
    <x v="202"/>
    <n v="30"/>
    <n v="1071"/>
  </r>
  <r>
    <n v="3033"/>
    <x v="0"/>
    <x v="39"/>
    <x v="39"/>
    <x v="2"/>
    <x v="2"/>
    <x v="73"/>
    <n v="18077"/>
    <x v="31"/>
    <x v="77"/>
    <n v="15"/>
    <n v="1071"/>
  </r>
  <r>
    <n v="3034"/>
    <x v="0"/>
    <x v="39"/>
    <x v="39"/>
    <x v="3"/>
    <x v="3"/>
    <x v="29"/>
    <n v="30015"/>
    <x v="32"/>
    <x v="32"/>
    <n v="5"/>
    <n v="500"/>
  </r>
  <r>
    <n v="3035"/>
    <x v="0"/>
    <x v="39"/>
    <x v="39"/>
    <x v="3"/>
    <x v="3"/>
    <x v="28"/>
    <n v="30028"/>
    <x v="32"/>
    <x v="32"/>
    <n v="5"/>
    <n v="500"/>
  </r>
  <r>
    <n v="3036"/>
    <x v="0"/>
    <x v="39"/>
    <x v="39"/>
    <x v="4"/>
    <x v="4"/>
    <x v="33"/>
    <n v="34056"/>
    <x v="44"/>
    <x v="111"/>
    <n v="55"/>
    <n v="1100"/>
  </r>
  <r>
    <n v="3037"/>
    <x v="0"/>
    <x v="39"/>
    <x v="39"/>
    <x v="4"/>
    <x v="4"/>
    <x v="30"/>
    <n v="34049"/>
    <x v="125"/>
    <x v="45"/>
    <n v="40"/>
    <n v="1000"/>
  </r>
  <r>
    <n v="3038"/>
    <x v="0"/>
    <x v="39"/>
    <x v="39"/>
    <x v="4"/>
    <x v="4"/>
    <x v="81"/>
    <n v="34042"/>
    <x v="131"/>
    <x v="139"/>
    <n v="35"/>
    <n v="1000"/>
  </r>
  <r>
    <n v="3039"/>
    <x v="0"/>
    <x v="39"/>
    <x v="39"/>
    <x v="4"/>
    <x v="4"/>
    <x v="31"/>
    <n v="34021"/>
    <x v="45"/>
    <x v="80"/>
    <n v="20"/>
    <n v="1000"/>
  </r>
  <r>
    <n v="3040"/>
    <x v="0"/>
    <x v="39"/>
    <x v="39"/>
    <x v="4"/>
    <x v="4"/>
    <x v="32"/>
    <n v="34014"/>
    <x v="31"/>
    <x v="31"/>
    <n v="15"/>
    <n v="1000"/>
  </r>
  <r>
    <n v="3041"/>
    <x v="0"/>
    <x v="39"/>
    <x v="39"/>
    <x v="4"/>
    <x v="4"/>
    <x v="34"/>
    <n v="34035"/>
    <x v="32"/>
    <x v="32"/>
    <n v="15"/>
    <n v="1500"/>
  </r>
  <r>
    <n v="3042"/>
    <x v="0"/>
    <x v="39"/>
    <x v="39"/>
    <x v="6"/>
    <x v="6"/>
    <x v="182"/>
    <n v="54091"/>
    <x v="225"/>
    <x v="237"/>
    <n v="43"/>
    <n v="756"/>
  </r>
  <r>
    <n v="3043"/>
    <x v="0"/>
    <x v="39"/>
    <x v="39"/>
    <x v="6"/>
    <x v="6"/>
    <x v="41"/>
    <n v="54098"/>
    <x v="225"/>
    <x v="181"/>
    <n v="41"/>
    <n v="760"/>
  </r>
  <r>
    <n v="3044"/>
    <x v="0"/>
    <x v="39"/>
    <x v="39"/>
    <x v="6"/>
    <x v="6"/>
    <x v="40"/>
    <n v="54021"/>
    <x v="44"/>
    <x v="97"/>
    <n v="36"/>
    <n v="750"/>
  </r>
  <r>
    <n v="3045"/>
    <x v="0"/>
    <x v="39"/>
    <x v="39"/>
    <x v="6"/>
    <x v="6"/>
    <x v="183"/>
    <n v="54070"/>
    <x v="39"/>
    <x v="201"/>
    <n v="32"/>
    <n v="750"/>
  </r>
  <r>
    <n v="3046"/>
    <x v="0"/>
    <x v="39"/>
    <x v="39"/>
    <x v="6"/>
    <x v="6"/>
    <x v="39"/>
    <n v="54007"/>
    <x v="125"/>
    <x v="454"/>
    <n v="30"/>
    <n v="800"/>
  </r>
  <r>
    <n v="3047"/>
    <x v="0"/>
    <x v="39"/>
    <x v="39"/>
    <x v="6"/>
    <x v="6"/>
    <x v="43"/>
    <n v="54035"/>
    <x v="125"/>
    <x v="454"/>
    <n v="28"/>
    <n v="750"/>
  </r>
  <r>
    <n v="3048"/>
    <x v="0"/>
    <x v="39"/>
    <x v="39"/>
    <x v="6"/>
    <x v="6"/>
    <x v="114"/>
    <n v="54014"/>
    <x v="72"/>
    <x v="258"/>
    <n v="24"/>
    <n v="820"/>
  </r>
  <r>
    <n v="3049"/>
    <x v="0"/>
    <x v="39"/>
    <x v="39"/>
    <x v="6"/>
    <x v="6"/>
    <x v="184"/>
    <n v="54084"/>
    <x v="92"/>
    <x v="6"/>
    <n v="19"/>
    <n v="795"/>
  </r>
  <r>
    <n v="3050"/>
    <x v="0"/>
    <x v="39"/>
    <x v="39"/>
    <x v="6"/>
    <x v="6"/>
    <x v="42"/>
    <n v="54105"/>
    <x v="92"/>
    <x v="6"/>
    <n v="17"/>
    <n v="710"/>
  </r>
  <r>
    <n v="3051"/>
    <x v="0"/>
    <x v="39"/>
    <x v="39"/>
    <x v="6"/>
    <x v="6"/>
    <x v="185"/>
    <n v="54042"/>
    <x v="31"/>
    <x v="31"/>
    <n v="12"/>
    <n v="800"/>
  </r>
  <r>
    <n v="3052"/>
    <x v="0"/>
    <x v="39"/>
    <x v="39"/>
    <x v="6"/>
    <x v="6"/>
    <x v="88"/>
    <n v="54077"/>
    <x v="31"/>
    <x v="31"/>
    <n v="12"/>
    <n v="800"/>
  </r>
  <r>
    <n v="3053"/>
    <x v="0"/>
    <x v="39"/>
    <x v="39"/>
    <x v="6"/>
    <x v="6"/>
    <x v="115"/>
    <n v="54056"/>
    <x v="32"/>
    <x v="32"/>
    <n v="8"/>
    <n v="800"/>
  </r>
  <r>
    <n v="3054"/>
    <x v="0"/>
    <x v="39"/>
    <x v="39"/>
    <x v="6"/>
    <x v="6"/>
    <x v="116"/>
    <n v="54063"/>
    <x v="32"/>
    <x v="32"/>
    <n v="8"/>
    <n v="800"/>
  </r>
  <r>
    <n v="3055"/>
    <x v="0"/>
    <x v="39"/>
    <x v="39"/>
    <x v="6"/>
    <x v="6"/>
    <x v="192"/>
    <n v="54049"/>
    <x v="32"/>
    <x v="32"/>
    <n v="8"/>
    <n v="800"/>
  </r>
  <r>
    <n v="3056"/>
    <x v="0"/>
    <x v="39"/>
    <x v="39"/>
    <x v="6"/>
    <x v="6"/>
    <x v="174"/>
    <n v="54119"/>
    <x v="32"/>
    <x v="32"/>
    <n v="8"/>
    <n v="800"/>
  </r>
  <r>
    <n v="3057"/>
    <x v="0"/>
    <x v="39"/>
    <x v="39"/>
    <x v="6"/>
    <x v="6"/>
    <x v="37"/>
    <n v="54112"/>
    <x v="33"/>
    <x v="33"/>
    <n v="4"/>
    <n v="800"/>
  </r>
  <r>
    <n v="3058"/>
    <x v="0"/>
    <x v="39"/>
    <x v="39"/>
    <x v="11"/>
    <x v="11"/>
    <x v="106"/>
    <n v="66112"/>
    <x v="70"/>
    <x v="332"/>
    <n v="83"/>
    <n v="822"/>
  </r>
  <r>
    <n v="3059"/>
    <x v="0"/>
    <x v="39"/>
    <x v="39"/>
    <x v="11"/>
    <x v="11"/>
    <x v="117"/>
    <n v="66007"/>
    <x v="23"/>
    <x v="23"/>
    <n v="160"/>
    <n v="1600"/>
  </r>
  <r>
    <n v="3060"/>
    <x v="0"/>
    <x v="39"/>
    <x v="39"/>
    <x v="11"/>
    <x v="11"/>
    <x v="93"/>
    <n v="66035"/>
    <x v="72"/>
    <x v="157"/>
    <n v="35"/>
    <n v="1300"/>
  </r>
  <r>
    <n v="3061"/>
    <x v="0"/>
    <x v="39"/>
    <x v="39"/>
    <x v="11"/>
    <x v="11"/>
    <x v="171"/>
    <n v="66056"/>
    <x v="45"/>
    <x v="80"/>
    <n v="20"/>
    <n v="1000"/>
  </r>
  <r>
    <n v="3062"/>
    <x v="0"/>
    <x v="39"/>
    <x v="39"/>
    <x v="11"/>
    <x v="11"/>
    <x v="97"/>
    <n v="66147"/>
    <x v="45"/>
    <x v="140"/>
    <n v="23"/>
    <n v="1300"/>
  </r>
  <r>
    <n v="3063"/>
    <x v="0"/>
    <x v="39"/>
    <x v="39"/>
    <x v="11"/>
    <x v="11"/>
    <x v="123"/>
    <n v="66133"/>
    <x v="31"/>
    <x v="31"/>
    <n v="12"/>
    <n v="800"/>
  </r>
  <r>
    <n v="3064"/>
    <x v="0"/>
    <x v="39"/>
    <x v="39"/>
    <x v="11"/>
    <x v="11"/>
    <x v="193"/>
    <n v="66063"/>
    <x v="32"/>
    <x v="52"/>
    <n v="12"/>
    <n v="1333"/>
  </r>
  <r>
    <n v="3065"/>
    <x v="0"/>
    <x v="39"/>
    <x v="39"/>
    <x v="11"/>
    <x v="11"/>
    <x v="12"/>
    <n v="66028"/>
    <x v="33"/>
    <x v="33"/>
    <n v="7"/>
    <n v="1400"/>
  </r>
  <r>
    <n v="3066"/>
    <x v="0"/>
    <x v="39"/>
    <x v="39"/>
    <x v="11"/>
    <x v="11"/>
    <x v="146"/>
    <n v="66140"/>
    <x v="33"/>
    <x v="33"/>
    <n v="8"/>
    <n v="1600"/>
  </r>
  <r>
    <n v="3067"/>
    <x v="0"/>
    <x v="39"/>
    <x v="39"/>
    <x v="13"/>
    <x v="13"/>
    <x v="12"/>
    <n v="74056"/>
    <x v="23"/>
    <x v="183"/>
    <m/>
    <m/>
  </r>
  <r>
    <n v="3068"/>
    <x v="0"/>
    <x v="39"/>
    <x v="39"/>
    <x v="13"/>
    <x v="13"/>
    <x v="86"/>
    <n v="74021"/>
    <x v="89"/>
    <x v="183"/>
    <m/>
    <m/>
  </r>
  <r>
    <n v="3069"/>
    <x v="0"/>
    <x v="39"/>
    <x v="39"/>
    <x v="13"/>
    <x v="13"/>
    <x v="94"/>
    <n v="74035"/>
    <x v="44"/>
    <x v="183"/>
    <m/>
    <m/>
  </r>
  <r>
    <n v="3070"/>
    <x v="0"/>
    <x v="39"/>
    <x v="39"/>
    <x v="13"/>
    <x v="13"/>
    <x v="87"/>
    <n v="74028"/>
    <x v="45"/>
    <x v="183"/>
    <m/>
    <m/>
  </r>
  <r>
    <n v="3071"/>
    <x v="0"/>
    <x v="39"/>
    <x v="39"/>
    <x v="13"/>
    <x v="13"/>
    <x v="95"/>
    <n v="74049"/>
    <x v="33"/>
    <x v="183"/>
    <m/>
    <m/>
  </r>
  <r>
    <n v="3072"/>
    <x v="0"/>
    <x v="39"/>
    <x v="39"/>
    <x v="7"/>
    <x v="7"/>
    <x v="44"/>
    <n v="82049"/>
    <x v="123"/>
    <x v="131"/>
    <n v="140"/>
    <n v="1167"/>
  </r>
  <r>
    <n v="3073"/>
    <x v="0"/>
    <x v="39"/>
    <x v="39"/>
    <x v="7"/>
    <x v="7"/>
    <x v="45"/>
    <n v="82035"/>
    <x v="225"/>
    <x v="45"/>
    <n v="70"/>
    <n v="1750"/>
  </r>
  <r>
    <n v="3074"/>
    <x v="0"/>
    <x v="39"/>
    <x v="39"/>
    <x v="7"/>
    <x v="7"/>
    <x v="42"/>
    <n v="82098"/>
    <x v="44"/>
    <x v="45"/>
    <n v="40"/>
    <n v="1000"/>
  </r>
  <r>
    <n v="3075"/>
    <x v="0"/>
    <x v="39"/>
    <x v="39"/>
    <x v="9"/>
    <x v="9"/>
    <x v="55"/>
    <n v="90007"/>
    <x v="468"/>
    <x v="489"/>
    <n v="1155"/>
    <n v="1140"/>
  </r>
  <r>
    <n v="3076"/>
    <x v="0"/>
    <x v="39"/>
    <x v="39"/>
    <x v="9"/>
    <x v="9"/>
    <x v="64"/>
    <n v="90112"/>
    <x v="223"/>
    <x v="23"/>
    <n v="108"/>
    <n v="1080"/>
  </r>
  <r>
    <n v="3077"/>
    <x v="0"/>
    <x v="39"/>
    <x v="39"/>
    <x v="9"/>
    <x v="9"/>
    <x v="83"/>
    <n v="90021"/>
    <x v="225"/>
    <x v="38"/>
    <n v="55"/>
    <n v="1000"/>
  </r>
  <r>
    <n v="3078"/>
    <x v="0"/>
    <x v="39"/>
    <x v="39"/>
    <x v="9"/>
    <x v="9"/>
    <x v="66"/>
    <n v="90056"/>
    <x v="95"/>
    <x v="100"/>
    <n v="17"/>
    <n v="1000"/>
  </r>
  <r>
    <n v="3079"/>
    <x v="0"/>
    <x v="39"/>
    <x v="39"/>
    <x v="9"/>
    <x v="9"/>
    <x v="69"/>
    <n v="90035"/>
    <x v="32"/>
    <x v="52"/>
    <n v="9"/>
    <n v="1000"/>
  </r>
  <r>
    <n v="3080"/>
    <x v="0"/>
    <x v="39"/>
    <x v="39"/>
    <x v="9"/>
    <x v="9"/>
    <x v="82"/>
    <n v="90077"/>
    <x v="29"/>
    <x v="49"/>
    <n v="6"/>
    <n v="1000"/>
  </r>
  <r>
    <n v="3081"/>
    <x v="0"/>
    <x v="40"/>
    <x v="40"/>
    <x v="0"/>
    <x v="0"/>
    <x v="174"/>
    <n v="22168"/>
    <x v="38"/>
    <x v="231"/>
    <n v="35"/>
    <n v="673"/>
  </r>
  <r>
    <n v="3082"/>
    <x v="0"/>
    <x v="40"/>
    <x v="40"/>
    <x v="0"/>
    <x v="0"/>
    <x v="142"/>
    <n v="22049"/>
    <x v="44"/>
    <x v="28"/>
    <n v="20"/>
    <n v="455"/>
  </r>
  <r>
    <n v="3083"/>
    <x v="0"/>
    <x v="40"/>
    <x v="40"/>
    <x v="0"/>
    <x v="0"/>
    <x v="88"/>
    <n v="22084"/>
    <x v="44"/>
    <x v="97"/>
    <n v="29"/>
    <n v="604"/>
  </r>
  <r>
    <n v="3084"/>
    <x v="0"/>
    <x v="40"/>
    <x v="40"/>
    <x v="0"/>
    <x v="0"/>
    <x v="173"/>
    <n v="22133"/>
    <x v="125"/>
    <x v="285"/>
    <n v="18"/>
    <n v="486"/>
  </r>
  <r>
    <n v="3085"/>
    <x v="0"/>
    <x v="40"/>
    <x v="40"/>
    <x v="0"/>
    <x v="0"/>
    <x v="172"/>
    <n v="22105"/>
    <x v="72"/>
    <x v="182"/>
    <n v="11"/>
    <n v="423"/>
  </r>
  <r>
    <n v="3086"/>
    <x v="0"/>
    <x v="40"/>
    <x v="40"/>
    <x v="0"/>
    <x v="0"/>
    <x v="180"/>
    <n v="22021"/>
    <x v="40"/>
    <x v="80"/>
    <n v="8"/>
    <n v="400"/>
  </r>
  <r>
    <n v="3087"/>
    <x v="0"/>
    <x v="40"/>
    <x v="40"/>
    <x v="0"/>
    <x v="0"/>
    <x v="166"/>
    <n v="22119"/>
    <x v="45"/>
    <x v="140"/>
    <n v="13"/>
    <n v="722"/>
  </r>
  <r>
    <n v="3088"/>
    <x v="0"/>
    <x v="40"/>
    <x v="40"/>
    <x v="0"/>
    <x v="0"/>
    <x v="176"/>
    <n v="22063"/>
    <x v="132"/>
    <x v="13"/>
    <n v="5"/>
    <n v="417"/>
  </r>
  <r>
    <n v="3089"/>
    <x v="0"/>
    <x v="40"/>
    <x v="40"/>
    <x v="0"/>
    <x v="0"/>
    <x v="168"/>
    <n v="22056"/>
    <x v="31"/>
    <x v="77"/>
    <n v="6"/>
    <n v="429"/>
  </r>
  <r>
    <n v="3090"/>
    <x v="0"/>
    <x v="40"/>
    <x v="40"/>
    <x v="0"/>
    <x v="0"/>
    <x v="170"/>
    <n v="22077"/>
    <x v="31"/>
    <x v="135"/>
    <n v="8"/>
    <n v="615"/>
  </r>
  <r>
    <n v="3091"/>
    <x v="0"/>
    <x v="40"/>
    <x v="40"/>
    <x v="0"/>
    <x v="0"/>
    <x v="181"/>
    <n v="22112"/>
    <x v="13"/>
    <x v="13"/>
    <n v="5"/>
    <n v="417"/>
  </r>
  <r>
    <n v="3092"/>
    <x v="0"/>
    <x v="40"/>
    <x v="40"/>
    <x v="0"/>
    <x v="0"/>
    <x v="4"/>
    <n v="22014"/>
    <x v="50"/>
    <x v="32"/>
    <n v="4"/>
    <n v="400"/>
  </r>
  <r>
    <n v="3093"/>
    <x v="0"/>
    <x v="40"/>
    <x v="40"/>
    <x v="0"/>
    <x v="0"/>
    <x v="175"/>
    <n v="22140"/>
    <x v="50"/>
    <x v="32"/>
    <n v="6"/>
    <n v="600"/>
  </r>
  <r>
    <n v="3094"/>
    <x v="0"/>
    <x v="40"/>
    <x v="40"/>
    <x v="0"/>
    <x v="0"/>
    <x v="167"/>
    <n v="22154"/>
    <x v="33"/>
    <x v="33"/>
    <n v="3"/>
    <n v="600"/>
  </r>
  <r>
    <n v="3095"/>
    <x v="0"/>
    <x v="40"/>
    <x v="40"/>
    <x v="0"/>
    <x v="0"/>
    <x v="190"/>
    <n v="22070"/>
    <x v="47"/>
    <x v="46"/>
    <n v="2"/>
    <n v="500"/>
  </r>
  <r>
    <n v="3096"/>
    <x v="0"/>
    <x v="40"/>
    <x v="40"/>
    <x v="0"/>
    <x v="0"/>
    <x v="169"/>
    <n v="22126"/>
    <x v="30"/>
    <x v="30"/>
    <n v="1"/>
    <n v="333"/>
  </r>
  <r>
    <n v="3097"/>
    <x v="0"/>
    <x v="40"/>
    <x v="40"/>
    <x v="0"/>
    <x v="0"/>
    <x v="87"/>
    <n v="22028"/>
    <x v="34"/>
    <x v="34"/>
    <n v="1"/>
    <n v="500"/>
  </r>
  <r>
    <n v="3098"/>
    <x v="0"/>
    <x v="40"/>
    <x v="40"/>
    <x v="1"/>
    <x v="1"/>
    <x v="10"/>
    <n v="14161"/>
    <x v="469"/>
    <x v="490"/>
    <n v="128358"/>
    <n v="1167"/>
  </r>
  <r>
    <n v="3099"/>
    <x v="0"/>
    <x v="40"/>
    <x v="40"/>
    <x v="1"/>
    <x v="1"/>
    <x v="8"/>
    <n v="14119"/>
    <x v="470"/>
    <x v="491"/>
    <n v="47761"/>
    <n v="677"/>
  </r>
  <r>
    <n v="3100"/>
    <x v="0"/>
    <x v="40"/>
    <x v="40"/>
    <x v="1"/>
    <x v="1"/>
    <x v="107"/>
    <n v="14056"/>
    <x v="375"/>
    <x v="341"/>
    <n v="35820"/>
    <n v="1194"/>
  </r>
  <r>
    <n v="3101"/>
    <x v="0"/>
    <x v="40"/>
    <x v="40"/>
    <x v="1"/>
    <x v="1"/>
    <x v="7"/>
    <n v="14147"/>
    <x v="461"/>
    <x v="492"/>
    <n v="16418"/>
    <n v="665"/>
  </r>
  <r>
    <n v="3102"/>
    <x v="0"/>
    <x v="40"/>
    <x v="40"/>
    <x v="1"/>
    <x v="1"/>
    <x v="143"/>
    <n v="14042"/>
    <x v="387"/>
    <x v="397"/>
    <n v="20373"/>
    <n v="1045"/>
  </r>
  <r>
    <n v="3103"/>
    <x v="0"/>
    <x v="40"/>
    <x v="40"/>
    <x v="1"/>
    <x v="1"/>
    <x v="13"/>
    <n v="14098"/>
    <x v="471"/>
    <x v="493"/>
    <n v="16418"/>
    <n v="1303"/>
  </r>
  <r>
    <n v="3104"/>
    <x v="0"/>
    <x v="40"/>
    <x v="40"/>
    <x v="1"/>
    <x v="1"/>
    <x v="70"/>
    <n v="14007"/>
    <x v="189"/>
    <x v="198"/>
    <n v="8880"/>
    <n v="1045"/>
  </r>
  <r>
    <n v="3105"/>
    <x v="0"/>
    <x v="40"/>
    <x v="40"/>
    <x v="1"/>
    <x v="1"/>
    <x v="9"/>
    <n v="14105"/>
    <x v="266"/>
    <x v="209"/>
    <n v="3582"/>
    <n v="597"/>
  </r>
  <r>
    <n v="3106"/>
    <x v="0"/>
    <x v="40"/>
    <x v="40"/>
    <x v="1"/>
    <x v="1"/>
    <x v="90"/>
    <n v="14182"/>
    <x v="108"/>
    <x v="114"/>
    <n v="1372"/>
    <n v="1055"/>
  </r>
  <r>
    <n v="3107"/>
    <x v="0"/>
    <x v="40"/>
    <x v="40"/>
    <x v="1"/>
    <x v="1"/>
    <x v="46"/>
    <n v="14140"/>
    <x v="58"/>
    <x v="57"/>
    <n v="418"/>
    <n v="597"/>
  </r>
  <r>
    <n v="3108"/>
    <x v="0"/>
    <x v="40"/>
    <x v="40"/>
    <x v="2"/>
    <x v="2"/>
    <x v="17"/>
    <n v="18042"/>
    <x v="132"/>
    <x v="32"/>
    <n v="8"/>
    <n v="800"/>
  </r>
  <r>
    <n v="3109"/>
    <x v="0"/>
    <x v="40"/>
    <x v="40"/>
    <x v="2"/>
    <x v="2"/>
    <x v="72"/>
    <n v="18063"/>
    <x v="31"/>
    <x v="13"/>
    <n v="9"/>
    <n v="750"/>
  </r>
  <r>
    <n v="3110"/>
    <x v="0"/>
    <x v="40"/>
    <x v="40"/>
    <x v="2"/>
    <x v="2"/>
    <x v="76"/>
    <n v="18154"/>
    <x v="50"/>
    <x v="32"/>
    <n v="8"/>
    <n v="800"/>
  </r>
  <r>
    <n v="3111"/>
    <x v="0"/>
    <x v="40"/>
    <x v="40"/>
    <x v="2"/>
    <x v="2"/>
    <x v="12"/>
    <n v="18021"/>
    <x v="32"/>
    <x v="49"/>
    <n v="4"/>
    <n v="667"/>
  </r>
  <r>
    <n v="3112"/>
    <x v="0"/>
    <x v="40"/>
    <x v="40"/>
    <x v="2"/>
    <x v="2"/>
    <x v="19"/>
    <n v="18133"/>
    <x v="32"/>
    <x v="67"/>
    <n v="6"/>
    <n v="750"/>
  </r>
  <r>
    <n v="3113"/>
    <x v="0"/>
    <x v="40"/>
    <x v="40"/>
    <x v="2"/>
    <x v="2"/>
    <x v="24"/>
    <n v="18140"/>
    <x v="32"/>
    <x v="67"/>
    <n v="6"/>
    <n v="750"/>
  </r>
  <r>
    <n v="3114"/>
    <x v="0"/>
    <x v="40"/>
    <x v="40"/>
    <x v="2"/>
    <x v="2"/>
    <x v="73"/>
    <n v="18077"/>
    <x v="77"/>
    <x v="49"/>
    <n v="4"/>
    <n v="667"/>
  </r>
  <r>
    <n v="3115"/>
    <x v="0"/>
    <x v="40"/>
    <x v="40"/>
    <x v="3"/>
    <x v="3"/>
    <x v="29"/>
    <n v="30015"/>
    <x v="45"/>
    <x v="80"/>
    <n v="13"/>
    <n v="650"/>
  </r>
  <r>
    <n v="3116"/>
    <x v="0"/>
    <x v="40"/>
    <x v="40"/>
    <x v="3"/>
    <x v="3"/>
    <x v="28"/>
    <n v="30028"/>
    <x v="32"/>
    <x v="32"/>
    <n v="7"/>
    <n v="700"/>
  </r>
  <r>
    <n v="3117"/>
    <x v="0"/>
    <x v="40"/>
    <x v="40"/>
    <x v="4"/>
    <x v="4"/>
    <x v="33"/>
    <n v="34056"/>
    <x v="127"/>
    <x v="134"/>
    <n v="70"/>
    <n v="1000"/>
  </r>
  <r>
    <n v="3118"/>
    <x v="0"/>
    <x v="40"/>
    <x v="40"/>
    <x v="4"/>
    <x v="4"/>
    <x v="30"/>
    <n v="34049"/>
    <x v="44"/>
    <x v="111"/>
    <n v="50"/>
    <n v="1000"/>
  </r>
  <r>
    <n v="3119"/>
    <x v="0"/>
    <x v="40"/>
    <x v="40"/>
    <x v="4"/>
    <x v="4"/>
    <x v="31"/>
    <n v="34021"/>
    <x v="72"/>
    <x v="72"/>
    <n v="33"/>
    <n v="1100"/>
  </r>
  <r>
    <n v="3120"/>
    <x v="0"/>
    <x v="40"/>
    <x v="40"/>
    <x v="4"/>
    <x v="4"/>
    <x v="81"/>
    <n v="34042"/>
    <x v="72"/>
    <x v="72"/>
    <n v="27"/>
    <n v="900"/>
  </r>
  <r>
    <n v="3121"/>
    <x v="0"/>
    <x v="40"/>
    <x v="40"/>
    <x v="4"/>
    <x v="4"/>
    <x v="32"/>
    <n v="34014"/>
    <x v="92"/>
    <x v="78"/>
    <n v="25"/>
    <n v="1000"/>
  </r>
  <r>
    <n v="3122"/>
    <x v="0"/>
    <x v="40"/>
    <x v="40"/>
    <x v="4"/>
    <x v="4"/>
    <x v="34"/>
    <n v="34035"/>
    <x v="33"/>
    <x v="33"/>
    <n v="5"/>
    <n v="1000"/>
  </r>
  <r>
    <n v="3123"/>
    <x v="0"/>
    <x v="40"/>
    <x v="40"/>
    <x v="6"/>
    <x v="6"/>
    <x v="41"/>
    <n v="54098"/>
    <x v="225"/>
    <x v="466"/>
    <n v="40"/>
    <n v="784"/>
  </r>
  <r>
    <n v="3124"/>
    <x v="0"/>
    <x v="40"/>
    <x v="40"/>
    <x v="6"/>
    <x v="6"/>
    <x v="40"/>
    <n v="54021"/>
    <x v="44"/>
    <x v="201"/>
    <n v="33"/>
    <n v="767"/>
  </r>
  <r>
    <n v="3125"/>
    <x v="0"/>
    <x v="40"/>
    <x v="40"/>
    <x v="6"/>
    <x v="6"/>
    <x v="183"/>
    <n v="54070"/>
    <x v="44"/>
    <x v="45"/>
    <n v="28"/>
    <n v="700"/>
  </r>
  <r>
    <n v="3126"/>
    <x v="0"/>
    <x v="40"/>
    <x v="40"/>
    <x v="6"/>
    <x v="6"/>
    <x v="182"/>
    <n v="54091"/>
    <x v="44"/>
    <x v="106"/>
    <n v="31"/>
    <n v="738"/>
  </r>
  <r>
    <n v="3127"/>
    <x v="0"/>
    <x v="40"/>
    <x v="40"/>
    <x v="6"/>
    <x v="6"/>
    <x v="43"/>
    <n v="54035"/>
    <x v="39"/>
    <x v="454"/>
    <n v="29"/>
    <n v="763"/>
  </r>
  <r>
    <n v="3128"/>
    <x v="0"/>
    <x v="40"/>
    <x v="40"/>
    <x v="6"/>
    <x v="6"/>
    <x v="39"/>
    <n v="54007"/>
    <x v="125"/>
    <x v="107"/>
    <n v="27"/>
    <n v="794"/>
  </r>
  <r>
    <n v="3129"/>
    <x v="0"/>
    <x v="40"/>
    <x v="40"/>
    <x v="6"/>
    <x v="6"/>
    <x v="185"/>
    <n v="54042"/>
    <x v="125"/>
    <x v="139"/>
    <n v="28"/>
    <n v="800"/>
  </r>
  <r>
    <n v="3130"/>
    <x v="0"/>
    <x v="40"/>
    <x v="40"/>
    <x v="6"/>
    <x v="6"/>
    <x v="114"/>
    <n v="54014"/>
    <x v="72"/>
    <x v="182"/>
    <n v="21"/>
    <n v="808"/>
  </r>
  <r>
    <n v="3131"/>
    <x v="0"/>
    <x v="40"/>
    <x v="40"/>
    <x v="6"/>
    <x v="6"/>
    <x v="184"/>
    <n v="54084"/>
    <x v="92"/>
    <x v="80"/>
    <n v="17"/>
    <n v="850"/>
  </r>
  <r>
    <n v="3132"/>
    <x v="0"/>
    <x v="40"/>
    <x v="40"/>
    <x v="6"/>
    <x v="6"/>
    <x v="42"/>
    <n v="54105"/>
    <x v="45"/>
    <x v="100"/>
    <n v="12"/>
    <n v="706"/>
  </r>
  <r>
    <n v="3133"/>
    <x v="0"/>
    <x v="40"/>
    <x v="40"/>
    <x v="6"/>
    <x v="6"/>
    <x v="88"/>
    <n v="54077"/>
    <x v="31"/>
    <x v="135"/>
    <n v="11"/>
    <n v="846"/>
  </r>
  <r>
    <n v="3134"/>
    <x v="0"/>
    <x v="40"/>
    <x v="40"/>
    <x v="6"/>
    <x v="6"/>
    <x v="115"/>
    <n v="54056"/>
    <x v="32"/>
    <x v="52"/>
    <n v="7"/>
    <n v="778"/>
  </r>
  <r>
    <n v="3135"/>
    <x v="0"/>
    <x v="40"/>
    <x v="40"/>
    <x v="6"/>
    <x v="6"/>
    <x v="116"/>
    <n v="54063"/>
    <x v="32"/>
    <x v="52"/>
    <n v="8"/>
    <n v="889"/>
  </r>
  <r>
    <n v="3136"/>
    <x v="0"/>
    <x v="40"/>
    <x v="40"/>
    <x v="6"/>
    <x v="6"/>
    <x v="192"/>
    <n v="54049"/>
    <x v="32"/>
    <x v="52"/>
    <n v="7"/>
    <n v="778"/>
  </r>
  <r>
    <n v="3137"/>
    <x v="0"/>
    <x v="40"/>
    <x v="40"/>
    <x v="6"/>
    <x v="6"/>
    <x v="174"/>
    <n v="54119"/>
    <x v="32"/>
    <x v="52"/>
    <n v="7"/>
    <n v="778"/>
  </r>
  <r>
    <n v="3138"/>
    <x v="0"/>
    <x v="40"/>
    <x v="40"/>
    <x v="6"/>
    <x v="6"/>
    <x v="37"/>
    <n v="54112"/>
    <x v="33"/>
    <x v="33"/>
    <n v="4"/>
    <n v="800"/>
  </r>
  <r>
    <n v="3139"/>
    <x v="0"/>
    <x v="40"/>
    <x v="40"/>
    <x v="11"/>
    <x v="11"/>
    <x v="171"/>
    <n v="66056"/>
    <x v="26"/>
    <x v="59"/>
    <n v="480"/>
    <n v="1200"/>
  </r>
  <r>
    <n v="3140"/>
    <x v="0"/>
    <x v="40"/>
    <x v="40"/>
    <x v="11"/>
    <x v="11"/>
    <x v="146"/>
    <n v="66140"/>
    <x v="63"/>
    <x v="188"/>
    <n v="69"/>
    <n v="900"/>
  </r>
  <r>
    <n v="3141"/>
    <x v="0"/>
    <x v="40"/>
    <x v="40"/>
    <x v="11"/>
    <x v="11"/>
    <x v="106"/>
    <n v="66112"/>
    <x v="143"/>
    <x v="125"/>
    <n v="44"/>
    <n v="830"/>
  </r>
  <r>
    <n v="3142"/>
    <x v="0"/>
    <x v="40"/>
    <x v="40"/>
    <x v="11"/>
    <x v="11"/>
    <x v="93"/>
    <n v="66035"/>
    <x v="45"/>
    <x v="80"/>
    <n v="27"/>
    <n v="1350"/>
  </r>
  <r>
    <n v="3143"/>
    <x v="0"/>
    <x v="40"/>
    <x v="40"/>
    <x v="11"/>
    <x v="11"/>
    <x v="193"/>
    <n v="66063"/>
    <x v="45"/>
    <x v="80"/>
    <n v="24"/>
    <n v="1200"/>
  </r>
  <r>
    <n v="3144"/>
    <x v="0"/>
    <x v="40"/>
    <x v="40"/>
    <x v="11"/>
    <x v="11"/>
    <x v="123"/>
    <n v="66133"/>
    <x v="45"/>
    <x v="80"/>
    <n v="16"/>
    <n v="800"/>
  </r>
  <r>
    <n v="3145"/>
    <x v="0"/>
    <x v="40"/>
    <x v="40"/>
    <x v="11"/>
    <x v="11"/>
    <x v="97"/>
    <n v="66147"/>
    <x v="45"/>
    <x v="80"/>
    <n v="27"/>
    <n v="1350"/>
  </r>
  <r>
    <n v="3146"/>
    <x v="0"/>
    <x v="40"/>
    <x v="40"/>
    <x v="11"/>
    <x v="11"/>
    <x v="12"/>
    <n v="66028"/>
    <x v="32"/>
    <x v="32"/>
    <n v="13"/>
    <n v="1300"/>
  </r>
  <r>
    <n v="3147"/>
    <x v="0"/>
    <x v="40"/>
    <x v="40"/>
    <x v="7"/>
    <x v="7"/>
    <x v="45"/>
    <n v="82035"/>
    <x v="18"/>
    <x v="20"/>
    <n v="290"/>
    <n v="1933"/>
  </r>
  <r>
    <n v="3148"/>
    <x v="0"/>
    <x v="40"/>
    <x v="40"/>
    <x v="7"/>
    <x v="7"/>
    <x v="44"/>
    <n v="82049"/>
    <x v="23"/>
    <x v="23"/>
    <n v="100"/>
    <n v="1000"/>
  </r>
  <r>
    <n v="3149"/>
    <x v="0"/>
    <x v="40"/>
    <x v="40"/>
    <x v="7"/>
    <x v="7"/>
    <x v="42"/>
    <n v="82098"/>
    <x v="44"/>
    <x v="111"/>
    <n v="50"/>
    <n v="1000"/>
  </r>
  <r>
    <n v="3150"/>
    <x v="0"/>
    <x v="40"/>
    <x v="40"/>
    <x v="9"/>
    <x v="9"/>
    <x v="55"/>
    <n v="90007"/>
    <x v="472"/>
    <x v="494"/>
    <n v="990"/>
    <n v="952"/>
  </r>
  <r>
    <n v="3151"/>
    <x v="0"/>
    <x v="40"/>
    <x v="40"/>
    <x v="9"/>
    <x v="9"/>
    <x v="66"/>
    <n v="90056"/>
    <x v="164"/>
    <x v="169"/>
    <n v="269"/>
    <n v="1170"/>
  </r>
  <r>
    <n v="3152"/>
    <x v="0"/>
    <x v="40"/>
    <x v="40"/>
    <x v="9"/>
    <x v="9"/>
    <x v="65"/>
    <n v="90014"/>
    <x v="63"/>
    <x v="63"/>
    <n v="194"/>
    <n v="1078"/>
  </r>
  <r>
    <n v="3153"/>
    <x v="0"/>
    <x v="40"/>
    <x v="40"/>
    <x v="9"/>
    <x v="9"/>
    <x v="83"/>
    <n v="90021"/>
    <x v="94"/>
    <x v="99"/>
    <n v="22"/>
    <n v="1000"/>
  </r>
  <r>
    <n v="3154"/>
    <x v="0"/>
    <x v="40"/>
    <x v="40"/>
    <x v="9"/>
    <x v="9"/>
    <x v="69"/>
    <n v="90035"/>
    <x v="32"/>
    <x v="32"/>
    <n v="9"/>
    <n v="900"/>
  </r>
  <r>
    <n v="3155"/>
    <x v="0"/>
    <x v="40"/>
    <x v="40"/>
    <x v="9"/>
    <x v="9"/>
    <x v="64"/>
    <n v="90112"/>
    <x v="32"/>
    <x v="32"/>
    <n v="8"/>
    <n v="800"/>
  </r>
  <r>
    <n v="3156"/>
    <x v="0"/>
    <x v="40"/>
    <x v="40"/>
    <x v="9"/>
    <x v="9"/>
    <x v="82"/>
    <n v="90077"/>
    <x v="77"/>
    <x v="67"/>
    <n v="8"/>
    <n v="1000"/>
  </r>
  <r>
    <n v="3157"/>
    <x v="0"/>
    <x v="41"/>
    <x v="41"/>
    <x v="0"/>
    <x v="0"/>
    <x v="142"/>
    <n v="22049"/>
    <x v="39"/>
    <x v="139"/>
    <n v="15"/>
    <n v="429"/>
  </r>
  <r>
    <n v="3158"/>
    <x v="0"/>
    <x v="41"/>
    <x v="41"/>
    <x v="0"/>
    <x v="0"/>
    <x v="174"/>
    <n v="22168"/>
    <x v="125"/>
    <x v="139"/>
    <n v="18"/>
    <n v="514"/>
  </r>
  <r>
    <n v="3159"/>
    <x v="0"/>
    <x v="41"/>
    <x v="41"/>
    <x v="0"/>
    <x v="0"/>
    <x v="88"/>
    <n v="22084"/>
    <x v="131"/>
    <x v="290"/>
    <n v="15"/>
    <n v="484"/>
  </r>
  <r>
    <n v="3160"/>
    <x v="0"/>
    <x v="41"/>
    <x v="41"/>
    <x v="0"/>
    <x v="0"/>
    <x v="173"/>
    <n v="22133"/>
    <x v="131"/>
    <x v="72"/>
    <n v="15"/>
    <n v="500"/>
  </r>
  <r>
    <n v="3161"/>
    <x v="0"/>
    <x v="41"/>
    <x v="41"/>
    <x v="0"/>
    <x v="0"/>
    <x v="172"/>
    <n v="22105"/>
    <x v="45"/>
    <x v="31"/>
    <n v="7"/>
    <n v="467"/>
  </r>
  <r>
    <n v="3162"/>
    <x v="0"/>
    <x v="41"/>
    <x v="41"/>
    <x v="0"/>
    <x v="0"/>
    <x v="166"/>
    <n v="22119"/>
    <x v="107"/>
    <x v="100"/>
    <n v="8"/>
    <n v="471"/>
  </r>
  <r>
    <n v="3163"/>
    <x v="0"/>
    <x v="41"/>
    <x v="41"/>
    <x v="0"/>
    <x v="0"/>
    <x v="180"/>
    <n v="22021"/>
    <x v="31"/>
    <x v="31"/>
    <n v="7"/>
    <n v="467"/>
  </r>
  <r>
    <n v="3164"/>
    <x v="0"/>
    <x v="41"/>
    <x v="41"/>
    <x v="0"/>
    <x v="0"/>
    <x v="181"/>
    <n v="22112"/>
    <x v="13"/>
    <x v="13"/>
    <n v="6"/>
    <n v="500"/>
  </r>
  <r>
    <n v="3165"/>
    <x v="0"/>
    <x v="41"/>
    <x v="41"/>
    <x v="0"/>
    <x v="0"/>
    <x v="168"/>
    <n v="22056"/>
    <x v="32"/>
    <x v="32"/>
    <n v="5"/>
    <n v="500"/>
  </r>
  <r>
    <n v="3166"/>
    <x v="0"/>
    <x v="41"/>
    <x v="41"/>
    <x v="0"/>
    <x v="0"/>
    <x v="176"/>
    <n v="22063"/>
    <x v="32"/>
    <x v="32"/>
    <n v="4"/>
    <n v="400"/>
  </r>
  <r>
    <n v="3167"/>
    <x v="0"/>
    <x v="41"/>
    <x v="41"/>
    <x v="0"/>
    <x v="0"/>
    <x v="4"/>
    <n v="22014"/>
    <x v="33"/>
    <x v="33"/>
    <n v="2"/>
    <n v="400"/>
  </r>
  <r>
    <n v="3168"/>
    <x v="0"/>
    <x v="41"/>
    <x v="41"/>
    <x v="0"/>
    <x v="0"/>
    <x v="170"/>
    <n v="22077"/>
    <x v="33"/>
    <x v="33"/>
    <n v="3"/>
    <n v="600"/>
  </r>
  <r>
    <n v="3169"/>
    <x v="0"/>
    <x v="41"/>
    <x v="41"/>
    <x v="0"/>
    <x v="0"/>
    <x v="175"/>
    <n v="22140"/>
    <x v="33"/>
    <x v="33"/>
    <n v="3"/>
    <n v="600"/>
  </r>
  <r>
    <n v="3170"/>
    <x v="0"/>
    <x v="41"/>
    <x v="41"/>
    <x v="0"/>
    <x v="0"/>
    <x v="167"/>
    <n v="22154"/>
    <x v="33"/>
    <x v="33"/>
    <n v="2"/>
    <n v="400"/>
  </r>
  <r>
    <n v="3171"/>
    <x v="0"/>
    <x v="41"/>
    <x v="41"/>
    <x v="1"/>
    <x v="1"/>
    <x v="10"/>
    <n v="14161"/>
    <x v="473"/>
    <x v="495"/>
    <n v="85814"/>
    <n v="927"/>
  </r>
  <r>
    <n v="3172"/>
    <x v="0"/>
    <x v="41"/>
    <x v="41"/>
    <x v="1"/>
    <x v="1"/>
    <x v="8"/>
    <n v="14119"/>
    <x v="397"/>
    <x v="496"/>
    <n v="62100"/>
    <n v="900"/>
  </r>
  <r>
    <n v="3173"/>
    <x v="0"/>
    <x v="41"/>
    <x v="41"/>
    <x v="1"/>
    <x v="1"/>
    <x v="107"/>
    <n v="14056"/>
    <x v="386"/>
    <x v="350"/>
    <n v="24451"/>
    <n v="998"/>
  </r>
  <r>
    <n v="3174"/>
    <x v="0"/>
    <x v="41"/>
    <x v="41"/>
    <x v="1"/>
    <x v="1"/>
    <x v="7"/>
    <n v="14147"/>
    <x v="387"/>
    <x v="269"/>
    <n v="12300"/>
    <n v="647"/>
  </r>
  <r>
    <n v="3175"/>
    <x v="0"/>
    <x v="41"/>
    <x v="41"/>
    <x v="1"/>
    <x v="1"/>
    <x v="143"/>
    <n v="14042"/>
    <x v="156"/>
    <x v="497"/>
    <n v="14430"/>
    <n v="931"/>
  </r>
  <r>
    <n v="3176"/>
    <x v="0"/>
    <x v="41"/>
    <x v="41"/>
    <x v="1"/>
    <x v="1"/>
    <x v="13"/>
    <n v="14098"/>
    <x v="210"/>
    <x v="198"/>
    <n v="6800"/>
    <n v="800"/>
  </r>
  <r>
    <n v="3177"/>
    <x v="0"/>
    <x v="41"/>
    <x v="41"/>
    <x v="1"/>
    <x v="1"/>
    <x v="70"/>
    <n v="14007"/>
    <x v="368"/>
    <x v="162"/>
    <n v="3000"/>
    <n v="600"/>
  </r>
  <r>
    <n v="3178"/>
    <x v="0"/>
    <x v="41"/>
    <x v="41"/>
    <x v="1"/>
    <x v="1"/>
    <x v="9"/>
    <n v="14105"/>
    <x v="226"/>
    <x v="163"/>
    <n v="2928"/>
    <n v="732"/>
  </r>
  <r>
    <n v="3179"/>
    <x v="0"/>
    <x v="41"/>
    <x v="41"/>
    <x v="1"/>
    <x v="1"/>
    <x v="90"/>
    <n v="14182"/>
    <x v="153"/>
    <x v="282"/>
    <n v="798"/>
    <n v="998"/>
  </r>
  <r>
    <n v="3180"/>
    <x v="0"/>
    <x v="41"/>
    <x v="41"/>
    <x v="1"/>
    <x v="1"/>
    <x v="46"/>
    <n v="14140"/>
    <x v="180"/>
    <x v="207"/>
    <n v="479"/>
    <n v="798"/>
  </r>
  <r>
    <n v="3181"/>
    <x v="0"/>
    <x v="41"/>
    <x v="41"/>
    <x v="2"/>
    <x v="2"/>
    <x v="105"/>
    <n v="18056"/>
    <x v="95"/>
    <x v="31"/>
    <n v="10"/>
    <n v="667"/>
  </r>
  <r>
    <n v="3182"/>
    <x v="0"/>
    <x v="41"/>
    <x v="41"/>
    <x v="2"/>
    <x v="2"/>
    <x v="12"/>
    <n v="18021"/>
    <x v="31"/>
    <x v="77"/>
    <n v="9"/>
    <n v="643"/>
  </r>
  <r>
    <n v="3183"/>
    <x v="0"/>
    <x v="41"/>
    <x v="41"/>
    <x v="2"/>
    <x v="2"/>
    <x v="17"/>
    <n v="18042"/>
    <x v="31"/>
    <x v="13"/>
    <n v="9"/>
    <n v="750"/>
  </r>
  <r>
    <n v="3184"/>
    <x v="0"/>
    <x v="41"/>
    <x v="41"/>
    <x v="2"/>
    <x v="2"/>
    <x v="73"/>
    <n v="18077"/>
    <x v="32"/>
    <x v="52"/>
    <n v="6"/>
    <n v="667"/>
  </r>
  <r>
    <n v="3185"/>
    <x v="0"/>
    <x v="41"/>
    <x v="41"/>
    <x v="2"/>
    <x v="2"/>
    <x v="19"/>
    <n v="18133"/>
    <x v="32"/>
    <x v="52"/>
    <n v="6"/>
    <n v="667"/>
  </r>
  <r>
    <n v="3186"/>
    <x v="0"/>
    <x v="41"/>
    <x v="41"/>
    <x v="2"/>
    <x v="2"/>
    <x v="76"/>
    <n v="18154"/>
    <x v="32"/>
    <x v="52"/>
    <n v="6"/>
    <n v="667"/>
  </r>
  <r>
    <n v="3187"/>
    <x v="0"/>
    <x v="41"/>
    <x v="41"/>
    <x v="2"/>
    <x v="2"/>
    <x v="24"/>
    <n v="18140"/>
    <x v="77"/>
    <x v="29"/>
    <n v="4"/>
    <n v="571"/>
  </r>
  <r>
    <n v="3188"/>
    <x v="0"/>
    <x v="41"/>
    <x v="41"/>
    <x v="3"/>
    <x v="3"/>
    <x v="29"/>
    <n v="30015"/>
    <x v="92"/>
    <x v="78"/>
    <n v="14"/>
    <n v="560"/>
  </r>
  <r>
    <n v="3189"/>
    <x v="0"/>
    <x v="41"/>
    <x v="41"/>
    <x v="3"/>
    <x v="3"/>
    <x v="28"/>
    <n v="30028"/>
    <x v="32"/>
    <x v="32"/>
    <n v="6"/>
    <n v="600"/>
  </r>
  <r>
    <n v="3190"/>
    <x v="0"/>
    <x v="41"/>
    <x v="41"/>
    <x v="4"/>
    <x v="4"/>
    <x v="34"/>
    <n v="34035"/>
    <x v="26"/>
    <x v="59"/>
    <n v="316"/>
    <n v="790"/>
  </r>
  <r>
    <n v="3191"/>
    <x v="0"/>
    <x v="41"/>
    <x v="41"/>
    <x v="4"/>
    <x v="4"/>
    <x v="33"/>
    <n v="34056"/>
    <x v="23"/>
    <x v="23"/>
    <n v="120"/>
    <n v="1200"/>
  </r>
  <r>
    <n v="3192"/>
    <x v="0"/>
    <x v="41"/>
    <x v="41"/>
    <x v="4"/>
    <x v="4"/>
    <x v="30"/>
    <n v="34049"/>
    <x v="44"/>
    <x v="111"/>
    <n v="65"/>
    <n v="1300"/>
  </r>
  <r>
    <n v="3193"/>
    <x v="0"/>
    <x v="41"/>
    <x v="41"/>
    <x v="4"/>
    <x v="4"/>
    <x v="31"/>
    <n v="34021"/>
    <x v="125"/>
    <x v="45"/>
    <n v="48"/>
    <n v="1200"/>
  </r>
  <r>
    <n v="3194"/>
    <x v="0"/>
    <x v="41"/>
    <x v="41"/>
    <x v="4"/>
    <x v="4"/>
    <x v="32"/>
    <n v="34014"/>
    <x v="72"/>
    <x v="72"/>
    <n v="33"/>
    <n v="1100"/>
  </r>
  <r>
    <n v="3195"/>
    <x v="0"/>
    <x v="41"/>
    <x v="41"/>
    <x v="4"/>
    <x v="4"/>
    <x v="81"/>
    <n v="34042"/>
    <x v="45"/>
    <x v="80"/>
    <n v="18"/>
    <n v="900"/>
  </r>
  <r>
    <n v="3196"/>
    <x v="0"/>
    <x v="41"/>
    <x v="41"/>
    <x v="6"/>
    <x v="6"/>
    <x v="41"/>
    <n v="54098"/>
    <x v="225"/>
    <x v="231"/>
    <n v="36"/>
    <n v="692"/>
  </r>
  <r>
    <n v="3197"/>
    <x v="0"/>
    <x v="41"/>
    <x v="41"/>
    <x v="6"/>
    <x v="6"/>
    <x v="183"/>
    <n v="54070"/>
    <x v="44"/>
    <x v="201"/>
    <n v="30"/>
    <n v="698"/>
  </r>
  <r>
    <n v="3198"/>
    <x v="0"/>
    <x v="41"/>
    <x v="41"/>
    <x v="6"/>
    <x v="6"/>
    <x v="182"/>
    <n v="54091"/>
    <x v="44"/>
    <x v="28"/>
    <n v="31"/>
    <n v="705"/>
  </r>
  <r>
    <n v="3199"/>
    <x v="0"/>
    <x v="41"/>
    <x v="41"/>
    <x v="6"/>
    <x v="6"/>
    <x v="39"/>
    <n v="54007"/>
    <x v="39"/>
    <x v="45"/>
    <n v="30"/>
    <n v="750"/>
  </r>
  <r>
    <n v="3200"/>
    <x v="0"/>
    <x v="41"/>
    <x v="41"/>
    <x v="6"/>
    <x v="6"/>
    <x v="114"/>
    <n v="54014"/>
    <x v="39"/>
    <x v="45"/>
    <n v="31"/>
    <n v="775"/>
  </r>
  <r>
    <n v="3201"/>
    <x v="0"/>
    <x v="41"/>
    <x v="41"/>
    <x v="6"/>
    <x v="6"/>
    <x v="43"/>
    <n v="54035"/>
    <x v="39"/>
    <x v="45"/>
    <n v="28"/>
    <n v="700"/>
  </r>
  <r>
    <n v="3202"/>
    <x v="0"/>
    <x v="41"/>
    <x v="41"/>
    <x v="6"/>
    <x v="6"/>
    <x v="40"/>
    <n v="54021"/>
    <x v="125"/>
    <x v="4"/>
    <n v="25"/>
    <n v="694"/>
  </r>
  <r>
    <n v="3203"/>
    <x v="0"/>
    <x v="41"/>
    <x v="41"/>
    <x v="6"/>
    <x v="6"/>
    <x v="185"/>
    <n v="54042"/>
    <x v="125"/>
    <x v="4"/>
    <n v="27"/>
    <n v="750"/>
  </r>
  <r>
    <n v="3204"/>
    <x v="0"/>
    <x v="41"/>
    <x v="41"/>
    <x v="6"/>
    <x v="6"/>
    <x v="184"/>
    <n v="54084"/>
    <x v="72"/>
    <x v="157"/>
    <n v="20"/>
    <n v="741"/>
  </r>
  <r>
    <n v="3205"/>
    <x v="0"/>
    <x v="41"/>
    <x v="41"/>
    <x v="6"/>
    <x v="6"/>
    <x v="42"/>
    <n v="54105"/>
    <x v="92"/>
    <x v="99"/>
    <n v="14"/>
    <n v="636"/>
  </r>
  <r>
    <n v="3206"/>
    <x v="0"/>
    <x v="41"/>
    <x v="41"/>
    <x v="6"/>
    <x v="6"/>
    <x v="88"/>
    <n v="54077"/>
    <x v="45"/>
    <x v="140"/>
    <n v="14"/>
    <n v="778"/>
  </r>
  <r>
    <n v="3207"/>
    <x v="0"/>
    <x v="41"/>
    <x v="41"/>
    <x v="6"/>
    <x v="6"/>
    <x v="174"/>
    <n v="54119"/>
    <x v="31"/>
    <x v="135"/>
    <n v="9"/>
    <n v="692"/>
  </r>
  <r>
    <n v="3208"/>
    <x v="0"/>
    <x v="41"/>
    <x v="41"/>
    <x v="6"/>
    <x v="6"/>
    <x v="115"/>
    <n v="54056"/>
    <x v="32"/>
    <x v="52"/>
    <n v="7"/>
    <n v="778"/>
  </r>
  <r>
    <n v="3209"/>
    <x v="0"/>
    <x v="41"/>
    <x v="41"/>
    <x v="6"/>
    <x v="6"/>
    <x v="116"/>
    <n v="54063"/>
    <x v="32"/>
    <x v="52"/>
    <n v="7"/>
    <n v="778"/>
  </r>
  <r>
    <n v="3210"/>
    <x v="0"/>
    <x v="41"/>
    <x v="41"/>
    <x v="6"/>
    <x v="6"/>
    <x v="192"/>
    <n v="54049"/>
    <x v="32"/>
    <x v="52"/>
    <n v="7"/>
    <n v="778"/>
  </r>
  <r>
    <n v="3211"/>
    <x v="0"/>
    <x v="41"/>
    <x v="41"/>
    <x v="6"/>
    <x v="6"/>
    <x v="37"/>
    <n v="54112"/>
    <x v="33"/>
    <x v="33"/>
    <n v="4"/>
    <n v="800"/>
  </r>
  <r>
    <n v="3212"/>
    <x v="0"/>
    <x v="41"/>
    <x v="41"/>
    <x v="11"/>
    <x v="11"/>
    <x v="171"/>
    <n v="66056"/>
    <x v="26"/>
    <x v="59"/>
    <n v="480"/>
    <n v="1200"/>
  </r>
  <r>
    <n v="3213"/>
    <x v="0"/>
    <x v="41"/>
    <x v="41"/>
    <x v="11"/>
    <x v="11"/>
    <x v="106"/>
    <n v="66112"/>
    <x v="23"/>
    <x v="23"/>
    <n v="146"/>
    <n v="1460"/>
  </r>
  <r>
    <n v="3214"/>
    <x v="0"/>
    <x v="41"/>
    <x v="41"/>
    <x v="11"/>
    <x v="11"/>
    <x v="146"/>
    <n v="66140"/>
    <x v="72"/>
    <x v="72"/>
    <n v="43"/>
    <n v="1433"/>
  </r>
  <r>
    <n v="3215"/>
    <x v="0"/>
    <x v="41"/>
    <x v="41"/>
    <x v="11"/>
    <x v="11"/>
    <x v="93"/>
    <n v="66035"/>
    <x v="45"/>
    <x v="80"/>
    <n v="27"/>
    <n v="1350"/>
  </r>
  <r>
    <n v="3216"/>
    <x v="0"/>
    <x v="41"/>
    <x v="41"/>
    <x v="11"/>
    <x v="11"/>
    <x v="193"/>
    <n v="66063"/>
    <x v="45"/>
    <x v="80"/>
    <n v="24"/>
    <n v="1200"/>
  </r>
  <r>
    <n v="3217"/>
    <x v="0"/>
    <x v="41"/>
    <x v="41"/>
    <x v="11"/>
    <x v="11"/>
    <x v="140"/>
    <n v="66126"/>
    <x v="45"/>
    <x v="80"/>
    <n v="24"/>
    <n v="1200"/>
  </r>
  <r>
    <n v="3218"/>
    <x v="0"/>
    <x v="41"/>
    <x v="41"/>
    <x v="11"/>
    <x v="11"/>
    <x v="123"/>
    <n v="66133"/>
    <x v="45"/>
    <x v="80"/>
    <n v="16"/>
    <n v="800"/>
  </r>
  <r>
    <n v="3219"/>
    <x v="0"/>
    <x v="41"/>
    <x v="41"/>
    <x v="11"/>
    <x v="11"/>
    <x v="97"/>
    <n v="66147"/>
    <x v="45"/>
    <x v="80"/>
    <n v="27"/>
    <n v="1350"/>
  </r>
  <r>
    <n v="3220"/>
    <x v="0"/>
    <x v="41"/>
    <x v="41"/>
    <x v="11"/>
    <x v="11"/>
    <x v="12"/>
    <n v="66028"/>
    <x v="32"/>
    <x v="32"/>
    <n v="13"/>
    <n v="1300"/>
  </r>
  <r>
    <n v="3221"/>
    <x v="0"/>
    <x v="41"/>
    <x v="41"/>
    <x v="7"/>
    <x v="7"/>
    <x v="44"/>
    <n v="82049"/>
    <x v="143"/>
    <x v="150"/>
    <n v="136"/>
    <n v="1046"/>
  </r>
  <r>
    <n v="3222"/>
    <x v="0"/>
    <x v="41"/>
    <x v="41"/>
    <x v="7"/>
    <x v="7"/>
    <x v="45"/>
    <n v="82035"/>
    <x v="32"/>
    <x v="29"/>
    <n v="14"/>
    <n v="2000"/>
  </r>
  <r>
    <n v="3223"/>
    <x v="0"/>
    <x v="41"/>
    <x v="41"/>
    <x v="9"/>
    <x v="9"/>
    <x v="55"/>
    <n v="90007"/>
    <x v="108"/>
    <x v="114"/>
    <n v="1300"/>
    <n v="1000"/>
  </r>
  <r>
    <n v="3224"/>
    <x v="0"/>
    <x v="41"/>
    <x v="41"/>
    <x v="9"/>
    <x v="9"/>
    <x v="65"/>
    <n v="90014"/>
    <x v="16"/>
    <x v="16"/>
    <n v="355"/>
    <n v="1014"/>
  </r>
  <r>
    <n v="3225"/>
    <x v="0"/>
    <x v="41"/>
    <x v="41"/>
    <x v="9"/>
    <x v="9"/>
    <x v="66"/>
    <n v="90056"/>
    <x v="61"/>
    <x v="61"/>
    <n v="195"/>
    <n v="780"/>
  </r>
  <r>
    <n v="3226"/>
    <x v="0"/>
    <x v="42"/>
    <x v="42"/>
    <x v="1"/>
    <x v="1"/>
    <x v="70"/>
    <n v="14007"/>
    <x v="266"/>
    <x v="498"/>
    <n v="7273"/>
    <n v="1128"/>
  </r>
  <r>
    <n v="3227"/>
    <x v="0"/>
    <x v="42"/>
    <x v="42"/>
    <x v="1"/>
    <x v="1"/>
    <x v="143"/>
    <n v="14042"/>
    <x v="79"/>
    <x v="81"/>
    <n v="12537"/>
    <n v="1045"/>
  </r>
  <r>
    <n v="3228"/>
    <x v="0"/>
    <x v="42"/>
    <x v="42"/>
    <x v="1"/>
    <x v="1"/>
    <x v="107"/>
    <n v="14056"/>
    <x v="375"/>
    <x v="341"/>
    <n v="42537"/>
    <n v="1418"/>
  </r>
  <r>
    <n v="3229"/>
    <x v="0"/>
    <x v="42"/>
    <x v="42"/>
    <x v="1"/>
    <x v="1"/>
    <x v="13"/>
    <n v="14098"/>
    <x v="382"/>
    <x v="220"/>
    <n v="8358"/>
    <n v="1194"/>
  </r>
  <r>
    <n v="3230"/>
    <x v="0"/>
    <x v="42"/>
    <x v="42"/>
    <x v="1"/>
    <x v="1"/>
    <x v="9"/>
    <n v="14105"/>
    <x v="147"/>
    <x v="288"/>
    <n v="1533"/>
    <n v="613"/>
  </r>
  <r>
    <n v="3231"/>
    <x v="0"/>
    <x v="42"/>
    <x v="42"/>
    <x v="1"/>
    <x v="1"/>
    <x v="8"/>
    <n v="14119"/>
    <x v="474"/>
    <x v="499"/>
    <n v="60149"/>
    <n v="970"/>
  </r>
  <r>
    <n v="3232"/>
    <x v="0"/>
    <x v="42"/>
    <x v="42"/>
    <x v="1"/>
    <x v="1"/>
    <x v="46"/>
    <n v="14140"/>
    <x v="26"/>
    <x v="16"/>
    <n v="261"/>
    <n v="746"/>
  </r>
  <r>
    <n v="3233"/>
    <x v="0"/>
    <x v="42"/>
    <x v="42"/>
    <x v="1"/>
    <x v="1"/>
    <x v="7"/>
    <n v="14147"/>
    <x v="475"/>
    <x v="142"/>
    <n v="8209"/>
    <n v="746"/>
  </r>
  <r>
    <n v="3234"/>
    <x v="0"/>
    <x v="42"/>
    <x v="42"/>
    <x v="1"/>
    <x v="1"/>
    <x v="10"/>
    <n v="14161"/>
    <x v="470"/>
    <x v="500"/>
    <n v="89507"/>
    <n v="1193"/>
  </r>
  <r>
    <n v="3235"/>
    <x v="0"/>
    <x v="42"/>
    <x v="42"/>
    <x v="1"/>
    <x v="1"/>
    <x v="90"/>
    <n v="14182"/>
    <x v="153"/>
    <x v="282"/>
    <n v="836"/>
    <n v="1045"/>
  </r>
  <r>
    <n v="3236"/>
    <x v="0"/>
    <x v="42"/>
    <x v="42"/>
    <x v="2"/>
    <x v="2"/>
    <x v="12"/>
    <n v="18021"/>
    <x v="107"/>
    <x v="79"/>
    <n v="21"/>
    <n v="1313"/>
  </r>
  <r>
    <n v="3237"/>
    <x v="0"/>
    <x v="42"/>
    <x v="42"/>
    <x v="2"/>
    <x v="2"/>
    <x v="17"/>
    <n v="18042"/>
    <x v="132"/>
    <x v="31"/>
    <n v="19"/>
    <n v="1267"/>
  </r>
  <r>
    <n v="3238"/>
    <x v="0"/>
    <x v="42"/>
    <x v="42"/>
    <x v="2"/>
    <x v="2"/>
    <x v="72"/>
    <n v="18063"/>
    <x v="107"/>
    <x v="79"/>
    <n v="21"/>
    <n v="1313"/>
  </r>
  <r>
    <n v="3239"/>
    <x v="0"/>
    <x v="42"/>
    <x v="42"/>
    <x v="2"/>
    <x v="2"/>
    <x v="73"/>
    <n v="18077"/>
    <x v="53"/>
    <x v="67"/>
    <n v="10"/>
    <n v="1250"/>
  </r>
  <r>
    <n v="3240"/>
    <x v="0"/>
    <x v="42"/>
    <x v="42"/>
    <x v="2"/>
    <x v="2"/>
    <x v="15"/>
    <n v="18112"/>
    <x v="20"/>
    <x v="357"/>
    <n v="191"/>
    <n v="1345"/>
  </r>
  <r>
    <n v="3241"/>
    <x v="0"/>
    <x v="42"/>
    <x v="42"/>
    <x v="2"/>
    <x v="2"/>
    <x v="19"/>
    <n v="18133"/>
    <x v="32"/>
    <x v="52"/>
    <n v="12"/>
    <n v="1333"/>
  </r>
  <r>
    <n v="3242"/>
    <x v="0"/>
    <x v="42"/>
    <x v="42"/>
    <x v="2"/>
    <x v="2"/>
    <x v="24"/>
    <n v="18140"/>
    <x v="53"/>
    <x v="67"/>
    <n v="12"/>
    <n v="1500"/>
  </r>
  <r>
    <n v="3243"/>
    <x v="0"/>
    <x v="42"/>
    <x v="42"/>
    <x v="2"/>
    <x v="2"/>
    <x v="76"/>
    <n v="18154"/>
    <x v="50"/>
    <x v="32"/>
    <n v="13"/>
    <n v="1300"/>
  </r>
  <r>
    <n v="3244"/>
    <x v="0"/>
    <x v="42"/>
    <x v="42"/>
    <x v="2"/>
    <x v="2"/>
    <x v="27"/>
    <n v="18168"/>
    <x v="476"/>
    <x v="501"/>
    <n v="601"/>
    <n v="1237"/>
  </r>
  <r>
    <n v="3245"/>
    <x v="0"/>
    <x v="42"/>
    <x v="42"/>
    <x v="3"/>
    <x v="3"/>
    <x v="29"/>
    <n v="30015"/>
    <x v="125"/>
    <x v="45"/>
    <n v="32"/>
    <n v="800"/>
  </r>
  <r>
    <n v="3246"/>
    <x v="0"/>
    <x v="42"/>
    <x v="42"/>
    <x v="3"/>
    <x v="3"/>
    <x v="28"/>
    <n v="30028"/>
    <x v="32"/>
    <x v="32"/>
    <n v="8"/>
    <n v="800"/>
  </r>
  <r>
    <n v="3247"/>
    <x v="0"/>
    <x v="42"/>
    <x v="42"/>
    <x v="4"/>
    <x v="4"/>
    <x v="32"/>
    <n v="34014"/>
    <x v="72"/>
    <x v="72"/>
    <n v="24"/>
    <n v="800"/>
  </r>
  <r>
    <n v="3248"/>
    <x v="0"/>
    <x v="42"/>
    <x v="42"/>
    <x v="4"/>
    <x v="4"/>
    <x v="31"/>
    <n v="34021"/>
    <x v="125"/>
    <x v="45"/>
    <n v="35"/>
    <n v="875"/>
  </r>
  <r>
    <n v="3249"/>
    <x v="0"/>
    <x v="42"/>
    <x v="42"/>
    <x v="4"/>
    <x v="4"/>
    <x v="34"/>
    <n v="34035"/>
    <x v="26"/>
    <x v="59"/>
    <n v="116"/>
    <n v="290"/>
  </r>
  <r>
    <n v="3250"/>
    <x v="0"/>
    <x v="42"/>
    <x v="42"/>
    <x v="4"/>
    <x v="4"/>
    <x v="81"/>
    <n v="34042"/>
    <x v="45"/>
    <x v="80"/>
    <n v="15"/>
    <n v="750"/>
  </r>
  <r>
    <n v="3251"/>
    <x v="0"/>
    <x v="42"/>
    <x v="42"/>
    <x v="4"/>
    <x v="4"/>
    <x v="30"/>
    <n v="34049"/>
    <x v="44"/>
    <x v="111"/>
    <n v="40"/>
    <n v="800"/>
  </r>
  <r>
    <n v="3252"/>
    <x v="0"/>
    <x v="42"/>
    <x v="42"/>
    <x v="4"/>
    <x v="4"/>
    <x v="33"/>
    <n v="34056"/>
    <x v="23"/>
    <x v="23"/>
    <n v="70"/>
    <n v="700"/>
  </r>
  <r>
    <n v="3253"/>
    <x v="0"/>
    <x v="42"/>
    <x v="42"/>
    <x v="6"/>
    <x v="6"/>
    <x v="174"/>
    <n v="54119"/>
    <x v="31"/>
    <x v="77"/>
    <n v="10"/>
    <n v="714"/>
  </r>
  <r>
    <n v="3254"/>
    <x v="0"/>
    <x v="42"/>
    <x v="42"/>
    <x v="6"/>
    <x v="6"/>
    <x v="39"/>
    <n v="54007"/>
    <x v="44"/>
    <x v="126"/>
    <n v="32"/>
    <n v="681"/>
  </r>
  <r>
    <n v="3255"/>
    <x v="0"/>
    <x v="42"/>
    <x v="42"/>
    <x v="6"/>
    <x v="6"/>
    <x v="114"/>
    <n v="54014"/>
    <x v="119"/>
    <x v="28"/>
    <n v="30"/>
    <n v="682"/>
  </r>
  <r>
    <n v="3256"/>
    <x v="0"/>
    <x v="42"/>
    <x v="42"/>
    <x v="6"/>
    <x v="6"/>
    <x v="40"/>
    <n v="54021"/>
    <x v="125"/>
    <x v="454"/>
    <n v="27"/>
    <n v="711"/>
  </r>
  <r>
    <n v="3257"/>
    <x v="0"/>
    <x v="42"/>
    <x v="42"/>
    <x v="6"/>
    <x v="6"/>
    <x v="43"/>
    <n v="54035"/>
    <x v="39"/>
    <x v="106"/>
    <n v="29"/>
    <n v="690"/>
  </r>
  <r>
    <n v="3258"/>
    <x v="0"/>
    <x v="42"/>
    <x v="42"/>
    <x v="6"/>
    <x v="6"/>
    <x v="185"/>
    <n v="54042"/>
    <x v="197"/>
    <x v="45"/>
    <n v="30"/>
    <n v="750"/>
  </r>
  <r>
    <n v="3259"/>
    <x v="0"/>
    <x v="42"/>
    <x v="42"/>
    <x v="6"/>
    <x v="6"/>
    <x v="192"/>
    <n v="54049"/>
    <x v="32"/>
    <x v="52"/>
    <n v="11"/>
    <n v="1222"/>
  </r>
  <r>
    <n v="3260"/>
    <x v="0"/>
    <x v="42"/>
    <x v="42"/>
    <x v="6"/>
    <x v="6"/>
    <x v="115"/>
    <n v="54056"/>
    <x v="32"/>
    <x v="52"/>
    <n v="9"/>
    <n v="1000"/>
  </r>
  <r>
    <n v="3261"/>
    <x v="0"/>
    <x v="42"/>
    <x v="42"/>
    <x v="6"/>
    <x v="6"/>
    <x v="116"/>
    <n v="54063"/>
    <x v="32"/>
    <x v="32"/>
    <n v="12"/>
    <n v="1200"/>
  </r>
  <r>
    <n v="3262"/>
    <x v="0"/>
    <x v="42"/>
    <x v="42"/>
    <x v="6"/>
    <x v="6"/>
    <x v="183"/>
    <n v="54070"/>
    <x v="199"/>
    <x v="97"/>
    <n v="30"/>
    <n v="625"/>
  </r>
  <r>
    <n v="3263"/>
    <x v="0"/>
    <x v="42"/>
    <x v="42"/>
    <x v="6"/>
    <x v="6"/>
    <x v="88"/>
    <n v="54077"/>
    <x v="45"/>
    <x v="112"/>
    <n v="15"/>
    <n v="789"/>
  </r>
  <r>
    <n v="3264"/>
    <x v="0"/>
    <x v="42"/>
    <x v="42"/>
    <x v="6"/>
    <x v="6"/>
    <x v="184"/>
    <n v="54084"/>
    <x v="72"/>
    <x v="72"/>
    <n v="61"/>
    <n v="2033"/>
  </r>
  <r>
    <n v="3265"/>
    <x v="0"/>
    <x v="42"/>
    <x v="42"/>
    <x v="6"/>
    <x v="6"/>
    <x v="182"/>
    <n v="54091"/>
    <x v="337"/>
    <x v="125"/>
    <n v="35"/>
    <n v="660"/>
  </r>
  <r>
    <n v="3266"/>
    <x v="0"/>
    <x v="42"/>
    <x v="42"/>
    <x v="6"/>
    <x v="6"/>
    <x v="41"/>
    <n v="54098"/>
    <x v="181"/>
    <x v="96"/>
    <n v="43"/>
    <n v="694"/>
  </r>
  <r>
    <n v="3267"/>
    <x v="0"/>
    <x v="42"/>
    <x v="42"/>
    <x v="6"/>
    <x v="6"/>
    <x v="42"/>
    <n v="54105"/>
    <x v="72"/>
    <x v="202"/>
    <n v="20"/>
    <n v="714"/>
  </r>
  <r>
    <n v="3268"/>
    <x v="0"/>
    <x v="42"/>
    <x v="42"/>
    <x v="6"/>
    <x v="6"/>
    <x v="37"/>
    <n v="54112"/>
    <x v="29"/>
    <x v="29"/>
    <n v="6"/>
    <n v="857"/>
  </r>
  <r>
    <n v="3269"/>
    <x v="0"/>
    <x v="42"/>
    <x v="42"/>
    <x v="11"/>
    <x v="11"/>
    <x v="12"/>
    <n v="66028"/>
    <x v="33"/>
    <x v="33"/>
    <n v="7"/>
    <n v="1400"/>
  </r>
  <r>
    <n v="3270"/>
    <x v="0"/>
    <x v="42"/>
    <x v="42"/>
    <x v="11"/>
    <x v="11"/>
    <x v="93"/>
    <n v="66035"/>
    <x v="32"/>
    <x v="32"/>
    <n v="13"/>
    <n v="1300"/>
  </r>
  <r>
    <n v="3271"/>
    <x v="0"/>
    <x v="42"/>
    <x v="42"/>
    <x v="11"/>
    <x v="11"/>
    <x v="171"/>
    <n v="66056"/>
    <x v="188"/>
    <x v="320"/>
    <n v="100"/>
    <n v="952"/>
  </r>
  <r>
    <n v="3272"/>
    <x v="0"/>
    <x v="42"/>
    <x v="42"/>
    <x v="11"/>
    <x v="11"/>
    <x v="193"/>
    <n v="66063"/>
    <x v="32"/>
    <x v="32"/>
    <n v="12"/>
    <n v="1200"/>
  </r>
  <r>
    <n v="3273"/>
    <x v="0"/>
    <x v="42"/>
    <x v="42"/>
    <x v="11"/>
    <x v="11"/>
    <x v="106"/>
    <n v="66112"/>
    <x v="72"/>
    <x v="72"/>
    <n v="43"/>
    <n v="1433"/>
  </r>
  <r>
    <n v="3274"/>
    <x v="0"/>
    <x v="42"/>
    <x v="42"/>
    <x v="11"/>
    <x v="11"/>
    <x v="140"/>
    <n v="66126"/>
    <x v="45"/>
    <x v="80"/>
    <n v="24"/>
    <n v="1200"/>
  </r>
  <r>
    <n v="3275"/>
    <x v="0"/>
    <x v="42"/>
    <x v="42"/>
    <x v="11"/>
    <x v="11"/>
    <x v="123"/>
    <n v="66133"/>
    <x v="32"/>
    <x v="32"/>
    <n v="8"/>
    <n v="800"/>
  </r>
  <r>
    <n v="3276"/>
    <x v="0"/>
    <x v="42"/>
    <x v="42"/>
    <x v="11"/>
    <x v="11"/>
    <x v="146"/>
    <n v="66140"/>
    <x v="44"/>
    <x v="111"/>
    <n v="70"/>
    <n v="1400"/>
  </r>
  <r>
    <n v="3277"/>
    <x v="0"/>
    <x v="42"/>
    <x v="42"/>
    <x v="11"/>
    <x v="11"/>
    <x v="97"/>
    <n v="66147"/>
    <x v="32"/>
    <x v="32"/>
    <n v="13"/>
    <n v="1300"/>
  </r>
  <r>
    <n v="3278"/>
    <x v="0"/>
    <x v="42"/>
    <x v="42"/>
    <x v="7"/>
    <x v="7"/>
    <x v="45"/>
    <n v="82035"/>
    <x v="32"/>
    <x v="34"/>
    <n v="4"/>
    <n v="2000"/>
  </r>
  <r>
    <n v="3279"/>
    <x v="0"/>
    <x v="42"/>
    <x v="42"/>
    <x v="7"/>
    <x v="7"/>
    <x v="44"/>
    <n v="82049"/>
    <x v="16"/>
    <x v="117"/>
    <n v="416"/>
    <n v="1195"/>
  </r>
  <r>
    <n v="3280"/>
    <x v="0"/>
    <x v="42"/>
    <x v="42"/>
    <x v="9"/>
    <x v="9"/>
    <x v="55"/>
    <n v="90007"/>
    <x v="179"/>
    <x v="147"/>
    <n v="590"/>
    <n v="1093"/>
  </r>
  <r>
    <n v="3281"/>
    <x v="0"/>
    <x v="42"/>
    <x v="42"/>
    <x v="9"/>
    <x v="9"/>
    <x v="65"/>
    <n v="90014"/>
    <x v="18"/>
    <x v="63"/>
    <n v="198"/>
    <n v="1100"/>
  </r>
  <r>
    <n v="3282"/>
    <x v="0"/>
    <x v="42"/>
    <x v="42"/>
    <x v="9"/>
    <x v="9"/>
    <x v="66"/>
    <n v="90056"/>
    <x v="18"/>
    <x v="63"/>
    <n v="162"/>
    <n v="900"/>
  </r>
  <r>
    <n v="3283"/>
    <x v="0"/>
    <x v="43"/>
    <x v="43"/>
    <x v="1"/>
    <x v="1"/>
    <x v="70"/>
    <n v="14007"/>
    <x v="315"/>
    <x v="291"/>
    <n v="9400"/>
    <n v="1175"/>
  </r>
  <r>
    <n v="3284"/>
    <x v="0"/>
    <x v="43"/>
    <x v="43"/>
    <x v="1"/>
    <x v="1"/>
    <x v="143"/>
    <n v="14042"/>
    <x v="439"/>
    <x v="502"/>
    <n v="21500"/>
    <n v="1433"/>
  </r>
  <r>
    <n v="3285"/>
    <x v="0"/>
    <x v="43"/>
    <x v="43"/>
    <x v="1"/>
    <x v="1"/>
    <x v="107"/>
    <n v="14056"/>
    <x v="344"/>
    <x v="485"/>
    <n v="46100"/>
    <n v="1397"/>
  </r>
  <r>
    <n v="3286"/>
    <x v="0"/>
    <x v="43"/>
    <x v="43"/>
    <x v="1"/>
    <x v="1"/>
    <x v="13"/>
    <n v="14098"/>
    <x v="266"/>
    <x v="272"/>
    <n v="8100"/>
    <n v="1246"/>
  </r>
  <r>
    <n v="3287"/>
    <x v="0"/>
    <x v="43"/>
    <x v="43"/>
    <x v="1"/>
    <x v="1"/>
    <x v="9"/>
    <n v="14105"/>
    <x v="120"/>
    <x v="127"/>
    <n v="5150"/>
    <n v="1144"/>
  </r>
  <r>
    <n v="3288"/>
    <x v="0"/>
    <x v="43"/>
    <x v="43"/>
    <x v="1"/>
    <x v="1"/>
    <x v="8"/>
    <n v="14119"/>
    <x v="477"/>
    <x v="434"/>
    <n v="108000"/>
    <n v="1137"/>
  </r>
  <r>
    <n v="3289"/>
    <x v="0"/>
    <x v="43"/>
    <x v="43"/>
    <x v="1"/>
    <x v="1"/>
    <x v="46"/>
    <n v="14140"/>
    <x v="23"/>
    <x v="23"/>
    <n v="110"/>
    <n v="1100"/>
  </r>
  <r>
    <n v="3290"/>
    <x v="0"/>
    <x v="43"/>
    <x v="43"/>
    <x v="1"/>
    <x v="1"/>
    <x v="7"/>
    <n v="14147"/>
    <x v="156"/>
    <x v="502"/>
    <n v="16300"/>
    <n v="1087"/>
  </r>
  <r>
    <n v="3291"/>
    <x v="0"/>
    <x v="43"/>
    <x v="43"/>
    <x v="1"/>
    <x v="1"/>
    <x v="10"/>
    <n v="14161"/>
    <x v="478"/>
    <x v="503"/>
    <n v="160000"/>
    <n v="1333"/>
  </r>
  <r>
    <n v="3292"/>
    <x v="0"/>
    <x v="43"/>
    <x v="43"/>
    <x v="1"/>
    <x v="1"/>
    <x v="90"/>
    <n v="14182"/>
    <x v="11"/>
    <x v="11"/>
    <n v="1340"/>
    <n v="1340"/>
  </r>
  <r>
    <n v="3293"/>
    <x v="0"/>
    <x v="43"/>
    <x v="43"/>
    <x v="2"/>
    <x v="2"/>
    <x v="12"/>
    <n v="18021"/>
    <x v="33"/>
    <x v="46"/>
    <n v="5"/>
    <n v="1250"/>
  </r>
  <r>
    <n v="3294"/>
    <x v="0"/>
    <x v="43"/>
    <x v="43"/>
    <x v="2"/>
    <x v="2"/>
    <x v="25"/>
    <n v="18035"/>
    <x v="20"/>
    <x v="131"/>
    <n v="125"/>
    <n v="1042"/>
  </r>
  <r>
    <n v="3295"/>
    <x v="0"/>
    <x v="43"/>
    <x v="43"/>
    <x v="2"/>
    <x v="2"/>
    <x v="17"/>
    <n v="18042"/>
    <x v="30"/>
    <x v="34"/>
    <n v="3"/>
    <n v="1500"/>
  </r>
  <r>
    <n v="3296"/>
    <x v="0"/>
    <x v="43"/>
    <x v="43"/>
    <x v="2"/>
    <x v="2"/>
    <x v="18"/>
    <n v="18049"/>
    <x v="47"/>
    <x v="30"/>
    <n v="3"/>
    <n v="1000"/>
  </r>
  <r>
    <n v="3297"/>
    <x v="0"/>
    <x v="43"/>
    <x v="43"/>
    <x v="2"/>
    <x v="2"/>
    <x v="72"/>
    <n v="18063"/>
    <x v="33"/>
    <x v="46"/>
    <n v="5"/>
    <n v="1250"/>
  </r>
  <r>
    <n v="3298"/>
    <x v="0"/>
    <x v="43"/>
    <x v="43"/>
    <x v="2"/>
    <x v="2"/>
    <x v="73"/>
    <n v="18077"/>
    <x v="34"/>
    <x v="34"/>
    <n v="3"/>
    <n v="1500"/>
  </r>
  <r>
    <n v="3299"/>
    <x v="0"/>
    <x v="43"/>
    <x v="43"/>
    <x v="2"/>
    <x v="2"/>
    <x v="22"/>
    <n v="18084"/>
    <x v="12"/>
    <x v="63"/>
    <n v="126"/>
    <n v="700"/>
  </r>
  <r>
    <n v="3300"/>
    <x v="0"/>
    <x v="43"/>
    <x v="43"/>
    <x v="2"/>
    <x v="2"/>
    <x v="16"/>
    <n v="18091"/>
    <x v="34"/>
    <x v="34"/>
    <n v="2"/>
    <n v="1000"/>
  </r>
  <r>
    <n v="3301"/>
    <x v="0"/>
    <x v="43"/>
    <x v="43"/>
    <x v="2"/>
    <x v="2"/>
    <x v="15"/>
    <n v="18112"/>
    <x v="26"/>
    <x v="68"/>
    <n v="332"/>
    <n v="1038"/>
  </r>
  <r>
    <n v="3302"/>
    <x v="0"/>
    <x v="43"/>
    <x v="43"/>
    <x v="2"/>
    <x v="2"/>
    <x v="77"/>
    <n v="18119"/>
    <x v="26"/>
    <x v="427"/>
    <n v="343"/>
    <n v="1039"/>
  </r>
  <r>
    <n v="3303"/>
    <x v="0"/>
    <x v="43"/>
    <x v="43"/>
    <x v="2"/>
    <x v="2"/>
    <x v="19"/>
    <n v="18133"/>
    <x v="34"/>
    <x v="34"/>
    <n v="3"/>
    <n v="1500"/>
  </r>
  <r>
    <n v="3304"/>
    <x v="0"/>
    <x v="43"/>
    <x v="43"/>
    <x v="2"/>
    <x v="2"/>
    <x v="24"/>
    <n v="18140"/>
    <x v="31"/>
    <x v="13"/>
    <n v="15"/>
    <n v="1250"/>
  </r>
  <r>
    <n v="3305"/>
    <x v="0"/>
    <x v="43"/>
    <x v="43"/>
    <x v="2"/>
    <x v="2"/>
    <x v="20"/>
    <n v="18147"/>
    <x v="20"/>
    <x v="131"/>
    <n v="90"/>
    <n v="750"/>
  </r>
  <r>
    <n v="3306"/>
    <x v="0"/>
    <x v="43"/>
    <x v="43"/>
    <x v="2"/>
    <x v="2"/>
    <x v="27"/>
    <n v="18168"/>
    <x v="479"/>
    <x v="504"/>
    <n v="1245"/>
    <n v="688"/>
  </r>
  <r>
    <n v="3307"/>
    <x v="0"/>
    <x v="43"/>
    <x v="43"/>
    <x v="3"/>
    <x v="3"/>
    <x v="29"/>
    <n v="30015"/>
    <x v="125"/>
    <x v="45"/>
    <n v="30"/>
    <n v="750"/>
  </r>
  <r>
    <n v="3308"/>
    <x v="0"/>
    <x v="43"/>
    <x v="43"/>
    <x v="3"/>
    <x v="3"/>
    <x v="28"/>
    <n v="30028"/>
    <x v="23"/>
    <x v="23"/>
    <n v="70"/>
    <n v="700"/>
  </r>
  <r>
    <n v="3309"/>
    <x v="0"/>
    <x v="43"/>
    <x v="43"/>
    <x v="4"/>
    <x v="4"/>
    <x v="32"/>
    <n v="34014"/>
    <x v="32"/>
    <x v="32"/>
    <n v="7"/>
    <n v="700"/>
  </r>
  <r>
    <n v="3310"/>
    <x v="0"/>
    <x v="43"/>
    <x v="43"/>
    <x v="4"/>
    <x v="4"/>
    <x v="31"/>
    <n v="34021"/>
    <x v="72"/>
    <x v="72"/>
    <n v="24"/>
    <n v="800"/>
  </r>
  <r>
    <n v="3311"/>
    <x v="0"/>
    <x v="43"/>
    <x v="43"/>
    <x v="4"/>
    <x v="4"/>
    <x v="34"/>
    <n v="34035"/>
    <x v="123"/>
    <x v="151"/>
    <n v="30"/>
    <n v="333"/>
  </r>
  <r>
    <n v="3312"/>
    <x v="0"/>
    <x v="43"/>
    <x v="43"/>
    <x v="4"/>
    <x v="4"/>
    <x v="81"/>
    <n v="34042"/>
    <x v="33"/>
    <x v="33"/>
    <n v="3"/>
    <n v="600"/>
  </r>
  <r>
    <n v="3313"/>
    <x v="0"/>
    <x v="43"/>
    <x v="43"/>
    <x v="4"/>
    <x v="4"/>
    <x v="30"/>
    <n v="34049"/>
    <x v="45"/>
    <x v="80"/>
    <n v="16"/>
    <n v="800"/>
  </r>
  <r>
    <n v="3314"/>
    <x v="0"/>
    <x v="43"/>
    <x v="43"/>
    <x v="4"/>
    <x v="4"/>
    <x v="33"/>
    <n v="34056"/>
    <x v="44"/>
    <x v="111"/>
    <n v="40"/>
    <n v="800"/>
  </r>
  <r>
    <n v="3315"/>
    <x v="0"/>
    <x v="43"/>
    <x v="43"/>
    <x v="6"/>
    <x v="6"/>
    <x v="174"/>
    <n v="54119"/>
    <x v="31"/>
    <x v="32"/>
    <n v="6"/>
    <n v="600"/>
  </r>
  <r>
    <n v="3316"/>
    <x v="0"/>
    <x v="43"/>
    <x v="43"/>
    <x v="6"/>
    <x v="6"/>
    <x v="39"/>
    <n v="54007"/>
    <x v="119"/>
    <x v="45"/>
    <n v="28"/>
    <n v="700"/>
  </r>
  <r>
    <n v="3317"/>
    <x v="0"/>
    <x v="43"/>
    <x v="43"/>
    <x v="6"/>
    <x v="6"/>
    <x v="114"/>
    <n v="54014"/>
    <x v="119"/>
    <x v="45"/>
    <n v="28"/>
    <n v="700"/>
  </r>
  <r>
    <n v="3318"/>
    <x v="0"/>
    <x v="43"/>
    <x v="43"/>
    <x v="6"/>
    <x v="6"/>
    <x v="40"/>
    <n v="54021"/>
    <x v="125"/>
    <x v="139"/>
    <n v="25"/>
    <n v="714"/>
  </r>
  <r>
    <n v="3319"/>
    <x v="0"/>
    <x v="43"/>
    <x v="43"/>
    <x v="6"/>
    <x v="6"/>
    <x v="43"/>
    <n v="54035"/>
    <x v="39"/>
    <x v="45"/>
    <n v="28"/>
    <n v="700"/>
  </r>
  <r>
    <n v="3320"/>
    <x v="0"/>
    <x v="43"/>
    <x v="43"/>
    <x v="6"/>
    <x v="6"/>
    <x v="185"/>
    <n v="54042"/>
    <x v="197"/>
    <x v="139"/>
    <n v="25"/>
    <n v="714"/>
  </r>
  <r>
    <n v="3321"/>
    <x v="0"/>
    <x v="43"/>
    <x v="43"/>
    <x v="6"/>
    <x v="6"/>
    <x v="192"/>
    <n v="54049"/>
    <x v="32"/>
    <x v="67"/>
    <n v="4"/>
    <n v="500"/>
  </r>
  <r>
    <n v="3322"/>
    <x v="0"/>
    <x v="43"/>
    <x v="43"/>
    <x v="6"/>
    <x v="6"/>
    <x v="115"/>
    <n v="54056"/>
    <x v="32"/>
    <x v="67"/>
    <n v="4"/>
    <n v="500"/>
  </r>
  <r>
    <n v="3323"/>
    <x v="0"/>
    <x v="43"/>
    <x v="43"/>
    <x v="6"/>
    <x v="6"/>
    <x v="116"/>
    <n v="54063"/>
    <x v="32"/>
    <x v="32"/>
    <n v="6"/>
    <n v="600"/>
  </r>
  <r>
    <n v="3324"/>
    <x v="0"/>
    <x v="43"/>
    <x v="43"/>
    <x v="6"/>
    <x v="6"/>
    <x v="183"/>
    <n v="54070"/>
    <x v="196"/>
    <x v="259"/>
    <n v="30"/>
    <n v="652"/>
  </r>
  <r>
    <n v="3325"/>
    <x v="0"/>
    <x v="43"/>
    <x v="43"/>
    <x v="6"/>
    <x v="6"/>
    <x v="88"/>
    <n v="54077"/>
    <x v="45"/>
    <x v="31"/>
    <n v="9"/>
    <n v="600"/>
  </r>
  <r>
    <n v="3326"/>
    <x v="0"/>
    <x v="43"/>
    <x v="43"/>
    <x v="6"/>
    <x v="6"/>
    <x v="184"/>
    <n v="54084"/>
    <x v="30"/>
    <x v="30"/>
    <n v="3"/>
    <n v="1000"/>
  </r>
  <r>
    <n v="3327"/>
    <x v="0"/>
    <x v="43"/>
    <x v="43"/>
    <x v="6"/>
    <x v="6"/>
    <x v="182"/>
    <n v="54091"/>
    <x v="275"/>
    <x v="78"/>
    <n v="17"/>
    <n v="680"/>
  </r>
  <r>
    <n v="3328"/>
    <x v="0"/>
    <x v="43"/>
    <x v="43"/>
    <x v="6"/>
    <x v="6"/>
    <x v="41"/>
    <n v="54098"/>
    <x v="225"/>
    <x v="45"/>
    <n v="28"/>
    <n v="700"/>
  </r>
  <r>
    <n v="3329"/>
    <x v="0"/>
    <x v="43"/>
    <x v="43"/>
    <x v="6"/>
    <x v="6"/>
    <x v="42"/>
    <n v="54105"/>
    <x v="72"/>
    <x v="32"/>
    <n v="6"/>
    <n v="600"/>
  </r>
  <r>
    <n v="3330"/>
    <x v="0"/>
    <x v="43"/>
    <x v="43"/>
    <x v="6"/>
    <x v="6"/>
    <x v="37"/>
    <n v="54112"/>
    <x v="29"/>
    <x v="33"/>
    <n v="3"/>
    <n v="600"/>
  </r>
  <r>
    <n v="3331"/>
    <x v="0"/>
    <x v="43"/>
    <x v="43"/>
    <x v="11"/>
    <x v="11"/>
    <x v="12"/>
    <n v="66028"/>
    <x v="33"/>
    <x v="33"/>
    <n v="7"/>
    <n v="1400"/>
  </r>
  <r>
    <n v="3332"/>
    <x v="0"/>
    <x v="43"/>
    <x v="43"/>
    <x v="11"/>
    <x v="11"/>
    <x v="93"/>
    <n v="66035"/>
    <x v="32"/>
    <x v="32"/>
    <n v="13"/>
    <n v="1300"/>
  </r>
  <r>
    <n v="3333"/>
    <x v="0"/>
    <x v="43"/>
    <x v="43"/>
    <x v="11"/>
    <x v="11"/>
    <x v="171"/>
    <n v="66056"/>
    <x v="44"/>
    <x v="111"/>
    <n v="65"/>
    <n v="1300"/>
  </r>
  <r>
    <n v="3334"/>
    <x v="0"/>
    <x v="43"/>
    <x v="43"/>
    <x v="11"/>
    <x v="11"/>
    <x v="193"/>
    <n v="66063"/>
    <x v="32"/>
    <x v="32"/>
    <n v="13"/>
    <n v="1300"/>
  </r>
  <r>
    <n v="3335"/>
    <x v="0"/>
    <x v="43"/>
    <x v="43"/>
    <x v="11"/>
    <x v="11"/>
    <x v="106"/>
    <n v="66112"/>
    <x v="72"/>
    <x v="72"/>
    <n v="39"/>
    <n v="1300"/>
  </r>
  <r>
    <n v="3336"/>
    <x v="0"/>
    <x v="43"/>
    <x v="43"/>
    <x v="11"/>
    <x v="11"/>
    <x v="140"/>
    <n v="66126"/>
    <x v="45"/>
    <x v="80"/>
    <n v="28"/>
    <n v="1400"/>
  </r>
  <r>
    <n v="3337"/>
    <x v="0"/>
    <x v="43"/>
    <x v="43"/>
    <x v="11"/>
    <x v="11"/>
    <x v="123"/>
    <n v="66133"/>
    <x v="33"/>
    <x v="33"/>
    <n v="7"/>
    <n v="1400"/>
  </r>
  <r>
    <n v="3338"/>
    <x v="0"/>
    <x v="43"/>
    <x v="43"/>
    <x v="11"/>
    <x v="11"/>
    <x v="146"/>
    <n v="66140"/>
    <x v="72"/>
    <x v="72"/>
    <n v="39"/>
    <n v="1300"/>
  </r>
  <r>
    <n v="3339"/>
    <x v="0"/>
    <x v="43"/>
    <x v="43"/>
    <x v="11"/>
    <x v="11"/>
    <x v="97"/>
    <n v="66147"/>
    <x v="31"/>
    <x v="31"/>
    <n v="19"/>
    <n v="1267"/>
  </r>
  <r>
    <n v="3340"/>
    <x v="0"/>
    <x v="43"/>
    <x v="43"/>
    <x v="7"/>
    <x v="7"/>
    <x v="45"/>
    <n v="82035"/>
    <x v="123"/>
    <x v="131"/>
    <n v="270"/>
    <n v="2250"/>
  </r>
  <r>
    <n v="3341"/>
    <x v="0"/>
    <x v="43"/>
    <x v="43"/>
    <x v="7"/>
    <x v="7"/>
    <x v="44"/>
    <n v="82049"/>
    <x v="480"/>
    <x v="505"/>
    <n v="1430"/>
    <n v="1625"/>
  </r>
  <r>
    <n v="3342"/>
    <x v="0"/>
    <x v="43"/>
    <x v="43"/>
    <x v="9"/>
    <x v="9"/>
    <x v="55"/>
    <n v="90007"/>
    <x v="120"/>
    <x v="402"/>
    <n v="4200"/>
    <n v="1000"/>
  </r>
  <r>
    <n v="3343"/>
    <x v="0"/>
    <x v="43"/>
    <x v="43"/>
    <x v="9"/>
    <x v="9"/>
    <x v="65"/>
    <n v="90014"/>
    <x v="282"/>
    <x v="288"/>
    <n v="2492"/>
    <n v="997"/>
  </r>
  <r>
    <n v="3344"/>
    <x v="0"/>
    <x v="43"/>
    <x v="43"/>
    <x v="9"/>
    <x v="9"/>
    <x v="69"/>
    <n v="90035"/>
    <x v="32"/>
    <x v="32"/>
    <n v="8"/>
    <n v="800"/>
  </r>
  <r>
    <n v="3345"/>
    <x v="0"/>
    <x v="43"/>
    <x v="43"/>
    <x v="9"/>
    <x v="9"/>
    <x v="66"/>
    <n v="90056"/>
    <x v="351"/>
    <x v="149"/>
    <n v="200"/>
    <n v="1053"/>
  </r>
  <r>
    <n v="3346"/>
    <x v="0"/>
    <x v="44"/>
    <x v="44"/>
    <x v="1"/>
    <x v="1"/>
    <x v="70"/>
    <n v="14007"/>
    <x v="382"/>
    <x v="506"/>
    <n v="5250"/>
    <n v="773"/>
  </r>
  <r>
    <n v="3347"/>
    <x v="0"/>
    <x v="44"/>
    <x v="44"/>
    <x v="1"/>
    <x v="1"/>
    <x v="143"/>
    <n v="14042"/>
    <x v="387"/>
    <x v="507"/>
    <n v="18100"/>
    <n v="923"/>
  </r>
  <r>
    <n v="3348"/>
    <x v="0"/>
    <x v="44"/>
    <x v="44"/>
    <x v="1"/>
    <x v="1"/>
    <x v="107"/>
    <n v="14056"/>
    <x v="390"/>
    <x v="508"/>
    <n v="30600"/>
    <n v="848"/>
  </r>
  <r>
    <n v="3349"/>
    <x v="0"/>
    <x v="44"/>
    <x v="44"/>
    <x v="1"/>
    <x v="1"/>
    <x v="13"/>
    <n v="14098"/>
    <x v="120"/>
    <x v="301"/>
    <n v="3660"/>
    <n v="851"/>
  </r>
  <r>
    <n v="3350"/>
    <x v="0"/>
    <x v="44"/>
    <x v="44"/>
    <x v="1"/>
    <x v="1"/>
    <x v="9"/>
    <n v="14105"/>
    <x v="11"/>
    <x v="230"/>
    <n v="470"/>
    <n v="627"/>
  </r>
  <r>
    <n v="3351"/>
    <x v="0"/>
    <x v="44"/>
    <x v="44"/>
    <x v="1"/>
    <x v="1"/>
    <x v="8"/>
    <n v="14119"/>
    <x v="481"/>
    <x v="509"/>
    <n v="57600"/>
    <n v="770"/>
  </r>
  <r>
    <n v="3352"/>
    <x v="0"/>
    <x v="44"/>
    <x v="44"/>
    <x v="1"/>
    <x v="1"/>
    <x v="7"/>
    <n v="14147"/>
    <x v="54"/>
    <x v="291"/>
    <n v="3700"/>
    <n v="463"/>
  </r>
  <r>
    <n v="3353"/>
    <x v="0"/>
    <x v="44"/>
    <x v="44"/>
    <x v="1"/>
    <x v="1"/>
    <x v="10"/>
    <n v="14161"/>
    <x v="482"/>
    <x v="510"/>
    <n v="127400"/>
    <n v="925"/>
  </r>
  <r>
    <n v="3354"/>
    <x v="0"/>
    <x v="44"/>
    <x v="44"/>
    <x v="1"/>
    <x v="1"/>
    <x v="90"/>
    <n v="14182"/>
    <x v="153"/>
    <x v="511"/>
    <n v="720"/>
    <n v="947"/>
  </r>
  <r>
    <n v="3355"/>
    <x v="0"/>
    <x v="44"/>
    <x v="44"/>
    <x v="2"/>
    <x v="2"/>
    <x v="21"/>
    <n v="18007"/>
    <x v="32"/>
    <x v="29"/>
    <n v="4"/>
    <n v="571"/>
  </r>
  <r>
    <n v="3356"/>
    <x v="0"/>
    <x v="44"/>
    <x v="44"/>
    <x v="2"/>
    <x v="2"/>
    <x v="12"/>
    <n v="18021"/>
    <x v="225"/>
    <x v="139"/>
    <n v="25"/>
    <n v="714"/>
  </r>
  <r>
    <n v="3357"/>
    <x v="0"/>
    <x v="44"/>
    <x v="44"/>
    <x v="2"/>
    <x v="2"/>
    <x v="25"/>
    <n v="18035"/>
    <x v="72"/>
    <x v="80"/>
    <n v="16"/>
    <n v="800"/>
  </r>
  <r>
    <n v="3358"/>
    <x v="0"/>
    <x v="44"/>
    <x v="44"/>
    <x v="2"/>
    <x v="2"/>
    <x v="17"/>
    <n v="18042"/>
    <x v="225"/>
    <x v="139"/>
    <n v="25"/>
    <n v="714"/>
  </r>
  <r>
    <n v="3359"/>
    <x v="0"/>
    <x v="44"/>
    <x v="44"/>
    <x v="2"/>
    <x v="2"/>
    <x v="18"/>
    <n v="18049"/>
    <x v="78"/>
    <x v="46"/>
    <n v="3"/>
    <n v="750"/>
  </r>
  <r>
    <n v="3360"/>
    <x v="0"/>
    <x v="44"/>
    <x v="44"/>
    <x v="2"/>
    <x v="2"/>
    <x v="105"/>
    <n v="18056"/>
    <x v="127"/>
    <x v="45"/>
    <n v="36"/>
    <n v="900"/>
  </r>
  <r>
    <n v="3361"/>
    <x v="0"/>
    <x v="44"/>
    <x v="44"/>
    <x v="2"/>
    <x v="2"/>
    <x v="72"/>
    <n v="18063"/>
    <x v="34"/>
    <x v="512"/>
    <n v="0"/>
    <n v="0"/>
  </r>
  <r>
    <n v="3362"/>
    <x v="0"/>
    <x v="44"/>
    <x v="44"/>
    <x v="2"/>
    <x v="2"/>
    <x v="26"/>
    <n v="18070"/>
    <x v="34"/>
    <x v="512"/>
    <n v="0"/>
    <n v="0"/>
  </r>
  <r>
    <n v="3363"/>
    <x v="0"/>
    <x v="44"/>
    <x v="44"/>
    <x v="2"/>
    <x v="2"/>
    <x v="73"/>
    <n v="18077"/>
    <x v="34"/>
    <x v="512"/>
    <n v="0"/>
    <n v="0"/>
  </r>
  <r>
    <n v="3364"/>
    <x v="0"/>
    <x v="44"/>
    <x v="44"/>
    <x v="2"/>
    <x v="2"/>
    <x v="22"/>
    <n v="18084"/>
    <x v="62"/>
    <x v="36"/>
    <n v="104"/>
    <n v="832"/>
  </r>
  <r>
    <n v="3365"/>
    <x v="0"/>
    <x v="44"/>
    <x v="44"/>
    <x v="2"/>
    <x v="2"/>
    <x v="16"/>
    <n v="18091"/>
    <x v="38"/>
    <x v="139"/>
    <n v="30"/>
    <n v="857"/>
  </r>
  <r>
    <n v="3366"/>
    <x v="0"/>
    <x v="44"/>
    <x v="44"/>
    <x v="2"/>
    <x v="2"/>
    <x v="71"/>
    <n v="18098"/>
    <x v="78"/>
    <x v="46"/>
    <n v="3"/>
    <n v="750"/>
  </r>
  <r>
    <n v="3367"/>
    <x v="0"/>
    <x v="44"/>
    <x v="44"/>
    <x v="2"/>
    <x v="2"/>
    <x v="78"/>
    <n v="18105"/>
    <x v="32"/>
    <x v="49"/>
    <n v="4"/>
    <n v="667"/>
  </r>
  <r>
    <n v="3368"/>
    <x v="0"/>
    <x v="44"/>
    <x v="44"/>
    <x v="2"/>
    <x v="2"/>
    <x v="15"/>
    <n v="18112"/>
    <x v="483"/>
    <x v="60"/>
    <n v="227"/>
    <n v="732"/>
  </r>
  <r>
    <n v="3369"/>
    <x v="0"/>
    <x v="44"/>
    <x v="44"/>
    <x v="2"/>
    <x v="2"/>
    <x v="77"/>
    <n v="18119"/>
    <x v="127"/>
    <x v="45"/>
    <n v="15"/>
    <n v="375"/>
  </r>
  <r>
    <n v="3370"/>
    <x v="0"/>
    <x v="44"/>
    <x v="44"/>
    <x v="2"/>
    <x v="2"/>
    <x v="24"/>
    <n v="18140"/>
    <x v="127"/>
    <x v="45"/>
    <n v="30"/>
    <n v="750"/>
  </r>
  <r>
    <n v="3371"/>
    <x v="0"/>
    <x v="44"/>
    <x v="44"/>
    <x v="2"/>
    <x v="2"/>
    <x v="20"/>
    <n v="18147"/>
    <x v="70"/>
    <x v="513"/>
    <n v="64"/>
    <n v="719"/>
  </r>
  <r>
    <n v="3372"/>
    <x v="0"/>
    <x v="44"/>
    <x v="44"/>
    <x v="2"/>
    <x v="2"/>
    <x v="76"/>
    <n v="18154"/>
    <x v="34"/>
    <x v="512"/>
    <n v="0"/>
    <n v="0"/>
  </r>
  <r>
    <n v="3373"/>
    <x v="0"/>
    <x v="44"/>
    <x v="44"/>
    <x v="2"/>
    <x v="2"/>
    <x v="74"/>
    <n v="18161"/>
    <x v="23"/>
    <x v="111"/>
    <n v="34"/>
    <n v="680"/>
  </r>
  <r>
    <n v="3374"/>
    <x v="0"/>
    <x v="44"/>
    <x v="44"/>
    <x v="2"/>
    <x v="2"/>
    <x v="27"/>
    <n v="18168"/>
    <x v="154"/>
    <x v="514"/>
    <n v="1080"/>
    <n v="844"/>
  </r>
  <r>
    <n v="3375"/>
    <x v="0"/>
    <x v="44"/>
    <x v="44"/>
    <x v="3"/>
    <x v="3"/>
    <x v="29"/>
    <n v="30015"/>
    <x v="123"/>
    <x v="23"/>
    <n v="70"/>
    <n v="700"/>
  </r>
  <r>
    <n v="3376"/>
    <x v="0"/>
    <x v="44"/>
    <x v="44"/>
    <x v="3"/>
    <x v="3"/>
    <x v="28"/>
    <n v="30028"/>
    <x v="21"/>
    <x v="131"/>
    <n v="90"/>
    <n v="750"/>
  </r>
  <r>
    <n v="3377"/>
    <x v="0"/>
    <x v="44"/>
    <x v="44"/>
    <x v="4"/>
    <x v="4"/>
    <x v="32"/>
    <n v="34014"/>
    <x v="32"/>
    <x v="32"/>
    <n v="6"/>
    <n v="600"/>
  </r>
  <r>
    <n v="3378"/>
    <x v="0"/>
    <x v="44"/>
    <x v="44"/>
    <x v="4"/>
    <x v="4"/>
    <x v="31"/>
    <n v="34021"/>
    <x v="45"/>
    <x v="80"/>
    <n v="16"/>
    <n v="800"/>
  </r>
  <r>
    <n v="3379"/>
    <x v="0"/>
    <x v="44"/>
    <x v="44"/>
    <x v="4"/>
    <x v="4"/>
    <x v="34"/>
    <n v="34035"/>
    <x v="26"/>
    <x v="59"/>
    <n v="260"/>
    <n v="650"/>
  </r>
  <r>
    <n v="3380"/>
    <x v="0"/>
    <x v="44"/>
    <x v="44"/>
    <x v="4"/>
    <x v="4"/>
    <x v="81"/>
    <n v="34042"/>
    <x v="33"/>
    <x v="33"/>
    <n v="4"/>
    <n v="800"/>
  </r>
  <r>
    <n v="3381"/>
    <x v="0"/>
    <x v="44"/>
    <x v="44"/>
    <x v="4"/>
    <x v="4"/>
    <x v="30"/>
    <n v="34049"/>
    <x v="45"/>
    <x v="80"/>
    <n v="18"/>
    <n v="900"/>
  </r>
  <r>
    <n v="3382"/>
    <x v="0"/>
    <x v="44"/>
    <x v="44"/>
    <x v="4"/>
    <x v="4"/>
    <x v="33"/>
    <n v="34056"/>
    <x v="92"/>
    <x v="78"/>
    <n v="16"/>
    <n v="640"/>
  </r>
  <r>
    <n v="3383"/>
    <x v="0"/>
    <x v="44"/>
    <x v="44"/>
    <x v="6"/>
    <x v="6"/>
    <x v="174"/>
    <n v="54119"/>
    <x v="33"/>
    <x v="512"/>
    <n v="0"/>
    <n v="0"/>
  </r>
  <r>
    <n v="3384"/>
    <x v="0"/>
    <x v="44"/>
    <x v="44"/>
    <x v="6"/>
    <x v="6"/>
    <x v="39"/>
    <n v="54007"/>
    <x v="72"/>
    <x v="80"/>
    <n v="10"/>
    <n v="500"/>
  </r>
  <r>
    <n v="3385"/>
    <x v="0"/>
    <x v="44"/>
    <x v="44"/>
    <x v="6"/>
    <x v="6"/>
    <x v="114"/>
    <n v="54014"/>
    <x v="96"/>
    <x v="80"/>
    <n v="10"/>
    <n v="500"/>
  </r>
  <r>
    <n v="3386"/>
    <x v="0"/>
    <x v="44"/>
    <x v="44"/>
    <x v="6"/>
    <x v="6"/>
    <x v="40"/>
    <n v="54021"/>
    <x v="92"/>
    <x v="32"/>
    <n v="4"/>
    <n v="400"/>
  </r>
  <r>
    <n v="3387"/>
    <x v="0"/>
    <x v="44"/>
    <x v="44"/>
    <x v="6"/>
    <x v="6"/>
    <x v="43"/>
    <n v="54035"/>
    <x v="72"/>
    <x v="80"/>
    <n v="9"/>
    <n v="450"/>
  </r>
  <r>
    <n v="3388"/>
    <x v="0"/>
    <x v="44"/>
    <x v="44"/>
    <x v="6"/>
    <x v="6"/>
    <x v="185"/>
    <n v="54042"/>
    <x v="72"/>
    <x v="78"/>
    <n v="15"/>
    <n v="600"/>
  </r>
  <r>
    <n v="3389"/>
    <x v="0"/>
    <x v="44"/>
    <x v="44"/>
    <x v="6"/>
    <x v="6"/>
    <x v="115"/>
    <n v="54056"/>
    <x v="32"/>
    <x v="67"/>
    <n v="5"/>
    <n v="625"/>
  </r>
  <r>
    <n v="3390"/>
    <x v="0"/>
    <x v="44"/>
    <x v="44"/>
    <x v="6"/>
    <x v="6"/>
    <x v="116"/>
    <n v="54063"/>
    <x v="32"/>
    <x v="67"/>
    <n v="5"/>
    <n v="625"/>
  </r>
  <r>
    <n v="3391"/>
    <x v="0"/>
    <x v="44"/>
    <x v="44"/>
    <x v="6"/>
    <x v="6"/>
    <x v="183"/>
    <n v="54070"/>
    <x v="426"/>
    <x v="102"/>
    <n v="18"/>
    <n v="563"/>
  </r>
  <r>
    <n v="3392"/>
    <x v="0"/>
    <x v="44"/>
    <x v="44"/>
    <x v="6"/>
    <x v="6"/>
    <x v="88"/>
    <n v="54077"/>
    <x v="92"/>
    <x v="80"/>
    <n v="10"/>
    <n v="500"/>
  </r>
  <r>
    <n v="3393"/>
    <x v="0"/>
    <x v="44"/>
    <x v="44"/>
    <x v="6"/>
    <x v="6"/>
    <x v="182"/>
    <n v="54091"/>
    <x v="92"/>
    <x v="80"/>
    <n v="10"/>
    <n v="500"/>
  </r>
  <r>
    <n v="3394"/>
    <x v="0"/>
    <x v="44"/>
    <x v="44"/>
    <x v="6"/>
    <x v="6"/>
    <x v="41"/>
    <n v="54098"/>
    <x v="44"/>
    <x v="102"/>
    <n v="17"/>
    <n v="531"/>
  </r>
  <r>
    <n v="3395"/>
    <x v="0"/>
    <x v="44"/>
    <x v="44"/>
    <x v="6"/>
    <x v="6"/>
    <x v="42"/>
    <n v="54105"/>
    <x v="45"/>
    <x v="31"/>
    <n v="7"/>
    <n v="467"/>
  </r>
  <r>
    <n v="3396"/>
    <x v="0"/>
    <x v="44"/>
    <x v="44"/>
    <x v="11"/>
    <x v="11"/>
    <x v="117"/>
    <n v="66007"/>
    <x v="44"/>
    <x v="111"/>
    <n v="65"/>
    <n v="1300"/>
  </r>
  <r>
    <n v="3397"/>
    <x v="0"/>
    <x v="44"/>
    <x v="44"/>
    <x v="11"/>
    <x v="11"/>
    <x v="93"/>
    <n v="66035"/>
    <x v="32"/>
    <x v="32"/>
    <n v="13"/>
    <n v="1300"/>
  </r>
  <r>
    <n v="3398"/>
    <x v="0"/>
    <x v="44"/>
    <x v="44"/>
    <x v="11"/>
    <x v="11"/>
    <x v="171"/>
    <n v="66056"/>
    <x v="44"/>
    <x v="111"/>
    <n v="70"/>
    <n v="1400"/>
  </r>
  <r>
    <n v="3399"/>
    <x v="0"/>
    <x v="44"/>
    <x v="44"/>
    <x v="11"/>
    <x v="11"/>
    <x v="193"/>
    <n v="66063"/>
    <x v="33"/>
    <x v="33"/>
    <n v="6"/>
    <n v="1200"/>
  </r>
  <r>
    <n v="3400"/>
    <x v="0"/>
    <x v="44"/>
    <x v="44"/>
    <x v="11"/>
    <x v="11"/>
    <x v="106"/>
    <n v="66112"/>
    <x v="72"/>
    <x v="72"/>
    <n v="39"/>
    <n v="1300"/>
  </r>
  <r>
    <n v="3401"/>
    <x v="0"/>
    <x v="44"/>
    <x v="44"/>
    <x v="11"/>
    <x v="11"/>
    <x v="140"/>
    <n v="66126"/>
    <x v="32"/>
    <x v="32"/>
    <n v="14"/>
    <n v="1400"/>
  </r>
  <r>
    <n v="3402"/>
    <x v="0"/>
    <x v="44"/>
    <x v="44"/>
    <x v="11"/>
    <x v="11"/>
    <x v="123"/>
    <n v="66133"/>
    <x v="33"/>
    <x v="33"/>
    <n v="7"/>
    <n v="1400"/>
  </r>
  <r>
    <n v="3403"/>
    <x v="0"/>
    <x v="44"/>
    <x v="44"/>
    <x v="11"/>
    <x v="11"/>
    <x v="146"/>
    <n v="66140"/>
    <x v="32"/>
    <x v="32"/>
    <n v="13"/>
    <n v="1300"/>
  </r>
  <r>
    <n v="3404"/>
    <x v="0"/>
    <x v="44"/>
    <x v="44"/>
    <x v="11"/>
    <x v="11"/>
    <x v="97"/>
    <n v="66147"/>
    <x v="32"/>
    <x v="32"/>
    <n v="13"/>
    <n v="1300"/>
  </r>
  <r>
    <n v="3405"/>
    <x v="0"/>
    <x v="44"/>
    <x v="44"/>
    <x v="7"/>
    <x v="7"/>
    <x v="45"/>
    <n v="82035"/>
    <x v="18"/>
    <x v="19"/>
    <n v="320"/>
    <n v="1882"/>
  </r>
  <r>
    <n v="3406"/>
    <x v="0"/>
    <x v="44"/>
    <x v="44"/>
    <x v="7"/>
    <x v="7"/>
    <x v="44"/>
    <n v="82049"/>
    <x v="11"/>
    <x v="153"/>
    <n v="900"/>
    <n v="1000"/>
  </r>
  <r>
    <n v="3407"/>
    <x v="0"/>
    <x v="44"/>
    <x v="44"/>
    <x v="9"/>
    <x v="9"/>
    <x v="55"/>
    <n v="90007"/>
    <x v="20"/>
    <x v="20"/>
    <n v="163"/>
    <n v="1087"/>
  </r>
  <r>
    <n v="3408"/>
    <x v="0"/>
    <x v="44"/>
    <x v="44"/>
    <x v="9"/>
    <x v="9"/>
    <x v="65"/>
    <n v="90014"/>
    <x v="12"/>
    <x v="12"/>
    <n v="385"/>
    <n v="1283"/>
  </r>
  <r>
    <n v="3409"/>
    <x v="0"/>
    <x v="44"/>
    <x v="44"/>
    <x v="9"/>
    <x v="9"/>
    <x v="66"/>
    <n v="90056"/>
    <x v="20"/>
    <x v="20"/>
    <n v="192"/>
    <n v="1280"/>
  </r>
  <r>
    <n v="3410"/>
    <x v="0"/>
    <x v="45"/>
    <x v="45"/>
    <x v="1"/>
    <x v="1"/>
    <x v="70"/>
    <n v="14007"/>
    <x v="210"/>
    <x v="515"/>
    <n v="9527"/>
    <n v="1108"/>
  </r>
  <r>
    <n v="3411"/>
    <x v="0"/>
    <x v="45"/>
    <x v="45"/>
    <x v="1"/>
    <x v="1"/>
    <x v="143"/>
    <n v="14042"/>
    <x v="466"/>
    <x v="516"/>
    <n v="35000"/>
    <n v="1477"/>
  </r>
  <r>
    <n v="3412"/>
    <x v="0"/>
    <x v="45"/>
    <x v="45"/>
    <x v="1"/>
    <x v="1"/>
    <x v="107"/>
    <n v="14056"/>
    <x v="484"/>
    <x v="517"/>
    <n v="64254"/>
    <n v="1477"/>
  </r>
  <r>
    <n v="3413"/>
    <x v="0"/>
    <x v="45"/>
    <x v="45"/>
    <x v="1"/>
    <x v="1"/>
    <x v="13"/>
    <n v="14098"/>
    <x v="229"/>
    <x v="518"/>
    <n v="8200"/>
    <n v="1547"/>
  </r>
  <r>
    <n v="3414"/>
    <x v="0"/>
    <x v="45"/>
    <x v="45"/>
    <x v="1"/>
    <x v="1"/>
    <x v="9"/>
    <n v="14105"/>
    <x v="159"/>
    <x v="210"/>
    <n v="3264"/>
    <n v="960"/>
  </r>
  <r>
    <n v="3415"/>
    <x v="0"/>
    <x v="45"/>
    <x v="45"/>
    <x v="1"/>
    <x v="1"/>
    <x v="8"/>
    <n v="14119"/>
    <x v="485"/>
    <x v="519"/>
    <n v="109080"/>
    <n v="1034"/>
  </r>
  <r>
    <n v="3416"/>
    <x v="0"/>
    <x v="45"/>
    <x v="45"/>
    <x v="1"/>
    <x v="1"/>
    <x v="7"/>
    <n v="14147"/>
    <x v="439"/>
    <x v="520"/>
    <n v="17371"/>
    <n v="1182"/>
  </r>
  <r>
    <n v="3417"/>
    <x v="0"/>
    <x v="45"/>
    <x v="45"/>
    <x v="1"/>
    <x v="1"/>
    <x v="10"/>
    <n v="14161"/>
    <x v="486"/>
    <x v="521"/>
    <n v="187227"/>
    <n v="1108"/>
  </r>
  <r>
    <n v="3418"/>
    <x v="0"/>
    <x v="45"/>
    <x v="45"/>
    <x v="1"/>
    <x v="1"/>
    <x v="90"/>
    <n v="14182"/>
    <x v="11"/>
    <x v="11"/>
    <n v="1477"/>
    <n v="1477"/>
  </r>
  <r>
    <n v="3419"/>
    <x v="0"/>
    <x v="45"/>
    <x v="45"/>
    <x v="2"/>
    <x v="2"/>
    <x v="21"/>
    <n v="18007"/>
    <x v="32"/>
    <x v="67"/>
    <n v="8"/>
    <n v="1000"/>
  </r>
  <r>
    <n v="3420"/>
    <x v="0"/>
    <x v="45"/>
    <x v="45"/>
    <x v="2"/>
    <x v="2"/>
    <x v="12"/>
    <n v="18021"/>
    <x v="225"/>
    <x v="38"/>
    <n v="50"/>
    <n v="909"/>
  </r>
  <r>
    <n v="3421"/>
    <x v="0"/>
    <x v="45"/>
    <x v="45"/>
    <x v="2"/>
    <x v="2"/>
    <x v="25"/>
    <n v="18035"/>
    <x v="45"/>
    <x v="140"/>
    <n v="19"/>
    <n v="1056"/>
  </r>
  <r>
    <n v="3422"/>
    <x v="0"/>
    <x v="45"/>
    <x v="45"/>
    <x v="2"/>
    <x v="2"/>
    <x v="17"/>
    <n v="18042"/>
    <x v="225"/>
    <x v="111"/>
    <n v="48"/>
    <n v="960"/>
  </r>
  <r>
    <n v="3423"/>
    <x v="0"/>
    <x v="45"/>
    <x v="45"/>
    <x v="2"/>
    <x v="2"/>
    <x v="18"/>
    <n v="18049"/>
    <x v="47"/>
    <x v="46"/>
    <n v="4"/>
    <n v="1000"/>
  </r>
  <r>
    <n v="3424"/>
    <x v="0"/>
    <x v="45"/>
    <x v="45"/>
    <x v="2"/>
    <x v="2"/>
    <x v="105"/>
    <n v="18056"/>
    <x v="18"/>
    <x v="149"/>
    <n v="207"/>
    <n v="1089"/>
  </r>
  <r>
    <n v="3425"/>
    <x v="0"/>
    <x v="45"/>
    <x v="45"/>
    <x v="2"/>
    <x v="2"/>
    <x v="72"/>
    <n v="18063"/>
    <x v="47"/>
    <x v="46"/>
    <n v="4"/>
    <n v="1000"/>
  </r>
  <r>
    <n v="3426"/>
    <x v="0"/>
    <x v="45"/>
    <x v="45"/>
    <x v="2"/>
    <x v="2"/>
    <x v="26"/>
    <n v="18070"/>
    <x v="34"/>
    <x v="34"/>
    <n v="2"/>
    <n v="1000"/>
  </r>
  <r>
    <n v="3427"/>
    <x v="0"/>
    <x v="45"/>
    <x v="45"/>
    <x v="2"/>
    <x v="2"/>
    <x v="73"/>
    <n v="18077"/>
    <x v="47"/>
    <x v="46"/>
    <n v="4"/>
    <n v="1000"/>
  </r>
  <r>
    <n v="3428"/>
    <x v="0"/>
    <x v="45"/>
    <x v="45"/>
    <x v="2"/>
    <x v="2"/>
    <x v="22"/>
    <n v="18084"/>
    <x v="20"/>
    <x v="21"/>
    <n v="151"/>
    <n v="1079"/>
  </r>
  <r>
    <n v="3429"/>
    <x v="0"/>
    <x v="45"/>
    <x v="45"/>
    <x v="2"/>
    <x v="2"/>
    <x v="16"/>
    <n v="18091"/>
    <x v="131"/>
    <x v="72"/>
    <n v="31"/>
    <n v="1033"/>
  </r>
  <r>
    <n v="3430"/>
    <x v="0"/>
    <x v="45"/>
    <x v="45"/>
    <x v="2"/>
    <x v="2"/>
    <x v="71"/>
    <n v="18098"/>
    <x v="29"/>
    <x v="49"/>
    <n v="7"/>
    <n v="1167"/>
  </r>
  <r>
    <n v="3431"/>
    <x v="0"/>
    <x v="45"/>
    <x v="45"/>
    <x v="2"/>
    <x v="2"/>
    <x v="78"/>
    <n v="18105"/>
    <x v="32"/>
    <x v="52"/>
    <n v="10"/>
    <n v="1111"/>
  </r>
  <r>
    <n v="3432"/>
    <x v="0"/>
    <x v="45"/>
    <x v="45"/>
    <x v="2"/>
    <x v="2"/>
    <x v="15"/>
    <n v="18112"/>
    <x v="12"/>
    <x v="277"/>
    <n v="312"/>
    <n v="1076"/>
  </r>
  <r>
    <n v="3433"/>
    <x v="0"/>
    <x v="45"/>
    <x v="45"/>
    <x v="2"/>
    <x v="2"/>
    <x v="77"/>
    <n v="18119"/>
    <x v="125"/>
    <x v="285"/>
    <n v="41"/>
    <n v="1108"/>
  </r>
  <r>
    <n v="3434"/>
    <x v="0"/>
    <x v="45"/>
    <x v="45"/>
    <x v="2"/>
    <x v="2"/>
    <x v="24"/>
    <n v="18140"/>
    <x v="123"/>
    <x v="320"/>
    <n v="113"/>
    <n v="1076"/>
  </r>
  <r>
    <n v="3435"/>
    <x v="0"/>
    <x v="45"/>
    <x v="45"/>
    <x v="2"/>
    <x v="2"/>
    <x v="20"/>
    <n v="18147"/>
    <x v="123"/>
    <x v="274"/>
    <n v="119"/>
    <n v="1082"/>
  </r>
  <r>
    <n v="3436"/>
    <x v="0"/>
    <x v="45"/>
    <x v="45"/>
    <x v="2"/>
    <x v="2"/>
    <x v="76"/>
    <n v="18154"/>
    <x v="34"/>
    <x v="34"/>
    <n v="2"/>
    <n v="1000"/>
  </r>
  <r>
    <n v="3437"/>
    <x v="0"/>
    <x v="45"/>
    <x v="45"/>
    <x v="2"/>
    <x v="2"/>
    <x v="74"/>
    <n v="18161"/>
    <x v="44"/>
    <x v="39"/>
    <n v="50"/>
    <n v="1111"/>
  </r>
  <r>
    <n v="3438"/>
    <x v="0"/>
    <x v="45"/>
    <x v="45"/>
    <x v="2"/>
    <x v="2"/>
    <x v="27"/>
    <n v="18168"/>
    <x v="487"/>
    <x v="522"/>
    <n v="678"/>
    <n v="1253"/>
  </r>
  <r>
    <n v="3439"/>
    <x v="0"/>
    <x v="45"/>
    <x v="45"/>
    <x v="3"/>
    <x v="3"/>
    <x v="29"/>
    <n v="30015"/>
    <x v="23"/>
    <x v="151"/>
    <n v="59"/>
    <n v="656"/>
  </r>
  <r>
    <n v="3440"/>
    <x v="0"/>
    <x v="45"/>
    <x v="45"/>
    <x v="3"/>
    <x v="3"/>
    <x v="28"/>
    <n v="30028"/>
    <x v="23"/>
    <x v="151"/>
    <n v="61"/>
    <n v="678"/>
  </r>
  <r>
    <n v="3441"/>
    <x v="0"/>
    <x v="45"/>
    <x v="45"/>
    <x v="4"/>
    <x v="4"/>
    <x v="31"/>
    <n v="34021"/>
    <x v="31"/>
    <x v="31"/>
    <n v="12"/>
    <n v="800"/>
  </r>
  <r>
    <n v="3442"/>
    <x v="0"/>
    <x v="45"/>
    <x v="45"/>
    <x v="4"/>
    <x v="4"/>
    <x v="34"/>
    <n v="34035"/>
    <x v="488"/>
    <x v="523"/>
    <n v="880"/>
    <n v="1080"/>
  </r>
  <r>
    <n v="3443"/>
    <x v="0"/>
    <x v="45"/>
    <x v="45"/>
    <x v="4"/>
    <x v="4"/>
    <x v="81"/>
    <n v="34042"/>
    <x v="45"/>
    <x v="80"/>
    <n v="16"/>
    <n v="800"/>
  </r>
  <r>
    <n v="3444"/>
    <x v="0"/>
    <x v="45"/>
    <x v="45"/>
    <x v="4"/>
    <x v="4"/>
    <x v="30"/>
    <n v="34049"/>
    <x v="72"/>
    <x v="72"/>
    <n v="24"/>
    <n v="800"/>
  </r>
  <r>
    <n v="3445"/>
    <x v="0"/>
    <x v="45"/>
    <x v="45"/>
    <x v="4"/>
    <x v="4"/>
    <x v="33"/>
    <n v="34056"/>
    <x v="32"/>
    <x v="32"/>
    <n v="9"/>
    <n v="900"/>
  </r>
  <r>
    <n v="3446"/>
    <x v="0"/>
    <x v="45"/>
    <x v="45"/>
    <x v="5"/>
    <x v="5"/>
    <x v="194"/>
    <n v="38070"/>
    <x v="143"/>
    <x v="274"/>
    <n v="160"/>
    <n v="1455"/>
  </r>
  <r>
    <n v="3447"/>
    <x v="0"/>
    <x v="45"/>
    <x v="45"/>
    <x v="6"/>
    <x v="6"/>
    <x v="174"/>
    <n v="54119"/>
    <x v="33"/>
    <x v="30"/>
    <n v="1"/>
    <n v="333"/>
  </r>
  <r>
    <n v="3448"/>
    <x v="0"/>
    <x v="45"/>
    <x v="45"/>
    <x v="6"/>
    <x v="6"/>
    <x v="39"/>
    <n v="54007"/>
    <x v="92"/>
    <x v="80"/>
    <n v="8"/>
    <n v="400"/>
  </r>
  <r>
    <n v="3449"/>
    <x v="0"/>
    <x v="45"/>
    <x v="45"/>
    <x v="6"/>
    <x v="6"/>
    <x v="114"/>
    <n v="54014"/>
    <x v="76"/>
    <x v="80"/>
    <n v="8"/>
    <n v="400"/>
  </r>
  <r>
    <n v="3450"/>
    <x v="0"/>
    <x v="45"/>
    <x v="45"/>
    <x v="6"/>
    <x v="6"/>
    <x v="40"/>
    <n v="54021"/>
    <x v="92"/>
    <x v="80"/>
    <n v="6"/>
    <n v="300"/>
  </r>
  <r>
    <n v="3451"/>
    <x v="0"/>
    <x v="45"/>
    <x v="45"/>
    <x v="6"/>
    <x v="6"/>
    <x v="43"/>
    <n v="54035"/>
    <x v="76"/>
    <x v="80"/>
    <n v="6"/>
    <n v="300"/>
  </r>
  <r>
    <n v="3452"/>
    <x v="0"/>
    <x v="45"/>
    <x v="45"/>
    <x v="6"/>
    <x v="6"/>
    <x v="185"/>
    <n v="54042"/>
    <x v="92"/>
    <x v="80"/>
    <n v="8"/>
    <n v="400"/>
  </r>
  <r>
    <n v="3453"/>
    <x v="0"/>
    <x v="45"/>
    <x v="45"/>
    <x v="6"/>
    <x v="6"/>
    <x v="115"/>
    <n v="54056"/>
    <x v="77"/>
    <x v="33"/>
    <n v="2"/>
    <n v="400"/>
  </r>
  <r>
    <n v="3454"/>
    <x v="0"/>
    <x v="45"/>
    <x v="45"/>
    <x v="6"/>
    <x v="6"/>
    <x v="116"/>
    <n v="54063"/>
    <x v="32"/>
    <x v="33"/>
    <n v="2"/>
    <n v="400"/>
  </r>
  <r>
    <n v="3455"/>
    <x v="0"/>
    <x v="45"/>
    <x v="45"/>
    <x v="6"/>
    <x v="6"/>
    <x v="183"/>
    <n v="54070"/>
    <x v="131"/>
    <x v="78"/>
    <n v="10"/>
    <n v="400"/>
  </r>
  <r>
    <n v="3456"/>
    <x v="0"/>
    <x v="45"/>
    <x v="45"/>
    <x v="6"/>
    <x v="6"/>
    <x v="88"/>
    <n v="54077"/>
    <x v="94"/>
    <x v="31"/>
    <n v="4"/>
    <n v="267"/>
  </r>
  <r>
    <n v="3457"/>
    <x v="0"/>
    <x v="45"/>
    <x v="45"/>
    <x v="6"/>
    <x v="6"/>
    <x v="182"/>
    <n v="54091"/>
    <x v="92"/>
    <x v="31"/>
    <n v="4"/>
    <n v="267"/>
  </r>
  <r>
    <n v="3458"/>
    <x v="0"/>
    <x v="45"/>
    <x v="45"/>
    <x v="6"/>
    <x v="6"/>
    <x v="41"/>
    <n v="54098"/>
    <x v="274"/>
    <x v="102"/>
    <n v="11"/>
    <n v="344"/>
  </r>
  <r>
    <n v="3459"/>
    <x v="0"/>
    <x v="45"/>
    <x v="45"/>
    <x v="6"/>
    <x v="6"/>
    <x v="42"/>
    <n v="54105"/>
    <x v="31"/>
    <x v="32"/>
    <n v="4"/>
    <n v="400"/>
  </r>
  <r>
    <n v="3460"/>
    <x v="0"/>
    <x v="45"/>
    <x v="45"/>
    <x v="11"/>
    <x v="11"/>
    <x v="171"/>
    <n v="66056"/>
    <x v="225"/>
    <x v="225"/>
    <n v="90"/>
    <n v="1500"/>
  </r>
  <r>
    <n v="3461"/>
    <x v="0"/>
    <x v="45"/>
    <x v="45"/>
    <x v="11"/>
    <x v="11"/>
    <x v="140"/>
    <n v="66126"/>
    <x v="32"/>
    <x v="32"/>
    <n v="15"/>
    <n v="1500"/>
  </r>
  <r>
    <n v="3462"/>
    <x v="0"/>
    <x v="45"/>
    <x v="45"/>
    <x v="7"/>
    <x v="7"/>
    <x v="45"/>
    <n v="82035"/>
    <x v="16"/>
    <x v="20"/>
    <n v="330"/>
    <n v="2200"/>
  </r>
  <r>
    <n v="3463"/>
    <x v="0"/>
    <x v="45"/>
    <x v="45"/>
    <x v="7"/>
    <x v="7"/>
    <x v="44"/>
    <n v="82049"/>
    <x v="57"/>
    <x v="524"/>
    <n v="1000"/>
    <n v="971"/>
  </r>
  <r>
    <n v="3464"/>
    <x v="0"/>
    <x v="45"/>
    <x v="45"/>
    <x v="9"/>
    <x v="9"/>
    <x v="55"/>
    <n v="90007"/>
    <x v="33"/>
    <x v="33"/>
    <n v="5"/>
    <n v="1000"/>
  </r>
  <r>
    <n v="3465"/>
    <x v="0"/>
    <x v="45"/>
    <x v="45"/>
    <x v="9"/>
    <x v="9"/>
    <x v="65"/>
    <n v="90014"/>
    <x v="34"/>
    <x v="34"/>
    <n v="2"/>
    <n v="1000"/>
  </r>
  <r>
    <n v="3466"/>
    <x v="0"/>
    <x v="45"/>
    <x v="45"/>
    <x v="9"/>
    <x v="9"/>
    <x v="66"/>
    <n v="90056"/>
    <x v="30"/>
    <x v="30"/>
    <n v="3"/>
    <n v="1000"/>
  </r>
  <r>
    <n v="3467"/>
    <x v="0"/>
    <x v="46"/>
    <x v="46"/>
    <x v="1"/>
    <x v="1"/>
    <x v="70"/>
    <n v="14007"/>
    <x v="489"/>
    <x v="525"/>
    <n v="12000"/>
    <n v="1043"/>
  </r>
  <r>
    <n v="3468"/>
    <x v="0"/>
    <x v="46"/>
    <x v="46"/>
    <x v="1"/>
    <x v="1"/>
    <x v="96"/>
    <n v="14035"/>
    <x v="490"/>
    <x v="397"/>
    <n v="19000"/>
    <n v="974"/>
  </r>
  <r>
    <n v="3469"/>
    <x v="0"/>
    <x v="46"/>
    <x v="46"/>
    <x v="1"/>
    <x v="1"/>
    <x v="107"/>
    <n v="14056"/>
    <x v="491"/>
    <x v="526"/>
    <n v="30000"/>
    <n v="845"/>
  </r>
  <r>
    <n v="3470"/>
    <x v="0"/>
    <x v="46"/>
    <x v="46"/>
    <x v="1"/>
    <x v="1"/>
    <x v="13"/>
    <n v="14098"/>
    <x v="157"/>
    <x v="209"/>
    <n v="6000"/>
    <n v="1000"/>
  </r>
  <r>
    <n v="3471"/>
    <x v="0"/>
    <x v="46"/>
    <x v="46"/>
    <x v="1"/>
    <x v="1"/>
    <x v="9"/>
    <n v="14105"/>
    <x v="159"/>
    <x v="164"/>
    <n v="3000"/>
    <n v="857"/>
  </r>
  <r>
    <n v="3472"/>
    <x v="0"/>
    <x v="46"/>
    <x v="46"/>
    <x v="1"/>
    <x v="1"/>
    <x v="8"/>
    <n v="14119"/>
    <x v="492"/>
    <x v="527"/>
    <n v="75000"/>
    <n v="820"/>
  </r>
  <r>
    <n v="3473"/>
    <x v="0"/>
    <x v="46"/>
    <x v="46"/>
    <x v="1"/>
    <x v="1"/>
    <x v="7"/>
    <n v="14147"/>
    <x v="493"/>
    <x v="528"/>
    <n v="8000"/>
    <n v="762"/>
  </r>
  <r>
    <n v="3474"/>
    <x v="0"/>
    <x v="46"/>
    <x v="46"/>
    <x v="1"/>
    <x v="1"/>
    <x v="10"/>
    <n v="14161"/>
    <x v="494"/>
    <x v="529"/>
    <n v="130000"/>
    <n v="813"/>
  </r>
  <r>
    <n v="3475"/>
    <x v="0"/>
    <x v="46"/>
    <x v="46"/>
    <x v="1"/>
    <x v="1"/>
    <x v="90"/>
    <n v="14182"/>
    <x v="147"/>
    <x v="101"/>
    <n v="3000"/>
    <n v="1000"/>
  </r>
  <r>
    <n v="3476"/>
    <x v="0"/>
    <x v="46"/>
    <x v="46"/>
    <x v="2"/>
    <x v="2"/>
    <x v="21"/>
    <n v="18007"/>
    <x v="33"/>
    <x v="46"/>
    <n v="5"/>
    <n v="1250"/>
  </r>
  <r>
    <n v="3477"/>
    <x v="0"/>
    <x v="46"/>
    <x v="46"/>
    <x v="2"/>
    <x v="2"/>
    <x v="12"/>
    <n v="18021"/>
    <x v="32"/>
    <x v="67"/>
    <n v="9"/>
    <n v="1125"/>
  </r>
  <r>
    <n v="3478"/>
    <x v="0"/>
    <x v="46"/>
    <x v="46"/>
    <x v="2"/>
    <x v="2"/>
    <x v="25"/>
    <n v="18035"/>
    <x v="33"/>
    <x v="46"/>
    <n v="5"/>
    <n v="1250"/>
  </r>
  <r>
    <n v="3479"/>
    <x v="0"/>
    <x v="46"/>
    <x v="46"/>
    <x v="2"/>
    <x v="2"/>
    <x v="17"/>
    <n v="18042"/>
    <x v="31"/>
    <x v="13"/>
    <n v="13"/>
    <n v="1083"/>
  </r>
  <r>
    <n v="3480"/>
    <x v="0"/>
    <x v="46"/>
    <x v="46"/>
    <x v="2"/>
    <x v="2"/>
    <x v="26"/>
    <n v="18070"/>
    <x v="67"/>
    <x v="236"/>
    <n v="83"/>
    <n v="1153"/>
  </r>
  <r>
    <n v="3481"/>
    <x v="0"/>
    <x v="46"/>
    <x v="46"/>
    <x v="2"/>
    <x v="2"/>
    <x v="22"/>
    <n v="18084"/>
    <x v="44"/>
    <x v="259"/>
    <n v="56"/>
    <n v="1217"/>
  </r>
  <r>
    <n v="3482"/>
    <x v="0"/>
    <x v="46"/>
    <x v="46"/>
    <x v="2"/>
    <x v="2"/>
    <x v="16"/>
    <n v="18091"/>
    <x v="77"/>
    <x v="29"/>
    <n v="9"/>
    <n v="1286"/>
  </r>
  <r>
    <n v="3483"/>
    <x v="0"/>
    <x v="46"/>
    <x v="46"/>
    <x v="2"/>
    <x v="2"/>
    <x v="71"/>
    <n v="18098"/>
    <x v="33"/>
    <x v="46"/>
    <n v="5"/>
    <n v="1250"/>
  </r>
  <r>
    <n v="3484"/>
    <x v="0"/>
    <x v="46"/>
    <x v="46"/>
    <x v="2"/>
    <x v="2"/>
    <x v="78"/>
    <n v="18105"/>
    <x v="33"/>
    <x v="46"/>
    <n v="5"/>
    <n v="1250"/>
  </r>
  <r>
    <n v="3485"/>
    <x v="0"/>
    <x v="46"/>
    <x v="46"/>
    <x v="2"/>
    <x v="2"/>
    <x v="15"/>
    <n v="18112"/>
    <x v="127"/>
    <x v="225"/>
    <n v="68"/>
    <n v="1133"/>
  </r>
  <r>
    <n v="3486"/>
    <x v="0"/>
    <x v="46"/>
    <x v="46"/>
    <x v="2"/>
    <x v="2"/>
    <x v="77"/>
    <n v="18119"/>
    <x v="31"/>
    <x v="135"/>
    <n v="15"/>
    <n v="1154"/>
  </r>
  <r>
    <n v="3487"/>
    <x v="0"/>
    <x v="46"/>
    <x v="46"/>
    <x v="2"/>
    <x v="2"/>
    <x v="24"/>
    <n v="18140"/>
    <x v="90"/>
    <x v="181"/>
    <n v="61"/>
    <n v="1130"/>
  </r>
  <r>
    <n v="3488"/>
    <x v="0"/>
    <x v="46"/>
    <x v="46"/>
    <x v="2"/>
    <x v="2"/>
    <x v="20"/>
    <n v="18147"/>
    <x v="125"/>
    <x v="139"/>
    <n v="39"/>
    <n v="1114"/>
  </r>
  <r>
    <n v="3489"/>
    <x v="0"/>
    <x v="46"/>
    <x v="46"/>
    <x v="2"/>
    <x v="2"/>
    <x v="74"/>
    <n v="18161"/>
    <x v="45"/>
    <x v="100"/>
    <n v="17"/>
    <n v="1000"/>
  </r>
  <r>
    <n v="3490"/>
    <x v="0"/>
    <x v="46"/>
    <x v="46"/>
    <x v="2"/>
    <x v="2"/>
    <x v="27"/>
    <n v="18168"/>
    <x v="21"/>
    <x v="274"/>
    <n v="140"/>
    <n v="1273"/>
  </r>
  <r>
    <n v="3491"/>
    <x v="0"/>
    <x v="46"/>
    <x v="46"/>
    <x v="3"/>
    <x v="3"/>
    <x v="29"/>
    <n v="30015"/>
    <x v="44"/>
    <x v="39"/>
    <n v="32"/>
    <n v="711"/>
  </r>
  <r>
    <n v="3492"/>
    <x v="0"/>
    <x v="46"/>
    <x v="46"/>
    <x v="3"/>
    <x v="3"/>
    <x v="28"/>
    <n v="30028"/>
    <x v="225"/>
    <x v="38"/>
    <n v="38"/>
    <n v="691"/>
  </r>
  <r>
    <n v="3493"/>
    <x v="0"/>
    <x v="46"/>
    <x v="46"/>
    <x v="4"/>
    <x v="4"/>
    <x v="31"/>
    <n v="34021"/>
    <x v="13"/>
    <x v="13"/>
    <n v="12"/>
    <n v="1000"/>
  </r>
  <r>
    <n v="3494"/>
    <x v="0"/>
    <x v="46"/>
    <x v="46"/>
    <x v="4"/>
    <x v="4"/>
    <x v="34"/>
    <n v="34035"/>
    <x v="153"/>
    <x v="282"/>
    <n v="718"/>
    <n v="898"/>
  </r>
  <r>
    <n v="3495"/>
    <x v="0"/>
    <x v="46"/>
    <x v="46"/>
    <x v="4"/>
    <x v="4"/>
    <x v="81"/>
    <n v="34042"/>
    <x v="32"/>
    <x v="32"/>
    <n v="5"/>
    <n v="500"/>
  </r>
  <r>
    <n v="3496"/>
    <x v="0"/>
    <x v="46"/>
    <x v="46"/>
    <x v="4"/>
    <x v="4"/>
    <x v="30"/>
    <n v="34049"/>
    <x v="95"/>
    <x v="140"/>
    <n v="7"/>
    <n v="389"/>
  </r>
  <r>
    <n v="3497"/>
    <x v="0"/>
    <x v="46"/>
    <x v="46"/>
    <x v="4"/>
    <x v="4"/>
    <x v="33"/>
    <n v="34056"/>
    <x v="32"/>
    <x v="32"/>
    <n v="8"/>
    <n v="800"/>
  </r>
  <r>
    <n v="3498"/>
    <x v="0"/>
    <x v="46"/>
    <x v="46"/>
    <x v="5"/>
    <x v="5"/>
    <x v="194"/>
    <n v="38070"/>
    <x v="20"/>
    <x v="23"/>
    <n v="150"/>
    <n v="1500"/>
  </r>
  <r>
    <n v="3499"/>
    <x v="0"/>
    <x v="46"/>
    <x v="46"/>
    <x v="6"/>
    <x v="6"/>
    <x v="174"/>
    <n v="54119"/>
    <x v="33"/>
    <x v="30"/>
    <n v="2"/>
    <n v="667"/>
  </r>
  <r>
    <n v="3500"/>
    <x v="0"/>
    <x v="46"/>
    <x v="46"/>
    <x v="6"/>
    <x v="6"/>
    <x v="39"/>
    <n v="54007"/>
    <x v="105"/>
    <x v="80"/>
    <n v="11"/>
    <n v="550"/>
  </r>
  <r>
    <n v="3501"/>
    <x v="0"/>
    <x v="46"/>
    <x v="46"/>
    <x v="6"/>
    <x v="6"/>
    <x v="114"/>
    <n v="54014"/>
    <x v="76"/>
    <x v="80"/>
    <n v="13"/>
    <n v="650"/>
  </r>
  <r>
    <n v="3502"/>
    <x v="0"/>
    <x v="46"/>
    <x v="46"/>
    <x v="6"/>
    <x v="6"/>
    <x v="40"/>
    <n v="54021"/>
    <x v="6"/>
    <x v="80"/>
    <n v="11"/>
    <n v="550"/>
  </r>
  <r>
    <n v="3503"/>
    <x v="0"/>
    <x v="46"/>
    <x v="46"/>
    <x v="6"/>
    <x v="6"/>
    <x v="43"/>
    <n v="54035"/>
    <x v="76"/>
    <x v="99"/>
    <n v="12"/>
    <n v="545"/>
  </r>
  <r>
    <n v="3504"/>
    <x v="0"/>
    <x v="46"/>
    <x v="46"/>
    <x v="6"/>
    <x v="6"/>
    <x v="185"/>
    <n v="54042"/>
    <x v="105"/>
    <x v="80"/>
    <n v="13"/>
    <n v="650"/>
  </r>
  <r>
    <n v="3505"/>
    <x v="0"/>
    <x v="46"/>
    <x v="46"/>
    <x v="6"/>
    <x v="6"/>
    <x v="115"/>
    <n v="54056"/>
    <x v="77"/>
    <x v="33"/>
    <n v="3"/>
    <n v="600"/>
  </r>
  <r>
    <n v="3506"/>
    <x v="0"/>
    <x v="46"/>
    <x v="46"/>
    <x v="6"/>
    <x v="6"/>
    <x v="116"/>
    <n v="54063"/>
    <x v="32"/>
    <x v="67"/>
    <n v="6"/>
    <n v="750"/>
  </r>
  <r>
    <n v="3507"/>
    <x v="0"/>
    <x v="46"/>
    <x v="46"/>
    <x v="6"/>
    <x v="6"/>
    <x v="183"/>
    <n v="54070"/>
    <x v="131"/>
    <x v="72"/>
    <n v="21"/>
    <n v="700"/>
  </r>
  <r>
    <n v="3508"/>
    <x v="0"/>
    <x v="46"/>
    <x v="46"/>
    <x v="6"/>
    <x v="6"/>
    <x v="88"/>
    <n v="54077"/>
    <x v="94"/>
    <x v="31"/>
    <n v="10"/>
    <n v="667"/>
  </r>
  <r>
    <n v="3509"/>
    <x v="0"/>
    <x v="46"/>
    <x v="46"/>
    <x v="6"/>
    <x v="6"/>
    <x v="182"/>
    <n v="54091"/>
    <x v="92"/>
    <x v="80"/>
    <n v="15"/>
    <n v="750"/>
  </r>
  <r>
    <n v="3510"/>
    <x v="0"/>
    <x v="46"/>
    <x v="46"/>
    <x v="6"/>
    <x v="6"/>
    <x v="41"/>
    <n v="54098"/>
    <x v="125"/>
    <x v="139"/>
    <n v="25"/>
    <n v="714"/>
  </r>
  <r>
    <n v="3511"/>
    <x v="0"/>
    <x v="46"/>
    <x v="46"/>
    <x v="6"/>
    <x v="6"/>
    <x v="42"/>
    <n v="54105"/>
    <x v="31"/>
    <x v="13"/>
    <n v="8"/>
    <n v="667"/>
  </r>
  <r>
    <n v="3512"/>
    <x v="0"/>
    <x v="46"/>
    <x v="46"/>
    <x v="11"/>
    <x v="11"/>
    <x v="176"/>
    <n v="66049"/>
    <x v="225"/>
    <x v="225"/>
    <n v="86"/>
    <n v="1433"/>
  </r>
  <r>
    <n v="3513"/>
    <x v="0"/>
    <x v="46"/>
    <x v="46"/>
    <x v="11"/>
    <x v="11"/>
    <x v="140"/>
    <n v="66126"/>
    <x v="32"/>
    <x v="32"/>
    <n v="14"/>
    <n v="1400"/>
  </r>
  <r>
    <n v="3514"/>
    <x v="0"/>
    <x v="46"/>
    <x v="46"/>
    <x v="7"/>
    <x v="7"/>
    <x v="45"/>
    <n v="82035"/>
    <x v="16"/>
    <x v="20"/>
    <n v="290"/>
    <n v="1933"/>
  </r>
  <r>
    <n v="3515"/>
    <x v="0"/>
    <x v="46"/>
    <x v="46"/>
    <x v="7"/>
    <x v="7"/>
    <x v="195"/>
    <n v="82042"/>
    <x v="16"/>
    <x v="16"/>
    <n v="520"/>
    <n v="1486"/>
  </r>
  <r>
    <n v="3516"/>
    <x v="0"/>
    <x v="46"/>
    <x v="46"/>
    <x v="7"/>
    <x v="7"/>
    <x v="44"/>
    <n v="82049"/>
    <x v="108"/>
    <x v="56"/>
    <n v="1440"/>
    <n v="1200"/>
  </r>
  <r>
    <n v="3517"/>
    <x v="0"/>
    <x v="47"/>
    <x v="47"/>
    <x v="1"/>
    <x v="1"/>
    <x v="70"/>
    <n v="14007"/>
    <x v="495"/>
    <x v="81"/>
    <n v="12200"/>
    <n v="1017"/>
  </r>
  <r>
    <n v="3518"/>
    <x v="0"/>
    <x v="47"/>
    <x v="47"/>
    <x v="1"/>
    <x v="1"/>
    <x v="143"/>
    <n v="14042"/>
    <x v="221"/>
    <x v="456"/>
    <n v="20580"/>
    <n v="1029"/>
  </r>
  <r>
    <n v="3519"/>
    <x v="0"/>
    <x v="47"/>
    <x v="47"/>
    <x v="1"/>
    <x v="1"/>
    <x v="107"/>
    <n v="14056"/>
    <x v="424"/>
    <x v="530"/>
    <n v="54730"/>
    <n v="1117"/>
  </r>
  <r>
    <n v="3520"/>
    <x v="0"/>
    <x v="47"/>
    <x v="47"/>
    <x v="1"/>
    <x v="1"/>
    <x v="13"/>
    <n v="14098"/>
    <x v="266"/>
    <x v="209"/>
    <n v="6700"/>
    <n v="1117"/>
  </r>
  <r>
    <n v="3521"/>
    <x v="0"/>
    <x v="47"/>
    <x v="47"/>
    <x v="1"/>
    <x v="1"/>
    <x v="9"/>
    <n v="14105"/>
    <x v="158"/>
    <x v="163"/>
    <n v="4070"/>
    <n v="1018"/>
  </r>
  <r>
    <n v="3522"/>
    <x v="0"/>
    <x v="47"/>
    <x v="47"/>
    <x v="1"/>
    <x v="1"/>
    <x v="8"/>
    <n v="14119"/>
    <x v="473"/>
    <x v="531"/>
    <n v="88630"/>
    <n v="1019"/>
  </r>
  <r>
    <n v="3523"/>
    <x v="0"/>
    <x v="47"/>
    <x v="47"/>
    <x v="1"/>
    <x v="1"/>
    <x v="7"/>
    <n v="14147"/>
    <x v="475"/>
    <x v="142"/>
    <n v="11190"/>
    <n v="1017"/>
  </r>
  <r>
    <n v="3524"/>
    <x v="0"/>
    <x v="47"/>
    <x v="47"/>
    <x v="1"/>
    <x v="1"/>
    <x v="10"/>
    <n v="14161"/>
    <x v="496"/>
    <x v="532"/>
    <n v="170700"/>
    <n v="1054"/>
  </r>
  <r>
    <n v="3525"/>
    <x v="0"/>
    <x v="47"/>
    <x v="47"/>
    <x v="1"/>
    <x v="1"/>
    <x v="90"/>
    <n v="14182"/>
    <x v="147"/>
    <x v="101"/>
    <n v="3200"/>
    <n v="1067"/>
  </r>
  <r>
    <n v="3526"/>
    <x v="0"/>
    <x v="47"/>
    <x v="47"/>
    <x v="2"/>
    <x v="2"/>
    <x v="21"/>
    <n v="18007"/>
    <x v="78"/>
    <x v="49"/>
    <n v="6"/>
    <n v="1000"/>
  </r>
  <r>
    <n v="3527"/>
    <x v="0"/>
    <x v="47"/>
    <x v="47"/>
    <x v="2"/>
    <x v="2"/>
    <x v="12"/>
    <n v="18021"/>
    <x v="77"/>
    <x v="29"/>
    <n v="6"/>
    <n v="857"/>
  </r>
  <r>
    <n v="3528"/>
    <x v="0"/>
    <x v="47"/>
    <x v="47"/>
    <x v="2"/>
    <x v="2"/>
    <x v="25"/>
    <n v="18035"/>
    <x v="33"/>
    <x v="33"/>
    <n v="4"/>
    <n v="800"/>
  </r>
  <r>
    <n v="3529"/>
    <x v="0"/>
    <x v="47"/>
    <x v="47"/>
    <x v="2"/>
    <x v="2"/>
    <x v="17"/>
    <n v="18042"/>
    <x v="13"/>
    <x v="136"/>
    <n v="9"/>
    <n v="818"/>
  </r>
  <r>
    <n v="3530"/>
    <x v="0"/>
    <x v="47"/>
    <x v="47"/>
    <x v="2"/>
    <x v="2"/>
    <x v="18"/>
    <n v="18049"/>
    <x v="33"/>
    <x v="33"/>
    <n v="4"/>
    <n v="800"/>
  </r>
  <r>
    <n v="3531"/>
    <x v="0"/>
    <x v="47"/>
    <x v="47"/>
    <x v="2"/>
    <x v="2"/>
    <x v="72"/>
    <n v="18063"/>
    <x v="89"/>
    <x v="134"/>
    <n v="63"/>
    <n v="900"/>
  </r>
  <r>
    <n v="3532"/>
    <x v="0"/>
    <x v="47"/>
    <x v="47"/>
    <x v="2"/>
    <x v="2"/>
    <x v="26"/>
    <n v="18070"/>
    <x v="30"/>
    <x v="30"/>
    <n v="2"/>
    <n v="667"/>
  </r>
  <r>
    <n v="3533"/>
    <x v="0"/>
    <x v="47"/>
    <x v="47"/>
    <x v="2"/>
    <x v="2"/>
    <x v="22"/>
    <n v="18084"/>
    <x v="220"/>
    <x v="39"/>
    <n v="45"/>
    <n v="1000"/>
  </r>
  <r>
    <n v="3534"/>
    <x v="0"/>
    <x v="47"/>
    <x v="47"/>
    <x v="2"/>
    <x v="2"/>
    <x v="16"/>
    <n v="18091"/>
    <x v="78"/>
    <x v="49"/>
    <n v="5"/>
    <n v="833"/>
  </r>
  <r>
    <n v="3535"/>
    <x v="0"/>
    <x v="47"/>
    <x v="47"/>
    <x v="2"/>
    <x v="2"/>
    <x v="71"/>
    <n v="18098"/>
    <x v="78"/>
    <x v="49"/>
    <n v="5"/>
    <n v="833"/>
  </r>
  <r>
    <n v="3536"/>
    <x v="0"/>
    <x v="47"/>
    <x v="47"/>
    <x v="2"/>
    <x v="2"/>
    <x v="78"/>
    <n v="18105"/>
    <x v="47"/>
    <x v="46"/>
    <n v="3"/>
    <n v="750"/>
  </r>
  <r>
    <n v="3537"/>
    <x v="0"/>
    <x v="47"/>
    <x v="47"/>
    <x v="2"/>
    <x v="2"/>
    <x v="15"/>
    <n v="18112"/>
    <x v="69"/>
    <x v="20"/>
    <n v="150"/>
    <n v="1000"/>
  </r>
  <r>
    <n v="3538"/>
    <x v="0"/>
    <x v="47"/>
    <x v="47"/>
    <x v="2"/>
    <x v="2"/>
    <x v="77"/>
    <n v="18119"/>
    <x v="170"/>
    <x v="135"/>
    <n v="13"/>
    <n v="1000"/>
  </r>
  <r>
    <n v="3539"/>
    <x v="0"/>
    <x v="47"/>
    <x v="47"/>
    <x v="2"/>
    <x v="2"/>
    <x v="24"/>
    <n v="18140"/>
    <x v="192"/>
    <x v="125"/>
    <n v="50"/>
    <n v="943"/>
  </r>
  <r>
    <n v="3540"/>
    <x v="0"/>
    <x v="47"/>
    <x v="47"/>
    <x v="2"/>
    <x v="2"/>
    <x v="20"/>
    <n v="18147"/>
    <x v="274"/>
    <x v="454"/>
    <n v="36"/>
    <n v="947"/>
  </r>
  <r>
    <n v="3541"/>
    <x v="0"/>
    <x v="47"/>
    <x v="47"/>
    <x v="2"/>
    <x v="2"/>
    <x v="74"/>
    <n v="18161"/>
    <x v="95"/>
    <x v="100"/>
    <n v="14"/>
    <n v="824"/>
  </r>
  <r>
    <n v="3542"/>
    <x v="0"/>
    <x v="47"/>
    <x v="47"/>
    <x v="2"/>
    <x v="2"/>
    <x v="27"/>
    <n v="18168"/>
    <x v="12"/>
    <x v="533"/>
    <n v="285"/>
    <n v="1014"/>
  </r>
  <r>
    <n v="3543"/>
    <x v="0"/>
    <x v="47"/>
    <x v="47"/>
    <x v="3"/>
    <x v="3"/>
    <x v="11"/>
    <n v="30008"/>
    <x v="45"/>
    <x v="140"/>
    <n v="12"/>
    <n v="667"/>
  </r>
  <r>
    <n v="3544"/>
    <x v="0"/>
    <x v="47"/>
    <x v="47"/>
    <x v="3"/>
    <x v="3"/>
    <x v="29"/>
    <n v="30015"/>
    <x v="225"/>
    <x v="38"/>
    <n v="39"/>
    <n v="709"/>
  </r>
  <r>
    <n v="3545"/>
    <x v="0"/>
    <x v="47"/>
    <x v="47"/>
    <x v="3"/>
    <x v="3"/>
    <x v="28"/>
    <n v="30028"/>
    <x v="44"/>
    <x v="39"/>
    <n v="32"/>
    <n v="711"/>
  </r>
  <r>
    <n v="3546"/>
    <x v="0"/>
    <x v="47"/>
    <x v="47"/>
    <x v="3"/>
    <x v="3"/>
    <x v="196"/>
    <n v="30035"/>
    <x v="32"/>
    <x v="32"/>
    <n v="7"/>
    <n v="700"/>
  </r>
  <r>
    <n v="3547"/>
    <x v="0"/>
    <x v="47"/>
    <x v="47"/>
    <x v="4"/>
    <x v="4"/>
    <x v="31"/>
    <n v="34021"/>
    <x v="33"/>
    <x v="33"/>
    <n v="5"/>
    <n v="1000"/>
  </r>
  <r>
    <n v="3548"/>
    <x v="0"/>
    <x v="47"/>
    <x v="47"/>
    <x v="4"/>
    <x v="4"/>
    <x v="34"/>
    <n v="34035"/>
    <x v="18"/>
    <x v="18"/>
    <n v="170"/>
    <n v="850"/>
  </r>
  <r>
    <n v="3549"/>
    <x v="0"/>
    <x v="47"/>
    <x v="47"/>
    <x v="4"/>
    <x v="4"/>
    <x v="30"/>
    <n v="34049"/>
    <x v="31"/>
    <x v="31"/>
    <n v="15"/>
    <n v="1000"/>
  </r>
  <r>
    <n v="3550"/>
    <x v="0"/>
    <x v="47"/>
    <x v="47"/>
    <x v="4"/>
    <x v="4"/>
    <x v="33"/>
    <n v="34056"/>
    <x v="32"/>
    <x v="32"/>
    <n v="10"/>
    <n v="1000"/>
  </r>
  <r>
    <n v="3551"/>
    <x v="0"/>
    <x v="47"/>
    <x v="47"/>
    <x v="6"/>
    <x v="6"/>
    <x v="174"/>
    <n v="54119"/>
    <x v="33"/>
    <x v="33"/>
    <n v="6"/>
    <n v="1200"/>
  </r>
  <r>
    <n v="3552"/>
    <x v="0"/>
    <x v="47"/>
    <x v="47"/>
    <x v="6"/>
    <x v="6"/>
    <x v="39"/>
    <n v="54007"/>
    <x v="92"/>
    <x v="98"/>
    <n v="27"/>
    <n v="1174"/>
  </r>
  <r>
    <n v="3553"/>
    <x v="0"/>
    <x v="47"/>
    <x v="47"/>
    <x v="6"/>
    <x v="6"/>
    <x v="114"/>
    <n v="54014"/>
    <x v="76"/>
    <x v="78"/>
    <n v="25"/>
    <n v="1000"/>
  </r>
  <r>
    <n v="3554"/>
    <x v="0"/>
    <x v="47"/>
    <x v="47"/>
    <x v="6"/>
    <x v="6"/>
    <x v="40"/>
    <n v="54021"/>
    <x v="6"/>
    <x v="80"/>
    <n v="24"/>
    <n v="1200"/>
  </r>
  <r>
    <n v="3555"/>
    <x v="0"/>
    <x v="47"/>
    <x v="47"/>
    <x v="6"/>
    <x v="6"/>
    <x v="43"/>
    <n v="54035"/>
    <x v="76"/>
    <x v="6"/>
    <n v="24"/>
    <n v="1000"/>
  </r>
  <r>
    <n v="3556"/>
    <x v="0"/>
    <x v="47"/>
    <x v="47"/>
    <x v="6"/>
    <x v="6"/>
    <x v="185"/>
    <n v="54042"/>
    <x v="92"/>
    <x v="6"/>
    <n v="24"/>
    <n v="1000"/>
  </r>
  <r>
    <n v="3557"/>
    <x v="0"/>
    <x v="47"/>
    <x v="47"/>
    <x v="6"/>
    <x v="6"/>
    <x v="115"/>
    <n v="54056"/>
    <x v="77"/>
    <x v="67"/>
    <n v="8"/>
    <n v="1000"/>
  </r>
  <r>
    <n v="3558"/>
    <x v="0"/>
    <x v="47"/>
    <x v="47"/>
    <x v="6"/>
    <x v="6"/>
    <x v="116"/>
    <n v="54063"/>
    <x v="32"/>
    <x v="32"/>
    <n v="12"/>
    <n v="1200"/>
  </r>
  <r>
    <n v="3559"/>
    <x v="0"/>
    <x v="47"/>
    <x v="47"/>
    <x v="6"/>
    <x v="6"/>
    <x v="183"/>
    <n v="54070"/>
    <x v="96"/>
    <x v="157"/>
    <n v="31"/>
    <n v="1148"/>
  </r>
  <r>
    <n v="3560"/>
    <x v="0"/>
    <x v="47"/>
    <x v="47"/>
    <x v="6"/>
    <x v="6"/>
    <x v="88"/>
    <n v="54077"/>
    <x v="94"/>
    <x v="80"/>
    <n v="24"/>
    <n v="1200"/>
  </r>
  <r>
    <n v="3561"/>
    <x v="0"/>
    <x v="47"/>
    <x v="47"/>
    <x v="6"/>
    <x v="6"/>
    <x v="182"/>
    <n v="54091"/>
    <x v="92"/>
    <x v="98"/>
    <n v="27"/>
    <n v="1174"/>
  </r>
  <r>
    <n v="3562"/>
    <x v="0"/>
    <x v="47"/>
    <x v="47"/>
    <x v="6"/>
    <x v="6"/>
    <x v="41"/>
    <n v="54098"/>
    <x v="131"/>
    <x v="72"/>
    <n v="35"/>
    <n v="1167"/>
  </r>
  <r>
    <n v="3563"/>
    <x v="0"/>
    <x v="47"/>
    <x v="47"/>
    <x v="6"/>
    <x v="6"/>
    <x v="42"/>
    <n v="54105"/>
    <x v="31"/>
    <x v="135"/>
    <n v="13"/>
    <n v="1000"/>
  </r>
  <r>
    <n v="3564"/>
    <x v="0"/>
    <x v="47"/>
    <x v="47"/>
    <x v="11"/>
    <x v="11"/>
    <x v="171"/>
    <n v="66056"/>
    <x v="27"/>
    <x v="27"/>
    <n v="108"/>
    <n v="1662"/>
  </r>
  <r>
    <n v="3565"/>
    <x v="0"/>
    <x v="47"/>
    <x v="47"/>
    <x v="11"/>
    <x v="11"/>
    <x v="140"/>
    <n v="66126"/>
    <x v="31"/>
    <x v="31"/>
    <n v="22"/>
    <n v="1467"/>
  </r>
  <r>
    <n v="3566"/>
    <x v="0"/>
    <x v="47"/>
    <x v="47"/>
    <x v="7"/>
    <x v="7"/>
    <x v="45"/>
    <n v="82035"/>
    <x v="16"/>
    <x v="277"/>
    <n v="550"/>
    <n v="1897"/>
  </r>
  <r>
    <n v="3567"/>
    <x v="0"/>
    <x v="47"/>
    <x v="47"/>
    <x v="7"/>
    <x v="7"/>
    <x v="195"/>
    <n v="82042"/>
    <x v="16"/>
    <x v="12"/>
    <n v="450"/>
    <n v="1500"/>
  </r>
  <r>
    <n v="3568"/>
    <x v="0"/>
    <x v="47"/>
    <x v="47"/>
    <x v="7"/>
    <x v="7"/>
    <x v="44"/>
    <n v="82049"/>
    <x v="11"/>
    <x v="282"/>
    <n v="800"/>
    <n v="1000"/>
  </r>
  <r>
    <n v="3569"/>
    <x v="0"/>
    <x v="48"/>
    <x v="48"/>
    <x v="1"/>
    <x v="1"/>
    <x v="70"/>
    <n v="14007"/>
    <x v="79"/>
    <x v="525"/>
    <n v="12320"/>
    <n v="1071"/>
  </r>
  <r>
    <n v="3570"/>
    <x v="0"/>
    <x v="48"/>
    <x v="48"/>
    <x v="1"/>
    <x v="1"/>
    <x v="143"/>
    <n v="14042"/>
    <x v="497"/>
    <x v="456"/>
    <n v="21430"/>
    <n v="1072"/>
  </r>
  <r>
    <n v="3571"/>
    <x v="0"/>
    <x v="48"/>
    <x v="48"/>
    <x v="1"/>
    <x v="1"/>
    <x v="107"/>
    <n v="14056"/>
    <x v="403"/>
    <x v="436"/>
    <n v="43920"/>
    <n v="1071"/>
  </r>
  <r>
    <n v="3572"/>
    <x v="0"/>
    <x v="48"/>
    <x v="48"/>
    <x v="1"/>
    <x v="1"/>
    <x v="13"/>
    <n v="14098"/>
    <x v="229"/>
    <x v="518"/>
    <n v="5680"/>
    <n v="1072"/>
  </r>
  <r>
    <n v="3573"/>
    <x v="0"/>
    <x v="48"/>
    <x v="48"/>
    <x v="1"/>
    <x v="1"/>
    <x v="9"/>
    <n v="14105"/>
    <x v="301"/>
    <x v="210"/>
    <n v="3640"/>
    <n v="1071"/>
  </r>
  <r>
    <n v="3574"/>
    <x v="0"/>
    <x v="48"/>
    <x v="48"/>
    <x v="1"/>
    <x v="1"/>
    <x v="8"/>
    <n v="14119"/>
    <x v="436"/>
    <x v="534"/>
    <n v="88000"/>
    <n v="1143"/>
  </r>
  <r>
    <n v="3575"/>
    <x v="0"/>
    <x v="48"/>
    <x v="48"/>
    <x v="1"/>
    <x v="1"/>
    <x v="7"/>
    <n v="14147"/>
    <x v="79"/>
    <x v="142"/>
    <n v="12570"/>
    <n v="1143"/>
  </r>
  <r>
    <n v="3576"/>
    <x v="0"/>
    <x v="48"/>
    <x v="48"/>
    <x v="1"/>
    <x v="1"/>
    <x v="10"/>
    <n v="14161"/>
    <x v="482"/>
    <x v="535"/>
    <n v="145170"/>
    <n v="1075"/>
  </r>
  <r>
    <n v="3577"/>
    <x v="0"/>
    <x v="48"/>
    <x v="48"/>
    <x v="1"/>
    <x v="1"/>
    <x v="90"/>
    <n v="14182"/>
    <x v="374"/>
    <x v="152"/>
    <n v="2970"/>
    <n v="1100"/>
  </r>
  <r>
    <n v="3578"/>
    <x v="0"/>
    <x v="48"/>
    <x v="48"/>
    <x v="2"/>
    <x v="2"/>
    <x v="21"/>
    <n v="18007"/>
    <x v="33"/>
    <x v="46"/>
    <n v="4"/>
    <n v="1000"/>
  </r>
  <r>
    <n v="3579"/>
    <x v="0"/>
    <x v="48"/>
    <x v="48"/>
    <x v="2"/>
    <x v="2"/>
    <x v="12"/>
    <n v="18021"/>
    <x v="29"/>
    <x v="49"/>
    <n v="6"/>
    <n v="1000"/>
  </r>
  <r>
    <n v="3580"/>
    <x v="0"/>
    <x v="48"/>
    <x v="48"/>
    <x v="2"/>
    <x v="2"/>
    <x v="25"/>
    <n v="18035"/>
    <x v="33"/>
    <x v="33"/>
    <n v="6"/>
    <n v="1200"/>
  </r>
  <r>
    <n v="3581"/>
    <x v="0"/>
    <x v="48"/>
    <x v="48"/>
    <x v="2"/>
    <x v="2"/>
    <x v="17"/>
    <n v="18042"/>
    <x v="32"/>
    <x v="67"/>
    <n v="8"/>
    <n v="1000"/>
  </r>
  <r>
    <n v="3582"/>
    <x v="0"/>
    <x v="48"/>
    <x v="48"/>
    <x v="2"/>
    <x v="2"/>
    <x v="18"/>
    <n v="18049"/>
    <x v="78"/>
    <x v="33"/>
    <n v="4"/>
    <n v="800"/>
  </r>
  <r>
    <n v="3583"/>
    <x v="0"/>
    <x v="48"/>
    <x v="48"/>
    <x v="2"/>
    <x v="2"/>
    <x v="72"/>
    <n v="18063"/>
    <x v="127"/>
    <x v="27"/>
    <n v="70"/>
    <n v="1077"/>
  </r>
  <r>
    <n v="3584"/>
    <x v="0"/>
    <x v="48"/>
    <x v="48"/>
    <x v="2"/>
    <x v="2"/>
    <x v="26"/>
    <n v="18070"/>
    <x v="33"/>
    <x v="33"/>
    <n v="6"/>
    <n v="1200"/>
  </r>
  <r>
    <n v="3585"/>
    <x v="0"/>
    <x v="48"/>
    <x v="48"/>
    <x v="2"/>
    <x v="2"/>
    <x v="22"/>
    <n v="18084"/>
    <x v="39"/>
    <x v="45"/>
    <n v="44"/>
    <n v="1100"/>
  </r>
  <r>
    <n v="3586"/>
    <x v="0"/>
    <x v="48"/>
    <x v="48"/>
    <x v="2"/>
    <x v="2"/>
    <x v="16"/>
    <n v="18091"/>
    <x v="29"/>
    <x v="49"/>
    <n v="6"/>
    <n v="1000"/>
  </r>
  <r>
    <n v="3587"/>
    <x v="0"/>
    <x v="48"/>
    <x v="48"/>
    <x v="2"/>
    <x v="2"/>
    <x v="71"/>
    <n v="18098"/>
    <x v="29"/>
    <x v="29"/>
    <n v="7"/>
    <n v="1000"/>
  </r>
  <r>
    <n v="3588"/>
    <x v="0"/>
    <x v="48"/>
    <x v="48"/>
    <x v="2"/>
    <x v="2"/>
    <x v="78"/>
    <n v="18105"/>
    <x v="33"/>
    <x v="33"/>
    <n v="6"/>
    <n v="1200"/>
  </r>
  <r>
    <n v="3589"/>
    <x v="0"/>
    <x v="48"/>
    <x v="48"/>
    <x v="2"/>
    <x v="2"/>
    <x v="15"/>
    <n v="18112"/>
    <x v="498"/>
    <x v="347"/>
    <n v="130"/>
    <n v="1048"/>
  </r>
  <r>
    <n v="3590"/>
    <x v="0"/>
    <x v="48"/>
    <x v="48"/>
    <x v="2"/>
    <x v="2"/>
    <x v="77"/>
    <n v="18119"/>
    <x v="31"/>
    <x v="77"/>
    <n v="14"/>
    <n v="1000"/>
  </r>
  <r>
    <n v="3591"/>
    <x v="0"/>
    <x v="48"/>
    <x v="48"/>
    <x v="2"/>
    <x v="2"/>
    <x v="24"/>
    <n v="18140"/>
    <x v="38"/>
    <x v="111"/>
    <n v="54"/>
    <n v="1080"/>
  </r>
  <r>
    <n v="3592"/>
    <x v="0"/>
    <x v="48"/>
    <x v="48"/>
    <x v="2"/>
    <x v="2"/>
    <x v="20"/>
    <n v="18147"/>
    <x v="125"/>
    <x v="285"/>
    <n v="40"/>
    <n v="1081"/>
  </r>
  <r>
    <n v="3593"/>
    <x v="0"/>
    <x v="48"/>
    <x v="48"/>
    <x v="2"/>
    <x v="2"/>
    <x v="74"/>
    <n v="18161"/>
    <x v="31"/>
    <x v="135"/>
    <n v="14"/>
    <n v="1077"/>
  </r>
  <r>
    <n v="3594"/>
    <x v="0"/>
    <x v="48"/>
    <x v="48"/>
    <x v="2"/>
    <x v="2"/>
    <x v="27"/>
    <n v="18168"/>
    <x v="44"/>
    <x v="259"/>
    <n v="51"/>
    <n v="1109"/>
  </r>
  <r>
    <n v="3595"/>
    <x v="0"/>
    <x v="48"/>
    <x v="48"/>
    <x v="3"/>
    <x v="3"/>
    <x v="11"/>
    <n v="30008"/>
    <x v="45"/>
    <x v="140"/>
    <n v="13"/>
    <n v="722"/>
  </r>
  <r>
    <n v="3596"/>
    <x v="0"/>
    <x v="48"/>
    <x v="48"/>
    <x v="3"/>
    <x v="3"/>
    <x v="29"/>
    <n v="30015"/>
    <x v="44"/>
    <x v="39"/>
    <n v="34"/>
    <n v="756"/>
  </r>
  <r>
    <n v="3597"/>
    <x v="0"/>
    <x v="48"/>
    <x v="48"/>
    <x v="3"/>
    <x v="3"/>
    <x v="28"/>
    <n v="30028"/>
    <x v="125"/>
    <x v="285"/>
    <n v="28"/>
    <n v="757"/>
  </r>
  <r>
    <n v="3598"/>
    <x v="0"/>
    <x v="48"/>
    <x v="48"/>
    <x v="4"/>
    <x v="4"/>
    <x v="31"/>
    <n v="34021"/>
    <x v="47"/>
    <x v="46"/>
    <n v="6"/>
    <n v="1500"/>
  </r>
  <r>
    <n v="3599"/>
    <x v="0"/>
    <x v="48"/>
    <x v="48"/>
    <x v="4"/>
    <x v="4"/>
    <x v="33"/>
    <n v="34056"/>
    <x v="32"/>
    <x v="32"/>
    <n v="16"/>
    <n v="1600"/>
  </r>
  <r>
    <n v="3600"/>
    <x v="0"/>
    <x v="48"/>
    <x v="48"/>
    <x v="6"/>
    <x v="6"/>
    <x v="174"/>
    <n v="54119"/>
    <x v="33"/>
    <x v="33"/>
    <n v="6"/>
    <n v="1200"/>
  </r>
  <r>
    <n v="3601"/>
    <x v="0"/>
    <x v="48"/>
    <x v="48"/>
    <x v="6"/>
    <x v="6"/>
    <x v="39"/>
    <n v="54007"/>
    <x v="45"/>
    <x v="80"/>
    <n v="19"/>
    <n v="950"/>
  </r>
  <r>
    <n v="3602"/>
    <x v="0"/>
    <x v="48"/>
    <x v="48"/>
    <x v="6"/>
    <x v="6"/>
    <x v="114"/>
    <n v="54014"/>
    <x v="94"/>
    <x v="80"/>
    <n v="23"/>
    <n v="1150"/>
  </r>
  <r>
    <n v="3603"/>
    <x v="0"/>
    <x v="48"/>
    <x v="48"/>
    <x v="6"/>
    <x v="6"/>
    <x v="40"/>
    <n v="54021"/>
    <x v="105"/>
    <x v="78"/>
    <n v="24"/>
    <n v="960"/>
  </r>
  <r>
    <n v="3604"/>
    <x v="0"/>
    <x v="48"/>
    <x v="48"/>
    <x v="6"/>
    <x v="6"/>
    <x v="12"/>
    <n v="54028"/>
    <x v="47"/>
    <x v="46"/>
    <n v="4"/>
    <n v="1000"/>
  </r>
  <r>
    <n v="3605"/>
    <x v="0"/>
    <x v="48"/>
    <x v="48"/>
    <x v="6"/>
    <x v="6"/>
    <x v="43"/>
    <n v="54035"/>
    <x v="45"/>
    <x v="112"/>
    <n v="21"/>
    <n v="1105"/>
  </r>
  <r>
    <n v="3606"/>
    <x v="0"/>
    <x v="48"/>
    <x v="48"/>
    <x v="6"/>
    <x v="6"/>
    <x v="185"/>
    <n v="54042"/>
    <x v="31"/>
    <x v="77"/>
    <n v="16"/>
    <n v="1143"/>
  </r>
  <r>
    <n v="3607"/>
    <x v="0"/>
    <x v="48"/>
    <x v="48"/>
    <x v="6"/>
    <x v="6"/>
    <x v="192"/>
    <n v="54049"/>
    <x v="34"/>
    <x v="34"/>
    <n v="3"/>
    <n v="1500"/>
  </r>
  <r>
    <n v="3608"/>
    <x v="0"/>
    <x v="48"/>
    <x v="48"/>
    <x v="6"/>
    <x v="6"/>
    <x v="115"/>
    <n v="54056"/>
    <x v="33"/>
    <x v="33"/>
    <n v="6"/>
    <n v="1200"/>
  </r>
  <r>
    <n v="3609"/>
    <x v="0"/>
    <x v="48"/>
    <x v="48"/>
    <x v="6"/>
    <x v="6"/>
    <x v="116"/>
    <n v="54063"/>
    <x v="33"/>
    <x v="33"/>
    <n v="6"/>
    <n v="1200"/>
  </r>
  <r>
    <n v="3610"/>
    <x v="0"/>
    <x v="48"/>
    <x v="48"/>
    <x v="6"/>
    <x v="6"/>
    <x v="183"/>
    <n v="54070"/>
    <x v="105"/>
    <x v="78"/>
    <n v="24"/>
    <n v="960"/>
  </r>
  <r>
    <n v="3611"/>
    <x v="0"/>
    <x v="48"/>
    <x v="48"/>
    <x v="6"/>
    <x v="6"/>
    <x v="88"/>
    <n v="54077"/>
    <x v="31"/>
    <x v="77"/>
    <n v="16"/>
    <n v="1143"/>
  </r>
  <r>
    <n v="3612"/>
    <x v="0"/>
    <x v="48"/>
    <x v="48"/>
    <x v="6"/>
    <x v="6"/>
    <x v="182"/>
    <n v="54091"/>
    <x v="45"/>
    <x v="112"/>
    <n v="20"/>
    <n v="1053"/>
  </r>
  <r>
    <n v="3613"/>
    <x v="0"/>
    <x v="48"/>
    <x v="48"/>
    <x v="6"/>
    <x v="6"/>
    <x v="41"/>
    <n v="54098"/>
    <x v="31"/>
    <x v="77"/>
    <n v="16"/>
    <n v="1143"/>
  </r>
  <r>
    <n v="3614"/>
    <x v="0"/>
    <x v="48"/>
    <x v="48"/>
    <x v="6"/>
    <x v="6"/>
    <x v="42"/>
    <n v="54105"/>
    <x v="32"/>
    <x v="52"/>
    <n v="9"/>
    <n v="1000"/>
  </r>
  <r>
    <n v="3615"/>
    <x v="0"/>
    <x v="48"/>
    <x v="48"/>
    <x v="11"/>
    <x v="11"/>
    <x v="171"/>
    <n v="66056"/>
    <x v="3"/>
    <x v="3"/>
    <n v="116"/>
    <n v="1634"/>
  </r>
  <r>
    <n v="3616"/>
    <x v="0"/>
    <x v="48"/>
    <x v="48"/>
    <x v="11"/>
    <x v="11"/>
    <x v="140"/>
    <n v="66126"/>
    <x v="31"/>
    <x v="31"/>
    <n v="24"/>
    <n v="1600"/>
  </r>
  <r>
    <n v="3617"/>
    <x v="0"/>
    <x v="48"/>
    <x v="48"/>
    <x v="7"/>
    <x v="7"/>
    <x v="120"/>
    <n v="82007"/>
    <x v="170"/>
    <x v="77"/>
    <n v="20"/>
    <n v="1429"/>
  </r>
  <r>
    <n v="3618"/>
    <x v="0"/>
    <x v="48"/>
    <x v="48"/>
    <x v="7"/>
    <x v="7"/>
    <x v="45"/>
    <n v="82035"/>
    <x v="209"/>
    <x v="93"/>
    <n v="160"/>
    <n v="1975"/>
  </r>
  <r>
    <n v="3619"/>
    <x v="0"/>
    <x v="48"/>
    <x v="48"/>
    <x v="7"/>
    <x v="7"/>
    <x v="44"/>
    <n v="82049"/>
    <x v="11"/>
    <x v="536"/>
    <n v="1100"/>
    <n v="1106"/>
  </r>
  <r>
    <n v="3620"/>
    <x v="0"/>
    <x v="49"/>
    <x v="49"/>
    <x v="1"/>
    <x v="1"/>
    <x v="70"/>
    <n v="14007"/>
    <x v="489"/>
    <x v="142"/>
    <n v="17600"/>
    <n v="1600"/>
  </r>
  <r>
    <n v="3621"/>
    <x v="0"/>
    <x v="49"/>
    <x v="49"/>
    <x v="1"/>
    <x v="1"/>
    <x v="143"/>
    <n v="14042"/>
    <x v="499"/>
    <x v="432"/>
    <n v="36100"/>
    <n v="1570"/>
  </r>
  <r>
    <n v="3622"/>
    <x v="0"/>
    <x v="49"/>
    <x v="49"/>
    <x v="1"/>
    <x v="1"/>
    <x v="107"/>
    <n v="14056"/>
    <x v="500"/>
    <x v="537"/>
    <n v="104200"/>
    <n v="1930"/>
  </r>
  <r>
    <n v="3623"/>
    <x v="0"/>
    <x v="49"/>
    <x v="49"/>
    <x v="1"/>
    <x v="1"/>
    <x v="13"/>
    <n v="14098"/>
    <x v="64"/>
    <x v="538"/>
    <n v="13300"/>
    <n v="1773"/>
  </r>
  <r>
    <n v="3624"/>
    <x v="0"/>
    <x v="49"/>
    <x v="49"/>
    <x v="1"/>
    <x v="1"/>
    <x v="9"/>
    <n v="14105"/>
    <x v="501"/>
    <x v="163"/>
    <n v="5700"/>
    <n v="1425"/>
  </r>
  <r>
    <n v="3625"/>
    <x v="0"/>
    <x v="49"/>
    <x v="49"/>
    <x v="1"/>
    <x v="1"/>
    <x v="8"/>
    <n v="14119"/>
    <x v="502"/>
    <x v="539"/>
    <n v="160000"/>
    <n v="1675"/>
  </r>
  <r>
    <n v="3626"/>
    <x v="0"/>
    <x v="49"/>
    <x v="49"/>
    <x v="1"/>
    <x v="1"/>
    <x v="7"/>
    <n v="14147"/>
    <x v="503"/>
    <x v="540"/>
    <n v="20700"/>
    <n v="1568"/>
  </r>
  <r>
    <n v="3627"/>
    <x v="0"/>
    <x v="49"/>
    <x v="49"/>
    <x v="1"/>
    <x v="1"/>
    <x v="10"/>
    <n v="14161"/>
    <x v="504"/>
    <x v="541"/>
    <n v="235100"/>
    <n v="1527"/>
  </r>
  <r>
    <n v="3628"/>
    <x v="0"/>
    <x v="49"/>
    <x v="49"/>
    <x v="1"/>
    <x v="1"/>
    <x v="90"/>
    <n v="14182"/>
    <x v="25"/>
    <x v="305"/>
    <n v="5300"/>
    <n v="1710"/>
  </r>
  <r>
    <n v="3629"/>
    <x v="0"/>
    <x v="49"/>
    <x v="49"/>
    <x v="2"/>
    <x v="2"/>
    <x v="21"/>
    <n v="18007"/>
    <x v="47"/>
    <x v="46"/>
    <n v="4"/>
    <n v="1000"/>
  </r>
  <r>
    <n v="3630"/>
    <x v="0"/>
    <x v="49"/>
    <x v="49"/>
    <x v="2"/>
    <x v="2"/>
    <x v="12"/>
    <n v="18021"/>
    <x v="29"/>
    <x v="49"/>
    <n v="5"/>
    <n v="833"/>
  </r>
  <r>
    <n v="3631"/>
    <x v="0"/>
    <x v="49"/>
    <x v="49"/>
    <x v="2"/>
    <x v="2"/>
    <x v="25"/>
    <n v="18035"/>
    <x v="47"/>
    <x v="46"/>
    <n v="4"/>
    <n v="1000"/>
  </r>
  <r>
    <n v="3632"/>
    <x v="0"/>
    <x v="49"/>
    <x v="49"/>
    <x v="2"/>
    <x v="2"/>
    <x v="17"/>
    <n v="18042"/>
    <x v="50"/>
    <x v="52"/>
    <n v="8"/>
    <n v="889"/>
  </r>
  <r>
    <n v="3633"/>
    <x v="0"/>
    <x v="49"/>
    <x v="49"/>
    <x v="2"/>
    <x v="2"/>
    <x v="18"/>
    <n v="18049"/>
    <x v="78"/>
    <x v="33"/>
    <n v="4"/>
    <n v="800"/>
  </r>
  <r>
    <n v="3634"/>
    <x v="0"/>
    <x v="49"/>
    <x v="49"/>
    <x v="2"/>
    <x v="2"/>
    <x v="72"/>
    <n v="18063"/>
    <x v="273"/>
    <x v="345"/>
    <n v="76"/>
    <n v="1134"/>
  </r>
  <r>
    <n v="3635"/>
    <x v="0"/>
    <x v="49"/>
    <x v="49"/>
    <x v="2"/>
    <x v="2"/>
    <x v="26"/>
    <n v="18070"/>
    <x v="78"/>
    <x v="33"/>
    <n v="5"/>
    <n v="1000"/>
  </r>
  <r>
    <n v="3636"/>
    <x v="0"/>
    <x v="49"/>
    <x v="49"/>
    <x v="2"/>
    <x v="2"/>
    <x v="22"/>
    <n v="18084"/>
    <x v="119"/>
    <x v="45"/>
    <n v="40"/>
    <n v="1000"/>
  </r>
  <r>
    <n v="3637"/>
    <x v="0"/>
    <x v="49"/>
    <x v="49"/>
    <x v="2"/>
    <x v="2"/>
    <x v="16"/>
    <n v="18091"/>
    <x v="77"/>
    <x v="29"/>
    <n v="8"/>
    <n v="1143"/>
  </r>
  <r>
    <n v="3638"/>
    <x v="0"/>
    <x v="49"/>
    <x v="49"/>
    <x v="2"/>
    <x v="2"/>
    <x v="71"/>
    <n v="18098"/>
    <x v="29"/>
    <x v="29"/>
    <n v="9"/>
    <n v="1286"/>
  </r>
  <r>
    <n v="3639"/>
    <x v="0"/>
    <x v="49"/>
    <x v="49"/>
    <x v="2"/>
    <x v="2"/>
    <x v="78"/>
    <n v="18105"/>
    <x v="33"/>
    <x v="33"/>
    <n v="5"/>
    <n v="1000"/>
  </r>
  <r>
    <n v="3640"/>
    <x v="0"/>
    <x v="49"/>
    <x v="49"/>
    <x v="2"/>
    <x v="2"/>
    <x v="15"/>
    <n v="18112"/>
    <x v="505"/>
    <x v="542"/>
    <n v="100"/>
    <n v="847"/>
  </r>
  <r>
    <n v="3641"/>
    <x v="0"/>
    <x v="49"/>
    <x v="49"/>
    <x v="2"/>
    <x v="2"/>
    <x v="77"/>
    <n v="18119"/>
    <x v="128"/>
    <x v="13"/>
    <n v="14"/>
    <n v="1167"/>
  </r>
  <r>
    <n v="3642"/>
    <x v="0"/>
    <x v="49"/>
    <x v="49"/>
    <x v="2"/>
    <x v="2"/>
    <x v="24"/>
    <n v="18140"/>
    <x v="196"/>
    <x v="111"/>
    <n v="65"/>
    <n v="1300"/>
  </r>
  <r>
    <n v="3643"/>
    <x v="0"/>
    <x v="49"/>
    <x v="49"/>
    <x v="2"/>
    <x v="2"/>
    <x v="20"/>
    <n v="18147"/>
    <x v="100"/>
    <x v="139"/>
    <n v="45"/>
    <n v="1286"/>
  </r>
  <r>
    <n v="3644"/>
    <x v="0"/>
    <x v="49"/>
    <x v="49"/>
    <x v="2"/>
    <x v="2"/>
    <x v="76"/>
    <n v="18154"/>
    <x v="34"/>
    <x v="34"/>
    <n v="3"/>
    <n v="1500"/>
  </r>
  <r>
    <n v="3645"/>
    <x v="0"/>
    <x v="49"/>
    <x v="49"/>
    <x v="2"/>
    <x v="2"/>
    <x v="74"/>
    <n v="18161"/>
    <x v="107"/>
    <x v="77"/>
    <n v="15"/>
    <n v="1071"/>
  </r>
  <r>
    <n v="3646"/>
    <x v="0"/>
    <x v="49"/>
    <x v="49"/>
    <x v="2"/>
    <x v="2"/>
    <x v="27"/>
    <n v="18168"/>
    <x v="119"/>
    <x v="45"/>
    <n v="40"/>
    <n v="1000"/>
  </r>
  <r>
    <n v="3647"/>
    <x v="0"/>
    <x v="49"/>
    <x v="49"/>
    <x v="3"/>
    <x v="3"/>
    <x v="11"/>
    <n v="30008"/>
    <x v="92"/>
    <x v="99"/>
    <n v="20"/>
    <n v="909"/>
  </r>
  <r>
    <n v="3648"/>
    <x v="0"/>
    <x v="49"/>
    <x v="49"/>
    <x v="3"/>
    <x v="3"/>
    <x v="29"/>
    <n v="30015"/>
    <x v="225"/>
    <x v="219"/>
    <n v="50"/>
    <n v="893"/>
  </r>
  <r>
    <n v="3649"/>
    <x v="0"/>
    <x v="49"/>
    <x v="49"/>
    <x v="3"/>
    <x v="3"/>
    <x v="28"/>
    <n v="30028"/>
    <x v="131"/>
    <x v="102"/>
    <n v="30"/>
    <n v="938"/>
  </r>
  <r>
    <n v="3650"/>
    <x v="0"/>
    <x v="49"/>
    <x v="49"/>
    <x v="4"/>
    <x v="4"/>
    <x v="31"/>
    <n v="34021"/>
    <x v="34"/>
    <x v="512"/>
    <n v="0"/>
    <n v="0"/>
  </r>
  <r>
    <n v="3651"/>
    <x v="0"/>
    <x v="49"/>
    <x v="49"/>
    <x v="4"/>
    <x v="4"/>
    <x v="33"/>
    <n v="34056"/>
    <x v="77"/>
    <x v="512"/>
    <n v="0"/>
    <n v="0"/>
  </r>
  <r>
    <n v="3652"/>
    <x v="0"/>
    <x v="49"/>
    <x v="49"/>
    <x v="14"/>
    <x v="14"/>
    <x v="95"/>
    <n v="50035"/>
    <x v="275"/>
    <x v="72"/>
    <n v="30"/>
    <n v="1000"/>
  </r>
  <r>
    <n v="3653"/>
    <x v="0"/>
    <x v="49"/>
    <x v="49"/>
    <x v="14"/>
    <x v="14"/>
    <x v="92"/>
    <n v="50042"/>
    <x v="77"/>
    <x v="46"/>
    <n v="4"/>
    <n v="1000"/>
  </r>
  <r>
    <n v="3654"/>
    <x v="0"/>
    <x v="49"/>
    <x v="49"/>
    <x v="14"/>
    <x v="14"/>
    <x v="16"/>
    <n v="50056"/>
    <x v="4"/>
    <x v="32"/>
    <n v="10"/>
    <n v="1000"/>
  </r>
  <r>
    <n v="3655"/>
    <x v="0"/>
    <x v="49"/>
    <x v="49"/>
    <x v="14"/>
    <x v="14"/>
    <x v="123"/>
    <n v="50084"/>
    <x v="29"/>
    <x v="33"/>
    <n v="5"/>
    <n v="1000"/>
  </r>
  <r>
    <n v="3656"/>
    <x v="0"/>
    <x v="49"/>
    <x v="49"/>
    <x v="14"/>
    <x v="14"/>
    <x v="20"/>
    <n v="50098"/>
    <x v="4"/>
    <x v="49"/>
    <n v="9"/>
    <n v="1500"/>
  </r>
  <r>
    <n v="3657"/>
    <x v="0"/>
    <x v="49"/>
    <x v="49"/>
    <x v="14"/>
    <x v="14"/>
    <x v="58"/>
    <n v="50112"/>
    <x v="215"/>
    <x v="197"/>
    <n v="112"/>
    <n v="1179"/>
  </r>
  <r>
    <n v="3658"/>
    <x v="0"/>
    <x v="49"/>
    <x v="49"/>
    <x v="6"/>
    <x v="6"/>
    <x v="174"/>
    <n v="54119"/>
    <x v="47"/>
    <x v="46"/>
    <n v="5"/>
    <n v="1250"/>
  </r>
  <r>
    <n v="3659"/>
    <x v="0"/>
    <x v="49"/>
    <x v="49"/>
    <x v="6"/>
    <x v="6"/>
    <x v="39"/>
    <n v="54007"/>
    <x v="95"/>
    <x v="79"/>
    <n v="19"/>
    <n v="1188"/>
  </r>
  <r>
    <n v="3660"/>
    <x v="0"/>
    <x v="49"/>
    <x v="49"/>
    <x v="6"/>
    <x v="6"/>
    <x v="114"/>
    <n v="54014"/>
    <x v="45"/>
    <x v="100"/>
    <n v="21"/>
    <n v="1235"/>
  </r>
  <r>
    <n v="3661"/>
    <x v="0"/>
    <x v="49"/>
    <x v="49"/>
    <x v="6"/>
    <x v="6"/>
    <x v="40"/>
    <n v="54021"/>
    <x v="93"/>
    <x v="80"/>
    <n v="23"/>
    <n v="1150"/>
  </r>
  <r>
    <n v="3662"/>
    <x v="0"/>
    <x v="49"/>
    <x v="49"/>
    <x v="6"/>
    <x v="6"/>
    <x v="12"/>
    <n v="54028"/>
    <x v="47"/>
    <x v="46"/>
    <n v="5"/>
    <n v="1250"/>
  </r>
  <r>
    <n v="3663"/>
    <x v="0"/>
    <x v="49"/>
    <x v="49"/>
    <x v="6"/>
    <x v="6"/>
    <x v="43"/>
    <n v="54035"/>
    <x v="107"/>
    <x v="31"/>
    <n v="18"/>
    <n v="1200"/>
  </r>
  <r>
    <n v="3664"/>
    <x v="0"/>
    <x v="49"/>
    <x v="49"/>
    <x v="6"/>
    <x v="6"/>
    <x v="185"/>
    <n v="54042"/>
    <x v="170"/>
    <x v="13"/>
    <n v="14"/>
    <n v="1167"/>
  </r>
  <r>
    <n v="3665"/>
    <x v="0"/>
    <x v="49"/>
    <x v="49"/>
    <x v="6"/>
    <x v="6"/>
    <x v="192"/>
    <n v="54049"/>
    <x v="34"/>
    <x v="34"/>
    <n v="3"/>
    <n v="1500"/>
  </r>
  <r>
    <n v="3666"/>
    <x v="0"/>
    <x v="49"/>
    <x v="49"/>
    <x v="6"/>
    <x v="6"/>
    <x v="115"/>
    <n v="54056"/>
    <x v="33"/>
    <x v="33"/>
    <n v="6"/>
    <n v="1200"/>
  </r>
  <r>
    <n v="3667"/>
    <x v="0"/>
    <x v="49"/>
    <x v="49"/>
    <x v="6"/>
    <x v="6"/>
    <x v="116"/>
    <n v="54063"/>
    <x v="33"/>
    <x v="33"/>
    <n v="6"/>
    <n v="1200"/>
  </r>
  <r>
    <n v="3668"/>
    <x v="0"/>
    <x v="49"/>
    <x v="49"/>
    <x v="6"/>
    <x v="6"/>
    <x v="183"/>
    <n v="54070"/>
    <x v="6"/>
    <x v="40"/>
    <n v="28"/>
    <n v="1333"/>
  </r>
  <r>
    <n v="3669"/>
    <x v="0"/>
    <x v="49"/>
    <x v="49"/>
    <x v="6"/>
    <x v="6"/>
    <x v="88"/>
    <n v="54077"/>
    <x v="128"/>
    <x v="13"/>
    <n v="14"/>
    <n v="1167"/>
  </r>
  <r>
    <n v="3670"/>
    <x v="0"/>
    <x v="49"/>
    <x v="49"/>
    <x v="6"/>
    <x v="6"/>
    <x v="182"/>
    <n v="54091"/>
    <x v="95"/>
    <x v="79"/>
    <n v="22"/>
    <n v="1375"/>
  </r>
  <r>
    <n v="3671"/>
    <x v="0"/>
    <x v="49"/>
    <x v="49"/>
    <x v="6"/>
    <x v="6"/>
    <x v="41"/>
    <n v="54098"/>
    <x v="170"/>
    <x v="135"/>
    <n v="16"/>
    <n v="1231"/>
  </r>
  <r>
    <n v="3672"/>
    <x v="0"/>
    <x v="49"/>
    <x v="49"/>
    <x v="6"/>
    <x v="6"/>
    <x v="42"/>
    <n v="54105"/>
    <x v="53"/>
    <x v="67"/>
    <n v="10"/>
    <n v="1250"/>
  </r>
  <r>
    <n v="3673"/>
    <x v="0"/>
    <x v="49"/>
    <x v="49"/>
    <x v="11"/>
    <x v="11"/>
    <x v="171"/>
    <n v="66056"/>
    <x v="506"/>
    <x v="235"/>
    <n v="238"/>
    <n v="1535"/>
  </r>
  <r>
    <n v="3674"/>
    <x v="0"/>
    <x v="49"/>
    <x v="49"/>
    <x v="11"/>
    <x v="11"/>
    <x v="140"/>
    <n v="66126"/>
    <x v="31"/>
    <x v="31"/>
    <n v="22"/>
    <n v="1467"/>
  </r>
  <r>
    <n v="3675"/>
    <x v="0"/>
    <x v="49"/>
    <x v="49"/>
    <x v="7"/>
    <x v="7"/>
    <x v="120"/>
    <n v="82007"/>
    <x v="30"/>
    <x v="30"/>
    <n v="3"/>
    <n v="1000"/>
  </r>
  <r>
    <n v="3676"/>
    <x v="0"/>
    <x v="49"/>
    <x v="49"/>
    <x v="7"/>
    <x v="7"/>
    <x v="45"/>
    <n v="82035"/>
    <x v="67"/>
    <x v="225"/>
    <n v="117"/>
    <n v="1950"/>
  </r>
  <r>
    <n v="3677"/>
    <x v="0"/>
    <x v="49"/>
    <x v="49"/>
    <x v="7"/>
    <x v="7"/>
    <x v="195"/>
    <n v="82042"/>
    <x v="18"/>
    <x v="18"/>
    <n v="250"/>
    <n v="1250"/>
  </r>
  <r>
    <n v="3678"/>
    <x v="0"/>
    <x v="49"/>
    <x v="49"/>
    <x v="7"/>
    <x v="7"/>
    <x v="44"/>
    <n v="82049"/>
    <x v="507"/>
    <x v="12"/>
    <n v="320"/>
    <n v="1067"/>
  </r>
  <r>
    <n v="3679"/>
    <x v="0"/>
    <x v="49"/>
    <x v="49"/>
    <x v="7"/>
    <x v="7"/>
    <x v="197"/>
    <n v="82056"/>
    <x v="29"/>
    <x v="29"/>
    <n v="10"/>
    <n v="1429"/>
  </r>
  <r>
    <n v="3680"/>
    <x v="0"/>
    <x v="49"/>
    <x v="49"/>
    <x v="9"/>
    <x v="9"/>
    <x v="69"/>
    <n v="90035"/>
    <x v="23"/>
    <x v="23"/>
    <n v="110"/>
    <n v="1100"/>
  </r>
  <r>
    <n v="3681"/>
    <x v="0"/>
    <x v="50"/>
    <x v="50"/>
    <x v="1"/>
    <x v="1"/>
    <x v="70"/>
    <n v="14007"/>
    <x v="158"/>
    <x v="163"/>
    <n v="2400"/>
    <n v="600"/>
  </r>
  <r>
    <n v="3682"/>
    <x v="0"/>
    <x v="50"/>
    <x v="50"/>
    <x v="1"/>
    <x v="1"/>
    <x v="143"/>
    <n v="14042"/>
    <x v="367"/>
    <x v="543"/>
    <n v="21000"/>
    <n v="600"/>
  </r>
  <r>
    <n v="3683"/>
    <x v="0"/>
    <x v="50"/>
    <x v="50"/>
    <x v="1"/>
    <x v="1"/>
    <x v="107"/>
    <n v="14056"/>
    <x v="397"/>
    <x v="544"/>
    <n v="42900"/>
    <n v="650"/>
  </r>
  <r>
    <n v="3684"/>
    <x v="0"/>
    <x v="50"/>
    <x v="50"/>
    <x v="1"/>
    <x v="1"/>
    <x v="13"/>
    <n v="14098"/>
    <x v="210"/>
    <x v="443"/>
    <n v="5400"/>
    <n v="600"/>
  </r>
  <r>
    <n v="3685"/>
    <x v="0"/>
    <x v="50"/>
    <x v="50"/>
    <x v="1"/>
    <x v="1"/>
    <x v="9"/>
    <n v="14105"/>
    <x v="58"/>
    <x v="57"/>
    <n v="410"/>
    <n v="586"/>
  </r>
  <r>
    <n v="3686"/>
    <x v="0"/>
    <x v="50"/>
    <x v="50"/>
    <x v="1"/>
    <x v="1"/>
    <x v="8"/>
    <n v="14119"/>
    <x v="508"/>
    <x v="545"/>
    <n v="63240"/>
    <n v="600"/>
  </r>
  <r>
    <n v="3687"/>
    <x v="0"/>
    <x v="50"/>
    <x v="50"/>
    <x v="1"/>
    <x v="1"/>
    <x v="7"/>
    <n v="14147"/>
    <x v="221"/>
    <x v="232"/>
    <n v="13200"/>
    <n v="600"/>
  </r>
  <r>
    <n v="3688"/>
    <x v="0"/>
    <x v="50"/>
    <x v="50"/>
    <x v="1"/>
    <x v="1"/>
    <x v="10"/>
    <n v="14161"/>
    <x v="509"/>
    <x v="546"/>
    <n v="107000"/>
    <n v="594"/>
  </r>
  <r>
    <n v="3689"/>
    <x v="0"/>
    <x v="50"/>
    <x v="50"/>
    <x v="1"/>
    <x v="1"/>
    <x v="90"/>
    <n v="14182"/>
    <x v="159"/>
    <x v="164"/>
    <n v="2450"/>
    <n v="700"/>
  </r>
  <r>
    <n v="3690"/>
    <x v="0"/>
    <x v="50"/>
    <x v="50"/>
    <x v="2"/>
    <x v="2"/>
    <x v="21"/>
    <n v="18007"/>
    <x v="33"/>
    <x v="46"/>
    <n v="2"/>
    <n v="500"/>
  </r>
  <r>
    <n v="3691"/>
    <x v="0"/>
    <x v="50"/>
    <x v="50"/>
    <x v="2"/>
    <x v="2"/>
    <x v="12"/>
    <n v="18021"/>
    <x v="77"/>
    <x v="67"/>
    <n v="6"/>
    <n v="750"/>
  </r>
  <r>
    <n v="3692"/>
    <x v="0"/>
    <x v="50"/>
    <x v="50"/>
    <x v="2"/>
    <x v="2"/>
    <x v="25"/>
    <n v="18035"/>
    <x v="33"/>
    <x v="33"/>
    <n v="4"/>
    <n v="800"/>
  </r>
  <r>
    <n v="3693"/>
    <x v="0"/>
    <x v="50"/>
    <x v="50"/>
    <x v="2"/>
    <x v="2"/>
    <x v="17"/>
    <n v="18042"/>
    <x v="13"/>
    <x v="13"/>
    <n v="9"/>
    <n v="750"/>
  </r>
  <r>
    <n v="3694"/>
    <x v="0"/>
    <x v="50"/>
    <x v="50"/>
    <x v="2"/>
    <x v="2"/>
    <x v="18"/>
    <n v="18049"/>
    <x v="78"/>
    <x v="46"/>
    <n v="2"/>
    <n v="500"/>
  </r>
  <r>
    <n v="3695"/>
    <x v="0"/>
    <x v="50"/>
    <x v="50"/>
    <x v="2"/>
    <x v="2"/>
    <x v="72"/>
    <n v="18063"/>
    <x v="67"/>
    <x v="44"/>
    <n v="60"/>
    <n v="750"/>
  </r>
  <r>
    <n v="3696"/>
    <x v="0"/>
    <x v="50"/>
    <x v="50"/>
    <x v="2"/>
    <x v="2"/>
    <x v="26"/>
    <n v="18070"/>
    <x v="143"/>
    <x v="274"/>
    <n v="49"/>
    <n v="445"/>
  </r>
  <r>
    <n v="3697"/>
    <x v="0"/>
    <x v="50"/>
    <x v="50"/>
    <x v="2"/>
    <x v="2"/>
    <x v="22"/>
    <n v="18084"/>
    <x v="44"/>
    <x v="111"/>
    <n v="38"/>
    <n v="760"/>
  </r>
  <r>
    <n v="3698"/>
    <x v="0"/>
    <x v="50"/>
    <x v="50"/>
    <x v="2"/>
    <x v="2"/>
    <x v="16"/>
    <n v="18091"/>
    <x v="17"/>
    <x v="547"/>
    <n v="137"/>
    <n v="564"/>
  </r>
  <r>
    <n v="3699"/>
    <x v="0"/>
    <x v="50"/>
    <x v="50"/>
    <x v="2"/>
    <x v="2"/>
    <x v="71"/>
    <n v="18098"/>
    <x v="77"/>
    <x v="67"/>
    <n v="6"/>
    <n v="750"/>
  </r>
  <r>
    <n v="3700"/>
    <x v="0"/>
    <x v="50"/>
    <x v="50"/>
    <x v="2"/>
    <x v="2"/>
    <x v="78"/>
    <n v="18105"/>
    <x v="78"/>
    <x v="49"/>
    <n v="4"/>
    <n v="667"/>
  </r>
  <r>
    <n v="3701"/>
    <x v="0"/>
    <x v="50"/>
    <x v="50"/>
    <x v="2"/>
    <x v="2"/>
    <x v="15"/>
    <n v="18112"/>
    <x v="21"/>
    <x v="21"/>
    <n v="102"/>
    <n v="729"/>
  </r>
  <r>
    <n v="3702"/>
    <x v="0"/>
    <x v="50"/>
    <x v="50"/>
    <x v="2"/>
    <x v="2"/>
    <x v="77"/>
    <n v="18119"/>
    <x v="31"/>
    <x v="31"/>
    <n v="11"/>
    <n v="733"/>
  </r>
  <r>
    <n v="3703"/>
    <x v="0"/>
    <x v="50"/>
    <x v="50"/>
    <x v="2"/>
    <x v="2"/>
    <x v="23"/>
    <n v="18126"/>
    <x v="33"/>
    <x v="33"/>
    <n v="4"/>
    <n v="800"/>
  </r>
  <r>
    <n v="3704"/>
    <x v="0"/>
    <x v="50"/>
    <x v="50"/>
    <x v="2"/>
    <x v="2"/>
    <x v="24"/>
    <n v="18140"/>
    <x v="225"/>
    <x v="225"/>
    <n v="45"/>
    <n v="750"/>
  </r>
  <r>
    <n v="3705"/>
    <x v="0"/>
    <x v="50"/>
    <x v="50"/>
    <x v="2"/>
    <x v="2"/>
    <x v="20"/>
    <n v="18147"/>
    <x v="125"/>
    <x v="45"/>
    <n v="28"/>
    <n v="700"/>
  </r>
  <r>
    <n v="3706"/>
    <x v="0"/>
    <x v="50"/>
    <x v="50"/>
    <x v="2"/>
    <x v="2"/>
    <x v="76"/>
    <n v="18154"/>
    <x v="33"/>
    <x v="33"/>
    <n v="4"/>
    <n v="800"/>
  </r>
  <r>
    <n v="3707"/>
    <x v="0"/>
    <x v="50"/>
    <x v="50"/>
    <x v="2"/>
    <x v="2"/>
    <x v="74"/>
    <n v="18161"/>
    <x v="45"/>
    <x v="80"/>
    <n v="15"/>
    <n v="750"/>
  </r>
  <r>
    <n v="3708"/>
    <x v="0"/>
    <x v="50"/>
    <x v="50"/>
    <x v="2"/>
    <x v="2"/>
    <x v="27"/>
    <n v="18168"/>
    <x v="39"/>
    <x v="39"/>
    <n v="34"/>
    <n v="756"/>
  </r>
  <r>
    <n v="3709"/>
    <x v="0"/>
    <x v="50"/>
    <x v="50"/>
    <x v="3"/>
    <x v="3"/>
    <x v="11"/>
    <n v="30008"/>
    <x v="45"/>
    <x v="80"/>
    <n v="10"/>
    <n v="500"/>
  </r>
  <r>
    <n v="3710"/>
    <x v="0"/>
    <x v="50"/>
    <x v="50"/>
    <x v="3"/>
    <x v="3"/>
    <x v="29"/>
    <n v="30015"/>
    <x v="44"/>
    <x v="111"/>
    <n v="25"/>
    <n v="500"/>
  </r>
  <r>
    <n v="3711"/>
    <x v="0"/>
    <x v="50"/>
    <x v="50"/>
    <x v="3"/>
    <x v="3"/>
    <x v="28"/>
    <n v="30028"/>
    <x v="44"/>
    <x v="111"/>
    <n v="25"/>
    <n v="500"/>
  </r>
  <r>
    <n v="3712"/>
    <x v="0"/>
    <x v="50"/>
    <x v="50"/>
    <x v="14"/>
    <x v="14"/>
    <x v="92"/>
    <n v="50042"/>
    <x v="45"/>
    <x v="80"/>
    <n v="12"/>
    <n v="600"/>
  </r>
  <r>
    <n v="3713"/>
    <x v="0"/>
    <x v="50"/>
    <x v="50"/>
    <x v="14"/>
    <x v="14"/>
    <x v="16"/>
    <n v="50056"/>
    <x v="32"/>
    <x v="32"/>
    <n v="6"/>
    <n v="600"/>
  </r>
  <r>
    <n v="3714"/>
    <x v="0"/>
    <x v="50"/>
    <x v="50"/>
    <x v="14"/>
    <x v="14"/>
    <x v="123"/>
    <n v="50084"/>
    <x v="125"/>
    <x v="45"/>
    <n v="24"/>
    <n v="600"/>
  </r>
  <r>
    <n v="3715"/>
    <x v="0"/>
    <x v="50"/>
    <x v="50"/>
    <x v="14"/>
    <x v="14"/>
    <x v="20"/>
    <n v="50098"/>
    <x v="225"/>
    <x v="225"/>
    <n v="36"/>
    <n v="600"/>
  </r>
  <r>
    <n v="3716"/>
    <x v="0"/>
    <x v="50"/>
    <x v="50"/>
    <x v="14"/>
    <x v="14"/>
    <x v="58"/>
    <n v="50112"/>
    <x v="20"/>
    <x v="20"/>
    <n v="92"/>
    <n v="613"/>
  </r>
  <r>
    <n v="3717"/>
    <x v="0"/>
    <x v="50"/>
    <x v="50"/>
    <x v="6"/>
    <x v="6"/>
    <x v="174"/>
    <n v="54119"/>
    <x v="48"/>
    <x v="47"/>
    <n v="1"/>
    <n v="1000"/>
  </r>
  <r>
    <n v="3718"/>
    <x v="0"/>
    <x v="50"/>
    <x v="50"/>
    <x v="6"/>
    <x v="6"/>
    <x v="39"/>
    <n v="54007"/>
    <x v="32"/>
    <x v="33"/>
    <n v="4"/>
    <n v="800"/>
  </r>
  <r>
    <n v="3719"/>
    <x v="0"/>
    <x v="50"/>
    <x v="50"/>
    <x v="6"/>
    <x v="6"/>
    <x v="114"/>
    <n v="54014"/>
    <x v="33"/>
    <x v="30"/>
    <n v="2"/>
    <n v="667"/>
  </r>
  <r>
    <n v="3720"/>
    <x v="0"/>
    <x v="50"/>
    <x v="50"/>
    <x v="6"/>
    <x v="6"/>
    <x v="40"/>
    <n v="54021"/>
    <x v="32"/>
    <x v="49"/>
    <n v="4"/>
    <n v="667"/>
  </r>
  <r>
    <n v="3721"/>
    <x v="0"/>
    <x v="50"/>
    <x v="50"/>
    <x v="6"/>
    <x v="6"/>
    <x v="43"/>
    <n v="54035"/>
    <x v="33"/>
    <x v="30"/>
    <n v="2"/>
    <n v="667"/>
  </r>
  <r>
    <n v="3722"/>
    <x v="0"/>
    <x v="50"/>
    <x v="50"/>
    <x v="6"/>
    <x v="6"/>
    <x v="185"/>
    <n v="54042"/>
    <x v="29"/>
    <x v="33"/>
    <n v="4"/>
    <n v="800"/>
  </r>
  <r>
    <n v="3723"/>
    <x v="0"/>
    <x v="50"/>
    <x v="50"/>
    <x v="6"/>
    <x v="6"/>
    <x v="115"/>
    <n v="54056"/>
    <x v="34"/>
    <x v="34"/>
    <n v="2"/>
    <n v="1000"/>
  </r>
  <r>
    <n v="3724"/>
    <x v="0"/>
    <x v="50"/>
    <x v="50"/>
    <x v="6"/>
    <x v="6"/>
    <x v="183"/>
    <n v="54070"/>
    <x v="29"/>
    <x v="33"/>
    <n v="4"/>
    <n v="800"/>
  </r>
  <r>
    <n v="3725"/>
    <x v="0"/>
    <x v="50"/>
    <x v="50"/>
    <x v="6"/>
    <x v="6"/>
    <x v="88"/>
    <n v="54077"/>
    <x v="33"/>
    <x v="46"/>
    <n v="3"/>
    <n v="750"/>
  </r>
  <r>
    <n v="3726"/>
    <x v="0"/>
    <x v="50"/>
    <x v="50"/>
    <x v="6"/>
    <x v="6"/>
    <x v="182"/>
    <n v="54091"/>
    <x v="78"/>
    <x v="46"/>
    <n v="3"/>
    <n v="750"/>
  </r>
  <r>
    <n v="3727"/>
    <x v="0"/>
    <x v="50"/>
    <x v="50"/>
    <x v="6"/>
    <x v="6"/>
    <x v="42"/>
    <n v="54105"/>
    <x v="34"/>
    <x v="34"/>
    <n v="1"/>
    <n v="500"/>
  </r>
  <r>
    <n v="3728"/>
    <x v="0"/>
    <x v="50"/>
    <x v="50"/>
    <x v="11"/>
    <x v="11"/>
    <x v="171"/>
    <n v="66056"/>
    <x v="19"/>
    <x v="19"/>
    <n v="170"/>
    <n v="1000"/>
  </r>
  <r>
    <n v="3729"/>
    <x v="0"/>
    <x v="50"/>
    <x v="50"/>
    <x v="11"/>
    <x v="11"/>
    <x v="140"/>
    <n v="66126"/>
    <x v="72"/>
    <x v="72"/>
    <n v="30"/>
    <n v="1000"/>
  </r>
  <r>
    <n v="3730"/>
    <x v="0"/>
    <x v="50"/>
    <x v="50"/>
    <x v="13"/>
    <x v="13"/>
    <x v="87"/>
    <n v="74028"/>
    <x v="338"/>
    <x v="337"/>
    <n v="700"/>
    <n v="1094"/>
  </r>
  <r>
    <n v="3731"/>
    <x v="0"/>
    <x v="50"/>
    <x v="50"/>
    <x v="7"/>
    <x v="7"/>
    <x v="119"/>
    <n v="82021"/>
    <x v="45"/>
    <x v="80"/>
    <n v="20"/>
    <n v="1000"/>
  </r>
  <r>
    <n v="3732"/>
    <x v="0"/>
    <x v="50"/>
    <x v="50"/>
    <x v="7"/>
    <x v="7"/>
    <x v="45"/>
    <n v="82035"/>
    <x v="197"/>
    <x v="5"/>
    <n v="40"/>
    <n v="1212"/>
  </r>
  <r>
    <n v="3733"/>
    <x v="0"/>
    <x v="50"/>
    <x v="50"/>
    <x v="7"/>
    <x v="7"/>
    <x v="195"/>
    <n v="82042"/>
    <x v="223"/>
    <x v="151"/>
    <n v="80"/>
    <n v="889"/>
  </r>
  <r>
    <n v="3734"/>
    <x v="0"/>
    <x v="50"/>
    <x v="50"/>
    <x v="7"/>
    <x v="7"/>
    <x v="44"/>
    <n v="82049"/>
    <x v="23"/>
    <x v="23"/>
    <n v="120"/>
    <n v="1200"/>
  </r>
  <r>
    <n v="3735"/>
    <x v="0"/>
    <x v="50"/>
    <x v="50"/>
    <x v="7"/>
    <x v="7"/>
    <x v="197"/>
    <n v="82056"/>
    <x v="31"/>
    <x v="32"/>
    <n v="10"/>
    <n v="1000"/>
  </r>
  <r>
    <n v="3736"/>
    <x v="0"/>
    <x v="50"/>
    <x v="50"/>
    <x v="7"/>
    <x v="7"/>
    <x v="20"/>
    <n v="82126"/>
    <x v="13"/>
    <x v="29"/>
    <n v="10"/>
    <n v="1429"/>
  </r>
  <r>
    <n v="3737"/>
    <x v="0"/>
    <x v="51"/>
    <x v="51"/>
    <x v="0"/>
    <x v="0"/>
    <x v="178"/>
    <n v="22036"/>
    <x v="510"/>
    <x v="548"/>
    <n v="172"/>
    <n v="513"/>
  </r>
  <r>
    <n v="3738"/>
    <x v="0"/>
    <x v="51"/>
    <x v="51"/>
    <x v="0"/>
    <x v="0"/>
    <x v="174"/>
    <n v="22168"/>
    <x v="31"/>
    <x v="31"/>
    <n v="7"/>
    <n v="467"/>
  </r>
  <r>
    <n v="3739"/>
    <x v="0"/>
    <x v="51"/>
    <x v="51"/>
    <x v="0"/>
    <x v="0"/>
    <x v="180"/>
    <n v="22021"/>
    <x v="72"/>
    <x v="72"/>
    <n v="15"/>
    <n v="500"/>
  </r>
  <r>
    <n v="3740"/>
    <x v="0"/>
    <x v="51"/>
    <x v="51"/>
    <x v="0"/>
    <x v="0"/>
    <x v="179"/>
    <n v="22043"/>
    <x v="44"/>
    <x v="111"/>
    <n v="27"/>
    <n v="540"/>
  </r>
  <r>
    <n v="3741"/>
    <x v="0"/>
    <x v="51"/>
    <x v="51"/>
    <x v="0"/>
    <x v="0"/>
    <x v="142"/>
    <n v="22049"/>
    <x v="72"/>
    <x v="72"/>
    <n v="15"/>
    <n v="500"/>
  </r>
  <r>
    <n v="3742"/>
    <x v="0"/>
    <x v="51"/>
    <x v="51"/>
    <x v="0"/>
    <x v="0"/>
    <x v="190"/>
    <n v="22070"/>
    <x v="45"/>
    <x v="80"/>
    <n v="10"/>
    <n v="500"/>
  </r>
  <r>
    <n v="3743"/>
    <x v="0"/>
    <x v="51"/>
    <x v="51"/>
    <x v="0"/>
    <x v="0"/>
    <x v="88"/>
    <n v="22084"/>
    <x v="12"/>
    <x v="12"/>
    <n v="144"/>
    <n v="480"/>
  </r>
  <r>
    <n v="3744"/>
    <x v="0"/>
    <x v="51"/>
    <x v="51"/>
    <x v="0"/>
    <x v="0"/>
    <x v="173"/>
    <n v="22133"/>
    <x v="45"/>
    <x v="80"/>
    <n v="10"/>
    <n v="500"/>
  </r>
  <r>
    <n v="3745"/>
    <x v="0"/>
    <x v="51"/>
    <x v="51"/>
    <x v="1"/>
    <x v="1"/>
    <x v="70"/>
    <n v="14007"/>
    <x v="54"/>
    <x v="53"/>
    <n v="12000"/>
    <n v="1200"/>
  </r>
  <r>
    <n v="3746"/>
    <x v="0"/>
    <x v="51"/>
    <x v="51"/>
    <x v="1"/>
    <x v="1"/>
    <x v="135"/>
    <n v="14028"/>
    <x v="14"/>
    <x v="14"/>
    <n v="600"/>
    <n v="1200"/>
  </r>
  <r>
    <n v="3747"/>
    <x v="0"/>
    <x v="51"/>
    <x v="51"/>
    <x v="1"/>
    <x v="1"/>
    <x v="143"/>
    <n v="14042"/>
    <x v="380"/>
    <x v="349"/>
    <n v="38000"/>
    <n v="1188"/>
  </r>
  <r>
    <n v="3748"/>
    <x v="0"/>
    <x v="51"/>
    <x v="51"/>
    <x v="1"/>
    <x v="1"/>
    <x v="107"/>
    <n v="14056"/>
    <x v="511"/>
    <x v="549"/>
    <n v="98000"/>
    <n v="1210"/>
  </r>
  <r>
    <n v="3749"/>
    <x v="0"/>
    <x v="51"/>
    <x v="51"/>
    <x v="1"/>
    <x v="1"/>
    <x v="13"/>
    <n v="14098"/>
    <x v="460"/>
    <x v="550"/>
    <n v="34000"/>
    <n v="1214"/>
  </r>
  <r>
    <n v="3750"/>
    <x v="0"/>
    <x v="51"/>
    <x v="51"/>
    <x v="1"/>
    <x v="1"/>
    <x v="9"/>
    <n v="14105"/>
    <x v="74"/>
    <x v="128"/>
    <n v="2400"/>
    <n v="1200"/>
  </r>
  <r>
    <n v="3751"/>
    <x v="0"/>
    <x v="51"/>
    <x v="51"/>
    <x v="1"/>
    <x v="1"/>
    <x v="8"/>
    <n v="14119"/>
    <x v="512"/>
    <x v="551"/>
    <n v="95900"/>
    <n v="1170"/>
  </r>
  <r>
    <n v="3752"/>
    <x v="0"/>
    <x v="51"/>
    <x v="51"/>
    <x v="1"/>
    <x v="1"/>
    <x v="46"/>
    <n v="14140"/>
    <x v="14"/>
    <x v="14"/>
    <n v="600"/>
    <n v="1200"/>
  </r>
  <r>
    <n v="3753"/>
    <x v="0"/>
    <x v="51"/>
    <x v="51"/>
    <x v="1"/>
    <x v="1"/>
    <x v="7"/>
    <n v="14147"/>
    <x v="156"/>
    <x v="161"/>
    <n v="19000"/>
    <n v="1188"/>
  </r>
  <r>
    <n v="3754"/>
    <x v="0"/>
    <x v="51"/>
    <x v="51"/>
    <x v="1"/>
    <x v="1"/>
    <x v="10"/>
    <n v="14161"/>
    <x v="513"/>
    <x v="552"/>
    <n v="150000"/>
    <n v="1220"/>
  </r>
  <r>
    <n v="3755"/>
    <x v="0"/>
    <x v="51"/>
    <x v="51"/>
    <x v="1"/>
    <x v="1"/>
    <x v="90"/>
    <n v="14182"/>
    <x v="315"/>
    <x v="291"/>
    <n v="10000"/>
    <n v="1250"/>
  </r>
  <r>
    <n v="3756"/>
    <x v="0"/>
    <x v="51"/>
    <x v="51"/>
    <x v="2"/>
    <x v="2"/>
    <x v="21"/>
    <n v="18007"/>
    <x v="29"/>
    <x v="29"/>
    <n v="7"/>
    <n v="1000"/>
  </r>
  <r>
    <n v="3757"/>
    <x v="0"/>
    <x v="51"/>
    <x v="51"/>
    <x v="2"/>
    <x v="2"/>
    <x v="12"/>
    <n v="18021"/>
    <x v="77"/>
    <x v="29"/>
    <n v="4"/>
    <n v="571"/>
  </r>
  <r>
    <n v="3758"/>
    <x v="0"/>
    <x v="51"/>
    <x v="51"/>
    <x v="2"/>
    <x v="2"/>
    <x v="25"/>
    <n v="18035"/>
    <x v="78"/>
    <x v="49"/>
    <n v="4"/>
    <n v="667"/>
  </r>
  <r>
    <n v="3759"/>
    <x v="0"/>
    <x v="51"/>
    <x v="51"/>
    <x v="2"/>
    <x v="2"/>
    <x v="17"/>
    <n v="18042"/>
    <x v="170"/>
    <x v="13"/>
    <n v="9"/>
    <n v="750"/>
  </r>
  <r>
    <n v="3760"/>
    <x v="0"/>
    <x v="51"/>
    <x v="51"/>
    <x v="2"/>
    <x v="2"/>
    <x v="18"/>
    <n v="18049"/>
    <x v="29"/>
    <x v="33"/>
    <n v="3"/>
    <n v="600"/>
  </r>
  <r>
    <n v="3761"/>
    <x v="0"/>
    <x v="51"/>
    <x v="51"/>
    <x v="2"/>
    <x v="2"/>
    <x v="72"/>
    <n v="18063"/>
    <x v="67"/>
    <x v="38"/>
    <n v="36"/>
    <n v="655"/>
  </r>
  <r>
    <n v="3762"/>
    <x v="0"/>
    <x v="51"/>
    <x v="51"/>
    <x v="2"/>
    <x v="2"/>
    <x v="26"/>
    <n v="18070"/>
    <x v="72"/>
    <x v="78"/>
    <n v="18"/>
    <n v="720"/>
  </r>
  <r>
    <n v="3763"/>
    <x v="0"/>
    <x v="51"/>
    <x v="51"/>
    <x v="2"/>
    <x v="2"/>
    <x v="22"/>
    <n v="18084"/>
    <x v="125"/>
    <x v="102"/>
    <n v="20"/>
    <n v="625"/>
  </r>
  <r>
    <n v="3764"/>
    <x v="0"/>
    <x v="51"/>
    <x v="51"/>
    <x v="2"/>
    <x v="2"/>
    <x v="16"/>
    <n v="18091"/>
    <x v="44"/>
    <x v="28"/>
    <n v="28"/>
    <n v="636"/>
  </r>
  <r>
    <n v="3765"/>
    <x v="0"/>
    <x v="51"/>
    <x v="51"/>
    <x v="2"/>
    <x v="2"/>
    <x v="71"/>
    <n v="18098"/>
    <x v="29"/>
    <x v="49"/>
    <n v="3"/>
    <n v="500"/>
  </r>
  <r>
    <n v="3766"/>
    <x v="0"/>
    <x v="51"/>
    <x v="51"/>
    <x v="2"/>
    <x v="2"/>
    <x v="78"/>
    <n v="18105"/>
    <x v="33"/>
    <x v="33"/>
    <n v="3"/>
    <n v="600"/>
  </r>
  <r>
    <n v="3767"/>
    <x v="0"/>
    <x v="51"/>
    <x v="51"/>
    <x v="2"/>
    <x v="2"/>
    <x v="15"/>
    <n v="18112"/>
    <x v="123"/>
    <x v="156"/>
    <n v="124"/>
    <n v="1078"/>
  </r>
  <r>
    <n v="3768"/>
    <x v="0"/>
    <x v="51"/>
    <x v="51"/>
    <x v="2"/>
    <x v="2"/>
    <x v="77"/>
    <n v="18119"/>
    <x v="13"/>
    <x v="32"/>
    <n v="9"/>
    <n v="900"/>
  </r>
  <r>
    <n v="3769"/>
    <x v="0"/>
    <x v="51"/>
    <x v="51"/>
    <x v="2"/>
    <x v="2"/>
    <x v="23"/>
    <n v="18126"/>
    <x v="78"/>
    <x v="49"/>
    <n v="5"/>
    <n v="833"/>
  </r>
  <r>
    <n v="3770"/>
    <x v="0"/>
    <x v="51"/>
    <x v="51"/>
    <x v="2"/>
    <x v="2"/>
    <x v="24"/>
    <n v="18140"/>
    <x v="44"/>
    <x v="106"/>
    <n v="30"/>
    <n v="714"/>
  </r>
  <r>
    <n v="3771"/>
    <x v="0"/>
    <x v="51"/>
    <x v="51"/>
    <x v="2"/>
    <x v="2"/>
    <x v="20"/>
    <n v="18147"/>
    <x v="131"/>
    <x v="72"/>
    <n v="19"/>
    <n v="633"/>
  </r>
  <r>
    <n v="3772"/>
    <x v="0"/>
    <x v="51"/>
    <x v="51"/>
    <x v="2"/>
    <x v="2"/>
    <x v="76"/>
    <n v="18154"/>
    <x v="78"/>
    <x v="49"/>
    <n v="6"/>
    <n v="1000"/>
  </r>
  <r>
    <n v="3773"/>
    <x v="0"/>
    <x v="51"/>
    <x v="51"/>
    <x v="2"/>
    <x v="2"/>
    <x v="74"/>
    <n v="18161"/>
    <x v="94"/>
    <x v="80"/>
    <n v="15"/>
    <n v="750"/>
  </r>
  <r>
    <n v="3774"/>
    <x v="0"/>
    <x v="51"/>
    <x v="51"/>
    <x v="2"/>
    <x v="2"/>
    <x v="27"/>
    <n v="18168"/>
    <x v="131"/>
    <x v="157"/>
    <n v="17"/>
    <n v="630"/>
  </r>
  <r>
    <n v="3775"/>
    <x v="0"/>
    <x v="51"/>
    <x v="51"/>
    <x v="3"/>
    <x v="3"/>
    <x v="11"/>
    <n v="30008"/>
    <x v="32"/>
    <x v="32"/>
    <n v="5"/>
    <n v="500"/>
  </r>
  <r>
    <n v="3776"/>
    <x v="0"/>
    <x v="51"/>
    <x v="51"/>
    <x v="3"/>
    <x v="3"/>
    <x v="29"/>
    <n v="30015"/>
    <x v="45"/>
    <x v="80"/>
    <n v="10"/>
    <n v="500"/>
  </r>
  <r>
    <n v="3777"/>
    <x v="0"/>
    <x v="51"/>
    <x v="51"/>
    <x v="3"/>
    <x v="3"/>
    <x v="28"/>
    <n v="30028"/>
    <x v="45"/>
    <x v="80"/>
    <n v="10"/>
    <n v="500"/>
  </r>
  <r>
    <n v="3778"/>
    <x v="0"/>
    <x v="51"/>
    <x v="51"/>
    <x v="4"/>
    <x v="4"/>
    <x v="34"/>
    <n v="34035"/>
    <x v="18"/>
    <x v="20"/>
    <n v="100"/>
    <n v="667"/>
  </r>
  <r>
    <n v="3779"/>
    <x v="0"/>
    <x v="51"/>
    <x v="51"/>
    <x v="5"/>
    <x v="5"/>
    <x v="194"/>
    <n v="38070"/>
    <x v="123"/>
    <x v="131"/>
    <n v="120"/>
    <n v="1000"/>
  </r>
  <r>
    <n v="3780"/>
    <x v="0"/>
    <x v="51"/>
    <x v="51"/>
    <x v="14"/>
    <x v="14"/>
    <x v="105"/>
    <n v="50014"/>
    <x v="72"/>
    <x v="31"/>
    <n v="16"/>
    <n v="1067"/>
  </r>
  <r>
    <n v="3781"/>
    <x v="0"/>
    <x v="51"/>
    <x v="51"/>
    <x v="14"/>
    <x v="14"/>
    <x v="198"/>
    <n v="50028"/>
    <x v="32"/>
    <x v="32"/>
    <n v="10"/>
    <n v="1000"/>
  </r>
  <r>
    <n v="3782"/>
    <x v="0"/>
    <x v="51"/>
    <x v="51"/>
    <x v="14"/>
    <x v="14"/>
    <x v="95"/>
    <n v="50035"/>
    <x v="33"/>
    <x v="34"/>
    <n v="2"/>
    <n v="1000"/>
  </r>
  <r>
    <n v="3783"/>
    <x v="0"/>
    <x v="51"/>
    <x v="51"/>
    <x v="14"/>
    <x v="14"/>
    <x v="199"/>
    <n v="50091"/>
    <x v="127"/>
    <x v="72"/>
    <n v="31"/>
    <n v="1033"/>
  </r>
  <r>
    <n v="3784"/>
    <x v="0"/>
    <x v="51"/>
    <x v="51"/>
    <x v="14"/>
    <x v="14"/>
    <x v="20"/>
    <n v="50098"/>
    <x v="125"/>
    <x v="32"/>
    <n v="10"/>
    <n v="1000"/>
  </r>
  <r>
    <n v="3785"/>
    <x v="0"/>
    <x v="51"/>
    <x v="51"/>
    <x v="14"/>
    <x v="14"/>
    <x v="104"/>
    <n v="50105"/>
    <x v="44"/>
    <x v="78"/>
    <n v="29"/>
    <n v="1160"/>
  </r>
  <r>
    <n v="3786"/>
    <x v="0"/>
    <x v="51"/>
    <x v="51"/>
    <x v="14"/>
    <x v="14"/>
    <x v="58"/>
    <n v="50112"/>
    <x v="223"/>
    <x v="182"/>
    <n v="30"/>
    <n v="1154"/>
  </r>
  <r>
    <n v="3787"/>
    <x v="0"/>
    <x v="51"/>
    <x v="51"/>
    <x v="14"/>
    <x v="14"/>
    <x v="200"/>
    <n v="50126"/>
    <x v="33"/>
    <x v="34"/>
    <n v="2"/>
    <n v="1000"/>
  </r>
  <r>
    <n v="3788"/>
    <x v="0"/>
    <x v="51"/>
    <x v="51"/>
    <x v="6"/>
    <x v="6"/>
    <x v="39"/>
    <n v="54007"/>
    <x v="13"/>
    <x v="32"/>
    <n v="4"/>
    <n v="400"/>
  </r>
  <r>
    <n v="3789"/>
    <x v="0"/>
    <x v="51"/>
    <x v="51"/>
    <x v="6"/>
    <x v="6"/>
    <x v="114"/>
    <n v="54014"/>
    <x v="47"/>
    <x v="30"/>
    <n v="1"/>
    <n v="333"/>
  </r>
  <r>
    <n v="3790"/>
    <x v="0"/>
    <x v="51"/>
    <x v="51"/>
    <x v="6"/>
    <x v="6"/>
    <x v="40"/>
    <n v="54021"/>
    <x v="53"/>
    <x v="67"/>
    <n v="3"/>
    <n v="375"/>
  </r>
  <r>
    <n v="3791"/>
    <x v="0"/>
    <x v="51"/>
    <x v="51"/>
    <x v="6"/>
    <x v="6"/>
    <x v="43"/>
    <n v="54035"/>
    <x v="33"/>
    <x v="33"/>
    <n v="2"/>
    <n v="400"/>
  </r>
  <r>
    <n v="3792"/>
    <x v="0"/>
    <x v="51"/>
    <x v="51"/>
    <x v="6"/>
    <x v="6"/>
    <x v="185"/>
    <n v="54042"/>
    <x v="50"/>
    <x v="32"/>
    <n v="4"/>
    <n v="400"/>
  </r>
  <r>
    <n v="3793"/>
    <x v="0"/>
    <x v="51"/>
    <x v="51"/>
    <x v="6"/>
    <x v="6"/>
    <x v="115"/>
    <n v="54056"/>
    <x v="34"/>
    <x v="34"/>
    <n v="1"/>
    <n v="500"/>
  </r>
  <r>
    <n v="3794"/>
    <x v="0"/>
    <x v="51"/>
    <x v="51"/>
    <x v="6"/>
    <x v="6"/>
    <x v="183"/>
    <n v="54070"/>
    <x v="77"/>
    <x v="29"/>
    <n v="3"/>
    <n v="429"/>
  </r>
  <r>
    <n v="3795"/>
    <x v="0"/>
    <x v="51"/>
    <x v="51"/>
    <x v="6"/>
    <x v="6"/>
    <x v="88"/>
    <n v="54077"/>
    <x v="33"/>
    <x v="46"/>
    <n v="2"/>
    <n v="500"/>
  </r>
  <r>
    <n v="3796"/>
    <x v="0"/>
    <x v="51"/>
    <x v="51"/>
    <x v="6"/>
    <x v="6"/>
    <x v="184"/>
    <n v="54084"/>
    <x v="29"/>
    <x v="49"/>
    <n v="3"/>
    <n v="500"/>
  </r>
  <r>
    <n v="3797"/>
    <x v="0"/>
    <x v="51"/>
    <x v="51"/>
    <x v="6"/>
    <x v="6"/>
    <x v="182"/>
    <n v="54091"/>
    <x v="47"/>
    <x v="30"/>
    <n v="1"/>
    <n v="333"/>
  </r>
  <r>
    <n v="3798"/>
    <x v="0"/>
    <x v="51"/>
    <x v="51"/>
    <x v="6"/>
    <x v="6"/>
    <x v="41"/>
    <n v="54098"/>
    <x v="34"/>
    <x v="34"/>
    <n v="1"/>
    <n v="500"/>
  </r>
  <r>
    <n v="3799"/>
    <x v="0"/>
    <x v="51"/>
    <x v="51"/>
    <x v="6"/>
    <x v="6"/>
    <x v="37"/>
    <n v="54112"/>
    <x v="48"/>
    <x v="512"/>
    <n v="0"/>
    <n v="0"/>
  </r>
  <r>
    <n v="3800"/>
    <x v="0"/>
    <x v="51"/>
    <x v="51"/>
    <x v="11"/>
    <x v="11"/>
    <x v="117"/>
    <n v="66007"/>
    <x v="232"/>
    <x v="433"/>
    <n v="1600"/>
    <n v="1143"/>
  </r>
  <r>
    <n v="3801"/>
    <x v="0"/>
    <x v="51"/>
    <x v="51"/>
    <x v="11"/>
    <x v="11"/>
    <x v="171"/>
    <n v="66056"/>
    <x v="514"/>
    <x v="553"/>
    <n v="2530"/>
    <n v="1216"/>
  </r>
  <r>
    <n v="3802"/>
    <x v="0"/>
    <x v="51"/>
    <x v="51"/>
    <x v="11"/>
    <x v="11"/>
    <x v="201"/>
    <n v="66098"/>
    <x v="45"/>
    <x v="80"/>
    <n v="20"/>
    <n v="1000"/>
  </r>
  <r>
    <n v="3803"/>
    <x v="0"/>
    <x v="51"/>
    <x v="51"/>
    <x v="11"/>
    <x v="11"/>
    <x v="106"/>
    <n v="66112"/>
    <x v="18"/>
    <x v="18"/>
    <n v="230"/>
    <n v="1150"/>
  </r>
  <r>
    <n v="3804"/>
    <x v="0"/>
    <x v="51"/>
    <x v="51"/>
    <x v="11"/>
    <x v="11"/>
    <x v="140"/>
    <n v="66126"/>
    <x v="10"/>
    <x v="10"/>
    <n v="1250"/>
    <n v="1136"/>
  </r>
  <r>
    <n v="3805"/>
    <x v="0"/>
    <x v="51"/>
    <x v="51"/>
    <x v="11"/>
    <x v="11"/>
    <x v="146"/>
    <n v="66140"/>
    <x v="14"/>
    <x v="14"/>
    <n v="570"/>
    <n v="1140"/>
  </r>
  <r>
    <n v="3806"/>
    <x v="0"/>
    <x v="51"/>
    <x v="51"/>
    <x v="13"/>
    <x v="13"/>
    <x v="87"/>
    <n v="74028"/>
    <x v="74"/>
    <x v="128"/>
    <n v="1700"/>
    <n v="850"/>
  </r>
  <r>
    <n v="3807"/>
    <x v="0"/>
    <x v="51"/>
    <x v="51"/>
    <x v="7"/>
    <x v="7"/>
    <x v="119"/>
    <n v="82021"/>
    <x v="45"/>
    <x v="31"/>
    <n v="13"/>
    <n v="867"/>
  </r>
  <r>
    <n v="3808"/>
    <x v="0"/>
    <x v="51"/>
    <x v="51"/>
    <x v="7"/>
    <x v="7"/>
    <x v="45"/>
    <n v="82035"/>
    <x v="61"/>
    <x v="70"/>
    <n v="154"/>
    <n v="1141"/>
  </r>
  <r>
    <n v="3809"/>
    <x v="0"/>
    <x v="51"/>
    <x v="51"/>
    <x v="7"/>
    <x v="7"/>
    <x v="195"/>
    <n v="82042"/>
    <x v="20"/>
    <x v="131"/>
    <n v="140"/>
    <n v="1167"/>
  </r>
  <r>
    <n v="3810"/>
    <x v="0"/>
    <x v="51"/>
    <x v="51"/>
    <x v="7"/>
    <x v="7"/>
    <x v="44"/>
    <n v="82049"/>
    <x v="20"/>
    <x v="20"/>
    <n v="113"/>
    <n v="753"/>
  </r>
  <r>
    <n v="3811"/>
    <x v="0"/>
    <x v="51"/>
    <x v="51"/>
    <x v="7"/>
    <x v="7"/>
    <x v="197"/>
    <n v="82056"/>
    <x v="45"/>
    <x v="32"/>
    <n v="10"/>
    <n v="1000"/>
  </r>
  <r>
    <n v="3812"/>
    <x v="0"/>
    <x v="51"/>
    <x v="51"/>
    <x v="7"/>
    <x v="7"/>
    <x v="20"/>
    <n v="82126"/>
    <x v="32"/>
    <x v="32"/>
    <n v="10"/>
    <n v="1000"/>
  </r>
  <r>
    <n v="3813"/>
    <x v="0"/>
    <x v="52"/>
    <x v="52"/>
    <x v="10"/>
    <x v="10"/>
    <x v="202"/>
    <n v="10042"/>
    <x v="61"/>
    <x v="61"/>
    <n v="233"/>
    <n v="932"/>
  </r>
  <r>
    <n v="3814"/>
    <x v="0"/>
    <x v="52"/>
    <x v="52"/>
    <x v="10"/>
    <x v="10"/>
    <x v="59"/>
    <n v="10063"/>
    <x v="45"/>
    <x v="80"/>
    <n v="19"/>
    <n v="950"/>
  </r>
  <r>
    <n v="3815"/>
    <x v="0"/>
    <x v="52"/>
    <x v="52"/>
    <x v="10"/>
    <x v="10"/>
    <x v="58"/>
    <n v="10098"/>
    <x v="72"/>
    <x v="72"/>
    <n v="28"/>
    <n v="933"/>
  </r>
  <r>
    <n v="3816"/>
    <x v="0"/>
    <x v="52"/>
    <x v="52"/>
    <x v="0"/>
    <x v="0"/>
    <x v="178"/>
    <n v="22036"/>
    <x v="18"/>
    <x v="18"/>
    <n v="140"/>
    <n v="700"/>
  </r>
  <r>
    <n v="3817"/>
    <x v="0"/>
    <x v="52"/>
    <x v="52"/>
    <x v="0"/>
    <x v="0"/>
    <x v="188"/>
    <n v="22007"/>
    <x v="127"/>
    <x v="134"/>
    <n v="50"/>
    <n v="714"/>
  </r>
  <r>
    <n v="3818"/>
    <x v="0"/>
    <x v="52"/>
    <x v="52"/>
    <x v="0"/>
    <x v="0"/>
    <x v="87"/>
    <n v="22028"/>
    <x v="44"/>
    <x v="111"/>
    <n v="40"/>
    <n v="800"/>
  </r>
  <r>
    <n v="3819"/>
    <x v="0"/>
    <x v="52"/>
    <x v="52"/>
    <x v="0"/>
    <x v="0"/>
    <x v="179"/>
    <n v="22043"/>
    <x v="127"/>
    <x v="134"/>
    <n v="60"/>
    <n v="857"/>
  </r>
  <r>
    <n v="3820"/>
    <x v="0"/>
    <x v="52"/>
    <x v="52"/>
    <x v="0"/>
    <x v="0"/>
    <x v="142"/>
    <n v="22049"/>
    <x v="21"/>
    <x v="21"/>
    <n v="120"/>
    <n v="857"/>
  </r>
  <r>
    <n v="3821"/>
    <x v="0"/>
    <x v="52"/>
    <x v="52"/>
    <x v="0"/>
    <x v="0"/>
    <x v="176"/>
    <n v="22063"/>
    <x v="303"/>
    <x v="380"/>
    <n v="310"/>
    <n v="816"/>
  </r>
  <r>
    <n v="3822"/>
    <x v="0"/>
    <x v="52"/>
    <x v="52"/>
    <x v="0"/>
    <x v="0"/>
    <x v="190"/>
    <n v="22070"/>
    <x v="72"/>
    <x v="72"/>
    <n v="30"/>
    <n v="1000"/>
  </r>
  <r>
    <n v="3823"/>
    <x v="0"/>
    <x v="52"/>
    <x v="52"/>
    <x v="0"/>
    <x v="0"/>
    <x v="177"/>
    <n v="22091"/>
    <x v="225"/>
    <x v="225"/>
    <n v="40"/>
    <n v="667"/>
  </r>
  <r>
    <n v="3824"/>
    <x v="0"/>
    <x v="52"/>
    <x v="52"/>
    <x v="1"/>
    <x v="1"/>
    <x v="70"/>
    <n v="14007"/>
    <x v="226"/>
    <x v="162"/>
    <n v="4500"/>
    <n v="900"/>
  </r>
  <r>
    <n v="3825"/>
    <x v="0"/>
    <x v="52"/>
    <x v="52"/>
    <x v="1"/>
    <x v="1"/>
    <x v="135"/>
    <n v="14028"/>
    <x v="23"/>
    <x v="23"/>
    <n v="80"/>
    <n v="800"/>
  </r>
  <r>
    <n v="3826"/>
    <x v="0"/>
    <x v="52"/>
    <x v="52"/>
    <x v="1"/>
    <x v="1"/>
    <x v="143"/>
    <n v="14042"/>
    <x v="387"/>
    <x v="456"/>
    <n v="12000"/>
    <n v="600"/>
  </r>
  <r>
    <n v="3827"/>
    <x v="0"/>
    <x v="52"/>
    <x v="52"/>
    <x v="1"/>
    <x v="1"/>
    <x v="107"/>
    <n v="14056"/>
    <x v="365"/>
    <x v="430"/>
    <n v="42000"/>
    <n v="700"/>
  </r>
  <r>
    <n v="3828"/>
    <x v="0"/>
    <x v="52"/>
    <x v="52"/>
    <x v="1"/>
    <x v="1"/>
    <x v="13"/>
    <n v="14098"/>
    <x v="466"/>
    <x v="420"/>
    <n v="17000"/>
    <n v="708"/>
  </r>
  <r>
    <n v="3829"/>
    <x v="0"/>
    <x v="52"/>
    <x v="52"/>
    <x v="1"/>
    <x v="1"/>
    <x v="9"/>
    <n v="14105"/>
    <x v="81"/>
    <x v="83"/>
    <n v="1700"/>
    <n v="1133"/>
  </r>
  <r>
    <n v="3830"/>
    <x v="0"/>
    <x v="52"/>
    <x v="52"/>
    <x v="1"/>
    <x v="1"/>
    <x v="8"/>
    <n v="14119"/>
    <x v="365"/>
    <x v="554"/>
    <n v="47000"/>
    <n v="810"/>
  </r>
  <r>
    <n v="3831"/>
    <x v="0"/>
    <x v="52"/>
    <x v="52"/>
    <x v="1"/>
    <x v="1"/>
    <x v="46"/>
    <n v="14140"/>
    <x v="14"/>
    <x v="14"/>
    <n v="320"/>
    <n v="640"/>
  </r>
  <r>
    <n v="3832"/>
    <x v="0"/>
    <x v="52"/>
    <x v="52"/>
    <x v="1"/>
    <x v="1"/>
    <x v="7"/>
    <n v="14147"/>
    <x v="156"/>
    <x v="161"/>
    <n v="16000"/>
    <n v="1000"/>
  </r>
  <r>
    <n v="3833"/>
    <x v="0"/>
    <x v="52"/>
    <x v="52"/>
    <x v="1"/>
    <x v="1"/>
    <x v="10"/>
    <n v="14161"/>
    <x v="515"/>
    <x v="555"/>
    <n v="61000"/>
    <n v="700"/>
  </r>
  <r>
    <n v="3834"/>
    <x v="0"/>
    <x v="52"/>
    <x v="52"/>
    <x v="1"/>
    <x v="1"/>
    <x v="90"/>
    <n v="14182"/>
    <x v="516"/>
    <x v="364"/>
    <n v="1400"/>
    <n v="500"/>
  </r>
  <r>
    <n v="3835"/>
    <x v="0"/>
    <x v="52"/>
    <x v="52"/>
    <x v="2"/>
    <x v="2"/>
    <x v="21"/>
    <n v="18007"/>
    <x v="224"/>
    <x v="151"/>
    <n v="37"/>
    <n v="411"/>
  </r>
  <r>
    <n v="3836"/>
    <x v="0"/>
    <x v="52"/>
    <x v="52"/>
    <x v="2"/>
    <x v="2"/>
    <x v="12"/>
    <n v="18021"/>
    <x v="32"/>
    <x v="32"/>
    <n v="4"/>
    <n v="400"/>
  </r>
  <r>
    <n v="3837"/>
    <x v="0"/>
    <x v="52"/>
    <x v="52"/>
    <x v="2"/>
    <x v="2"/>
    <x v="25"/>
    <n v="18035"/>
    <x v="33"/>
    <x v="46"/>
    <n v="2"/>
    <n v="500"/>
  </r>
  <r>
    <n v="3838"/>
    <x v="0"/>
    <x v="52"/>
    <x v="52"/>
    <x v="2"/>
    <x v="2"/>
    <x v="17"/>
    <n v="18042"/>
    <x v="31"/>
    <x v="77"/>
    <n v="8"/>
    <n v="571"/>
  </r>
  <r>
    <n v="3839"/>
    <x v="0"/>
    <x v="52"/>
    <x v="52"/>
    <x v="2"/>
    <x v="2"/>
    <x v="18"/>
    <n v="18049"/>
    <x v="32"/>
    <x v="67"/>
    <n v="3"/>
    <n v="375"/>
  </r>
  <r>
    <n v="3840"/>
    <x v="0"/>
    <x v="52"/>
    <x v="52"/>
    <x v="2"/>
    <x v="2"/>
    <x v="72"/>
    <n v="18063"/>
    <x v="127"/>
    <x v="27"/>
    <n v="23"/>
    <n v="354"/>
  </r>
  <r>
    <n v="3841"/>
    <x v="0"/>
    <x v="52"/>
    <x v="52"/>
    <x v="2"/>
    <x v="2"/>
    <x v="26"/>
    <n v="18070"/>
    <x v="92"/>
    <x v="40"/>
    <n v="8"/>
    <n v="381"/>
  </r>
  <r>
    <n v="3842"/>
    <x v="0"/>
    <x v="52"/>
    <x v="52"/>
    <x v="2"/>
    <x v="2"/>
    <x v="22"/>
    <n v="18084"/>
    <x v="125"/>
    <x v="454"/>
    <n v="15"/>
    <n v="395"/>
  </r>
  <r>
    <n v="3843"/>
    <x v="0"/>
    <x v="52"/>
    <x v="52"/>
    <x v="2"/>
    <x v="2"/>
    <x v="16"/>
    <n v="18091"/>
    <x v="125"/>
    <x v="139"/>
    <n v="13"/>
    <n v="371"/>
  </r>
  <r>
    <n v="3844"/>
    <x v="0"/>
    <x v="52"/>
    <x v="52"/>
    <x v="2"/>
    <x v="2"/>
    <x v="71"/>
    <n v="18098"/>
    <x v="32"/>
    <x v="32"/>
    <n v="4"/>
    <n v="400"/>
  </r>
  <r>
    <n v="3845"/>
    <x v="0"/>
    <x v="52"/>
    <x v="52"/>
    <x v="2"/>
    <x v="2"/>
    <x v="78"/>
    <n v="18105"/>
    <x v="78"/>
    <x v="49"/>
    <n v="2"/>
    <n v="333"/>
  </r>
  <r>
    <n v="3846"/>
    <x v="0"/>
    <x v="52"/>
    <x v="52"/>
    <x v="2"/>
    <x v="2"/>
    <x v="15"/>
    <n v="18112"/>
    <x v="23"/>
    <x v="197"/>
    <n v="30"/>
    <n v="316"/>
  </r>
  <r>
    <n v="3847"/>
    <x v="0"/>
    <x v="52"/>
    <x v="52"/>
    <x v="2"/>
    <x v="2"/>
    <x v="77"/>
    <n v="18119"/>
    <x v="31"/>
    <x v="31"/>
    <n v="7"/>
    <n v="467"/>
  </r>
  <r>
    <n v="3848"/>
    <x v="0"/>
    <x v="52"/>
    <x v="52"/>
    <x v="2"/>
    <x v="2"/>
    <x v="23"/>
    <n v="18126"/>
    <x v="29"/>
    <x v="29"/>
    <n v="4"/>
    <n v="571"/>
  </r>
  <r>
    <n v="3849"/>
    <x v="0"/>
    <x v="52"/>
    <x v="52"/>
    <x v="2"/>
    <x v="2"/>
    <x v="24"/>
    <n v="18140"/>
    <x v="38"/>
    <x v="111"/>
    <n v="18"/>
    <n v="360"/>
  </r>
  <r>
    <n v="3850"/>
    <x v="0"/>
    <x v="52"/>
    <x v="52"/>
    <x v="2"/>
    <x v="2"/>
    <x v="20"/>
    <n v="18147"/>
    <x v="72"/>
    <x v="157"/>
    <n v="10"/>
    <n v="370"/>
  </r>
  <r>
    <n v="3851"/>
    <x v="0"/>
    <x v="52"/>
    <x v="52"/>
    <x v="2"/>
    <x v="2"/>
    <x v="76"/>
    <n v="18154"/>
    <x v="29"/>
    <x v="29"/>
    <n v="2"/>
    <n v="286"/>
  </r>
  <r>
    <n v="3852"/>
    <x v="0"/>
    <x v="52"/>
    <x v="52"/>
    <x v="2"/>
    <x v="2"/>
    <x v="74"/>
    <n v="18161"/>
    <x v="92"/>
    <x v="98"/>
    <n v="8"/>
    <n v="348"/>
  </r>
  <r>
    <n v="3853"/>
    <x v="0"/>
    <x v="52"/>
    <x v="52"/>
    <x v="2"/>
    <x v="2"/>
    <x v="27"/>
    <n v="18168"/>
    <x v="125"/>
    <x v="139"/>
    <n v="12"/>
    <n v="343"/>
  </r>
  <r>
    <n v="3854"/>
    <x v="0"/>
    <x v="52"/>
    <x v="52"/>
    <x v="3"/>
    <x v="3"/>
    <x v="11"/>
    <n v="30008"/>
    <x v="77"/>
    <x v="29"/>
    <n v="4"/>
    <n v="571"/>
  </r>
  <r>
    <n v="3855"/>
    <x v="0"/>
    <x v="52"/>
    <x v="52"/>
    <x v="3"/>
    <x v="3"/>
    <x v="29"/>
    <n v="30015"/>
    <x v="31"/>
    <x v="135"/>
    <n v="6"/>
    <n v="462"/>
  </r>
  <r>
    <n v="3856"/>
    <x v="0"/>
    <x v="52"/>
    <x v="52"/>
    <x v="3"/>
    <x v="3"/>
    <x v="28"/>
    <n v="30028"/>
    <x v="13"/>
    <x v="32"/>
    <n v="5"/>
    <n v="500"/>
  </r>
  <r>
    <n v="3857"/>
    <x v="0"/>
    <x v="52"/>
    <x v="52"/>
    <x v="4"/>
    <x v="4"/>
    <x v="34"/>
    <n v="34035"/>
    <x v="16"/>
    <x v="16"/>
    <n v="360"/>
    <n v="1029"/>
  </r>
  <r>
    <n v="3858"/>
    <x v="0"/>
    <x v="52"/>
    <x v="52"/>
    <x v="4"/>
    <x v="4"/>
    <x v="81"/>
    <n v="34042"/>
    <x v="44"/>
    <x v="111"/>
    <n v="40"/>
    <n v="800"/>
  </r>
  <r>
    <n v="3859"/>
    <x v="0"/>
    <x v="52"/>
    <x v="52"/>
    <x v="4"/>
    <x v="4"/>
    <x v="33"/>
    <n v="34056"/>
    <x v="44"/>
    <x v="111"/>
    <n v="50"/>
    <n v="1000"/>
  </r>
  <r>
    <n v="3860"/>
    <x v="0"/>
    <x v="52"/>
    <x v="52"/>
    <x v="5"/>
    <x v="5"/>
    <x v="37"/>
    <n v="38063"/>
    <x v="45"/>
    <x v="80"/>
    <n v="15"/>
    <n v="750"/>
  </r>
  <r>
    <n v="3861"/>
    <x v="0"/>
    <x v="52"/>
    <x v="52"/>
    <x v="14"/>
    <x v="14"/>
    <x v="105"/>
    <n v="50014"/>
    <x v="72"/>
    <x v="80"/>
    <n v="14"/>
    <n v="700"/>
  </r>
  <r>
    <n v="3862"/>
    <x v="0"/>
    <x v="52"/>
    <x v="52"/>
    <x v="14"/>
    <x v="14"/>
    <x v="104"/>
    <n v="50105"/>
    <x v="127"/>
    <x v="45"/>
    <n v="28"/>
    <n v="700"/>
  </r>
  <r>
    <n v="3863"/>
    <x v="0"/>
    <x v="52"/>
    <x v="52"/>
    <x v="14"/>
    <x v="14"/>
    <x v="58"/>
    <n v="50112"/>
    <x v="143"/>
    <x v="23"/>
    <n v="78"/>
    <n v="780"/>
  </r>
  <r>
    <n v="3864"/>
    <x v="0"/>
    <x v="52"/>
    <x v="52"/>
    <x v="6"/>
    <x v="6"/>
    <x v="39"/>
    <n v="54007"/>
    <x v="50"/>
    <x v="136"/>
    <n v="7"/>
    <n v="636"/>
  </r>
  <r>
    <n v="3865"/>
    <x v="0"/>
    <x v="52"/>
    <x v="52"/>
    <x v="6"/>
    <x v="6"/>
    <x v="114"/>
    <n v="54014"/>
    <x v="78"/>
    <x v="49"/>
    <n v="3"/>
    <n v="500"/>
  </r>
  <r>
    <n v="3866"/>
    <x v="0"/>
    <x v="52"/>
    <x v="52"/>
    <x v="6"/>
    <x v="6"/>
    <x v="40"/>
    <n v="54021"/>
    <x v="32"/>
    <x v="32"/>
    <n v="6"/>
    <n v="600"/>
  </r>
  <r>
    <n v="3867"/>
    <x v="0"/>
    <x v="52"/>
    <x v="52"/>
    <x v="6"/>
    <x v="6"/>
    <x v="43"/>
    <n v="54035"/>
    <x v="47"/>
    <x v="46"/>
    <n v="2"/>
    <n v="500"/>
  </r>
  <r>
    <n v="3868"/>
    <x v="0"/>
    <x v="52"/>
    <x v="52"/>
    <x v="6"/>
    <x v="6"/>
    <x v="185"/>
    <n v="54042"/>
    <x v="32"/>
    <x v="32"/>
    <n v="6"/>
    <n v="600"/>
  </r>
  <r>
    <n v="3869"/>
    <x v="0"/>
    <x v="52"/>
    <x v="52"/>
    <x v="6"/>
    <x v="6"/>
    <x v="115"/>
    <n v="54056"/>
    <x v="34"/>
    <x v="34"/>
    <n v="1"/>
    <n v="500"/>
  </r>
  <r>
    <n v="3870"/>
    <x v="0"/>
    <x v="52"/>
    <x v="52"/>
    <x v="6"/>
    <x v="6"/>
    <x v="183"/>
    <n v="54070"/>
    <x v="78"/>
    <x v="49"/>
    <n v="4"/>
    <n v="667"/>
  </r>
  <r>
    <n v="3871"/>
    <x v="0"/>
    <x v="52"/>
    <x v="52"/>
    <x v="6"/>
    <x v="6"/>
    <x v="88"/>
    <n v="54077"/>
    <x v="47"/>
    <x v="46"/>
    <n v="2"/>
    <n v="500"/>
  </r>
  <r>
    <n v="3872"/>
    <x v="0"/>
    <x v="52"/>
    <x v="52"/>
    <x v="6"/>
    <x v="6"/>
    <x v="184"/>
    <n v="54084"/>
    <x v="77"/>
    <x v="67"/>
    <n v="4"/>
    <n v="500"/>
  </r>
  <r>
    <n v="3873"/>
    <x v="0"/>
    <x v="52"/>
    <x v="52"/>
    <x v="6"/>
    <x v="6"/>
    <x v="182"/>
    <n v="54091"/>
    <x v="30"/>
    <x v="30"/>
    <n v="2"/>
    <n v="667"/>
  </r>
  <r>
    <n v="3874"/>
    <x v="0"/>
    <x v="52"/>
    <x v="52"/>
    <x v="6"/>
    <x v="6"/>
    <x v="41"/>
    <n v="54098"/>
    <x v="47"/>
    <x v="46"/>
    <n v="2"/>
    <n v="500"/>
  </r>
  <r>
    <n v="3875"/>
    <x v="0"/>
    <x v="52"/>
    <x v="52"/>
    <x v="6"/>
    <x v="6"/>
    <x v="37"/>
    <n v="54112"/>
    <x v="34"/>
    <x v="34"/>
    <n v="1"/>
    <n v="500"/>
  </r>
  <r>
    <n v="3876"/>
    <x v="0"/>
    <x v="52"/>
    <x v="52"/>
    <x v="11"/>
    <x v="11"/>
    <x v="117"/>
    <n v="66007"/>
    <x v="16"/>
    <x v="16"/>
    <n v="230"/>
    <n v="657"/>
  </r>
  <r>
    <n v="3877"/>
    <x v="0"/>
    <x v="52"/>
    <x v="52"/>
    <x v="11"/>
    <x v="11"/>
    <x v="12"/>
    <n v="66028"/>
    <x v="72"/>
    <x v="72"/>
    <n v="20"/>
    <n v="667"/>
  </r>
  <r>
    <n v="3878"/>
    <x v="0"/>
    <x v="52"/>
    <x v="52"/>
    <x v="11"/>
    <x v="11"/>
    <x v="171"/>
    <n v="66056"/>
    <x v="18"/>
    <x v="18"/>
    <n v="140"/>
    <n v="700"/>
  </r>
  <r>
    <n v="3879"/>
    <x v="0"/>
    <x v="52"/>
    <x v="52"/>
    <x v="11"/>
    <x v="11"/>
    <x v="106"/>
    <n v="66112"/>
    <x v="23"/>
    <x v="23"/>
    <n v="70"/>
    <n v="700"/>
  </r>
  <r>
    <n v="3880"/>
    <x v="0"/>
    <x v="52"/>
    <x v="52"/>
    <x v="11"/>
    <x v="11"/>
    <x v="140"/>
    <n v="66126"/>
    <x v="18"/>
    <x v="18"/>
    <n v="140"/>
    <n v="700"/>
  </r>
  <r>
    <n v="3881"/>
    <x v="0"/>
    <x v="52"/>
    <x v="52"/>
    <x v="13"/>
    <x v="13"/>
    <x v="87"/>
    <n v="74028"/>
    <x v="282"/>
    <x v="69"/>
    <n v="80"/>
    <n v="500"/>
  </r>
  <r>
    <n v="3882"/>
    <x v="0"/>
    <x v="52"/>
    <x v="52"/>
    <x v="7"/>
    <x v="7"/>
    <x v="172"/>
    <n v="82077"/>
    <x v="223"/>
    <x v="23"/>
    <n v="84"/>
    <n v="840"/>
  </r>
  <r>
    <n v="3883"/>
    <x v="0"/>
    <x v="52"/>
    <x v="52"/>
    <x v="7"/>
    <x v="7"/>
    <x v="45"/>
    <n v="82035"/>
    <x v="23"/>
    <x v="151"/>
    <n v="80"/>
    <n v="889"/>
  </r>
  <r>
    <n v="3884"/>
    <x v="0"/>
    <x v="52"/>
    <x v="52"/>
    <x v="7"/>
    <x v="7"/>
    <x v="195"/>
    <n v="82042"/>
    <x v="20"/>
    <x v="150"/>
    <n v="130"/>
    <n v="1000"/>
  </r>
  <r>
    <n v="3885"/>
    <x v="0"/>
    <x v="52"/>
    <x v="52"/>
    <x v="7"/>
    <x v="7"/>
    <x v="44"/>
    <n v="82049"/>
    <x v="20"/>
    <x v="20"/>
    <n v="106"/>
    <n v="707"/>
  </r>
  <r>
    <n v="3886"/>
    <x v="0"/>
    <x v="52"/>
    <x v="52"/>
    <x v="7"/>
    <x v="7"/>
    <x v="197"/>
    <n v="82056"/>
    <x v="33"/>
    <x v="512"/>
    <n v="0"/>
    <n v="0"/>
  </r>
  <r>
    <n v="3887"/>
    <x v="0"/>
    <x v="53"/>
    <x v="53"/>
    <x v="10"/>
    <x v="10"/>
    <x v="202"/>
    <n v="10042"/>
    <x v="63"/>
    <x v="512"/>
    <n v="0"/>
    <n v="0"/>
  </r>
  <r>
    <n v="3888"/>
    <x v="0"/>
    <x v="53"/>
    <x v="53"/>
    <x v="10"/>
    <x v="10"/>
    <x v="59"/>
    <n v="10063"/>
    <x v="45"/>
    <x v="512"/>
    <n v="0"/>
    <n v="0"/>
  </r>
  <r>
    <n v="3889"/>
    <x v="0"/>
    <x v="53"/>
    <x v="53"/>
    <x v="10"/>
    <x v="10"/>
    <x v="58"/>
    <n v="10098"/>
    <x v="44"/>
    <x v="512"/>
    <n v="0"/>
    <n v="0"/>
  </r>
  <r>
    <n v="3890"/>
    <x v="0"/>
    <x v="53"/>
    <x v="53"/>
    <x v="0"/>
    <x v="0"/>
    <x v="178"/>
    <n v="22036"/>
    <x v="225"/>
    <x v="512"/>
    <n v="0"/>
    <n v="0"/>
  </r>
  <r>
    <n v="3891"/>
    <x v="0"/>
    <x v="53"/>
    <x v="53"/>
    <x v="0"/>
    <x v="0"/>
    <x v="176"/>
    <n v="22063"/>
    <x v="44"/>
    <x v="512"/>
    <n v="0"/>
    <n v="0"/>
  </r>
  <r>
    <n v="3892"/>
    <x v="0"/>
    <x v="53"/>
    <x v="53"/>
    <x v="0"/>
    <x v="0"/>
    <x v="190"/>
    <n v="22070"/>
    <x v="45"/>
    <x v="512"/>
    <n v="0"/>
    <n v="0"/>
  </r>
  <r>
    <n v="3893"/>
    <x v="0"/>
    <x v="53"/>
    <x v="53"/>
    <x v="1"/>
    <x v="1"/>
    <x v="70"/>
    <n v="14007"/>
    <x v="226"/>
    <x v="162"/>
    <n v="3385"/>
    <n v="677"/>
  </r>
  <r>
    <n v="3894"/>
    <x v="0"/>
    <x v="53"/>
    <x v="53"/>
    <x v="1"/>
    <x v="1"/>
    <x v="135"/>
    <n v="14028"/>
    <x v="44"/>
    <x v="111"/>
    <n v="29"/>
    <n v="580"/>
  </r>
  <r>
    <n v="3895"/>
    <x v="0"/>
    <x v="53"/>
    <x v="53"/>
    <x v="1"/>
    <x v="1"/>
    <x v="143"/>
    <n v="14042"/>
    <x v="391"/>
    <x v="556"/>
    <n v="14800"/>
    <n v="871"/>
  </r>
  <r>
    <n v="3896"/>
    <x v="0"/>
    <x v="53"/>
    <x v="53"/>
    <x v="1"/>
    <x v="1"/>
    <x v="107"/>
    <n v="14056"/>
    <x v="380"/>
    <x v="349"/>
    <n v="30400"/>
    <n v="950"/>
  </r>
  <r>
    <n v="3897"/>
    <x v="0"/>
    <x v="53"/>
    <x v="53"/>
    <x v="1"/>
    <x v="1"/>
    <x v="13"/>
    <n v="14098"/>
    <x v="439"/>
    <x v="502"/>
    <n v="12300"/>
    <n v="820"/>
  </r>
  <r>
    <n v="3898"/>
    <x v="0"/>
    <x v="53"/>
    <x v="53"/>
    <x v="1"/>
    <x v="1"/>
    <x v="9"/>
    <n v="14105"/>
    <x v="11"/>
    <x v="11"/>
    <n v="920"/>
    <n v="920"/>
  </r>
  <r>
    <n v="3899"/>
    <x v="0"/>
    <x v="53"/>
    <x v="53"/>
    <x v="1"/>
    <x v="1"/>
    <x v="8"/>
    <n v="14119"/>
    <x v="367"/>
    <x v="557"/>
    <n v="26300"/>
    <n v="821"/>
  </r>
  <r>
    <n v="3900"/>
    <x v="0"/>
    <x v="53"/>
    <x v="53"/>
    <x v="1"/>
    <x v="1"/>
    <x v="46"/>
    <n v="14140"/>
    <x v="26"/>
    <x v="59"/>
    <n v="350"/>
    <n v="875"/>
  </r>
  <r>
    <n v="3901"/>
    <x v="0"/>
    <x v="53"/>
    <x v="53"/>
    <x v="1"/>
    <x v="1"/>
    <x v="7"/>
    <n v="14147"/>
    <x v="79"/>
    <x v="558"/>
    <n v="9360"/>
    <n v="780"/>
  </r>
  <r>
    <n v="3902"/>
    <x v="0"/>
    <x v="53"/>
    <x v="53"/>
    <x v="1"/>
    <x v="1"/>
    <x v="10"/>
    <n v="14161"/>
    <x v="407"/>
    <x v="559"/>
    <n v="70200"/>
    <n v="878"/>
  </r>
  <r>
    <n v="3903"/>
    <x v="0"/>
    <x v="53"/>
    <x v="53"/>
    <x v="1"/>
    <x v="1"/>
    <x v="90"/>
    <n v="14182"/>
    <x v="517"/>
    <x v="560"/>
    <n v="1456"/>
    <n v="939"/>
  </r>
  <r>
    <n v="3904"/>
    <x v="0"/>
    <x v="53"/>
    <x v="53"/>
    <x v="2"/>
    <x v="2"/>
    <x v="21"/>
    <n v="18007"/>
    <x v="182"/>
    <x v="45"/>
    <n v="20"/>
    <n v="500"/>
  </r>
  <r>
    <n v="3905"/>
    <x v="0"/>
    <x v="53"/>
    <x v="53"/>
    <x v="2"/>
    <x v="2"/>
    <x v="12"/>
    <n v="18021"/>
    <x v="13"/>
    <x v="32"/>
    <n v="5"/>
    <n v="500"/>
  </r>
  <r>
    <n v="3906"/>
    <x v="0"/>
    <x v="53"/>
    <x v="53"/>
    <x v="2"/>
    <x v="2"/>
    <x v="25"/>
    <n v="18035"/>
    <x v="33"/>
    <x v="33"/>
    <n v="3"/>
    <n v="600"/>
  </r>
  <r>
    <n v="3907"/>
    <x v="0"/>
    <x v="53"/>
    <x v="53"/>
    <x v="2"/>
    <x v="2"/>
    <x v="17"/>
    <n v="18042"/>
    <x v="170"/>
    <x v="32"/>
    <n v="5"/>
    <n v="500"/>
  </r>
  <r>
    <n v="3908"/>
    <x v="0"/>
    <x v="53"/>
    <x v="53"/>
    <x v="2"/>
    <x v="2"/>
    <x v="18"/>
    <n v="18049"/>
    <x v="13"/>
    <x v="32"/>
    <n v="6"/>
    <n v="600"/>
  </r>
  <r>
    <n v="3909"/>
    <x v="0"/>
    <x v="53"/>
    <x v="53"/>
    <x v="2"/>
    <x v="2"/>
    <x v="72"/>
    <n v="18063"/>
    <x v="39"/>
    <x v="45"/>
    <n v="13"/>
    <n v="325"/>
  </r>
  <r>
    <n v="3910"/>
    <x v="0"/>
    <x v="53"/>
    <x v="53"/>
    <x v="2"/>
    <x v="2"/>
    <x v="26"/>
    <n v="18070"/>
    <x v="45"/>
    <x v="80"/>
    <n v="10"/>
    <n v="500"/>
  </r>
  <r>
    <n v="3911"/>
    <x v="0"/>
    <x v="53"/>
    <x v="53"/>
    <x v="2"/>
    <x v="2"/>
    <x v="22"/>
    <n v="18084"/>
    <x v="101"/>
    <x v="72"/>
    <n v="19"/>
    <n v="633"/>
  </r>
  <r>
    <n v="3912"/>
    <x v="0"/>
    <x v="53"/>
    <x v="53"/>
    <x v="2"/>
    <x v="2"/>
    <x v="16"/>
    <n v="18091"/>
    <x v="93"/>
    <x v="80"/>
    <n v="12"/>
    <n v="600"/>
  </r>
  <r>
    <n v="3913"/>
    <x v="0"/>
    <x v="53"/>
    <x v="53"/>
    <x v="2"/>
    <x v="2"/>
    <x v="71"/>
    <n v="18098"/>
    <x v="77"/>
    <x v="29"/>
    <n v="4"/>
    <n v="571"/>
  </r>
  <r>
    <n v="3914"/>
    <x v="0"/>
    <x v="53"/>
    <x v="53"/>
    <x v="2"/>
    <x v="2"/>
    <x v="78"/>
    <n v="18105"/>
    <x v="29"/>
    <x v="29"/>
    <n v="5"/>
    <n v="714"/>
  </r>
  <r>
    <n v="3915"/>
    <x v="0"/>
    <x v="53"/>
    <x v="53"/>
    <x v="2"/>
    <x v="2"/>
    <x v="15"/>
    <n v="18112"/>
    <x v="125"/>
    <x v="4"/>
    <n v="20"/>
    <n v="556"/>
  </r>
  <r>
    <n v="3916"/>
    <x v="0"/>
    <x v="53"/>
    <x v="53"/>
    <x v="2"/>
    <x v="2"/>
    <x v="77"/>
    <n v="18119"/>
    <x v="32"/>
    <x v="52"/>
    <n v="5"/>
    <n v="556"/>
  </r>
  <r>
    <n v="3917"/>
    <x v="0"/>
    <x v="53"/>
    <x v="53"/>
    <x v="2"/>
    <x v="2"/>
    <x v="23"/>
    <n v="18126"/>
    <x v="77"/>
    <x v="29"/>
    <n v="4"/>
    <n v="571"/>
  </r>
  <r>
    <n v="3918"/>
    <x v="0"/>
    <x v="53"/>
    <x v="53"/>
    <x v="2"/>
    <x v="2"/>
    <x v="24"/>
    <n v="18140"/>
    <x v="72"/>
    <x v="72"/>
    <n v="20"/>
    <n v="667"/>
  </r>
  <r>
    <n v="3919"/>
    <x v="0"/>
    <x v="53"/>
    <x v="53"/>
    <x v="2"/>
    <x v="2"/>
    <x v="20"/>
    <n v="18147"/>
    <x v="94"/>
    <x v="80"/>
    <n v="10"/>
    <n v="500"/>
  </r>
  <r>
    <n v="3920"/>
    <x v="0"/>
    <x v="53"/>
    <x v="53"/>
    <x v="2"/>
    <x v="2"/>
    <x v="76"/>
    <n v="18154"/>
    <x v="33"/>
    <x v="33"/>
    <n v="3"/>
    <n v="600"/>
  </r>
  <r>
    <n v="3921"/>
    <x v="0"/>
    <x v="53"/>
    <x v="53"/>
    <x v="2"/>
    <x v="2"/>
    <x v="74"/>
    <n v="18161"/>
    <x v="46"/>
    <x v="79"/>
    <n v="10"/>
    <n v="625"/>
  </r>
  <r>
    <n v="3922"/>
    <x v="0"/>
    <x v="53"/>
    <x v="53"/>
    <x v="2"/>
    <x v="2"/>
    <x v="27"/>
    <n v="18168"/>
    <x v="72"/>
    <x v="202"/>
    <n v="14"/>
    <n v="500"/>
  </r>
  <r>
    <n v="3923"/>
    <x v="0"/>
    <x v="53"/>
    <x v="53"/>
    <x v="3"/>
    <x v="3"/>
    <x v="11"/>
    <n v="30008"/>
    <x v="33"/>
    <x v="46"/>
    <n v="2"/>
    <n v="500"/>
  </r>
  <r>
    <n v="3924"/>
    <x v="0"/>
    <x v="53"/>
    <x v="53"/>
    <x v="3"/>
    <x v="3"/>
    <x v="29"/>
    <n v="30015"/>
    <x v="31"/>
    <x v="13"/>
    <n v="5"/>
    <n v="417"/>
  </r>
  <r>
    <n v="3925"/>
    <x v="0"/>
    <x v="53"/>
    <x v="53"/>
    <x v="3"/>
    <x v="3"/>
    <x v="161"/>
    <n v="30021"/>
    <x v="32"/>
    <x v="52"/>
    <n v="5"/>
    <n v="556"/>
  </r>
  <r>
    <n v="3926"/>
    <x v="0"/>
    <x v="53"/>
    <x v="53"/>
    <x v="4"/>
    <x v="4"/>
    <x v="34"/>
    <n v="34035"/>
    <x v="23"/>
    <x v="512"/>
    <n v="0"/>
    <n v="0"/>
  </r>
  <r>
    <n v="3927"/>
    <x v="0"/>
    <x v="53"/>
    <x v="53"/>
    <x v="4"/>
    <x v="4"/>
    <x v="81"/>
    <n v="34042"/>
    <x v="45"/>
    <x v="512"/>
    <n v="0"/>
    <n v="0"/>
  </r>
  <r>
    <n v="3928"/>
    <x v="0"/>
    <x v="53"/>
    <x v="53"/>
    <x v="4"/>
    <x v="4"/>
    <x v="33"/>
    <n v="34056"/>
    <x v="125"/>
    <x v="512"/>
    <n v="0"/>
    <n v="0"/>
  </r>
  <r>
    <n v="3929"/>
    <x v="0"/>
    <x v="53"/>
    <x v="53"/>
    <x v="5"/>
    <x v="5"/>
    <x v="194"/>
    <n v="38070"/>
    <x v="32"/>
    <x v="512"/>
    <n v="0"/>
    <n v="0"/>
  </r>
  <r>
    <n v="3930"/>
    <x v="0"/>
    <x v="53"/>
    <x v="53"/>
    <x v="17"/>
    <x v="17"/>
    <x v="12"/>
    <n v="46014"/>
    <x v="302"/>
    <x v="512"/>
    <n v="0"/>
    <n v="0"/>
  </r>
  <r>
    <n v="3931"/>
    <x v="0"/>
    <x v="53"/>
    <x v="53"/>
    <x v="6"/>
    <x v="6"/>
    <x v="39"/>
    <n v="54007"/>
    <x v="13"/>
    <x v="32"/>
    <n v="8"/>
    <n v="800"/>
  </r>
  <r>
    <n v="3932"/>
    <x v="0"/>
    <x v="53"/>
    <x v="53"/>
    <x v="6"/>
    <x v="6"/>
    <x v="114"/>
    <n v="54014"/>
    <x v="78"/>
    <x v="49"/>
    <n v="4"/>
    <n v="667"/>
  </r>
  <r>
    <n v="3933"/>
    <x v="0"/>
    <x v="53"/>
    <x v="53"/>
    <x v="6"/>
    <x v="6"/>
    <x v="40"/>
    <n v="54021"/>
    <x v="77"/>
    <x v="29"/>
    <n v="4"/>
    <n v="571"/>
  </r>
  <r>
    <n v="3934"/>
    <x v="0"/>
    <x v="53"/>
    <x v="53"/>
    <x v="6"/>
    <x v="6"/>
    <x v="43"/>
    <n v="54035"/>
    <x v="33"/>
    <x v="33"/>
    <n v="3"/>
    <n v="600"/>
  </r>
  <r>
    <n v="3935"/>
    <x v="0"/>
    <x v="53"/>
    <x v="53"/>
    <x v="6"/>
    <x v="6"/>
    <x v="185"/>
    <n v="54042"/>
    <x v="32"/>
    <x v="52"/>
    <n v="7"/>
    <n v="778"/>
  </r>
  <r>
    <n v="3936"/>
    <x v="0"/>
    <x v="53"/>
    <x v="53"/>
    <x v="6"/>
    <x v="6"/>
    <x v="115"/>
    <n v="54056"/>
    <x v="47"/>
    <x v="46"/>
    <n v="3"/>
    <n v="750"/>
  </r>
  <r>
    <n v="3937"/>
    <x v="0"/>
    <x v="53"/>
    <x v="53"/>
    <x v="6"/>
    <x v="6"/>
    <x v="183"/>
    <n v="54070"/>
    <x v="53"/>
    <x v="67"/>
    <n v="5"/>
    <n v="625"/>
  </r>
  <r>
    <n v="3938"/>
    <x v="0"/>
    <x v="53"/>
    <x v="53"/>
    <x v="6"/>
    <x v="6"/>
    <x v="88"/>
    <n v="54077"/>
    <x v="33"/>
    <x v="33"/>
    <n v="3"/>
    <n v="600"/>
  </r>
  <r>
    <n v="3939"/>
    <x v="0"/>
    <x v="53"/>
    <x v="53"/>
    <x v="6"/>
    <x v="6"/>
    <x v="184"/>
    <n v="54084"/>
    <x v="32"/>
    <x v="32"/>
    <n v="6"/>
    <n v="600"/>
  </r>
  <r>
    <n v="3940"/>
    <x v="0"/>
    <x v="53"/>
    <x v="53"/>
    <x v="6"/>
    <x v="6"/>
    <x v="182"/>
    <n v="54091"/>
    <x v="33"/>
    <x v="33"/>
    <n v="3"/>
    <n v="600"/>
  </r>
  <r>
    <n v="3941"/>
    <x v="0"/>
    <x v="53"/>
    <x v="53"/>
    <x v="6"/>
    <x v="6"/>
    <x v="41"/>
    <n v="54098"/>
    <x v="47"/>
    <x v="46"/>
    <n v="3"/>
    <n v="750"/>
  </r>
  <r>
    <n v="3942"/>
    <x v="0"/>
    <x v="53"/>
    <x v="53"/>
    <x v="6"/>
    <x v="6"/>
    <x v="37"/>
    <n v="54112"/>
    <x v="34"/>
    <x v="34"/>
    <n v="1"/>
    <n v="500"/>
  </r>
  <r>
    <n v="3943"/>
    <x v="0"/>
    <x v="53"/>
    <x v="53"/>
    <x v="11"/>
    <x v="11"/>
    <x v="117"/>
    <n v="66007"/>
    <x v="44"/>
    <x v="111"/>
    <n v="30"/>
    <n v="600"/>
  </r>
  <r>
    <n v="3944"/>
    <x v="0"/>
    <x v="53"/>
    <x v="53"/>
    <x v="13"/>
    <x v="13"/>
    <x v="87"/>
    <n v="74028"/>
    <x v="180"/>
    <x v="512"/>
    <n v="0"/>
    <n v="0"/>
  </r>
  <r>
    <n v="3945"/>
    <x v="0"/>
    <x v="53"/>
    <x v="53"/>
    <x v="7"/>
    <x v="7"/>
    <x v="45"/>
    <n v="82035"/>
    <x v="67"/>
    <x v="257"/>
    <n v="75"/>
    <n v="1103"/>
  </r>
  <r>
    <n v="3946"/>
    <x v="0"/>
    <x v="53"/>
    <x v="53"/>
    <x v="7"/>
    <x v="7"/>
    <x v="195"/>
    <n v="82042"/>
    <x v="23"/>
    <x v="561"/>
    <n v="95"/>
    <n v="1159"/>
  </r>
  <r>
    <n v="3947"/>
    <x v="0"/>
    <x v="53"/>
    <x v="53"/>
    <x v="7"/>
    <x v="7"/>
    <x v="44"/>
    <n v="82049"/>
    <x v="20"/>
    <x v="111"/>
    <n v="50"/>
    <n v="1000"/>
  </r>
  <r>
    <n v="3948"/>
    <x v="0"/>
    <x v="54"/>
    <x v="54"/>
    <x v="0"/>
    <x v="0"/>
    <x v="176"/>
    <n v="22063"/>
    <x v="62"/>
    <x v="62"/>
    <n v="200"/>
    <n v="909"/>
  </r>
  <r>
    <n v="3949"/>
    <x v="0"/>
    <x v="54"/>
    <x v="54"/>
    <x v="1"/>
    <x v="1"/>
    <x v="70"/>
    <n v="14007"/>
    <x v="518"/>
    <x v="10"/>
    <n v="1000"/>
    <n v="909"/>
  </r>
  <r>
    <n v="3950"/>
    <x v="0"/>
    <x v="54"/>
    <x v="54"/>
    <x v="1"/>
    <x v="1"/>
    <x v="143"/>
    <n v="14042"/>
    <x v="519"/>
    <x v="562"/>
    <n v="21500"/>
    <n v="1378"/>
  </r>
  <r>
    <n v="3951"/>
    <x v="0"/>
    <x v="54"/>
    <x v="54"/>
    <x v="1"/>
    <x v="1"/>
    <x v="107"/>
    <n v="14056"/>
    <x v="520"/>
    <x v="563"/>
    <n v="49300"/>
    <n v="1259"/>
  </r>
  <r>
    <n v="3952"/>
    <x v="0"/>
    <x v="54"/>
    <x v="54"/>
    <x v="1"/>
    <x v="1"/>
    <x v="13"/>
    <n v="14098"/>
    <x v="521"/>
    <x v="443"/>
    <n v="8000"/>
    <n v="889"/>
  </r>
  <r>
    <n v="3953"/>
    <x v="0"/>
    <x v="54"/>
    <x v="54"/>
    <x v="1"/>
    <x v="1"/>
    <x v="8"/>
    <n v="14119"/>
    <x v="465"/>
    <x v="481"/>
    <n v="32100"/>
    <n v="1022"/>
  </r>
  <r>
    <n v="3954"/>
    <x v="0"/>
    <x v="54"/>
    <x v="54"/>
    <x v="1"/>
    <x v="1"/>
    <x v="7"/>
    <n v="14147"/>
    <x v="133"/>
    <x v="564"/>
    <n v="13800"/>
    <n v="1030"/>
  </r>
  <r>
    <n v="3955"/>
    <x v="0"/>
    <x v="54"/>
    <x v="54"/>
    <x v="1"/>
    <x v="1"/>
    <x v="10"/>
    <n v="14161"/>
    <x v="522"/>
    <x v="565"/>
    <n v="76800"/>
    <n v="1146"/>
  </r>
  <r>
    <n v="3956"/>
    <x v="0"/>
    <x v="54"/>
    <x v="54"/>
    <x v="1"/>
    <x v="1"/>
    <x v="90"/>
    <n v="14182"/>
    <x v="523"/>
    <x v="175"/>
    <n v="1700"/>
    <n v="1259"/>
  </r>
  <r>
    <n v="3957"/>
    <x v="0"/>
    <x v="54"/>
    <x v="54"/>
    <x v="2"/>
    <x v="2"/>
    <x v="21"/>
    <n v="18007"/>
    <x v="67"/>
    <x v="44"/>
    <n v="45"/>
    <n v="563"/>
  </r>
  <r>
    <n v="3958"/>
    <x v="0"/>
    <x v="54"/>
    <x v="54"/>
    <x v="2"/>
    <x v="2"/>
    <x v="75"/>
    <n v="18014"/>
    <x v="34"/>
    <x v="34"/>
    <n v="1"/>
    <n v="500"/>
  </r>
  <r>
    <n v="3959"/>
    <x v="0"/>
    <x v="54"/>
    <x v="54"/>
    <x v="2"/>
    <x v="2"/>
    <x v="12"/>
    <n v="18021"/>
    <x v="31"/>
    <x v="31"/>
    <n v="10"/>
    <n v="667"/>
  </r>
  <r>
    <n v="3960"/>
    <x v="0"/>
    <x v="54"/>
    <x v="54"/>
    <x v="2"/>
    <x v="2"/>
    <x v="43"/>
    <n v="18028"/>
    <x v="34"/>
    <x v="34"/>
    <n v="1"/>
    <n v="500"/>
  </r>
  <r>
    <n v="3961"/>
    <x v="0"/>
    <x v="54"/>
    <x v="54"/>
    <x v="2"/>
    <x v="2"/>
    <x v="25"/>
    <n v="18035"/>
    <x v="47"/>
    <x v="46"/>
    <n v="2"/>
    <n v="500"/>
  </r>
  <r>
    <n v="3962"/>
    <x v="0"/>
    <x v="54"/>
    <x v="54"/>
    <x v="2"/>
    <x v="2"/>
    <x v="17"/>
    <n v="18042"/>
    <x v="31"/>
    <x v="31"/>
    <n v="10"/>
    <n v="667"/>
  </r>
  <r>
    <n v="3963"/>
    <x v="0"/>
    <x v="54"/>
    <x v="54"/>
    <x v="2"/>
    <x v="2"/>
    <x v="18"/>
    <n v="18049"/>
    <x v="32"/>
    <x v="32"/>
    <n v="7"/>
    <n v="700"/>
  </r>
  <r>
    <n v="3964"/>
    <x v="0"/>
    <x v="54"/>
    <x v="54"/>
    <x v="2"/>
    <x v="2"/>
    <x v="72"/>
    <n v="18063"/>
    <x v="39"/>
    <x v="39"/>
    <n v="27"/>
    <n v="600"/>
  </r>
  <r>
    <n v="3965"/>
    <x v="0"/>
    <x v="54"/>
    <x v="54"/>
    <x v="2"/>
    <x v="2"/>
    <x v="26"/>
    <n v="18070"/>
    <x v="125"/>
    <x v="45"/>
    <n v="22"/>
    <n v="550"/>
  </r>
  <r>
    <n v="3966"/>
    <x v="0"/>
    <x v="54"/>
    <x v="54"/>
    <x v="2"/>
    <x v="2"/>
    <x v="22"/>
    <n v="18084"/>
    <x v="4"/>
    <x v="4"/>
    <n v="22"/>
    <n v="611"/>
  </r>
  <r>
    <n v="3967"/>
    <x v="0"/>
    <x v="54"/>
    <x v="54"/>
    <x v="2"/>
    <x v="2"/>
    <x v="16"/>
    <n v="18091"/>
    <x v="45"/>
    <x v="80"/>
    <n v="13"/>
    <n v="650"/>
  </r>
  <r>
    <n v="3968"/>
    <x v="0"/>
    <x v="54"/>
    <x v="54"/>
    <x v="2"/>
    <x v="2"/>
    <x v="71"/>
    <n v="18098"/>
    <x v="32"/>
    <x v="32"/>
    <n v="7"/>
    <n v="700"/>
  </r>
  <r>
    <n v="3969"/>
    <x v="0"/>
    <x v="54"/>
    <x v="54"/>
    <x v="2"/>
    <x v="2"/>
    <x v="78"/>
    <n v="18105"/>
    <x v="33"/>
    <x v="33"/>
    <n v="3"/>
    <n v="600"/>
  </r>
  <r>
    <n v="3970"/>
    <x v="0"/>
    <x v="54"/>
    <x v="54"/>
    <x v="2"/>
    <x v="2"/>
    <x v="15"/>
    <n v="18112"/>
    <x v="32"/>
    <x v="32"/>
    <n v="7"/>
    <n v="700"/>
  </r>
  <r>
    <n v="3971"/>
    <x v="0"/>
    <x v="54"/>
    <x v="54"/>
    <x v="2"/>
    <x v="2"/>
    <x v="77"/>
    <n v="18119"/>
    <x v="32"/>
    <x v="32"/>
    <n v="7"/>
    <n v="700"/>
  </r>
  <r>
    <n v="3972"/>
    <x v="0"/>
    <x v="54"/>
    <x v="54"/>
    <x v="2"/>
    <x v="2"/>
    <x v="23"/>
    <n v="18126"/>
    <x v="32"/>
    <x v="32"/>
    <n v="6"/>
    <n v="600"/>
  </r>
  <r>
    <n v="3973"/>
    <x v="0"/>
    <x v="54"/>
    <x v="54"/>
    <x v="2"/>
    <x v="2"/>
    <x v="19"/>
    <n v="18133"/>
    <x v="29"/>
    <x v="29"/>
    <n v="4"/>
    <n v="571"/>
  </r>
  <r>
    <n v="3974"/>
    <x v="0"/>
    <x v="54"/>
    <x v="54"/>
    <x v="2"/>
    <x v="2"/>
    <x v="24"/>
    <n v="18140"/>
    <x v="72"/>
    <x v="72"/>
    <n v="20"/>
    <n v="667"/>
  </r>
  <r>
    <n v="3975"/>
    <x v="0"/>
    <x v="54"/>
    <x v="54"/>
    <x v="2"/>
    <x v="2"/>
    <x v="20"/>
    <n v="18147"/>
    <x v="45"/>
    <x v="80"/>
    <n v="14"/>
    <n v="700"/>
  </r>
  <r>
    <n v="3976"/>
    <x v="0"/>
    <x v="54"/>
    <x v="54"/>
    <x v="2"/>
    <x v="2"/>
    <x v="76"/>
    <n v="18154"/>
    <x v="47"/>
    <x v="46"/>
    <n v="3"/>
    <n v="750"/>
  </r>
  <r>
    <n v="3977"/>
    <x v="0"/>
    <x v="54"/>
    <x v="54"/>
    <x v="2"/>
    <x v="2"/>
    <x v="74"/>
    <n v="18161"/>
    <x v="31"/>
    <x v="31"/>
    <n v="9"/>
    <n v="600"/>
  </r>
  <r>
    <n v="3978"/>
    <x v="0"/>
    <x v="54"/>
    <x v="54"/>
    <x v="2"/>
    <x v="2"/>
    <x v="27"/>
    <n v="18168"/>
    <x v="72"/>
    <x v="72"/>
    <n v="20"/>
    <n v="667"/>
  </r>
  <r>
    <n v="3979"/>
    <x v="0"/>
    <x v="54"/>
    <x v="54"/>
    <x v="4"/>
    <x v="4"/>
    <x v="34"/>
    <n v="34035"/>
    <x v="23"/>
    <x v="23"/>
    <n v="100"/>
    <n v="1000"/>
  </r>
  <r>
    <n v="3980"/>
    <x v="0"/>
    <x v="54"/>
    <x v="54"/>
    <x v="6"/>
    <x v="6"/>
    <x v="174"/>
    <n v="54119"/>
    <x v="30"/>
    <x v="30"/>
    <n v="2"/>
    <n v="667"/>
  </r>
  <r>
    <n v="3981"/>
    <x v="0"/>
    <x v="54"/>
    <x v="54"/>
    <x v="6"/>
    <x v="6"/>
    <x v="39"/>
    <n v="54007"/>
    <x v="13"/>
    <x v="13"/>
    <n v="11"/>
    <n v="917"/>
  </r>
  <r>
    <n v="3982"/>
    <x v="0"/>
    <x v="54"/>
    <x v="54"/>
    <x v="6"/>
    <x v="6"/>
    <x v="114"/>
    <n v="54014"/>
    <x v="77"/>
    <x v="67"/>
    <n v="7"/>
    <n v="875"/>
  </r>
  <r>
    <n v="3983"/>
    <x v="0"/>
    <x v="54"/>
    <x v="54"/>
    <x v="6"/>
    <x v="6"/>
    <x v="40"/>
    <n v="54021"/>
    <x v="13"/>
    <x v="13"/>
    <n v="10"/>
    <n v="833"/>
  </r>
  <r>
    <n v="3984"/>
    <x v="0"/>
    <x v="54"/>
    <x v="54"/>
    <x v="6"/>
    <x v="6"/>
    <x v="12"/>
    <n v="54028"/>
    <x v="34"/>
    <x v="34"/>
    <n v="1"/>
    <n v="500"/>
  </r>
  <r>
    <n v="3985"/>
    <x v="0"/>
    <x v="54"/>
    <x v="54"/>
    <x v="6"/>
    <x v="6"/>
    <x v="43"/>
    <n v="54035"/>
    <x v="47"/>
    <x v="46"/>
    <n v="3"/>
    <n v="750"/>
  </r>
  <r>
    <n v="3986"/>
    <x v="0"/>
    <x v="54"/>
    <x v="54"/>
    <x v="6"/>
    <x v="6"/>
    <x v="185"/>
    <n v="54042"/>
    <x v="29"/>
    <x v="29"/>
    <n v="5"/>
    <n v="714"/>
  </r>
  <r>
    <n v="3987"/>
    <x v="0"/>
    <x v="54"/>
    <x v="54"/>
    <x v="6"/>
    <x v="6"/>
    <x v="192"/>
    <n v="54049"/>
    <x v="78"/>
    <x v="49"/>
    <n v="5"/>
    <n v="833"/>
  </r>
  <r>
    <n v="3988"/>
    <x v="0"/>
    <x v="54"/>
    <x v="54"/>
    <x v="6"/>
    <x v="6"/>
    <x v="115"/>
    <n v="54056"/>
    <x v="77"/>
    <x v="67"/>
    <n v="6"/>
    <n v="750"/>
  </r>
  <r>
    <n v="3989"/>
    <x v="0"/>
    <x v="54"/>
    <x v="54"/>
    <x v="6"/>
    <x v="6"/>
    <x v="183"/>
    <n v="54070"/>
    <x v="32"/>
    <x v="32"/>
    <n v="8"/>
    <n v="800"/>
  </r>
  <r>
    <n v="3990"/>
    <x v="0"/>
    <x v="54"/>
    <x v="54"/>
    <x v="6"/>
    <x v="6"/>
    <x v="88"/>
    <n v="54077"/>
    <x v="47"/>
    <x v="46"/>
    <n v="3"/>
    <n v="750"/>
  </r>
  <r>
    <n v="3991"/>
    <x v="0"/>
    <x v="54"/>
    <x v="54"/>
    <x v="6"/>
    <x v="6"/>
    <x v="184"/>
    <n v="54084"/>
    <x v="78"/>
    <x v="49"/>
    <n v="5"/>
    <n v="833"/>
  </r>
  <r>
    <n v="3992"/>
    <x v="0"/>
    <x v="54"/>
    <x v="54"/>
    <x v="6"/>
    <x v="6"/>
    <x v="182"/>
    <n v="54091"/>
    <x v="78"/>
    <x v="49"/>
    <n v="5"/>
    <n v="833"/>
  </r>
  <r>
    <n v="3993"/>
    <x v="0"/>
    <x v="54"/>
    <x v="54"/>
    <x v="6"/>
    <x v="6"/>
    <x v="41"/>
    <n v="54098"/>
    <x v="30"/>
    <x v="30"/>
    <n v="2"/>
    <n v="667"/>
  </r>
  <r>
    <n v="3994"/>
    <x v="0"/>
    <x v="54"/>
    <x v="54"/>
    <x v="6"/>
    <x v="6"/>
    <x v="42"/>
    <n v="54105"/>
    <x v="47"/>
    <x v="46"/>
    <n v="3"/>
    <n v="750"/>
  </r>
  <r>
    <n v="3995"/>
    <x v="0"/>
    <x v="54"/>
    <x v="54"/>
    <x v="6"/>
    <x v="6"/>
    <x v="37"/>
    <n v="54112"/>
    <x v="33"/>
    <x v="33"/>
    <n v="4"/>
    <n v="800"/>
  </r>
  <r>
    <n v="3996"/>
    <x v="0"/>
    <x v="54"/>
    <x v="54"/>
    <x v="11"/>
    <x v="11"/>
    <x v="117"/>
    <n v="66007"/>
    <x v="44"/>
    <x v="111"/>
    <n v="30"/>
    <n v="600"/>
  </r>
  <r>
    <n v="3997"/>
    <x v="0"/>
    <x v="54"/>
    <x v="54"/>
    <x v="7"/>
    <x v="7"/>
    <x v="45"/>
    <n v="82035"/>
    <x v="32"/>
    <x v="32"/>
    <n v="14"/>
    <n v="1400"/>
  </r>
  <r>
    <n v="3998"/>
    <x v="0"/>
    <x v="54"/>
    <x v="54"/>
    <x v="7"/>
    <x v="7"/>
    <x v="195"/>
    <n v="82042"/>
    <x v="33"/>
    <x v="33"/>
    <n v="6"/>
    <n v="1200"/>
  </r>
  <r>
    <n v="3999"/>
    <x v="0"/>
    <x v="54"/>
    <x v="54"/>
    <x v="7"/>
    <x v="7"/>
    <x v="44"/>
    <n v="82049"/>
    <x v="44"/>
    <x v="111"/>
    <n v="55"/>
    <n v="1100"/>
  </r>
  <r>
    <n v="4000"/>
    <x v="0"/>
    <x v="54"/>
    <x v="54"/>
    <x v="7"/>
    <x v="7"/>
    <x v="197"/>
    <n v="82056"/>
    <x v="39"/>
    <x v="39"/>
    <n v="55"/>
    <n v="1222"/>
  </r>
  <r>
    <n v="4001"/>
    <x v="0"/>
    <x v="55"/>
    <x v="55"/>
    <x v="1"/>
    <x v="1"/>
    <x v="70"/>
    <n v="14007"/>
    <x v="26"/>
    <x v="59"/>
    <n v="450"/>
    <n v="1125"/>
  </r>
  <r>
    <n v="4002"/>
    <x v="0"/>
    <x v="55"/>
    <x v="55"/>
    <x v="1"/>
    <x v="1"/>
    <x v="143"/>
    <n v="14042"/>
    <x v="79"/>
    <x v="81"/>
    <n v="17500"/>
    <n v="1458"/>
  </r>
  <r>
    <n v="4003"/>
    <x v="0"/>
    <x v="55"/>
    <x v="55"/>
    <x v="1"/>
    <x v="1"/>
    <x v="107"/>
    <n v="14056"/>
    <x v="460"/>
    <x v="550"/>
    <n v="34000"/>
    <n v="1214"/>
  </r>
  <r>
    <n v="4004"/>
    <x v="0"/>
    <x v="55"/>
    <x v="55"/>
    <x v="1"/>
    <x v="1"/>
    <x v="13"/>
    <n v="14098"/>
    <x v="120"/>
    <x v="127"/>
    <n v="4500"/>
    <n v="1000"/>
  </r>
  <r>
    <n v="4005"/>
    <x v="0"/>
    <x v="55"/>
    <x v="55"/>
    <x v="1"/>
    <x v="1"/>
    <x v="8"/>
    <n v="14119"/>
    <x v="466"/>
    <x v="420"/>
    <n v="27700"/>
    <n v="1154"/>
  </r>
  <r>
    <n v="4006"/>
    <x v="0"/>
    <x v="55"/>
    <x v="55"/>
    <x v="1"/>
    <x v="1"/>
    <x v="7"/>
    <n v="14147"/>
    <x v="26"/>
    <x v="59"/>
    <n v="450"/>
    <n v="1125"/>
  </r>
  <r>
    <n v="4007"/>
    <x v="0"/>
    <x v="55"/>
    <x v="55"/>
    <x v="1"/>
    <x v="1"/>
    <x v="10"/>
    <n v="14161"/>
    <x v="524"/>
    <x v="537"/>
    <n v="78500"/>
    <n v="1454"/>
  </r>
  <r>
    <n v="4008"/>
    <x v="0"/>
    <x v="55"/>
    <x v="55"/>
    <x v="1"/>
    <x v="1"/>
    <x v="90"/>
    <n v="14182"/>
    <x v="57"/>
    <x v="56"/>
    <n v="1600"/>
    <n v="1333"/>
  </r>
  <r>
    <n v="4009"/>
    <x v="0"/>
    <x v="55"/>
    <x v="55"/>
    <x v="2"/>
    <x v="2"/>
    <x v="21"/>
    <n v="18007"/>
    <x v="225"/>
    <x v="106"/>
    <n v="15"/>
    <n v="357"/>
  </r>
  <r>
    <n v="4010"/>
    <x v="0"/>
    <x v="55"/>
    <x v="55"/>
    <x v="2"/>
    <x v="2"/>
    <x v="75"/>
    <n v="18014"/>
    <x v="34"/>
    <x v="512"/>
    <n v="0"/>
    <n v="0"/>
  </r>
  <r>
    <n v="4011"/>
    <x v="0"/>
    <x v="55"/>
    <x v="55"/>
    <x v="2"/>
    <x v="2"/>
    <x v="12"/>
    <n v="18021"/>
    <x v="31"/>
    <x v="32"/>
    <n v="5"/>
    <n v="500"/>
  </r>
  <r>
    <n v="4012"/>
    <x v="0"/>
    <x v="55"/>
    <x v="55"/>
    <x v="2"/>
    <x v="2"/>
    <x v="43"/>
    <n v="18028"/>
    <x v="34"/>
    <x v="34"/>
    <n v="1"/>
    <n v="500"/>
  </r>
  <r>
    <n v="4013"/>
    <x v="0"/>
    <x v="55"/>
    <x v="55"/>
    <x v="2"/>
    <x v="2"/>
    <x v="25"/>
    <n v="18035"/>
    <x v="30"/>
    <x v="30"/>
    <n v="1"/>
    <n v="333"/>
  </r>
  <r>
    <n v="4014"/>
    <x v="0"/>
    <x v="55"/>
    <x v="55"/>
    <x v="2"/>
    <x v="2"/>
    <x v="17"/>
    <n v="18042"/>
    <x v="31"/>
    <x v="13"/>
    <n v="6"/>
    <n v="500"/>
  </r>
  <r>
    <n v="4015"/>
    <x v="0"/>
    <x v="55"/>
    <x v="55"/>
    <x v="2"/>
    <x v="2"/>
    <x v="18"/>
    <n v="18049"/>
    <x v="33"/>
    <x v="33"/>
    <n v="2"/>
    <n v="400"/>
  </r>
  <r>
    <n v="4016"/>
    <x v="0"/>
    <x v="55"/>
    <x v="55"/>
    <x v="2"/>
    <x v="2"/>
    <x v="72"/>
    <n v="18063"/>
    <x v="125"/>
    <x v="290"/>
    <n v="13"/>
    <n v="419"/>
  </r>
  <r>
    <n v="4017"/>
    <x v="0"/>
    <x v="55"/>
    <x v="55"/>
    <x v="2"/>
    <x v="2"/>
    <x v="26"/>
    <n v="18070"/>
    <x v="32"/>
    <x v="49"/>
    <n v="2"/>
    <n v="333"/>
  </r>
  <r>
    <n v="4018"/>
    <x v="0"/>
    <x v="55"/>
    <x v="55"/>
    <x v="2"/>
    <x v="2"/>
    <x v="22"/>
    <n v="18084"/>
    <x v="72"/>
    <x v="72"/>
    <n v="13"/>
    <n v="433"/>
  </r>
  <r>
    <n v="4019"/>
    <x v="0"/>
    <x v="55"/>
    <x v="55"/>
    <x v="2"/>
    <x v="2"/>
    <x v="16"/>
    <n v="18091"/>
    <x v="29"/>
    <x v="33"/>
    <n v="1"/>
    <n v="200"/>
  </r>
  <r>
    <n v="4020"/>
    <x v="0"/>
    <x v="55"/>
    <x v="55"/>
    <x v="2"/>
    <x v="2"/>
    <x v="71"/>
    <n v="18098"/>
    <x v="32"/>
    <x v="67"/>
    <n v="4"/>
    <n v="500"/>
  </r>
  <r>
    <n v="4021"/>
    <x v="0"/>
    <x v="55"/>
    <x v="55"/>
    <x v="2"/>
    <x v="2"/>
    <x v="78"/>
    <n v="18105"/>
    <x v="33"/>
    <x v="33"/>
    <n v="2"/>
    <n v="400"/>
  </r>
  <r>
    <n v="4022"/>
    <x v="0"/>
    <x v="55"/>
    <x v="55"/>
    <x v="2"/>
    <x v="2"/>
    <x v="15"/>
    <n v="18112"/>
    <x v="30"/>
    <x v="30"/>
    <n v="1"/>
    <n v="333"/>
  </r>
  <r>
    <n v="4023"/>
    <x v="0"/>
    <x v="55"/>
    <x v="55"/>
    <x v="2"/>
    <x v="2"/>
    <x v="77"/>
    <n v="18119"/>
    <x v="33"/>
    <x v="33"/>
    <n v="2"/>
    <n v="400"/>
  </r>
  <r>
    <n v="4024"/>
    <x v="0"/>
    <x v="55"/>
    <x v="55"/>
    <x v="2"/>
    <x v="2"/>
    <x v="23"/>
    <n v="18126"/>
    <x v="33"/>
    <x v="33"/>
    <n v="2"/>
    <n v="400"/>
  </r>
  <r>
    <n v="4025"/>
    <x v="0"/>
    <x v="55"/>
    <x v="55"/>
    <x v="2"/>
    <x v="2"/>
    <x v="19"/>
    <n v="18133"/>
    <x v="29"/>
    <x v="33"/>
    <n v="2"/>
    <n v="400"/>
  </r>
  <r>
    <n v="4026"/>
    <x v="0"/>
    <x v="55"/>
    <x v="55"/>
    <x v="2"/>
    <x v="2"/>
    <x v="24"/>
    <n v="18140"/>
    <x v="72"/>
    <x v="40"/>
    <n v="9"/>
    <n v="429"/>
  </r>
  <r>
    <n v="4027"/>
    <x v="0"/>
    <x v="55"/>
    <x v="55"/>
    <x v="2"/>
    <x v="2"/>
    <x v="20"/>
    <n v="18147"/>
    <x v="32"/>
    <x v="32"/>
    <n v="5"/>
    <n v="500"/>
  </r>
  <r>
    <n v="4028"/>
    <x v="0"/>
    <x v="55"/>
    <x v="55"/>
    <x v="2"/>
    <x v="2"/>
    <x v="76"/>
    <n v="18154"/>
    <x v="47"/>
    <x v="30"/>
    <n v="2"/>
    <n v="667"/>
  </r>
  <r>
    <n v="4029"/>
    <x v="0"/>
    <x v="55"/>
    <x v="55"/>
    <x v="2"/>
    <x v="2"/>
    <x v="74"/>
    <n v="18161"/>
    <x v="31"/>
    <x v="13"/>
    <n v="7"/>
    <n v="583"/>
  </r>
  <r>
    <n v="4030"/>
    <x v="0"/>
    <x v="55"/>
    <x v="55"/>
    <x v="2"/>
    <x v="2"/>
    <x v="27"/>
    <n v="18168"/>
    <x v="107"/>
    <x v="100"/>
    <n v="8"/>
    <n v="471"/>
  </r>
  <r>
    <n v="4031"/>
    <x v="0"/>
    <x v="55"/>
    <x v="55"/>
    <x v="4"/>
    <x v="4"/>
    <x v="31"/>
    <n v="34021"/>
    <x v="31"/>
    <x v="512"/>
    <n v="0"/>
    <n v="0"/>
  </r>
  <r>
    <n v="4032"/>
    <x v="0"/>
    <x v="55"/>
    <x v="55"/>
    <x v="4"/>
    <x v="4"/>
    <x v="34"/>
    <n v="34035"/>
    <x v="31"/>
    <x v="33"/>
    <n v="4"/>
    <n v="800"/>
  </r>
  <r>
    <n v="4033"/>
    <x v="0"/>
    <x v="55"/>
    <x v="55"/>
    <x v="4"/>
    <x v="4"/>
    <x v="30"/>
    <n v="34049"/>
    <x v="32"/>
    <x v="33"/>
    <n v="3"/>
    <n v="600"/>
  </r>
  <r>
    <n v="4034"/>
    <x v="0"/>
    <x v="55"/>
    <x v="55"/>
    <x v="6"/>
    <x v="6"/>
    <x v="174"/>
    <n v="54119"/>
    <x v="77"/>
    <x v="67"/>
    <n v="4"/>
    <n v="500"/>
  </r>
  <r>
    <n v="4035"/>
    <x v="0"/>
    <x v="55"/>
    <x v="55"/>
    <x v="6"/>
    <x v="6"/>
    <x v="39"/>
    <n v="54007"/>
    <x v="132"/>
    <x v="77"/>
    <n v="9"/>
    <n v="643"/>
  </r>
  <r>
    <n v="4036"/>
    <x v="0"/>
    <x v="55"/>
    <x v="55"/>
    <x v="6"/>
    <x v="6"/>
    <x v="114"/>
    <n v="54014"/>
    <x v="13"/>
    <x v="136"/>
    <n v="7"/>
    <n v="636"/>
  </r>
  <r>
    <n v="4037"/>
    <x v="0"/>
    <x v="55"/>
    <x v="55"/>
    <x v="6"/>
    <x v="6"/>
    <x v="40"/>
    <n v="54021"/>
    <x v="132"/>
    <x v="135"/>
    <n v="7"/>
    <n v="538"/>
  </r>
  <r>
    <n v="4038"/>
    <x v="0"/>
    <x v="55"/>
    <x v="55"/>
    <x v="6"/>
    <x v="6"/>
    <x v="12"/>
    <n v="54028"/>
    <x v="34"/>
    <x v="34"/>
    <n v="1"/>
    <n v="500"/>
  </r>
  <r>
    <n v="4039"/>
    <x v="0"/>
    <x v="55"/>
    <x v="55"/>
    <x v="6"/>
    <x v="6"/>
    <x v="43"/>
    <n v="54035"/>
    <x v="33"/>
    <x v="33"/>
    <n v="3"/>
    <n v="600"/>
  </r>
  <r>
    <n v="4040"/>
    <x v="0"/>
    <x v="55"/>
    <x v="55"/>
    <x v="6"/>
    <x v="6"/>
    <x v="185"/>
    <n v="54042"/>
    <x v="32"/>
    <x v="32"/>
    <n v="7"/>
    <n v="700"/>
  </r>
  <r>
    <n v="4041"/>
    <x v="0"/>
    <x v="55"/>
    <x v="55"/>
    <x v="6"/>
    <x v="6"/>
    <x v="192"/>
    <n v="54049"/>
    <x v="107"/>
    <x v="79"/>
    <n v="9"/>
    <n v="563"/>
  </r>
  <r>
    <n v="4042"/>
    <x v="0"/>
    <x v="55"/>
    <x v="55"/>
    <x v="6"/>
    <x v="6"/>
    <x v="115"/>
    <n v="54056"/>
    <x v="13"/>
    <x v="136"/>
    <n v="7"/>
    <n v="636"/>
  </r>
  <r>
    <n v="4043"/>
    <x v="0"/>
    <x v="55"/>
    <x v="55"/>
    <x v="6"/>
    <x v="6"/>
    <x v="116"/>
    <n v="54063"/>
    <x v="30"/>
    <x v="30"/>
    <n v="2"/>
    <n v="667"/>
  </r>
  <r>
    <n v="4044"/>
    <x v="0"/>
    <x v="55"/>
    <x v="55"/>
    <x v="6"/>
    <x v="6"/>
    <x v="183"/>
    <n v="54070"/>
    <x v="170"/>
    <x v="135"/>
    <n v="8"/>
    <n v="615"/>
  </r>
  <r>
    <n v="4045"/>
    <x v="0"/>
    <x v="55"/>
    <x v="55"/>
    <x v="6"/>
    <x v="6"/>
    <x v="88"/>
    <n v="54077"/>
    <x v="33"/>
    <x v="33"/>
    <n v="3"/>
    <n v="600"/>
  </r>
  <r>
    <n v="4046"/>
    <x v="0"/>
    <x v="55"/>
    <x v="55"/>
    <x v="6"/>
    <x v="6"/>
    <x v="184"/>
    <n v="54084"/>
    <x v="32"/>
    <x v="32"/>
    <n v="6"/>
    <n v="600"/>
  </r>
  <r>
    <n v="4047"/>
    <x v="0"/>
    <x v="55"/>
    <x v="55"/>
    <x v="6"/>
    <x v="6"/>
    <x v="182"/>
    <n v="54091"/>
    <x v="32"/>
    <x v="32"/>
    <n v="7"/>
    <n v="700"/>
  </r>
  <r>
    <n v="4048"/>
    <x v="0"/>
    <x v="55"/>
    <x v="55"/>
    <x v="6"/>
    <x v="6"/>
    <x v="41"/>
    <n v="54098"/>
    <x v="47"/>
    <x v="46"/>
    <n v="2"/>
    <n v="500"/>
  </r>
  <r>
    <n v="4049"/>
    <x v="0"/>
    <x v="55"/>
    <x v="55"/>
    <x v="6"/>
    <x v="6"/>
    <x v="42"/>
    <n v="54105"/>
    <x v="78"/>
    <x v="49"/>
    <n v="3"/>
    <n v="500"/>
  </r>
  <r>
    <n v="4050"/>
    <x v="0"/>
    <x v="55"/>
    <x v="55"/>
    <x v="6"/>
    <x v="6"/>
    <x v="37"/>
    <n v="54112"/>
    <x v="32"/>
    <x v="52"/>
    <n v="5"/>
    <n v="556"/>
  </r>
  <r>
    <n v="4051"/>
    <x v="0"/>
    <x v="55"/>
    <x v="55"/>
    <x v="7"/>
    <x v="7"/>
    <x v="45"/>
    <n v="82035"/>
    <x v="13"/>
    <x v="13"/>
    <n v="12"/>
    <n v="1000"/>
  </r>
  <r>
    <n v="4052"/>
    <x v="0"/>
    <x v="55"/>
    <x v="55"/>
    <x v="7"/>
    <x v="7"/>
    <x v="195"/>
    <n v="82042"/>
    <x v="33"/>
    <x v="33"/>
    <n v="5"/>
    <n v="1000"/>
  </r>
  <r>
    <n v="4053"/>
    <x v="0"/>
    <x v="55"/>
    <x v="55"/>
    <x v="7"/>
    <x v="7"/>
    <x v="44"/>
    <n v="82049"/>
    <x v="38"/>
    <x v="38"/>
    <n v="55"/>
    <n v="1000"/>
  </r>
  <r>
    <n v="4054"/>
    <x v="0"/>
    <x v="55"/>
    <x v="55"/>
    <x v="7"/>
    <x v="7"/>
    <x v="197"/>
    <n v="82056"/>
    <x v="146"/>
    <x v="202"/>
    <n v="28"/>
    <n v="1000"/>
  </r>
  <r>
    <n v="4055"/>
    <x v="0"/>
    <x v="56"/>
    <x v="56"/>
    <x v="1"/>
    <x v="1"/>
    <x v="70"/>
    <n v="14007"/>
    <x v="14"/>
    <x v="14"/>
    <n v="700"/>
    <n v="1400"/>
  </r>
  <r>
    <n v="4056"/>
    <x v="0"/>
    <x v="56"/>
    <x v="56"/>
    <x v="1"/>
    <x v="1"/>
    <x v="143"/>
    <n v="14042"/>
    <x v="222"/>
    <x v="233"/>
    <n v="21000"/>
    <n v="1500"/>
  </r>
  <r>
    <n v="4057"/>
    <x v="0"/>
    <x v="56"/>
    <x v="56"/>
    <x v="1"/>
    <x v="1"/>
    <x v="107"/>
    <n v="14056"/>
    <x v="367"/>
    <x v="543"/>
    <n v="70000"/>
    <n v="2000"/>
  </r>
  <r>
    <n v="4058"/>
    <x v="0"/>
    <x v="56"/>
    <x v="56"/>
    <x v="1"/>
    <x v="1"/>
    <x v="13"/>
    <n v="14098"/>
    <x v="382"/>
    <x v="220"/>
    <n v="11200"/>
    <n v="1600"/>
  </r>
  <r>
    <n v="4059"/>
    <x v="0"/>
    <x v="56"/>
    <x v="56"/>
    <x v="1"/>
    <x v="1"/>
    <x v="8"/>
    <n v="14119"/>
    <x v="386"/>
    <x v="401"/>
    <n v="40000"/>
    <n v="1600"/>
  </r>
  <r>
    <n v="4060"/>
    <x v="0"/>
    <x v="56"/>
    <x v="56"/>
    <x v="1"/>
    <x v="1"/>
    <x v="7"/>
    <n v="14147"/>
    <x v="525"/>
    <x v="451"/>
    <n v="5180"/>
    <n v="1400"/>
  </r>
  <r>
    <n v="4061"/>
    <x v="0"/>
    <x v="56"/>
    <x v="56"/>
    <x v="1"/>
    <x v="1"/>
    <x v="10"/>
    <n v="14161"/>
    <x v="526"/>
    <x v="566"/>
    <n v="83720"/>
    <n v="1441"/>
  </r>
  <r>
    <n v="4062"/>
    <x v="0"/>
    <x v="56"/>
    <x v="56"/>
    <x v="1"/>
    <x v="1"/>
    <x v="90"/>
    <n v="14182"/>
    <x v="80"/>
    <x v="82"/>
    <n v="2700"/>
    <n v="1500"/>
  </r>
  <r>
    <n v="4063"/>
    <x v="0"/>
    <x v="56"/>
    <x v="56"/>
    <x v="2"/>
    <x v="2"/>
    <x v="21"/>
    <n v="18007"/>
    <x v="274"/>
    <x v="262"/>
    <n v="32"/>
    <n v="780"/>
  </r>
  <r>
    <n v="4064"/>
    <x v="0"/>
    <x v="56"/>
    <x v="56"/>
    <x v="2"/>
    <x v="2"/>
    <x v="75"/>
    <n v="18014"/>
    <x v="34"/>
    <x v="34"/>
    <n v="1"/>
    <n v="500"/>
  </r>
  <r>
    <n v="4065"/>
    <x v="0"/>
    <x v="56"/>
    <x v="56"/>
    <x v="2"/>
    <x v="2"/>
    <x v="12"/>
    <n v="18021"/>
    <x v="170"/>
    <x v="77"/>
    <n v="11"/>
    <n v="786"/>
  </r>
  <r>
    <n v="4066"/>
    <x v="0"/>
    <x v="56"/>
    <x v="56"/>
    <x v="2"/>
    <x v="2"/>
    <x v="43"/>
    <n v="18028"/>
    <x v="34"/>
    <x v="34"/>
    <n v="1"/>
    <n v="500"/>
  </r>
  <r>
    <n v="4067"/>
    <x v="0"/>
    <x v="56"/>
    <x v="56"/>
    <x v="2"/>
    <x v="2"/>
    <x v="25"/>
    <n v="18035"/>
    <x v="30"/>
    <x v="30"/>
    <n v="2"/>
    <n v="667"/>
  </r>
  <r>
    <n v="4068"/>
    <x v="0"/>
    <x v="56"/>
    <x v="56"/>
    <x v="2"/>
    <x v="2"/>
    <x v="17"/>
    <n v="18042"/>
    <x v="170"/>
    <x v="77"/>
    <n v="9"/>
    <n v="643"/>
  </r>
  <r>
    <n v="4069"/>
    <x v="0"/>
    <x v="56"/>
    <x v="56"/>
    <x v="2"/>
    <x v="2"/>
    <x v="18"/>
    <n v="18049"/>
    <x v="33"/>
    <x v="33"/>
    <n v="3"/>
    <n v="600"/>
  </r>
  <r>
    <n v="4070"/>
    <x v="0"/>
    <x v="56"/>
    <x v="56"/>
    <x v="2"/>
    <x v="2"/>
    <x v="72"/>
    <n v="18063"/>
    <x v="131"/>
    <x v="139"/>
    <n v="28"/>
    <n v="800"/>
  </r>
  <r>
    <n v="4071"/>
    <x v="0"/>
    <x v="56"/>
    <x v="56"/>
    <x v="2"/>
    <x v="2"/>
    <x v="26"/>
    <n v="18070"/>
    <x v="53"/>
    <x v="52"/>
    <n v="5"/>
    <n v="556"/>
  </r>
  <r>
    <n v="4072"/>
    <x v="0"/>
    <x v="56"/>
    <x v="56"/>
    <x v="2"/>
    <x v="2"/>
    <x v="22"/>
    <n v="18084"/>
    <x v="92"/>
    <x v="78"/>
    <n v="18"/>
    <n v="720"/>
  </r>
  <r>
    <n v="4073"/>
    <x v="0"/>
    <x v="56"/>
    <x v="56"/>
    <x v="2"/>
    <x v="2"/>
    <x v="16"/>
    <n v="18091"/>
    <x v="77"/>
    <x v="67"/>
    <n v="5"/>
    <n v="625"/>
  </r>
  <r>
    <n v="4074"/>
    <x v="0"/>
    <x v="56"/>
    <x v="56"/>
    <x v="2"/>
    <x v="2"/>
    <x v="71"/>
    <n v="18098"/>
    <x v="53"/>
    <x v="52"/>
    <n v="6"/>
    <n v="667"/>
  </r>
  <r>
    <n v="4075"/>
    <x v="0"/>
    <x v="56"/>
    <x v="56"/>
    <x v="2"/>
    <x v="2"/>
    <x v="78"/>
    <n v="18105"/>
    <x v="33"/>
    <x v="33"/>
    <n v="3"/>
    <n v="600"/>
  </r>
  <r>
    <n v="4076"/>
    <x v="0"/>
    <x v="56"/>
    <x v="56"/>
    <x v="2"/>
    <x v="2"/>
    <x v="15"/>
    <n v="18112"/>
    <x v="30"/>
    <x v="30"/>
    <n v="2"/>
    <n v="667"/>
  </r>
  <r>
    <n v="4077"/>
    <x v="0"/>
    <x v="56"/>
    <x v="56"/>
    <x v="2"/>
    <x v="2"/>
    <x v="77"/>
    <n v="18119"/>
    <x v="33"/>
    <x v="33"/>
    <n v="3"/>
    <n v="600"/>
  </r>
  <r>
    <n v="4078"/>
    <x v="0"/>
    <x v="56"/>
    <x v="56"/>
    <x v="2"/>
    <x v="2"/>
    <x v="23"/>
    <n v="18126"/>
    <x v="33"/>
    <x v="33"/>
    <n v="3"/>
    <n v="600"/>
  </r>
  <r>
    <n v="4079"/>
    <x v="0"/>
    <x v="56"/>
    <x v="56"/>
    <x v="2"/>
    <x v="2"/>
    <x v="19"/>
    <n v="18133"/>
    <x v="29"/>
    <x v="29"/>
    <n v="4"/>
    <n v="571"/>
  </r>
  <r>
    <n v="4080"/>
    <x v="0"/>
    <x v="56"/>
    <x v="56"/>
    <x v="2"/>
    <x v="2"/>
    <x v="24"/>
    <n v="18140"/>
    <x v="45"/>
    <x v="80"/>
    <n v="14"/>
    <n v="700"/>
  </r>
  <r>
    <n v="4081"/>
    <x v="0"/>
    <x v="56"/>
    <x v="56"/>
    <x v="2"/>
    <x v="2"/>
    <x v="20"/>
    <n v="18147"/>
    <x v="77"/>
    <x v="67"/>
    <n v="7"/>
    <n v="875"/>
  </r>
  <r>
    <n v="4082"/>
    <x v="0"/>
    <x v="56"/>
    <x v="56"/>
    <x v="2"/>
    <x v="2"/>
    <x v="76"/>
    <n v="18154"/>
    <x v="47"/>
    <x v="46"/>
    <n v="3"/>
    <n v="750"/>
  </r>
  <r>
    <n v="4083"/>
    <x v="0"/>
    <x v="56"/>
    <x v="56"/>
    <x v="2"/>
    <x v="2"/>
    <x v="74"/>
    <n v="18161"/>
    <x v="128"/>
    <x v="135"/>
    <n v="10"/>
    <n v="769"/>
  </r>
  <r>
    <n v="4084"/>
    <x v="0"/>
    <x v="56"/>
    <x v="56"/>
    <x v="2"/>
    <x v="2"/>
    <x v="27"/>
    <n v="18168"/>
    <x v="128"/>
    <x v="135"/>
    <n v="10"/>
    <n v="769"/>
  </r>
  <r>
    <n v="4085"/>
    <x v="0"/>
    <x v="56"/>
    <x v="56"/>
    <x v="4"/>
    <x v="4"/>
    <x v="31"/>
    <n v="34021"/>
    <x v="13"/>
    <x v="13"/>
    <n v="12"/>
    <n v="1000"/>
  </r>
  <r>
    <n v="4086"/>
    <x v="0"/>
    <x v="56"/>
    <x v="56"/>
    <x v="4"/>
    <x v="4"/>
    <x v="34"/>
    <n v="34035"/>
    <x v="13"/>
    <x v="13"/>
    <n v="10"/>
    <n v="833"/>
  </r>
  <r>
    <n v="4087"/>
    <x v="0"/>
    <x v="56"/>
    <x v="56"/>
    <x v="4"/>
    <x v="4"/>
    <x v="30"/>
    <n v="34049"/>
    <x v="78"/>
    <x v="49"/>
    <n v="6"/>
    <n v="1000"/>
  </r>
  <r>
    <n v="4088"/>
    <x v="0"/>
    <x v="56"/>
    <x v="56"/>
    <x v="6"/>
    <x v="6"/>
    <x v="174"/>
    <n v="54119"/>
    <x v="50"/>
    <x v="136"/>
    <n v="9"/>
    <n v="818"/>
  </r>
  <r>
    <n v="4089"/>
    <x v="0"/>
    <x v="56"/>
    <x v="56"/>
    <x v="6"/>
    <x v="6"/>
    <x v="39"/>
    <n v="54007"/>
    <x v="32"/>
    <x v="32"/>
    <n v="9"/>
    <n v="900"/>
  </r>
  <r>
    <n v="4090"/>
    <x v="0"/>
    <x v="56"/>
    <x v="56"/>
    <x v="6"/>
    <x v="6"/>
    <x v="114"/>
    <n v="54014"/>
    <x v="45"/>
    <x v="80"/>
    <n v="17"/>
    <n v="850"/>
  </r>
  <r>
    <n v="4091"/>
    <x v="0"/>
    <x v="56"/>
    <x v="56"/>
    <x v="6"/>
    <x v="6"/>
    <x v="40"/>
    <n v="54021"/>
    <x v="32"/>
    <x v="32"/>
    <n v="7"/>
    <n v="700"/>
  </r>
  <r>
    <n v="4092"/>
    <x v="0"/>
    <x v="56"/>
    <x v="56"/>
    <x v="6"/>
    <x v="6"/>
    <x v="12"/>
    <n v="54028"/>
    <x v="30"/>
    <x v="30"/>
    <n v="2"/>
    <n v="667"/>
  </r>
  <r>
    <n v="4093"/>
    <x v="0"/>
    <x v="56"/>
    <x v="56"/>
    <x v="6"/>
    <x v="6"/>
    <x v="43"/>
    <n v="54035"/>
    <x v="34"/>
    <x v="34"/>
    <n v="1"/>
    <n v="500"/>
  </r>
  <r>
    <n v="4094"/>
    <x v="0"/>
    <x v="56"/>
    <x v="56"/>
    <x v="6"/>
    <x v="6"/>
    <x v="185"/>
    <n v="54042"/>
    <x v="30"/>
    <x v="30"/>
    <n v="2"/>
    <n v="667"/>
  </r>
  <r>
    <n v="4095"/>
    <x v="0"/>
    <x v="56"/>
    <x v="56"/>
    <x v="6"/>
    <x v="6"/>
    <x v="192"/>
    <n v="54049"/>
    <x v="132"/>
    <x v="79"/>
    <n v="12"/>
    <n v="750"/>
  </r>
  <r>
    <n v="4096"/>
    <x v="0"/>
    <x v="56"/>
    <x v="56"/>
    <x v="6"/>
    <x v="6"/>
    <x v="115"/>
    <n v="54056"/>
    <x v="132"/>
    <x v="79"/>
    <n v="14"/>
    <n v="875"/>
  </r>
  <r>
    <n v="4097"/>
    <x v="0"/>
    <x v="56"/>
    <x v="56"/>
    <x v="6"/>
    <x v="6"/>
    <x v="116"/>
    <n v="54063"/>
    <x v="33"/>
    <x v="33"/>
    <n v="4"/>
    <n v="800"/>
  </r>
  <r>
    <n v="4098"/>
    <x v="0"/>
    <x v="56"/>
    <x v="56"/>
    <x v="6"/>
    <x v="6"/>
    <x v="183"/>
    <n v="54070"/>
    <x v="31"/>
    <x v="31"/>
    <n v="12"/>
    <n v="800"/>
  </r>
  <r>
    <n v="4099"/>
    <x v="0"/>
    <x v="56"/>
    <x v="56"/>
    <x v="6"/>
    <x v="6"/>
    <x v="88"/>
    <n v="54077"/>
    <x v="30"/>
    <x v="30"/>
    <n v="2"/>
    <n v="667"/>
  </r>
  <r>
    <n v="4100"/>
    <x v="0"/>
    <x v="56"/>
    <x v="56"/>
    <x v="6"/>
    <x v="6"/>
    <x v="184"/>
    <n v="54084"/>
    <x v="47"/>
    <x v="46"/>
    <n v="3"/>
    <n v="750"/>
  </r>
  <r>
    <n v="4101"/>
    <x v="0"/>
    <x v="56"/>
    <x v="56"/>
    <x v="6"/>
    <x v="6"/>
    <x v="182"/>
    <n v="54091"/>
    <x v="128"/>
    <x v="135"/>
    <n v="12"/>
    <n v="923"/>
  </r>
  <r>
    <n v="4102"/>
    <x v="0"/>
    <x v="56"/>
    <x v="56"/>
    <x v="6"/>
    <x v="6"/>
    <x v="41"/>
    <n v="54098"/>
    <x v="34"/>
    <x v="34"/>
    <n v="1"/>
    <n v="500"/>
  </r>
  <r>
    <n v="4103"/>
    <x v="0"/>
    <x v="56"/>
    <x v="56"/>
    <x v="6"/>
    <x v="6"/>
    <x v="42"/>
    <n v="54105"/>
    <x v="132"/>
    <x v="79"/>
    <n v="13"/>
    <n v="813"/>
  </r>
  <r>
    <n v="4104"/>
    <x v="0"/>
    <x v="56"/>
    <x v="56"/>
    <x v="6"/>
    <x v="6"/>
    <x v="37"/>
    <n v="54112"/>
    <x v="50"/>
    <x v="136"/>
    <n v="8"/>
    <n v="727"/>
  </r>
  <r>
    <n v="4105"/>
    <x v="0"/>
    <x v="56"/>
    <x v="56"/>
    <x v="7"/>
    <x v="7"/>
    <x v="195"/>
    <n v="82042"/>
    <x v="123"/>
    <x v="131"/>
    <n v="120"/>
    <n v="1000"/>
  </r>
  <r>
    <n v="4106"/>
    <x v="0"/>
    <x v="56"/>
    <x v="56"/>
    <x v="7"/>
    <x v="7"/>
    <x v="44"/>
    <n v="82049"/>
    <x v="125"/>
    <x v="45"/>
    <n v="44"/>
    <n v="1100"/>
  </r>
  <r>
    <n v="4107"/>
    <x v="0"/>
    <x v="57"/>
    <x v="57"/>
    <x v="1"/>
    <x v="1"/>
    <x v="70"/>
    <n v="14007"/>
    <x v="18"/>
    <x v="18"/>
    <n v="290"/>
    <n v="1450"/>
  </r>
  <r>
    <n v="4108"/>
    <x v="0"/>
    <x v="57"/>
    <x v="57"/>
    <x v="1"/>
    <x v="1"/>
    <x v="143"/>
    <n v="14042"/>
    <x v="79"/>
    <x v="81"/>
    <n v="18000"/>
    <n v="1500"/>
  </r>
  <r>
    <n v="4109"/>
    <x v="0"/>
    <x v="57"/>
    <x v="57"/>
    <x v="1"/>
    <x v="1"/>
    <x v="107"/>
    <n v="14056"/>
    <x v="527"/>
    <x v="567"/>
    <n v="85700"/>
    <n v="1993"/>
  </r>
  <r>
    <n v="4110"/>
    <x v="0"/>
    <x v="57"/>
    <x v="57"/>
    <x v="1"/>
    <x v="1"/>
    <x v="13"/>
    <n v="14098"/>
    <x v="151"/>
    <x v="538"/>
    <n v="12000"/>
    <n v="1600"/>
  </r>
  <r>
    <n v="4111"/>
    <x v="0"/>
    <x v="57"/>
    <x v="57"/>
    <x v="1"/>
    <x v="1"/>
    <x v="8"/>
    <n v="14119"/>
    <x v="386"/>
    <x v="401"/>
    <n v="40000"/>
    <n v="1600"/>
  </r>
  <r>
    <n v="4112"/>
    <x v="0"/>
    <x v="57"/>
    <x v="57"/>
    <x v="1"/>
    <x v="1"/>
    <x v="7"/>
    <n v="14147"/>
    <x v="11"/>
    <x v="11"/>
    <n v="1400"/>
    <n v="1400"/>
  </r>
  <r>
    <n v="4113"/>
    <x v="0"/>
    <x v="57"/>
    <x v="57"/>
    <x v="1"/>
    <x v="1"/>
    <x v="10"/>
    <n v="14161"/>
    <x v="429"/>
    <x v="568"/>
    <n v="79560"/>
    <n v="1447"/>
  </r>
  <r>
    <n v="4114"/>
    <x v="0"/>
    <x v="57"/>
    <x v="57"/>
    <x v="1"/>
    <x v="1"/>
    <x v="90"/>
    <n v="14182"/>
    <x v="80"/>
    <x v="82"/>
    <n v="2700"/>
    <n v="1500"/>
  </r>
  <r>
    <n v="4115"/>
    <x v="0"/>
    <x v="57"/>
    <x v="57"/>
    <x v="2"/>
    <x v="2"/>
    <x v="21"/>
    <n v="18007"/>
    <x v="72"/>
    <x v="72"/>
    <n v="13"/>
    <n v="433"/>
  </r>
  <r>
    <n v="4116"/>
    <x v="0"/>
    <x v="57"/>
    <x v="57"/>
    <x v="2"/>
    <x v="2"/>
    <x v="12"/>
    <n v="18021"/>
    <x v="77"/>
    <x v="67"/>
    <n v="3"/>
    <n v="375"/>
  </r>
  <r>
    <n v="4117"/>
    <x v="0"/>
    <x v="57"/>
    <x v="57"/>
    <x v="2"/>
    <x v="2"/>
    <x v="43"/>
    <n v="18028"/>
    <x v="34"/>
    <x v="34"/>
    <n v="1"/>
    <n v="500"/>
  </r>
  <r>
    <n v="4118"/>
    <x v="0"/>
    <x v="57"/>
    <x v="57"/>
    <x v="2"/>
    <x v="2"/>
    <x v="25"/>
    <n v="18035"/>
    <x v="48"/>
    <x v="47"/>
    <n v="1"/>
    <n v="1000"/>
  </r>
  <r>
    <n v="4119"/>
    <x v="0"/>
    <x v="57"/>
    <x v="57"/>
    <x v="2"/>
    <x v="2"/>
    <x v="17"/>
    <n v="18042"/>
    <x v="95"/>
    <x v="140"/>
    <n v="8"/>
    <n v="444"/>
  </r>
  <r>
    <n v="4120"/>
    <x v="0"/>
    <x v="57"/>
    <x v="57"/>
    <x v="2"/>
    <x v="2"/>
    <x v="72"/>
    <n v="18063"/>
    <x v="45"/>
    <x v="80"/>
    <n v="6"/>
    <n v="300"/>
  </r>
  <r>
    <n v="4121"/>
    <x v="0"/>
    <x v="57"/>
    <x v="57"/>
    <x v="2"/>
    <x v="2"/>
    <x v="26"/>
    <n v="18070"/>
    <x v="33"/>
    <x v="33"/>
    <n v="2"/>
    <n v="400"/>
  </r>
  <r>
    <n v="4122"/>
    <x v="0"/>
    <x v="57"/>
    <x v="57"/>
    <x v="2"/>
    <x v="2"/>
    <x v="22"/>
    <n v="18084"/>
    <x v="45"/>
    <x v="80"/>
    <n v="6"/>
    <n v="300"/>
  </r>
  <r>
    <n v="4123"/>
    <x v="0"/>
    <x v="57"/>
    <x v="57"/>
    <x v="2"/>
    <x v="2"/>
    <x v="16"/>
    <n v="18091"/>
    <x v="30"/>
    <x v="30"/>
    <n v="2"/>
    <n v="667"/>
  </r>
  <r>
    <n v="4124"/>
    <x v="0"/>
    <x v="57"/>
    <x v="57"/>
    <x v="2"/>
    <x v="2"/>
    <x v="71"/>
    <n v="18098"/>
    <x v="47"/>
    <x v="46"/>
    <n v="2"/>
    <n v="500"/>
  </r>
  <r>
    <n v="4125"/>
    <x v="0"/>
    <x v="57"/>
    <x v="57"/>
    <x v="2"/>
    <x v="2"/>
    <x v="78"/>
    <n v="18105"/>
    <x v="48"/>
    <x v="47"/>
    <n v="1"/>
    <n v="1000"/>
  </r>
  <r>
    <n v="4126"/>
    <x v="0"/>
    <x v="57"/>
    <x v="57"/>
    <x v="2"/>
    <x v="2"/>
    <x v="15"/>
    <n v="18112"/>
    <x v="33"/>
    <x v="33"/>
    <n v="2"/>
    <n v="400"/>
  </r>
  <r>
    <n v="4127"/>
    <x v="0"/>
    <x v="57"/>
    <x v="57"/>
    <x v="2"/>
    <x v="2"/>
    <x v="77"/>
    <n v="18119"/>
    <x v="30"/>
    <x v="30"/>
    <n v="1"/>
    <n v="333"/>
  </r>
  <r>
    <n v="4128"/>
    <x v="0"/>
    <x v="57"/>
    <x v="57"/>
    <x v="2"/>
    <x v="2"/>
    <x v="23"/>
    <n v="18126"/>
    <x v="30"/>
    <x v="30"/>
    <n v="1"/>
    <n v="333"/>
  </r>
  <r>
    <n v="4129"/>
    <x v="0"/>
    <x v="57"/>
    <x v="57"/>
    <x v="2"/>
    <x v="2"/>
    <x v="19"/>
    <n v="18133"/>
    <x v="47"/>
    <x v="46"/>
    <n v="2"/>
    <n v="500"/>
  </r>
  <r>
    <n v="4130"/>
    <x v="0"/>
    <x v="57"/>
    <x v="57"/>
    <x v="2"/>
    <x v="2"/>
    <x v="24"/>
    <n v="18140"/>
    <x v="45"/>
    <x v="80"/>
    <n v="10"/>
    <n v="500"/>
  </r>
  <r>
    <n v="4131"/>
    <x v="0"/>
    <x v="57"/>
    <x v="57"/>
    <x v="2"/>
    <x v="2"/>
    <x v="20"/>
    <n v="18147"/>
    <x v="29"/>
    <x v="29"/>
    <n v="2"/>
    <n v="286"/>
  </r>
  <r>
    <n v="4132"/>
    <x v="0"/>
    <x v="57"/>
    <x v="57"/>
    <x v="2"/>
    <x v="2"/>
    <x v="76"/>
    <n v="18154"/>
    <x v="34"/>
    <x v="34"/>
    <n v="1"/>
    <n v="500"/>
  </r>
  <r>
    <n v="4133"/>
    <x v="0"/>
    <x v="57"/>
    <x v="57"/>
    <x v="2"/>
    <x v="2"/>
    <x v="74"/>
    <n v="18161"/>
    <x v="32"/>
    <x v="32"/>
    <n v="5"/>
    <n v="500"/>
  </r>
  <r>
    <n v="4134"/>
    <x v="0"/>
    <x v="57"/>
    <x v="57"/>
    <x v="2"/>
    <x v="2"/>
    <x v="27"/>
    <n v="18168"/>
    <x v="47"/>
    <x v="46"/>
    <n v="1"/>
    <n v="250"/>
  </r>
  <r>
    <n v="4135"/>
    <x v="0"/>
    <x v="57"/>
    <x v="57"/>
    <x v="4"/>
    <x v="4"/>
    <x v="31"/>
    <n v="34021"/>
    <x v="47"/>
    <x v="46"/>
    <n v="4"/>
    <n v="1000"/>
  </r>
  <r>
    <n v="4136"/>
    <x v="0"/>
    <x v="57"/>
    <x v="57"/>
    <x v="4"/>
    <x v="4"/>
    <x v="34"/>
    <n v="34035"/>
    <x v="47"/>
    <x v="46"/>
    <n v="3"/>
    <n v="750"/>
  </r>
  <r>
    <n v="4137"/>
    <x v="0"/>
    <x v="57"/>
    <x v="57"/>
    <x v="4"/>
    <x v="4"/>
    <x v="30"/>
    <n v="34049"/>
    <x v="78"/>
    <x v="49"/>
    <n v="7"/>
    <n v="1167"/>
  </r>
  <r>
    <n v="4138"/>
    <x v="0"/>
    <x v="57"/>
    <x v="57"/>
    <x v="4"/>
    <x v="4"/>
    <x v="33"/>
    <n v="34056"/>
    <x v="34"/>
    <x v="34"/>
    <n v="2"/>
    <n v="1000"/>
  </r>
  <r>
    <n v="4139"/>
    <x v="0"/>
    <x v="57"/>
    <x v="57"/>
    <x v="6"/>
    <x v="6"/>
    <x v="174"/>
    <n v="54119"/>
    <x v="45"/>
    <x v="80"/>
    <n v="17"/>
    <n v="850"/>
  </r>
  <r>
    <n v="4140"/>
    <x v="0"/>
    <x v="57"/>
    <x v="57"/>
    <x v="6"/>
    <x v="6"/>
    <x v="39"/>
    <n v="54007"/>
    <x v="45"/>
    <x v="80"/>
    <n v="16"/>
    <n v="800"/>
  </r>
  <r>
    <n v="4141"/>
    <x v="0"/>
    <x v="57"/>
    <x v="57"/>
    <x v="6"/>
    <x v="6"/>
    <x v="114"/>
    <n v="54014"/>
    <x v="96"/>
    <x v="102"/>
    <n v="26"/>
    <n v="813"/>
  </r>
  <r>
    <n v="4142"/>
    <x v="0"/>
    <x v="57"/>
    <x v="57"/>
    <x v="6"/>
    <x v="6"/>
    <x v="40"/>
    <n v="54021"/>
    <x v="95"/>
    <x v="140"/>
    <n v="13"/>
    <n v="722"/>
  </r>
  <r>
    <n v="4143"/>
    <x v="0"/>
    <x v="57"/>
    <x v="57"/>
    <x v="6"/>
    <x v="6"/>
    <x v="12"/>
    <n v="54028"/>
    <x v="29"/>
    <x v="29"/>
    <n v="6"/>
    <n v="857"/>
  </r>
  <r>
    <n v="4144"/>
    <x v="0"/>
    <x v="57"/>
    <x v="57"/>
    <x v="6"/>
    <x v="6"/>
    <x v="43"/>
    <n v="54035"/>
    <x v="33"/>
    <x v="33"/>
    <n v="4"/>
    <n v="800"/>
  </r>
  <r>
    <n v="4145"/>
    <x v="0"/>
    <x v="57"/>
    <x v="57"/>
    <x v="6"/>
    <x v="6"/>
    <x v="185"/>
    <n v="54042"/>
    <x v="29"/>
    <x v="29"/>
    <n v="6"/>
    <n v="857"/>
  </r>
  <r>
    <n v="4146"/>
    <x v="0"/>
    <x v="57"/>
    <x v="57"/>
    <x v="6"/>
    <x v="6"/>
    <x v="192"/>
    <n v="54049"/>
    <x v="6"/>
    <x v="6"/>
    <n v="19"/>
    <n v="792"/>
  </r>
  <r>
    <n v="4147"/>
    <x v="0"/>
    <x v="57"/>
    <x v="57"/>
    <x v="6"/>
    <x v="6"/>
    <x v="115"/>
    <n v="54056"/>
    <x v="146"/>
    <x v="202"/>
    <n v="22"/>
    <n v="786"/>
  </r>
  <r>
    <n v="4148"/>
    <x v="0"/>
    <x v="57"/>
    <x v="57"/>
    <x v="6"/>
    <x v="6"/>
    <x v="116"/>
    <n v="54063"/>
    <x v="29"/>
    <x v="29"/>
    <n v="6"/>
    <n v="857"/>
  </r>
  <r>
    <n v="4149"/>
    <x v="0"/>
    <x v="57"/>
    <x v="57"/>
    <x v="6"/>
    <x v="6"/>
    <x v="183"/>
    <n v="54070"/>
    <x v="145"/>
    <x v="258"/>
    <n v="22"/>
    <n v="759"/>
  </r>
  <r>
    <n v="4150"/>
    <x v="0"/>
    <x v="57"/>
    <x v="57"/>
    <x v="6"/>
    <x v="6"/>
    <x v="88"/>
    <n v="54077"/>
    <x v="33"/>
    <x v="33"/>
    <n v="4"/>
    <n v="800"/>
  </r>
  <r>
    <n v="4151"/>
    <x v="0"/>
    <x v="57"/>
    <x v="57"/>
    <x v="6"/>
    <x v="6"/>
    <x v="184"/>
    <n v="54084"/>
    <x v="77"/>
    <x v="67"/>
    <n v="7"/>
    <n v="875"/>
  </r>
  <r>
    <n v="4152"/>
    <x v="0"/>
    <x v="57"/>
    <x v="57"/>
    <x v="6"/>
    <x v="6"/>
    <x v="182"/>
    <n v="54091"/>
    <x v="93"/>
    <x v="98"/>
    <n v="19"/>
    <n v="826"/>
  </r>
  <r>
    <n v="4153"/>
    <x v="0"/>
    <x v="57"/>
    <x v="57"/>
    <x v="6"/>
    <x v="6"/>
    <x v="41"/>
    <n v="54098"/>
    <x v="47"/>
    <x v="46"/>
    <n v="3"/>
    <n v="750"/>
  </r>
  <r>
    <n v="4154"/>
    <x v="0"/>
    <x v="57"/>
    <x v="57"/>
    <x v="6"/>
    <x v="6"/>
    <x v="42"/>
    <n v="54105"/>
    <x v="94"/>
    <x v="99"/>
    <n v="18"/>
    <n v="818"/>
  </r>
  <r>
    <n v="4155"/>
    <x v="0"/>
    <x v="57"/>
    <x v="57"/>
    <x v="6"/>
    <x v="6"/>
    <x v="37"/>
    <n v="54112"/>
    <x v="31"/>
    <x v="31"/>
    <n v="12"/>
    <n v="800"/>
  </r>
  <r>
    <n v="4156"/>
    <x v="0"/>
    <x v="57"/>
    <x v="57"/>
    <x v="7"/>
    <x v="7"/>
    <x v="44"/>
    <n v="82049"/>
    <x v="125"/>
    <x v="45"/>
    <n v="44"/>
    <n v="1100"/>
  </r>
  <r>
    <n v="4157"/>
    <x v="0"/>
    <x v="58"/>
    <x v="58"/>
    <x v="1"/>
    <x v="1"/>
    <x v="70"/>
    <n v="14007"/>
    <x v="61"/>
    <x v="569"/>
    <n v="300"/>
    <n v="1224"/>
  </r>
  <r>
    <n v="4158"/>
    <x v="0"/>
    <x v="58"/>
    <x v="58"/>
    <x v="1"/>
    <x v="1"/>
    <x v="143"/>
    <n v="14042"/>
    <x v="528"/>
    <x v="234"/>
    <n v="12500"/>
    <n v="1543"/>
  </r>
  <r>
    <n v="4159"/>
    <x v="0"/>
    <x v="58"/>
    <x v="58"/>
    <x v="1"/>
    <x v="1"/>
    <x v="107"/>
    <n v="14056"/>
    <x v="529"/>
    <x v="570"/>
    <n v="91000"/>
    <n v="1514"/>
  </r>
  <r>
    <n v="4160"/>
    <x v="0"/>
    <x v="58"/>
    <x v="58"/>
    <x v="1"/>
    <x v="1"/>
    <x v="13"/>
    <n v="14098"/>
    <x v="530"/>
    <x v="571"/>
    <n v="21500"/>
    <n v="1488"/>
  </r>
  <r>
    <n v="4161"/>
    <x v="0"/>
    <x v="58"/>
    <x v="58"/>
    <x v="1"/>
    <x v="1"/>
    <x v="9"/>
    <n v="14105"/>
    <x v="74"/>
    <x v="572"/>
    <n v="2900"/>
    <n v="1480"/>
  </r>
  <r>
    <n v="4162"/>
    <x v="0"/>
    <x v="58"/>
    <x v="58"/>
    <x v="1"/>
    <x v="1"/>
    <x v="8"/>
    <n v="14119"/>
    <x v="531"/>
    <x v="573"/>
    <n v="57500"/>
    <n v="1522"/>
  </r>
  <r>
    <n v="4163"/>
    <x v="0"/>
    <x v="58"/>
    <x v="58"/>
    <x v="1"/>
    <x v="1"/>
    <x v="7"/>
    <n v="14147"/>
    <x v="75"/>
    <x v="309"/>
    <n v="1050"/>
    <n v="1429"/>
  </r>
  <r>
    <n v="4164"/>
    <x v="0"/>
    <x v="58"/>
    <x v="58"/>
    <x v="1"/>
    <x v="1"/>
    <x v="10"/>
    <n v="14161"/>
    <x v="532"/>
    <x v="574"/>
    <n v="70400"/>
    <n v="1462"/>
  </r>
  <r>
    <n v="4165"/>
    <x v="0"/>
    <x v="58"/>
    <x v="58"/>
    <x v="1"/>
    <x v="1"/>
    <x v="90"/>
    <n v="14182"/>
    <x v="11"/>
    <x v="575"/>
    <n v="1500"/>
    <n v="1531"/>
  </r>
  <r>
    <n v="4166"/>
    <x v="0"/>
    <x v="58"/>
    <x v="58"/>
    <x v="2"/>
    <x v="2"/>
    <x v="21"/>
    <n v="18007"/>
    <x v="92"/>
    <x v="78"/>
    <n v="10"/>
    <n v="400"/>
  </r>
  <r>
    <n v="4167"/>
    <x v="0"/>
    <x v="58"/>
    <x v="58"/>
    <x v="2"/>
    <x v="2"/>
    <x v="12"/>
    <n v="18021"/>
    <x v="77"/>
    <x v="67"/>
    <n v="2"/>
    <n v="250"/>
  </r>
  <r>
    <n v="4168"/>
    <x v="0"/>
    <x v="58"/>
    <x v="58"/>
    <x v="2"/>
    <x v="2"/>
    <x v="17"/>
    <n v="18042"/>
    <x v="29"/>
    <x v="29"/>
    <n v="3"/>
    <n v="429"/>
  </r>
  <r>
    <n v="4169"/>
    <x v="0"/>
    <x v="58"/>
    <x v="58"/>
    <x v="2"/>
    <x v="2"/>
    <x v="18"/>
    <n v="18049"/>
    <x v="30"/>
    <x v="30"/>
    <n v="1"/>
    <n v="333"/>
  </r>
  <r>
    <n v="4170"/>
    <x v="0"/>
    <x v="58"/>
    <x v="58"/>
    <x v="2"/>
    <x v="2"/>
    <x v="72"/>
    <n v="18063"/>
    <x v="45"/>
    <x v="80"/>
    <n v="5"/>
    <n v="250"/>
  </r>
  <r>
    <n v="4171"/>
    <x v="0"/>
    <x v="58"/>
    <x v="58"/>
    <x v="2"/>
    <x v="2"/>
    <x v="26"/>
    <n v="18070"/>
    <x v="33"/>
    <x v="33"/>
    <n v="2"/>
    <n v="400"/>
  </r>
  <r>
    <n v="4172"/>
    <x v="0"/>
    <x v="58"/>
    <x v="58"/>
    <x v="2"/>
    <x v="2"/>
    <x v="22"/>
    <n v="18084"/>
    <x v="45"/>
    <x v="80"/>
    <n v="9"/>
    <n v="450"/>
  </r>
  <r>
    <n v="4173"/>
    <x v="0"/>
    <x v="58"/>
    <x v="58"/>
    <x v="2"/>
    <x v="2"/>
    <x v="16"/>
    <n v="18091"/>
    <x v="33"/>
    <x v="33"/>
    <n v="2"/>
    <n v="400"/>
  </r>
  <r>
    <n v="4174"/>
    <x v="0"/>
    <x v="58"/>
    <x v="58"/>
    <x v="2"/>
    <x v="2"/>
    <x v="71"/>
    <n v="18098"/>
    <x v="78"/>
    <x v="49"/>
    <n v="3"/>
    <n v="500"/>
  </r>
  <r>
    <n v="4175"/>
    <x v="0"/>
    <x v="58"/>
    <x v="58"/>
    <x v="2"/>
    <x v="2"/>
    <x v="78"/>
    <n v="18105"/>
    <x v="34"/>
    <x v="34"/>
    <n v="1"/>
    <n v="500"/>
  </r>
  <r>
    <n v="4176"/>
    <x v="0"/>
    <x v="58"/>
    <x v="58"/>
    <x v="2"/>
    <x v="2"/>
    <x v="77"/>
    <n v="18119"/>
    <x v="33"/>
    <x v="33"/>
    <n v="3"/>
    <n v="600"/>
  </r>
  <r>
    <n v="4177"/>
    <x v="0"/>
    <x v="58"/>
    <x v="58"/>
    <x v="2"/>
    <x v="2"/>
    <x v="23"/>
    <n v="18126"/>
    <x v="33"/>
    <x v="33"/>
    <n v="3"/>
    <n v="600"/>
  </r>
  <r>
    <n v="4178"/>
    <x v="0"/>
    <x v="58"/>
    <x v="58"/>
    <x v="2"/>
    <x v="2"/>
    <x v="19"/>
    <n v="18133"/>
    <x v="32"/>
    <x v="32"/>
    <n v="5"/>
    <n v="500"/>
  </r>
  <r>
    <n v="4179"/>
    <x v="0"/>
    <x v="58"/>
    <x v="58"/>
    <x v="2"/>
    <x v="2"/>
    <x v="24"/>
    <n v="18140"/>
    <x v="45"/>
    <x v="80"/>
    <n v="9"/>
    <n v="450"/>
  </r>
  <r>
    <n v="4180"/>
    <x v="0"/>
    <x v="58"/>
    <x v="58"/>
    <x v="2"/>
    <x v="2"/>
    <x v="20"/>
    <n v="18147"/>
    <x v="53"/>
    <x v="52"/>
    <n v="5"/>
    <n v="556"/>
  </r>
  <r>
    <n v="4181"/>
    <x v="0"/>
    <x v="58"/>
    <x v="58"/>
    <x v="2"/>
    <x v="2"/>
    <x v="74"/>
    <n v="18161"/>
    <x v="32"/>
    <x v="32"/>
    <n v="3"/>
    <n v="300"/>
  </r>
  <r>
    <n v="4182"/>
    <x v="0"/>
    <x v="58"/>
    <x v="58"/>
    <x v="2"/>
    <x v="2"/>
    <x v="27"/>
    <n v="18168"/>
    <x v="32"/>
    <x v="32"/>
    <n v="4"/>
    <n v="400"/>
  </r>
  <r>
    <n v="4183"/>
    <x v="0"/>
    <x v="58"/>
    <x v="58"/>
    <x v="4"/>
    <x v="4"/>
    <x v="31"/>
    <n v="34021"/>
    <x v="47"/>
    <x v="46"/>
    <n v="4"/>
    <n v="1000"/>
  </r>
  <r>
    <n v="4184"/>
    <x v="0"/>
    <x v="58"/>
    <x v="58"/>
    <x v="4"/>
    <x v="4"/>
    <x v="34"/>
    <n v="34035"/>
    <x v="34"/>
    <x v="34"/>
    <n v="2"/>
    <n v="1000"/>
  </r>
  <r>
    <n v="4185"/>
    <x v="0"/>
    <x v="58"/>
    <x v="58"/>
    <x v="4"/>
    <x v="4"/>
    <x v="30"/>
    <n v="34049"/>
    <x v="47"/>
    <x v="46"/>
    <n v="4"/>
    <n v="1000"/>
  </r>
  <r>
    <n v="4186"/>
    <x v="0"/>
    <x v="58"/>
    <x v="58"/>
    <x v="4"/>
    <x v="4"/>
    <x v="33"/>
    <n v="34056"/>
    <x v="34"/>
    <x v="34"/>
    <n v="2"/>
    <n v="1000"/>
  </r>
  <r>
    <n v="4187"/>
    <x v="0"/>
    <x v="58"/>
    <x v="58"/>
    <x v="6"/>
    <x v="6"/>
    <x v="174"/>
    <n v="54119"/>
    <x v="92"/>
    <x v="78"/>
    <n v="20"/>
    <n v="800"/>
  </r>
  <r>
    <n v="4188"/>
    <x v="0"/>
    <x v="58"/>
    <x v="58"/>
    <x v="6"/>
    <x v="6"/>
    <x v="39"/>
    <n v="54007"/>
    <x v="45"/>
    <x v="80"/>
    <n v="17"/>
    <n v="850"/>
  </r>
  <r>
    <n v="4189"/>
    <x v="0"/>
    <x v="58"/>
    <x v="58"/>
    <x v="6"/>
    <x v="6"/>
    <x v="114"/>
    <n v="54014"/>
    <x v="101"/>
    <x v="107"/>
    <n v="30"/>
    <n v="882"/>
  </r>
  <r>
    <n v="4190"/>
    <x v="0"/>
    <x v="58"/>
    <x v="58"/>
    <x v="6"/>
    <x v="6"/>
    <x v="40"/>
    <n v="54021"/>
    <x v="95"/>
    <x v="140"/>
    <n v="15"/>
    <n v="833"/>
  </r>
  <r>
    <n v="4191"/>
    <x v="0"/>
    <x v="58"/>
    <x v="58"/>
    <x v="6"/>
    <x v="6"/>
    <x v="12"/>
    <n v="54028"/>
    <x v="32"/>
    <x v="32"/>
    <n v="8"/>
    <n v="800"/>
  </r>
  <r>
    <n v="4192"/>
    <x v="0"/>
    <x v="58"/>
    <x v="58"/>
    <x v="6"/>
    <x v="6"/>
    <x v="43"/>
    <n v="54035"/>
    <x v="30"/>
    <x v="30"/>
    <n v="2"/>
    <n v="667"/>
  </r>
  <r>
    <n v="4193"/>
    <x v="0"/>
    <x v="58"/>
    <x v="58"/>
    <x v="6"/>
    <x v="6"/>
    <x v="185"/>
    <n v="54042"/>
    <x v="30"/>
    <x v="30"/>
    <n v="3"/>
    <n v="1000"/>
  </r>
  <r>
    <n v="4194"/>
    <x v="0"/>
    <x v="58"/>
    <x v="58"/>
    <x v="6"/>
    <x v="6"/>
    <x v="192"/>
    <n v="54049"/>
    <x v="105"/>
    <x v="182"/>
    <n v="17"/>
    <n v="654"/>
  </r>
  <r>
    <n v="4195"/>
    <x v="0"/>
    <x v="58"/>
    <x v="58"/>
    <x v="6"/>
    <x v="6"/>
    <x v="115"/>
    <n v="54056"/>
    <x v="72"/>
    <x v="72"/>
    <n v="24"/>
    <n v="800"/>
  </r>
  <r>
    <n v="4196"/>
    <x v="0"/>
    <x v="58"/>
    <x v="58"/>
    <x v="6"/>
    <x v="6"/>
    <x v="116"/>
    <n v="54063"/>
    <x v="33"/>
    <x v="33"/>
    <n v="4"/>
    <n v="800"/>
  </r>
  <r>
    <n v="4197"/>
    <x v="0"/>
    <x v="58"/>
    <x v="58"/>
    <x v="6"/>
    <x v="6"/>
    <x v="183"/>
    <n v="54070"/>
    <x v="96"/>
    <x v="102"/>
    <n v="28"/>
    <n v="875"/>
  </r>
  <r>
    <n v="4198"/>
    <x v="0"/>
    <x v="58"/>
    <x v="58"/>
    <x v="6"/>
    <x v="6"/>
    <x v="88"/>
    <n v="54077"/>
    <x v="30"/>
    <x v="30"/>
    <n v="3"/>
    <n v="1000"/>
  </r>
  <r>
    <n v="4199"/>
    <x v="0"/>
    <x v="58"/>
    <x v="58"/>
    <x v="6"/>
    <x v="6"/>
    <x v="184"/>
    <n v="54084"/>
    <x v="33"/>
    <x v="33"/>
    <n v="4"/>
    <n v="800"/>
  </r>
  <r>
    <n v="4200"/>
    <x v="0"/>
    <x v="58"/>
    <x v="58"/>
    <x v="6"/>
    <x v="6"/>
    <x v="182"/>
    <n v="54091"/>
    <x v="76"/>
    <x v="157"/>
    <n v="20"/>
    <n v="741"/>
  </r>
  <r>
    <n v="4201"/>
    <x v="0"/>
    <x v="58"/>
    <x v="58"/>
    <x v="6"/>
    <x v="6"/>
    <x v="41"/>
    <n v="54098"/>
    <x v="34"/>
    <x v="34"/>
    <n v="1"/>
    <n v="500"/>
  </r>
  <r>
    <n v="4202"/>
    <x v="0"/>
    <x v="58"/>
    <x v="58"/>
    <x v="6"/>
    <x v="6"/>
    <x v="42"/>
    <n v="54105"/>
    <x v="92"/>
    <x v="78"/>
    <n v="20"/>
    <n v="800"/>
  </r>
  <r>
    <n v="4203"/>
    <x v="0"/>
    <x v="58"/>
    <x v="58"/>
    <x v="6"/>
    <x v="6"/>
    <x v="37"/>
    <n v="54112"/>
    <x v="32"/>
    <x v="32"/>
    <n v="8"/>
    <n v="800"/>
  </r>
  <r>
    <n v="4204"/>
    <x v="0"/>
    <x v="58"/>
    <x v="58"/>
    <x v="7"/>
    <x v="7"/>
    <x v="44"/>
    <n v="82049"/>
    <x v="125"/>
    <x v="45"/>
    <n v="44"/>
    <n v="1100"/>
  </r>
  <r>
    <n v="4205"/>
    <x v="0"/>
    <x v="59"/>
    <x v="59"/>
    <x v="1"/>
    <x v="1"/>
    <x v="70"/>
    <n v="14007"/>
    <x v="26"/>
    <x v="59"/>
    <n v="500"/>
    <n v="1250"/>
  </r>
  <r>
    <n v="4206"/>
    <x v="0"/>
    <x v="59"/>
    <x v="59"/>
    <x v="1"/>
    <x v="1"/>
    <x v="143"/>
    <n v="14042"/>
    <x v="533"/>
    <x v="576"/>
    <n v="31000"/>
    <n v="1512"/>
  </r>
  <r>
    <n v="4207"/>
    <x v="0"/>
    <x v="59"/>
    <x v="59"/>
    <x v="1"/>
    <x v="1"/>
    <x v="107"/>
    <n v="14056"/>
    <x v="407"/>
    <x v="577"/>
    <n v="126000"/>
    <n v="1595"/>
  </r>
  <r>
    <n v="4208"/>
    <x v="0"/>
    <x v="59"/>
    <x v="59"/>
    <x v="1"/>
    <x v="1"/>
    <x v="13"/>
    <n v="14098"/>
    <x v="497"/>
    <x v="578"/>
    <n v="31000"/>
    <n v="1490"/>
  </r>
  <r>
    <n v="4209"/>
    <x v="0"/>
    <x v="59"/>
    <x v="59"/>
    <x v="1"/>
    <x v="1"/>
    <x v="9"/>
    <n v="14105"/>
    <x v="159"/>
    <x v="164"/>
    <n v="5000"/>
    <n v="1429"/>
  </r>
  <r>
    <n v="4210"/>
    <x v="0"/>
    <x v="59"/>
    <x v="59"/>
    <x v="1"/>
    <x v="1"/>
    <x v="8"/>
    <n v="14119"/>
    <x v="424"/>
    <x v="579"/>
    <n v="72000"/>
    <n v="1443"/>
  </r>
  <r>
    <n v="4211"/>
    <x v="0"/>
    <x v="59"/>
    <x v="59"/>
    <x v="1"/>
    <x v="1"/>
    <x v="7"/>
    <n v="14147"/>
    <x v="10"/>
    <x v="10"/>
    <n v="1500"/>
    <n v="1364"/>
  </r>
  <r>
    <n v="4212"/>
    <x v="0"/>
    <x v="59"/>
    <x v="59"/>
    <x v="1"/>
    <x v="1"/>
    <x v="10"/>
    <n v="14161"/>
    <x v="534"/>
    <x v="580"/>
    <n v="80500"/>
    <n v="1311"/>
  </r>
  <r>
    <n v="4213"/>
    <x v="0"/>
    <x v="59"/>
    <x v="59"/>
    <x v="1"/>
    <x v="1"/>
    <x v="90"/>
    <n v="14182"/>
    <x v="232"/>
    <x v="433"/>
    <n v="2000"/>
    <n v="1429"/>
  </r>
  <r>
    <n v="4214"/>
    <x v="0"/>
    <x v="59"/>
    <x v="59"/>
    <x v="2"/>
    <x v="2"/>
    <x v="21"/>
    <n v="18007"/>
    <x v="92"/>
    <x v="78"/>
    <n v="33"/>
    <n v="1320"/>
  </r>
  <r>
    <n v="4215"/>
    <x v="0"/>
    <x v="59"/>
    <x v="59"/>
    <x v="2"/>
    <x v="2"/>
    <x v="12"/>
    <n v="18021"/>
    <x v="53"/>
    <x v="52"/>
    <n v="13"/>
    <n v="1444"/>
  </r>
  <r>
    <n v="4216"/>
    <x v="0"/>
    <x v="59"/>
    <x v="59"/>
    <x v="2"/>
    <x v="2"/>
    <x v="17"/>
    <n v="18042"/>
    <x v="29"/>
    <x v="29"/>
    <n v="10"/>
    <n v="1429"/>
  </r>
  <r>
    <n v="4217"/>
    <x v="0"/>
    <x v="59"/>
    <x v="59"/>
    <x v="2"/>
    <x v="2"/>
    <x v="18"/>
    <n v="18049"/>
    <x v="47"/>
    <x v="46"/>
    <n v="6"/>
    <n v="1500"/>
  </r>
  <r>
    <n v="4218"/>
    <x v="0"/>
    <x v="59"/>
    <x v="59"/>
    <x v="2"/>
    <x v="2"/>
    <x v="72"/>
    <n v="18063"/>
    <x v="94"/>
    <x v="99"/>
    <n v="26"/>
    <n v="1182"/>
  </r>
  <r>
    <n v="4219"/>
    <x v="0"/>
    <x v="59"/>
    <x v="59"/>
    <x v="2"/>
    <x v="2"/>
    <x v="26"/>
    <n v="18070"/>
    <x v="33"/>
    <x v="33"/>
    <n v="7"/>
    <n v="1400"/>
  </r>
  <r>
    <n v="4220"/>
    <x v="0"/>
    <x v="59"/>
    <x v="59"/>
    <x v="2"/>
    <x v="2"/>
    <x v="22"/>
    <n v="18084"/>
    <x v="40"/>
    <x v="40"/>
    <n v="27"/>
    <n v="1286"/>
  </r>
  <r>
    <n v="4221"/>
    <x v="0"/>
    <x v="59"/>
    <x v="59"/>
    <x v="2"/>
    <x v="2"/>
    <x v="16"/>
    <n v="18091"/>
    <x v="33"/>
    <x v="33"/>
    <n v="7"/>
    <n v="1400"/>
  </r>
  <r>
    <n v="4222"/>
    <x v="0"/>
    <x v="59"/>
    <x v="59"/>
    <x v="2"/>
    <x v="2"/>
    <x v="71"/>
    <n v="18098"/>
    <x v="78"/>
    <x v="49"/>
    <n v="7"/>
    <n v="1167"/>
  </r>
  <r>
    <n v="4223"/>
    <x v="0"/>
    <x v="59"/>
    <x v="59"/>
    <x v="2"/>
    <x v="2"/>
    <x v="78"/>
    <n v="18105"/>
    <x v="34"/>
    <x v="34"/>
    <n v="3"/>
    <n v="1500"/>
  </r>
  <r>
    <n v="4224"/>
    <x v="0"/>
    <x v="59"/>
    <x v="59"/>
    <x v="2"/>
    <x v="2"/>
    <x v="77"/>
    <n v="18119"/>
    <x v="33"/>
    <x v="33"/>
    <n v="7"/>
    <n v="1400"/>
  </r>
  <r>
    <n v="4225"/>
    <x v="0"/>
    <x v="59"/>
    <x v="59"/>
    <x v="2"/>
    <x v="2"/>
    <x v="23"/>
    <n v="18126"/>
    <x v="78"/>
    <x v="49"/>
    <n v="8"/>
    <n v="1333"/>
  </r>
  <r>
    <n v="4226"/>
    <x v="0"/>
    <x v="59"/>
    <x v="59"/>
    <x v="2"/>
    <x v="2"/>
    <x v="19"/>
    <n v="18133"/>
    <x v="32"/>
    <x v="32"/>
    <n v="13"/>
    <n v="1300"/>
  </r>
  <r>
    <n v="4227"/>
    <x v="0"/>
    <x v="59"/>
    <x v="59"/>
    <x v="2"/>
    <x v="2"/>
    <x v="24"/>
    <n v="18140"/>
    <x v="40"/>
    <x v="40"/>
    <n v="30"/>
    <n v="1429"/>
  </r>
  <r>
    <n v="4228"/>
    <x v="0"/>
    <x v="59"/>
    <x v="59"/>
    <x v="2"/>
    <x v="2"/>
    <x v="20"/>
    <n v="18147"/>
    <x v="53"/>
    <x v="52"/>
    <n v="13"/>
    <n v="1444"/>
  </r>
  <r>
    <n v="4229"/>
    <x v="0"/>
    <x v="59"/>
    <x v="59"/>
    <x v="2"/>
    <x v="2"/>
    <x v="74"/>
    <n v="18161"/>
    <x v="50"/>
    <x v="136"/>
    <n v="14"/>
    <n v="1273"/>
  </r>
  <r>
    <n v="4230"/>
    <x v="0"/>
    <x v="59"/>
    <x v="59"/>
    <x v="2"/>
    <x v="2"/>
    <x v="27"/>
    <n v="18168"/>
    <x v="32"/>
    <x v="32"/>
    <n v="16"/>
    <n v="1600"/>
  </r>
  <r>
    <n v="4231"/>
    <x v="0"/>
    <x v="59"/>
    <x v="59"/>
    <x v="4"/>
    <x v="4"/>
    <x v="31"/>
    <n v="34021"/>
    <x v="47"/>
    <x v="46"/>
    <n v="5"/>
    <n v="1250"/>
  </r>
  <r>
    <n v="4232"/>
    <x v="0"/>
    <x v="59"/>
    <x v="59"/>
    <x v="4"/>
    <x v="4"/>
    <x v="34"/>
    <n v="34035"/>
    <x v="34"/>
    <x v="34"/>
    <n v="3"/>
    <n v="1500"/>
  </r>
  <r>
    <n v="4233"/>
    <x v="0"/>
    <x v="59"/>
    <x v="59"/>
    <x v="4"/>
    <x v="4"/>
    <x v="30"/>
    <n v="34049"/>
    <x v="47"/>
    <x v="46"/>
    <n v="4"/>
    <n v="1000"/>
  </r>
  <r>
    <n v="4234"/>
    <x v="0"/>
    <x v="59"/>
    <x v="59"/>
    <x v="4"/>
    <x v="4"/>
    <x v="33"/>
    <n v="34056"/>
    <x v="34"/>
    <x v="34"/>
    <n v="3"/>
    <n v="1500"/>
  </r>
  <r>
    <n v="4235"/>
    <x v="0"/>
    <x v="59"/>
    <x v="59"/>
    <x v="6"/>
    <x v="6"/>
    <x v="174"/>
    <n v="54119"/>
    <x v="40"/>
    <x v="40"/>
    <n v="25"/>
    <n v="1190"/>
  </r>
  <r>
    <n v="4236"/>
    <x v="0"/>
    <x v="59"/>
    <x v="59"/>
    <x v="6"/>
    <x v="6"/>
    <x v="39"/>
    <n v="54007"/>
    <x v="40"/>
    <x v="40"/>
    <n v="21"/>
    <n v="1000"/>
  </r>
  <r>
    <n v="4237"/>
    <x v="0"/>
    <x v="59"/>
    <x v="59"/>
    <x v="6"/>
    <x v="6"/>
    <x v="114"/>
    <n v="54014"/>
    <x v="72"/>
    <x v="72"/>
    <n v="36"/>
    <n v="1200"/>
  </r>
  <r>
    <n v="4238"/>
    <x v="0"/>
    <x v="59"/>
    <x v="59"/>
    <x v="6"/>
    <x v="6"/>
    <x v="40"/>
    <n v="54021"/>
    <x v="31"/>
    <x v="31"/>
    <n v="20"/>
    <n v="1333"/>
  </r>
  <r>
    <n v="4239"/>
    <x v="0"/>
    <x v="59"/>
    <x v="59"/>
    <x v="6"/>
    <x v="6"/>
    <x v="12"/>
    <n v="54028"/>
    <x v="77"/>
    <x v="67"/>
    <n v="8"/>
    <n v="1000"/>
  </r>
  <r>
    <n v="4240"/>
    <x v="0"/>
    <x v="59"/>
    <x v="59"/>
    <x v="6"/>
    <x v="6"/>
    <x v="192"/>
    <n v="54049"/>
    <x v="45"/>
    <x v="80"/>
    <n v="25"/>
    <n v="1250"/>
  </r>
  <r>
    <n v="4241"/>
    <x v="0"/>
    <x v="59"/>
    <x v="59"/>
    <x v="6"/>
    <x v="6"/>
    <x v="115"/>
    <n v="54056"/>
    <x v="45"/>
    <x v="80"/>
    <n v="20"/>
    <n v="1000"/>
  </r>
  <r>
    <n v="4242"/>
    <x v="0"/>
    <x v="59"/>
    <x v="59"/>
    <x v="6"/>
    <x v="6"/>
    <x v="183"/>
    <n v="54070"/>
    <x v="45"/>
    <x v="80"/>
    <n v="20"/>
    <n v="1000"/>
  </r>
  <r>
    <n v="4243"/>
    <x v="0"/>
    <x v="59"/>
    <x v="59"/>
    <x v="6"/>
    <x v="6"/>
    <x v="184"/>
    <n v="54084"/>
    <x v="33"/>
    <x v="33"/>
    <n v="7"/>
    <n v="1400"/>
  </r>
  <r>
    <n v="4244"/>
    <x v="0"/>
    <x v="59"/>
    <x v="59"/>
    <x v="6"/>
    <x v="6"/>
    <x v="182"/>
    <n v="54091"/>
    <x v="45"/>
    <x v="80"/>
    <n v="30"/>
    <n v="1500"/>
  </r>
  <r>
    <n v="4245"/>
    <x v="0"/>
    <x v="59"/>
    <x v="59"/>
    <x v="6"/>
    <x v="6"/>
    <x v="41"/>
    <n v="54098"/>
    <x v="34"/>
    <x v="34"/>
    <n v="3"/>
    <n v="1500"/>
  </r>
  <r>
    <n v="4246"/>
    <x v="0"/>
    <x v="59"/>
    <x v="59"/>
    <x v="6"/>
    <x v="6"/>
    <x v="42"/>
    <n v="54105"/>
    <x v="45"/>
    <x v="80"/>
    <n v="22"/>
    <n v="1100"/>
  </r>
  <r>
    <n v="4247"/>
    <x v="0"/>
    <x v="59"/>
    <x v="59"/>
    <x v="6"/>
    <x v="6"/>
    <x v="37"/>
    <n v="54112"/>
    <x v="77"/>
    <x v="67"/>
    <n v="8"/>
    <n v="1000"/>
  </r>
  <r>
    <n v="4248"/>
    <x v="0"/>
    <x v="60"/>
    <x v="60"/>
    <x v="1"/>
    <x v="1"/>
    <x v="70"/>
    <n v="14007"/>
    <x v="18"/>
    <x v="18"/>
    <n v="280"/>
    <n v="1400"/>
  </r>
  <r>
    <n v="4249"/>
    <x v="0"/>
    <x v="60"/>
    <x v="60"/>
    <x v="1"/>
    <x v="1"/>
    <x v="143"/>
    <n v="14042"/>
    <x v="466"/>
    <x v="420"/>
    <n v="33750"/>
    <n v="1406"/>
  </r>
  <r>
    <n v="4250"/>
    <x v="0"/>
    <x v="60"/>
    <x v="60"/>
    <x v="1"/>
    <x v="1"/>
    <x v="107"/>
    <n v="14056"/>
    <x v="424"/>
    <x v="581"/>
    <n v="72830"/>
    <n v="1457"/>
  </r>
  <r>
    <n v="4251"/>
    <x v="0"/>
    <x v="60"/>
    <x v="60"/>
    <x v="1"/>
    <x v="1"/>
    <x v="13"/>
    <n v="14098"/>
    <x v="155"/>
    <x v="160"/>
    <n v="25200"/>
    <n v="1400"/>
  </r>
  <r>
    <n v="4252"/>
    <x v="0"/>
    <x v="60"/>
    <x v="60"/>
    <x v="1"/>
    <x v="1"/>
    <x v="9"/>
    <n v="14105"/>
    <x v="126"/>
    <x v="465"/>
    <n v="3360"/>
    <n v="1400"/>
  </r>
  <r>
    <n v="4253"/>
    <x v="0"/>
    <x v="60"/>
    <x v="60"/>
    <x v="1"/>
    <x v="1"/>
    <x v="8"/>
    <n v="14119"/>
    <x v="535"/>
    <x v="582"/>
    <n v="54750"/>
    <n v="1480"/>
  </r>
  <r>
    <n v="4254"/>
    <x v="0"/>
    <x v="60"/>
    <x v="60"/>
    <x v="1"/>
    <x v="1"/>
    <x v="7"/>
    <n v="14147"/>
    <x v="179"/>
    <x v="153"/>
    <n v="1400"/>
    <n v="1556"/>
  </r>
  <r>
    <n v="4255"/>
    <x v="0"/>
    <x v="60"/>
    <x v="60"/>
    <x v="1"/>
    <x v="1"/>
    <x v="10"/>
    <n v="14161"/>
    <x v="536"/>
    <x v="583"/>
    <n v="81000"/>
    <n v="1361"/>
  </r>
  <r>
    <n v="4256"/>
    <x v="0"/>
    <x v="60"/>
    <x v="60"/>
    <x v="1"/>
    <x v="1"/>
    <x v="90"/>
    <n v="14182"/>
    <x v="11"/>
    <x v="11"/>
    <n v="1260"/>
    <n v="1260"/>
  </r>
  <r>
    <n v="4257"/>
    <x v="0"/>
    <x v="60"/>
    <x v="60"/>
    <x v="2"/>
    <x v="2"/>
    <x v="21"/>
    <n v="18007"/>
    <x v="125"/>
    <x v="285"/>
    <n v="50"/>
    <n v="1351"/>
  </r>
  <r>
    <n v="4258"/>
    <x v="0"/>
    <x v="60"/>
    <x v="60"/>
    <x v="2"/>
    <x v="2"/>
    <x v="72"/>
    <n v="18063"/>
    <x v="32"/>
    <x v="32"/>
    <n v="11"/>
    <n v="1100"/>
  </r>
  <r>
    <n v="4259"/>
    <x v="0"/>
    <x v="60"/>
    <x v="60"/>
    <x v="2"/>
    <x v="2"/>
    <x v="22"/>
    <n v="18084"/>
    <x v="170"/>
    <x v="77"/>
    <n v="15"/>
    <n v="1071"/>
  </r>
  <r>
    <n v="4260"/>
    <x v="0"/>
    <x v="60"/>
    <x v="60"/>
    <x v="2"/>
    <x v="2"/>
    <x v="16"/>
    <n v="18091"/>
    <x v="33"/>
    <x v="33"/>
    <n v="6"/>
    <n v="1200"/>
  </r>
  <r>
    <n v="4261"/>
    <x v="0"/>
    <x v="60"/>
    <x v="60"/>
    <x v="2"/>
    <x v="2"/>
    <x v="19"/>
    <n v="18133"/>
    <x v="78"/>
    <x v="49"/>
    <n v="7"/>
    <n v="1167"/>
  </r>
  <r>
    <n v="4262"/>
    <x v="0"/>
    <x v="60"/>
    <x v="60"/>
    <x v="2"/>
    <x v="2"/>
    <x v="24"/>
    <n v="18140"/>
    <x v="128"/>
    <x v="135"/>
    <n v="10"/>
    <n v="769"/>
  </r>
  <r>
    <n v="4263"/>
    <x v="0"/>
    <x v="60"/>
    <x v="60"/>
    <x v="2"/>
    <x v="2"/>
    <x v="20"/>
    <n v="18147"/>
    <x v="34"/>
    <x v="34"/>
    <n v="2"/>
    <n v="1000"/>
  </r>
  <r>
    <n v="4264"/>
    <x v="0"/>
    <x v="60"/>
    <x v="60"/>
    <x v="4"/>
    <x v="4"/>
    <x v="31"/>
    <n v="34021"/>
    <x v="33"/>
    <x v="33"/>
    <n v="6"/>
    <n v="1200"/>
  </r>
  <r>
    <n v="4265"/>
    <x v="0"/>
    <x v="60"/>
    <x v="60"/>
    <x v="4"/>
    <x v="4"/>
    <x v="34"/>
    <n v="34035"/>
    <x v="78"/>
    <x v="49"/>
    <n v="7"/>
    <n v="1167"/>
  </r>
  <r>
    <n v="4266"/>
    <x v="0"/>
    <x v="60"/>
    <x v="60"/>
    <x v="4"/>
    <x v="4"/>
    <x v="30"/>
    <n v="34049"/>
    <x v="53"/>
    <x v="52"/>
    <n v="12"/>
    <n v="1333"/>
  </r>
  <r>
    <n v="4267"/>
    <x v="0"/>
    <x v="60"/>
    <x v="60"/>
    <x v="6"/>
    <x v="6"/>
    <x v="174"/>
    <n v="54119"/>
    <x v="92"/>
    <x v="40"/>
    <n v="15"/>
    <n v="714"/>
  </r>
  <r>
    <n v="4268"/>
    <x v="0"/>
    <x v="60"/>
    <x v="60"/>
    <x v="6"/>
    <x v="6"/>
    <x v="39"/>
    <n v="54007"/>
    <x v="92"/>
    <x v="80"/>
    <n v="12"/>
    <n v="600"/>
  </r>
  <r>
    <n v="4269"/>
    <x v="0"/>
    <x v="60"/>
    <x v="60"/>
    <x v="6"/>
    <x v="6"/>
    <x v="114"/>
    <n v="54014"/>
    <x v="145"/>
    <x v="98"/>
    <n v="14"/>
    <n v="609"/>
  </r>
  <r>
    <n v="4270"/>
    <x v="0"/>
    <x v="60"/>
    <x v="60"/>
    <x v="6"/>
    <x v="6"/>
    <x v="40"/>
    <n v="54021"/>
    <x v="31"/>
    <x v="13"/>
    <n v="6"/>
    <n v="500"/>
  </r>
  <r>
    <n v="4271"/>
    <x v="0"/>
    <x v="60"/>
    <x v="60"/>
    <x v="6"/>
    <x v="6"/>
    <x v="12"/>
    <n v="54028"/>
    <x v="78"/>
    <x v="46"/>
    <n v="2"/>
    <n v="500"/>
  </r>
  <r>
    <n v="4272"/>
    <x v="0"/>
    <x v="60"/>
    <x v="60"/>
    <x v="6"/>
    <x v="6"/>
    <x v="43"/>
    <n v="54035"/>
    <x v="78"/>
    <x v="46"/>
    <n v="2"/>
    <n v="500"/>
  </r>
  <r>
    <n v="4273"/>
    <x v="0"/>
    <x v="60"/>
    <x v="60"/>
    <x v="6"/>
    <x v="6"/>
    <x v="185"/>
    <n v="54042"/>
    <x v="13"/>
    <x v="52"/>
    <n v="6"/>
    <n v="667"/>
  </r>
  <r>
    <n v="4274"/>
    <x v="0"/>
    <x v="60"/>
    <x v="60"/>
    <x v="6"/>
    <x v="6"/>
    <x v="192"/>
    <n v="54049"/>
    <x v="92"/>
    <x v="80"/>
    <n v="12"/>
    <n v="600"/>
  </r>
  <r>
    <n v="4275"/>
    <x v="0"/>
    <x v="60"/>
    <x v="60"/>
    <x v="6"/>
    <x v="6"/>
    <x v="115"/>
    <n v="54056"/>
    <x v="92"/>
    <x v="40"/>
    <n v="13"/>
    <n v="619"/>
  </r>
  <r>
    <n v="4276"/>
    <x v="0"/>
    <x v="60"/>
    <x v="60"/>
    <x v="6"/>
    <x v="6"/>
    <x v="116"/>
    <n v="54063"/>
    <x v="77"/>
    <x v="67"/>
    <n v="6"/>
    <n v="750"/>
  </r>
  <r>
    <n v="4277"/>
    <x v="0"/>
    <x v="60"/>
    <x v="60"/>
    <x v="6"/>
    <x v="6"/>
    <x v="183"/>
    <n v="54070"/>
    <x v="72"/>
    <x v="78"/>
    <n v="15"/>
    <n v="600"/>
  </r>
  <r>
    <n v="4278"/>
    <x v="0"/>
    <x v="60"/>
    <x v="60"/>
    <x v="6"/>
    <x v="6"/>
    <x v="88"/>
    <n v="54077"/>
    <x v="78"/>
    <x v="46"/>
    <n v="2"/>
    <n v="500"/>
  </r>
  <r>
    <n v="4279"/>
    <x v="0"/>
    <x v="60"/>
    <x v="60"/>
    <x v="6"/>
    <x v="6"/>
    <x v="184"/>
    <n v="54084"/>
    <x v="77"/>
    <x v="49"/>
    <n v="4"/>
    <n v="667"/>
  </r>
  <r>
    <n v="4280"/>
    <x v="0"/>
    <x v="60"/>
    <x v="60"/>
    <x v="6"/>
    <x v="6"/>
    <x v="182"/>
    <n v="54091"/>
    <x v="72"/>
    <x v="78"/>
    <n v="16"/>
    <n v="640"/>
  </r>
  <r>
    <n v="4281"/>
    <x v="0"/>
    <x v="60"/>
    <x v="60"/>
    <x v="6"/>
    <x v="6"/>
    <x v="41"/>
    <n v="54098"/>
    <x v="33"/>
    <x v="46"/>
    <n v="2"/>
    <n v="500"/>
  </r>
  <r>
    <n v="4282"/>
    <x v="0"/>
    <x v="60"/>
    <x v="60"/>
    <x v="6"/>
    <x v="6"/>
    <x v="42"/>
    <n v="54105"/>
    <x v="45"/>
    <x v="31"/>
    <n v="10"/>
    <n v="667"/>
  </r>
  <r>
    <n v="4283"/>
    <x v="0"/>
    <x v="60"/>
    <x v="60"/>
    <x v="6"/>
    <x v="6"/>
    <x v="37"/>
    <n v="54112"/>
    <x v="31"/>
    <x v="13"/>
    <n v="7"/>
    <n v="583"/>
  </r>
  <r>
    <n v="4284"/>
    <x v="0"/>
    <x v="61"/>
    <x v="61"/>
    <x v="1"/>
    <x v="1"/>
    <x v="14"/>
    <m/>
    <x v="537"/>
    <x v="584"/>
    <n v="190000"/>
    <n v="1242"/>
  </r>
  <r>
    <n v="4285"/>
    <x v="0"/>
    <x v="61"/>
    <x v="61"/>
    <x v="2"/>
    <x v="2"/>
    <x v="14"/>
    <m/>
    <x v="23"/>
    <x v="23"/>
    <n v="100"/>
    <n v="1000"/>
  </r>
  <r>
    <n v="4286"/>
    <x v="0"/>
    <x v="61"/>
    <x v="61"/>
    <x v="6"/>
    <x v="6"/>
    <x v="14"/>
    <m/>
    <x v="23"/>
    <x v="23"/>
    <n v="100"/>
    <n v="1000"/>
  </r>
  <r>
    <n v="4287"/>
    <x v="0"/>
    <x v="62"/>
    <x v="62"/>
    <x v="1"/>
    <x v="1"/>
    <x v="143"/>
    <n v="14042"/>
    <x v="387"/>
    <x v="456"/>
    <n v="23000"/>
    <n v="1150"/>
  </r>
  <r>
    <n v="4288"/>
    <x v="0"/>
    <x v="62"/>
    <x v="62"/>
    <x v="1"/>
    <x v="1"/>
    <x v="107"/>
    <n v="14056"/>
    <x v="226"/>
    <x v="162"/>
    <n v="15000"/>
    <n v="3000"/>
  </r>
  <r>
    <n v="4289"/>
    <x v="0"/>
    <x v="62"/>
    <x v="62"/>
    <x v="1"/>
    <x v="1"/>
    <x v="13"/>
    <n v="14098"/>
    <x v="416"/>
    <x v="425"/>
    <n v="85000"/>
    <n v="1308"/>
  </r>
  <r>
    <n v="4290"/>
    <x v="0"/>
    <x v="62"/>
    <x v="62"/>
    <x v="1"/>
    <x v="1"/>
    <x v="8"/>
    <n v="14119"/>
    <x v="156"/>
    <x v="161"/>
    <n v="19200"/>
    <n v="1200"/>
  </r>
  <r>
    <n v="4291"/>
    <x v="0"/>
    <x v="62"/>
    <x v="62"/>
    <x v="1"/>
    <x v="1"/>
    <x v="7"/>
    <n v="14147"/>
    <x v="222"/>
    <x v="233"/>
    <n v="21000"/>
    <n v="1500"/>
  </r>
  <r>
    <n v="4292"/>
    <x v="0"/>
    <x v="62"/>
    <x v="62"/>
    <x v="1"/>
    <x v="1"/>
    <x v="10"/>
    <n v="14161"/>
    <x v="403"/>
    <x v="585"/>
    <n v="63100"/>
    <n v="1520"/>
  </r>
  <r>
    <n v="4293"/>
    <x v="0"/>
    <x v="62"/>
    <x v="62"/>
    <x v="1"/>
    <x v="1"/>
    <x v="90"/>
    <n v="14182"/>
    <x v="12"/>
    <x v="12"/>
    <n v="300"/>
    <n v="1000"/>
  </r>
  <r>
    <n v="4294"/>
    <x v="0"/>
    <x v="62"/>
    <x v="62"/>
    <x v="2"/>
    <x v="2"/>
    <x v="21"/>
    <n v="18007"/>
    <x v="72"/>
    <x v="72"/>
    <n v="33"/>
    <n v="1100"/>
  </r>
  <r>
    <n v="4295"/>
    <x v="0"/>
    <x v="62"/>
    <x v="62"/>
    <x v="2"/>
    <x v="2"/>
    <x v="22"/>
    <n v="18084"/>
    <x v="33"/>
    <x v="33"/>
    <n v="6"/>
    <n v="1200"/>
  </r>
  <r>
    <n v="4296"/>
    <x v="0"/>
    <x v="62"/>
    <x v="62"/>
    <x v="2"/>
    <x v="2"/>
    <x v="19"/>
    <n v="18133"/>
    <x v="33"/>
    <x v="33"/>
    <n v="6"/>
    <n v="1200"/>
  </r>
  <r>
    <n v="4297"/>
    <x v="0"/>
    <x v="62"/>
    <x v="62"/>
    <x v="2"/>
    <x v="2"/>
    <x v="24"/>
    <n v="18140"/>
    <x v="32"/>
    <x v="32"/>
    <n v="10"/>
    <n v="1000"/>
  </r>
  <r>
    <n v="4298"/>
    <x v="0"/>
    <x v="62"/>
    <x v="62"/>
    <x v="6"/>
    <x v="6"/>
    <x v="174"/>
    <n v="54119"/>
    <x v="53"/>
    <x v="52"/>
    <n v="9"/>
    <n v="1000"/>
  </r>
  <r>
    <n v="4299"/>
    <x v="0"/>
    <x v="62"/>
    <x v="62"/>
    <x v="6"/>
    <x v="6"/>
    <x v="39"/>
    <n v="54007"/>
    <x v="33"/>
    <x v="33"/>
    <n v="5"/>
    <n v="1000"/>
  </r>
  <r>
    <n v="4300"/>
    <x v="0"/>
    <x v="62"/>
    <x v="62"/>
    <x v="6"/>
    <x v="6"/>
    <x v="114"/>
    <n v="54014"/>
    <x v="33"/>
    <x v="33"/>
    <n v="5"/>
    <n v="1000"/>
  </r>
  <r>
    <n v="4301"/>
    <x v="0"/>
    <x v="62"/>
    <x v="62"/>
    <x v="6"/>
    <x v="6"/>
    <x v="40"/>
    <n v="54021"/>
    <x v="34"/>
    <x v="34"/>
    <n v="2"/>
    <n v="1000"/>
  </r>
  <r>
    <n v="4302"/>
    <x v="0"/>
    <x v="62"/>
    <x v="62"/>
    <x v="6"/>
    <x v="6"/>
    <x v="192"/>
    <n v="54049"/>
    <x v="32"/>
    <x v="32"/>
    <n v="9"/>
    <n v="900"/>
  </r>
  <r>
    <n v="4303"/>
    <x v="0"/>
    <x v="62"/>
    <x v="62"/>
    <x v="6"/>
    <x v="6"/>
    <x v="115"/>
    <n v="54056"/>
    <x v="47"/>
    <x v="46"/>
    <n v="4"/>
    <n v="1000"/>
  </r>
  <r>
    <n v="4304"/>
    <x v="0"/>
    <x v="62"/>
    <x v="62"/>
    <x v="6"/>
    <x v="6"/>
    <x v="182"/>
    <n v="54091"/>
    <x v="33"/>
    <x v="33"/>
    <n v="3"/>
    <n v="600"/>
  </r>
  <r>
    <n v="4305"/>
    <x v="0"/>
    <x v="62"/>
    <x v="62"/>
    <x v="6"/>
    <x v="6"/>
    <x v="42"/>
    <n v="54105"/>
    <x v="33"/>
    <x v="33"/>
    <n v="4"/>
    <n v="800"/>
  </r>
  <r>
    <n v="4306"/>
    <x v="0"/>
    <x v="62"/>
    <x v="62"/>
    <x v="6"/>
    <x v="6"/>
    <x v="37"/>
    <n v="54112"/>
    <x v="33"/>
    <x v="33"/>
    <n v="4"/>
    <n v="800"/>
  </r>
  <r>
    <n v="4307"/>
    <x v="0"/>
    <x v="62"/>
    <x v="62"/>
    <x v="11"/>
    <x v="11"/>
    <x v="117"/>
    <n v="66007"/>
    <x v="11"/>
    <x v="11"/>
    <n v="2000"/>
    <n v="2000"/>
  </r>
  <r>
    <n v="4308"/>
    <x v="0"/>
    <x v="62"/>
    <x v="62"/>
    <x v="11"/>
    <x v="11"/>
    <x v="106"/>
    <n v="66112"/>
    <x v="9"/>
    <x v="9"/>
    <n v="3400"/>
    <n v="2000"/>
  </r>
  <r>
    <n v="4309"/>
    <x v="0"/>
    <x v="62"/>
    <x v="62"/>
    <x v="11"/>
    <x v="11"/>
    <x v="146"/>
    <n v="66140"/>
    <x v="108"/>
    <x v="114"/>
    <n v="2600"/>
    <n v="2000"/>
  </r>
  <r>
    <n v="4310"/>
    <x v="0"/>
    <x v="63"/>
    <x v="63"/>
    <x v="1"/>
    <x v="1"/>
    <x v="143"/>
    <n v="14042"/>
    <x v="460"/>
    <x v="550"/>
    <n v="44800"/>
    <n v="1600"/>
  </r>
  <r>
    <n v="4311"/>
    <x v="0"/>
    <x v="63"/>
    <x v="63"/>
    <x v="1"/>
    <x v="1"/>
    <x v="107"/>
    <n v="14056"/>
    <x v="538"/>
    <x v="586"/>
    <n v="77400"/>
    <n v="1800"/>
  </r>
  <r>
    <n v="4312"/>
    <x v="0"/>
    <x v="63"/>
    <x v="63"/>
    <x v="1"/>
    <x v="1"/>
    <x v="13"/>
    <n v="14098"/>
    <x v="539"/>
    <x v="587"/>
    <n v="41400"/>
    <n v="1799"/>
  </r>
  <r>
    <n v="4313"/>
    <x v="0"/>
    <x v="63"/>
    <x v="63"/>
    <x v="1"/>
    <x v="1"/>
    <x v="8"/>
    <n v="14119"/>
    <x v="391"/>
    <x v="487"/>
    <n v="20800"/>
    <n v="1600"/>
  </r>
  <r>
    <n v="4314"/>
    <x v="0"/>
    <x v="63"/>
    <x v="63"/>
    <x v="1"/>
    <x v="1"/>
    <x v="7"/>
    <n v="14147"/>
    <x v="439"/>
    <x v="588"/>
    <n v="21800"/>
    <n v="1503"/>
  </r>
  <r>
    <n v="4315"/>
    <x v="0"/>
    <x v="63"/>
    <x v="63"/>
    <x v="1"/>
    <x v="1"/>
    <x v="10"/>
    <n v="14161"/>
    <x v="424"/>
    <x v="589"/>
    <n v="80500"/>
    <n v="1695"/>
  </r>
  <r>
    <n v="4316"/>
    <x v="0"/>
    <x v="63"/>
    <x v="63"/>
    <x v="1"/>
    <x v="1"/>
    <x v="90"/>
    <n v="14182"/>
    <x v="12"/>
    <x v="12"/>
    <n v="500"/>
    <n v="1667"/>
  </r>
  <r>
    <n v="4317"/>
    <x v="0"/>
    <x v="63"/>
    <x v="63"/>
    <x v="11"/>
    <x v="11"/>
    <x v="117"/>
    <n v="66007"/>
    <x v="158"/>
    <x v="163"/>
    <n v="10000"/>
    <n v="2500"/>
  </r>
  <r>
    <n v="4318"/>
    <x v="0"/>
    <x v="63"/>
    <x v="63"/>
    <x v="11"/>
    <x v="11"/>
    <x v="176"/>
    <n v="66049"/>
    <x v="14"/>
    <x v="14"/>
    <n v="1300"/>
    <n v="2600"/>
  </r>
  <r>
    <n v="4319"/>
    <x v="0"/>
    <x v="63"/>
    <x v="63"/>
    <x v="11"/>
    <x v="11"/>
    <x v="171"/>
    <n v="66056"/>
    <x v="11"/>
    <x v="11"/>
    <n v="2500"/>
    <n v="2500"/>
  </r>
  <r>
    <n v="4320"/>
    <x v="0"/>
    <x v="63"/>
    <x v="63"/>
    <x v="11"/>
    <x v="11"/>
    <x v="106"/>
    <n v="66112"/>
    <x v="81"/>
    <x v="83"/>
    <n v="3300"/>
    <n v="2200"/>
  </r>
  <r>
    <n v="4321"/>
    <x v="0"/>
    <x v="63"/>
    <x v="63"/>
    <x v="11"/>
    <x v="11"/>
    <x v="140"/>
    <n v="66126"/>
    <x v="14"/>
    <x v="14"/>
    <n v="1300"/>
    <n v="2600"/>
  </r>
  <r>
    <n v="4322"/>
    <x v="0"/>
    <x v="63"/>
    <x v="63"/>
    <x v="11"/>
    <x v="11"/>
    <x v="146"/>
    <n v="66140"/>
    <x v="74"/>
    <x v="128"/>
    <n v="5000"/>
    <n v="2500"/>
  </r>
  <r>
    <n v="4323"/>
    <x v="0"/>
    <x v="64"/>
    <x v="64"/>
    <x v="1"/>
    <x v="1"/>
    <x v="143"/>
    <n v="14042"/>
    <x v="155"/>
    <x v="160"/>
    <n v="21200"/>
    <n v="1178"/>
  </r>
  <r>
    <n v="4324"/>
    <x v="0"/>
    <x v="64"/>
    <x v="64"/>
    <x v="1"/>
    <x v="1"/>
    <x v="107"/>
    <n v="14056"/>
    <x v="540"/>
    <x v="590"/>
    <n v="75600"/>
    <n v="1530"/>
  </r>
  <r>
    <n v="4325"/>
    <x v="0"/>
    <x v="64"/>
    <x v="64"/>
    <x v="1"/>
    <x v="1"/>
    <x v="13"/>
    <n v="14098"/>
    <x v="541"/>
    <x v="591"/>
    <n v="41000"/>
    <n v="1541"/>
  </r>
  <r>
    <n v="4326"/>
    <x v="0"/>
    <x v="64"/>
    <x v="64"/>
    <x v="1"/>
    <x v="1"/>
    <x v="8"/>
    <n v="14119"/>
    <x v="438"/>
    <x v="457"/>
    <n v="21700"/>
    <n v="1240"/>
  </r>
  <r>
    <n v="4327"/>
    <x v="0"/>
    <x v="64"/>
    <x v="64"/>
    <x v="1"/>
    <x v="1"/>
    <x v="7"/>
    <n v="14147"/>
    <x v="14"/>
    <x v="14"/>
    <n v="600"/>
    <n v="1200"/>
  </r>
  <r>
    <n v="4328"/>
    <x v="0"/>
    <x v="64"/>
    <x v="64"/>
    <x v="1"/>
    <x v="1"/>
    <x v="10"/>
    <n v="14161"/>
    <x v="542"/>
    <x v="592"/>
    <n v="56100"/>
    <n v="1450"/>
  </r>
  <r>
    <n v="4329"/>
    <x v="0"/>
    <x v="64"/>
    <x v="64"/>
    <x v="11"/>
    <x v="11"/>
    <x v="117"/>
    <n v="66007"/>
    <x v="12"/>
    <x v="12"/>
    <n v="600"/>
    <n v="2000"/>
  </r>
  <r>
    <n v="4330"/>
    <x v="0"/>
    <x v="64"/>
    <x v="64"/>
    <x v="11"/>
    <x v="11"/>
    <x v="171"/>
    <n v="66056"/>
    <x v="26"/>
    <x v="59"/>
    <n v="800"/>
    <n v="2000"/>
  </r>
  <r>
    <n v="4331"/>
    <x v="0"/>
    <x v="64"/>
    <x v="64"/>
    <x v="11"/>
    <x v="11"/>
    <x v="106"/>
    <n v="66112"/>
    <x v="12"/>
    <x v="12"/>
    <n v="700"/>
    <n v="2333"/>
  </r>
  <r>
    <n v="4332"/>
    <x v="0"/>
    <x v="64"/>
    <x v="64"/>
    <x v="11"/>
    <x v="11"/>
    <x v="146"/>
    <n v="66140"/>
    <x v="56"/>
    <x v="433"/>
    <n v="3100"/>
    <n v="2214"/>
  </r>
  <r>
    <n v="4333"/>
    <x v="0"/>
    <x v="65"/>
    <x v="65"/>
    <x v="1"/>
    <x v="1"/>
    <x v="143"/>
    <n v="14042"/>
    <x v="543"/>
    <x v="593"/>
    <n v="15300"/>
    <n v="1500"/>
  </r>
  <r>
    <n v="4334"/>
    <x v="0"/>
    <x v="65"/>
    <x v="65"/>
    <x v="1"/>
    <x v="1"/>
    <x v="107"/>
    <n v="14056"/>
    <x v="527"/>
    <x v="567"/>
    <n v="106600"/>
    <n v="2479"/>
  </r>
  <r>
    <n v="4335"/>
    <x v="0"/>
    <x v="65"/>
    <x v="65"/>
    <x v="1"/>
    <x v="1"/>
    <x v="13"/>
    <n v="14098"/>
    <x v="381"/>
    <x v="373"/>
    <n v="67000"/>
    <n v="2481"/>
  </r>
  <r>
    <n v="4336"/>
    <x v="0"/>
    <x v="65"/>
    <x v="65"/>
    <x v="1"/>
    <x v="1"/>
    <x v="8"/>
    <n v="14119"/>
    <x v="544"/>
    <x v="594"/>
    <n v="8500"/>
    <n v="1393"/>
  </r>
  <r>
    <n v="4337"/>
    <x v="0"/>
    <x v="65"/>
    <x v="65"/>
    <x v="1"/>
    <x v="1"/>
    <x v="10"/>
    <n v="14161"/>
    <x v="430"/>
    <x v="516"/>
    <n v="36000"/>
    <n v="1519"/>
  </r>
  <r>
    <n v="4338"/>
    <x v="0"/>
    <x v="66"/>
    <x v="66"/>
    <x v="1"/>
    <x v="1"/>
    <x v="143"/>
    <n v="14042"/>
    <x v="545"/>
    <x v="595"/>
    <n v="30200"/>
    <n v="1736"/>
  </r>
  <r>
    <n v="4339"/>
    <x v="0"/>
    <x v="66"/>
    <x v="66"/>
    <x v="1"/>
    <x v="1"/>
    <x v="107"/>
    <n v="14056"/>
    <x v="546"/>
    <x v="596"/>
    <n v="85100"/>
    <n v="1501"/>
  </r>
  <r>
    <n v="4340"/>
    <x v="0"/>
    <x v="66"/>
    <x v="66"/>
    <x v="1"/>
    <x v="1"/>
    <x v="13"/>
    <n v="14098"/>
    <x v="547"/>
    <x v="597"/>
    <n v="54800"/>
    <n v="1501"/>
  </r>
  <r>
    <n v="4341"/>
    <x v="0"/>
    <x v="66"/>
    <x v="66"/>
    <x v="1"/>
    <x v="1"/>
    <x v="8"/>
    <n v="14119"/>
    <x v="548"/>
    <x v="316"/>
    <n v="12500"/>
    <n v="1736"/>
  </r>
  <r>
    <n v="4342"/>
    <x v="0"/>
    <x v="66"/>
    <x v="66"/>
    <x v="1"/>
    <x v="1"/>
    <x v="7"/>
    <n v="14147"/>
    <x v="14"/>
    <x v="14"/>
    <n v="900"/>
    <n v="1800"/>
  </r>
  <r>
    <n v="4343"/>
    <x v="0"/>
    <x v="66"/>
    <x v="66"/>
    <x v="1"/>
    <x v="1"/>
    <x v="10"/>
    <n v="14161"/>
    <x v="549"/>
    <x v="598"/>
    <n v="24600"/>
    <n v="1597"/>
  </r>
  <r>
    <n v="4344"/>
    <x v="0"/>
    <x v="67"/>
    <x v="67"/>
    <x v="1"/>
    <x v="1"/>
    <x v="143"/>
    <n v="14042"/>
    <x v="437"/>
    <x v="599"/>
    <n v="35300"/>
    <n v="1689"/>
  </r>
  <r>
    <n v="4345"/>
    <x v="0"/>
    <x v="67"/>
    <x v="67"/>
    <x v="1"/>
    <x v="1"/>
    <x v="107"/>
    <n v="14056"/>
    <x v="550"/>
    <x v="600"/>
    <n v="97800"/>
    <n v="1500"/>
  </r>
  <r>
    <n v="4346"/>
    <x v="0"/>
    <x v="67"/>
    <x v="67"/>
    <x v="1"/>
    <x v="1"/>
    <x v="13"/>
    <n v="14098"/>
    <x v="551"/>
    <x v="601"/>
    <n v="62800"/>
    <n v="1501"/>
  </r>
  <r>
    <n v="4347"/>
    <x v="0"/>
    <x v="67"/>
    <x v="67"/>
    <x v="1"/>
    <x v="1"/>
    <x v="8"/>
    <n v="14119"/>
    <x v="210"/>
    <x v="443"/>
    <n v="14000"/>
    <n v="1556"/>
  </r>
  <r>
    <n v="4348"/>
    <x v="0"/>
    <x v="67"/>
    <x v="67"/>
    <x v="1"/>
    <x v="1"/>
    <x v="7"/>
    <n v="14147"/>
    <x v="14"/>
    <x v="14"/>
    <n v="700"/>
    <n v="1400"/>
  </r>
  <r>
    <n v="4349"/>
    <x v="0"/>
    <x v="67"/>
    <x v="67"/>
    <x v="1"/>
    <x v="1"/>
    <x v="10"/>
    <n v="14161"/>
    <x v="391"/>
    <x v="556"/>
    <n v="26000"/>
    <n v="1529"/>
  </r>
  <r>
    <n v="4350"/>
    <x v="0"/>
    <x v="67"/>
    <x v="67"/>
    <x v="1"/>
    <x v="1"/>
    <x v="90"/>
    <n v="14182"/>
    <x v="320"/>
    <x v="602"/>
    <n v="800"/>
    <n v="2353"/>
  </r>
  <r>
    <n v="4351"/>
    <x v="0"/>
    <x v="67"/>
    <x v="67"/>
    <x v="2"/>
    <x v="2"/>
    <x v="21"/>
    <n v="18007"/>
    <x v="253"/>
    <x v="197"/>
    <n v="115"/>
    <n v="1211"/>
  </r>
  <r>
    <n v="4352"/>
    <x v="0"/>
    <x v="67"/>
    <x v="67"/>
    <x v="2"/>
    <x v="2"/>
    <x v="12"/>
    <n v="18021"/>
    <x v="77"/>
    <x v="67"/>
    <n v="10"/>
    <n v="1250"/>
  </r>
  <r>
    <n v="4353"/>
    <x v="0"/>
    <x v="67"/>
    <x v="67"/>
    <x v="2"/>
    <x v="2"/>
    <x v="43"/>
    <n v="18028"/>
    <x v="34"/>
    <x v="34"/>
    <n v="3"/>
    <n v="1500"/>
  </r>
  <r>
    <n v="4354"/>
    <x v="0"/>
    <x v="67"/>
    <x v="67"/>
    <x v="2"/>
    <x v="2"/>
    <x v="73"/>
    <n v="18077"/>
    <x v="33"/>
    <x v="33"/>
    <n v="8"/>
    <n v="1600"/>
  </r>
  <r>
    <n v="4355"/>
    <x v="0"/>
    <x v="67"/>
    <x v="67"/>
    <x v="2"/>
    <x v="2"/>
    <x v="19"/>
    <n v="18133"/>
    <x v="29"/>
    <x v="29"/>
    <n v="11"/>
    <n v="1571"/>
  </r>
  <r>
    <n v="4356"/>
    <x v="0"/>
    <x v="67"/>
    <x v="67"/>
    <x v="2"/>
    <x v="2"/>
    <x v="24"/>
    <n v="18140"/>
    <x v="256"/>
    <x v="421"/>
    <n v="100"/>
    <n v="1370"/>
  </r>
  <r>
    <n v="4357"/>
    <x v="0"/>
    <x v="67"/>
    <x v="67"/>
    <x v="11"/>
    <x v="11"/>
    <x v="117"/>
    <n v="66007"/>
    <x v="143"/>
    <x v="72"/>
    <n v="40"/>
    <n v="1333"/>
  </r>
  <r>
    <n v="4358"/>
    <x v="0"/>
    <x v="67"/>
    <x v="67"/>
    <x v="11"/>
    <x v="11"/>
    <x v="171"/>
    <n v="66056"/>
    <x v="23"/>
    <x v="23"/>
    <n v="130"/>
    <n v="1300"/>
  </r>
  <r>
    <n v="4359"/>
    <x v="0"/>
    <x v="68"/>
    <x v="68"/>
    <x v="1"/>
    <x v="1"/>
    <x v="143"/>
    <n v="14042"/>
    <x v="552"/>
    <x v="603"/>
    <n v="49900"/>
    <n v="1905"/>
  </r>
  <r>
    <n v="4360"/>
    <x v="0"/>
    <x v="68"/>
    <x v="68"/>
    <x v="1"/>
    <x v="1"/>
    <x v="107"/>
    <n v="14056"/>
    <x v="553"/>
    <x v="604"/>
    <n v="189100"/>
    <n v="1997"/>
  </r>
  <r>
    <n v="4361"/>
    <x v="0"/>
    <x v="68"/>
    <x v="68"/>
    <x v="1"/>
    <x v="1"/>
    <x v="13"/>
    <n v="14098"/>
    <x v="554"/>
    <x v="605"/>
    <n v="166300"/>
    <n v="1996"/>
  </r>
  <r>
    <n v="4362"/>
    <x v="0"/>
    <x v="68"/>
    <x v="68"/>
    <x v="1"/>
    <x v="1"/>
    <x v="8"/>
    <n v="14119"/>
    <x v="133"/>
    <x v="141"/>
    <n v="20600"/>
    <n v="1526"/>
  </r>
  <r>
    <n v="4363"/>
    <x v="0"/>
    <x v="68"/>
    <x v="68"/>
    <x v="1"/>
    <x v="1"/>
    <x v="7"/>
    <n v="14147"/>
    <x v="180"/>
    <x v="207"/>
    <n v="1000"/>
    <n v="1667"/>
  </r>
  <r>
    <n v="4364"/>
    <x v="0"/>
    <x v="68"/>
    <x v="68"/>
    <x v="1"/>
    <x v="1"/>
    <x v="10"/>
    <n v="14161"/>
    <x v="555"/>
    <x v="606"/>
    <n v="34100"/>
    <n v="1731"/>
  </r>
  <r>
    <n v="4365"/>
    <x v="0"/>
    <x v="68"/>
    <x v="68"/>
    <x v="1"/>
    <x v="1"/>
    <x v="90"/>
    <n v="14182"/>
    <x v="14"/>
    <x v="14"/>
    <n v="950"/>
    <n v="1900"/>
  </r>
  <r>
    <n v="4366"/>
    <x v="0"/>
    <x v="68"/>
    <x v="68"/>
    <x v="2"/>
    <x v="2"/>
    <x v="21"/>
    <n v="18007"/>
    <x v="23"/>
    <x v="27"/>
    <n v="69"/>
    <n v="1062"/>
  </r>
  <r>
    <n v="4367"/>
    <x v="0"/>
    <x v="68"/>
    <x v="68"/>
    <x v="2"/>
    <x v="2"/>
    <x v="12"/>
    <n v="18021"/>
    <x v="77"/>
    <x v="33"/>
    <n v="6"/>
    <n v="1200"/>
  </r>
  <r>
    <n v="4368"/>
    <x v="0"/>
    <x v="68"/>
    <x v="68"/>
    <x v="2"/>
    <x v="2"/>
    <x v="43"/>
    <n v="18028"/>
    <x v="34"/>
    <x v="34"/>
    <n v="2"/>
    <n v="1000"/>
  </r>
  <r>
    <n v="4369"/>
    <x v="0"/>
    <x v="68"/>
    <x v="68"/>
    <x v="2"/>
    <x v="2"/>
    <x v="19"/>
    <n v="18133"/>
    <x v="29"/>
    <x v="49"/>
    <n v="7"/>
    <n v="1167"/>
  </r>
  <r>
    <n v="4370"/>
    <x v="0"/>
    <x v="68"/>
    <x v="68"/>
    <x v="2"/>
    <x v="2"/>
    <x v="24"/>
    <n v="18140"/>
    <x v="453"/>
    <x v="231"/>
    <n v="56"/>
    <n v="1077"/>
  </r>
  <r>
    <n v="4371"/>
    <x v="0"/>
    <x v="68"/>
    <x v="68"/>
    <x v="11"/>
    <x v="11"/>
    <x v="117"/>
    <n v="66007"/>
    <x v="223"/>
    <x v="274"/>
    <n v="200"/>
    <n v="1818"/>
  </r>
  <r>
    <n v="4372"/>
    <x v="0"/>
    <x v="68"/>
    <x v="68"/>
    <x v="11"/>
    <x v="11"/>
    <x v="171"/>
    <n v="66056"/>
    <x v="224"/>
    <x v="151"/>
    <n v="100"/>
    <n v="1111"/>
  </r>
  <r>
    <n v="4373"/>
    <x v="0"/>
    <x v="69"/>
    <x v="69"/>
    <x v="1"/>
    <x v="1"/>
    <x v="143"/>
    <n v="14042"/>
    <x v="556"/>
    <x v="607"/>
    <n v="47200"/>
    <n v="923"/>
  </r>
  <r>
    <n v="4374"/>
    <x v="0"/>
    <x v="69"/>
    <x v="69"/>
    <x v="1"/>
    <x v="1"/>
    <x v="107"/>
    <n v="14056"/>
    <x v="557"/>
    <x v="608"/>
    <n v="83850"/>
    <n v="902"/>
  </r>
  <r>
    <n v="4375"/>
    <x v="0"/>
    <x v="69"/>
    <x v="69"/>
    <x v="1"/>
    <x v="1"/>
    <x v="160"/>
    <n v="14084"/>
    <x v="123"/>
    <x v="131"/>
    <n v="216"/>
    <n v="1800"/>
  </r>
  <r>
    <n v="4376"/>
    <x v="0"/>
    <x v="69"/>
    <x v="69"/>
    <x v="1"/>
    <x v="1"/>
    <x v="13"/>
    <n v="14098"/>
    <x v="558"/>
    <x v="609"/>
    <n v="73650"/>
    <n v="902"/>
  </r>
  <r>
    <n v="4377"/>
    <x v="0"/>
    <x v="69"/>
    <x v="69"/>
    <x v="1"/>
    <x v="1"/>
    <x v="9"/>
    <n v="14105"/>
    <x v="26"/>
    <x v="59"/>
    <n v="400"/>
    <n v="1000"/>
  </r>
  <r>
    <n v="4378"/>
    <x v="0"/>
    <x v="69"/>
    <x v="69"/>
    <x v="1"/>
    <x v="1"/>
    <x v="8"/>
    <n v="14119"/>
    <x v="490"/>
    <x v="397"/>
    <n v="25650"/>
    <n v="1315"/>
  </r>
  <r>
    <n v="4379"/>
    <x v="0"/>
    <x v="69"/>
    <x v="69"/>
    <x v="1"/>
    <x v="1"/>
    <x v="7"/>
    <n v="14147"/>
    <x v="179"/>
    <x v="153"/>
    <n v="2000"/>
    <n v="2222"/>
  </r>
  <r>
    <n v="4380"/>
    <x v="0"/>
    <x v="69"/>
    <x v="69"/>
    <x v="1"/>
    <x v="1"/>
    <x v="10"/>
    <n v="14161"/>
    <x v="559"/>
    <x v="610"/>
    <n v="47000"/>
    <n v="931"/>
  </r>
  <r>
    <n v="4381"/>
    <x v="0"/>
    <x v="69"/>
    <x v="69"/>
    <x v="1"/>
    <x v="1"/>
    <x v="90"/>
    <n v="14182"/>
    <x v="14"/>
    <x v="14"/>
    <n v="400"/>
    <n v="800"/>
  </r>
  <r>
    <n v="4382"/>
    <x v="0"/>
    <x v="69"/>
    <x v="69"/>
    <x v="2"/>
    <x v="2"/>
    <x v="21"/>
    <n v="18007"/>
    <x v="127"/>
    <x v="134"/>
    <n v="77"/>
    <n v="1100"/>
  </r>
  <r>
    <n v="4383"/>
    <x v="0"/>
    <x v="69"/>
    <x v="69"/>
    <x v="2"/>
    <x v="2"/>
    <x v="12"/>
    <n v="18021"/>
    <x v="78"/>
    <x v="49"/>
    <n v="6"/>
    <n v="1000"/>
  </r>
  <r>
    <n v="4384"/>
    <x v="0"/>
    <x v="69"/>
    <x v="69"/>
    <x v="2"/>
    <x v="2"/>
    <x v="43"/>
    <n v="18028"/>
    <x v="34"/>
    <x v="34"/>
    <n v="2"/>
    <n v="1000"/>
  </r>
  <r>
    <n v="4385"/>
    <x v="0"/>
    <x v="69"/>
    <x v="69"/>
    <x v="2"/>
    <x v="2"/>
    <x v="73"/>
    <n v="18077"/>
    <x v="47"/>
    <x v="46"/>
    <n v="5"/>
    <n v="1250"/>
  </r>
  <r>
    <n v="4386"/>
    <x v="0"/>
    <x v="69"/>
    <x v="69"/>
    <x v="2"/>
    <x v="2"/>
    <x v="19"/>
    <n v="18133"/>
    <x v="29"/>
    <x v="29"/>
    <n v="8"/>
    <n v="1143"/>
  </r>
  <r>
    <n v="4387"/>
    <x v="0"/>
    <x v="69"/>
    <x v="69"/>
    <x v="2"/>
    <x v="2"/>
    <x v="24"/>
    <n v="18140"/>
    <x v="225"/>
    <x v="225"/>
    <n v="60"/>
    <n v="1000"/>
  </r>
  <r>
    <n v="4388"/>
    <x v="0"/>
    <x v="69"/>
    <x v="69"/>
    <x v="2"/>
    <x v="2"/>
    <x v="74"/>
    <n v="18161"/>
    <x v="50"/>
    <x v="136"/>
    <n v="12"/>
    <n v="1091"/>
  </r>
  <r>
    <n v="4389"/>
    <x v="0"/>
    <x v="69"/>
    <x v="69"/>
    <x v="11"/>
    <x v="11"/>
    <x v="117"/>
    <n v="66007"/>
    <x v="143"/>
    <x v="150"/>
    <n v="180"/>
    <n v="1385"/>
  </r>
  <r>
    <n v="4390"/>
    <x v="0"/>
    <x v="69"/>
    <x v="69"/>
    <x v="11"/>
    <x v="11"/>
    <x v="171"/>
    <n v="66056"/>
    <x v="23"/>
    <x v="23"/>
    <n v="140"/>
    <n v="1400"/>
  </r>
  <r>
    <n v="4391"/>
    <x v="0"/>
    <x v="70"/>
    <x v="70"/>
    <x v="1"/>
    <x v="1"/>
    <x v="96"/>
    <n v="14035"/>
    <x v="159"/>
    <x v="101"/>
    <n v="6000"/>
    <n v="2000"/>
  </r>
  <r>
    <n v="4392"/>
    <x v="0"/>
    <x v="70"/>
    <x v="70"/>
    <x v="1"/>
    <x v="1"/>
    <x v="143"/>
    <n v="14042"/>
    <x v="560"/>
    <x v="611"/>
    <n v="105200"/>
    <n v="1657"/>
  </r>
  <r>
    <n v="4393"/>
    <x v="0"/>
    <x v="70"/>
    <x v="70"/>
    <x v="1"/>
    <x v="1"/>
    <x v="107"/>
    <n v="14056"/>
    <x v="561"/>
    <x v="612"/>
    <n v="186200"/>
    <n v="1570"/>
  </r>
  <r>
    <n v="4394"/>
    <x v="0"/>
    <x v="70"/>
    <x v="70"/>
    <x v="1"/>
    <x v="1"/>
    <x v="13"/>
    <n v="14098"/>
    <x v="562"/>
    <x v="613"/>
    <n v="158700"/>
    <n v="1570"/>
  </r>
  <r>
    <n v="4395"/>
    <x v="0"/>
    <x v="70"/>
    <x v="70"/>
    <x v="1"/>
    <x v="1"/>
    <x v="9"/>
    <n v="14105"/>
    <x v="74"/>
    <x v="128"/>
    <n v="3400"/>
    <n v="1700"/>
  </r>
  <r>
    <n v="4396"/>
    <x v="0"/>
    <x v="70"/>
    <x v="70"/>
    <x v="1"/>
    <x v="1"/>
    <x v="8"/>
    <n v="14119"/>
    <x v="386"/>
    <x v="401"/>
    <n v="44900"/>
    <n v="1796"/>
  </r>
  <r>
    <n v="4397"/>
    <x v="0"/>
    <x v="70"/>
    <x v="70"/>
    <x v="1"/>
    <x v="1"/>
    <x v="7"/>
    <n v="14147"/>
    <x v="11"/>
    <x v="11"/>
    <n v="1800"/>
    <n v="1800"/>
  </r>
  <r>
    <n v="4398"/>
    <x v="0"/>
    <x v="70"/>
    <x v="70"/>
    <x v="1"/>
    <x v="1"/>
    <x v="10"/>
    <n v="14161"/>
    <x v="563"/>
    <x v="614"/>
    <n v="114100"/>
    <n v="1745"/>
  </r>
  <r>
    <n v="4399"/>
    <x v="0"/>
    <x v="70"/>
    <x v="70"/>
    <x v="1"/>
    <x v="1"/>
    <x v="90"/>
    <n v="14182"/>
    <x v="147"/>
    <x v="101"/>
    <n v="6000"/>
    <n v="2000"/>
  </r>
  <r>
    <n v="4400"/>
    <x v="0"/>
    <x v="70"/>
    <x v="70"/>
    <x v="2"/>
    <x v="2"/>
    <x v="21"/>
    <n v="18007"/>
    <x v="127"/>
    <x v="72"/>
    <n v="22"/>
    <n v="733"/>
  </r>
  <r>
    <n v="4401"/>
    <x v="0"/>
    <x v="70"/>
    <x v="70"/>
    <x v="2"/>
    <x v="2"/>
    <x v="12"/>
    <n v="18021"/>
    <x v="78"/>
    <x v="46"/>
    <n v="3"/>
    <n v="750"/>
  </r>
  <r>
    <n v="4402"/>
    <x v="0"/>
    <x v="70"/>
    <x v="70"/>
    <x v="2"/>
    <x v="2"/>
    <x v="43"/>
    <n v="18028"/>
    <x v="34"/>
    <x v="512"/>
    <n v="0"/>
    <n v="0"/>
  </r>
  <r>
    <n v="4403"/>
    <x v="0"/>
    <x v="70"/>
    <x v="70"/>
    <x v="2"/>
    <x v="2"/>
    <x v="73"/>
    <n v="18077"/>
    <x v="47"/>
    <x v="34"/>
    <n v="1"/>
    <n v="500"/>
  </r>
  <r>
    <n v="4404"/>
    <x v="0"/>
    <x v="70"/>
    <x v="70"/>
    <x v="2"/>
    <x v="2"/>
    <x v="19"/>
    <n v="18133"/>
    <x v="29"/>
    <x v="46"/>
    <n v="3"/>
    <n v="750"/>
  </r>
  <r>
    <n v="4405"/>
    <x v="0"/>
    <x v="70"/>
    <x v="70"/>
    <x v="2"/>
    <x v="2"/>
    <x v="24"/>
    <n v="18140"/>
    <x v="225"/>
    <x v="72"/>
    <n v="22"/>
    <n v="733"/>
  </r>
  <r>
    <n v="4406"/>
    <x v="0"/>
    <x v="70"/>
    <x v="70"/>
    <x v="2"/>
    <x v="2"/>
    <x v="74"/>
    <n v="18161"/>
    <x v="50"/>
    <x v="33"/>
    <n v="4"/>
    <n v="800"/>
  </r>
  <r>
    <n v="4407"/>
    <x v="0"/>
    <x v="70"/>
    <x v="70"/>
    <x v="11"/>
    <x v="11"/>
    <x v="117"/>
    <n v="66007"/>
    <x v="18"/>
    <x v="18"/>
    <n v="300"/>
    <n v="1500"/>
  </r>
  <r>
    <n v="4408"/>
    <x v="0"/>
    <x v="70"/>
    <x v="70"/>
    <x v="11"/>
    <x v="11"/>
    <x v="171"/>
    <n v="66056"/>
    <x v="11"/>
    <x v="282"/>
    <n v="1040"/>
    <n v="1300"/>
  </r>
  <r>
    <n v="4409"/>
    <x v="0"/>
    <x v="71"/>
    <x v="71"/>
    <x v="1"/>
    <x v="1"/>
    <x v="143"/>
    <n v="14042"/>
    <x v="524"/>
    <x v="615"/>
    <n v="53400"/>
    <n v="990"/>
  </r>
  <r>
    <n v="4410"/>
    <x v="0"/>
    <x v="71"/>
    <x v="71"/>
    <x v="1"/>
    <x v="1"/>
    <x v="107"/>
    <n v="14056"/>
    <x v="564"/>
    <x v="616"/>
    <n v="109700"/>
    <n v="1020"/>
  </r>
  <r>
    <n v="4411"/>
    <x v="0"/>
    <x v="71"/>
    <x v="71"/>
    <x v="1"/>
    <x v="1"/>
    <x v="160"/>
    <n v="14084"/>
    <x v="74"/>
    <x v="9"/>
    <n v="1700"/>
    <n v="1000"/>
  </r>
  <r>
    <n v="4412"/>
    <x v="0"/>
    <x v="71"/>
    <x v="71"/>
    <x v="1"/>
    <x v="1"/>
    <x v="13"/>
    <n v="14098"/>
    <x v="565"/>
    <x v="617"/>
    <n v="83600"/>
    <n v="1020"/>
  </r>
  <r>
    <n v="4413"/>
    <x v="0"/>
    <x v="71"/>
    <x v="71"/>
    <x v="1"/>
    <x v="1"/>
    <x v="9"/>
    <n v="14105"/>
    <x v="74"/>
    <x v="143"/>
    <n v="2800"/>
    <n v="1474"/>
  </r>
  <r>
    <n v="4414"/>
    <x v="0"/>
    <x v="71"/>
    <x v="71"/>
    <x v="1"/>
    <x v="1"/>
    <x v="8"/>
    <n v="14119"/>
    <x v="566"/>
    <x v="618"/>
    <n v="23700"/>
    <n v="1049"/>
  </r>
  <r>
    <n v="4415"/>
    <x v="0"/>
    <x v="71"/>
    <x v="71"/>
    <x v="1"/>
    <x v="1"/>
    <x v="7"/>
    <n v="14147"/>
    <x v="179"/>
    <x v="153"/>
    <n v="1200"/>
    <n v="1333"/>
  </r>
  <r>
    <n v="4416"/>
    <x v="0"/>
    <x v="71"/>
    <x v="71"/>
    <x v="1"/>
    <x v="1"/>
    <x v="10"/>
    <n v="14161"/>
    <x v="567"/>
    <x v="619"/>
    <n v="58200"/>
    <n v="1070"/>
  </r>
  <r>
    <n v="4417"/>
    <x v="0"/>
    <x v="71"/>
    <x v="71"/>
    <x v="1"/>
    <x v="1"/>
    <x v="90"/>
    <n v="14182"/>
    <x v="158"/>
    <x v="163"/>
    <n v="5000"/>
    <n v="1250"/>
  </r>
  <r>
    <n v="4418"/>
    <x v="0"/>
    <x v="71"/>
    <x v="71"/>
    <x v="2"/>
    <x v="2"/>
    <x v="21"/>
    <n v="18007"/>
    <x v="127"/>
    <x v="134"/>
    <n v="84"/>
    <n v="1200"/>
  </r>
  <r>
    <n v="4419"/>
    <x v="0"/>
    <x v="71"/>
    <x v="71"/>
    <x v="2"/>
    <x v="2"/>
    <x v="12"/>
    <n v="18021"/>
    <x v="78"/>
    <x v="49"/>
    <n v="7"/>
    <n v="1167"/>
  </r>
  <r>
    <n v="4420"/>
    <x v="0"/>
    <x v="71"/>
    <x v="71"/>
    <x v="2"/>
    <x v="2"/>
    <x v="43"/>
    <n v="18028"/>
    <x v="34"/>
    <x v="34"/>
    <n v="2"/>
    <n v="1000"/>
  </r>
  <r>
    <n v="4421"/>
    <x v="0"/>
    <x v="71"/>
    <x v="71"/>
    <x v="2"/>
    <x v="2"/>
    <x v="73"/>
    <n v="18077"/>
    <x v="47"/>
    <x v="46"/>
    <n v="4"/>
    <n v="1000"/>
  </r>
  <r>
    <n v="4422"/>
    <x v="0"/>
    <x v="71"/>
    <x v="71"/>
    <x v="2"/>
    <x v="2"/>
    <x v="19"/>
    <n v="18133"/>
    <x v="29"/>
    <x v="29"/>
    <n v="8"/>
    <n v="1143"/>
  </r>
  <r>
    <n v="4423"/>
    <x v="0"/>
    <x v="71"/>
    <x v="71"/>
    <x v="2"/>
    <x v="2"/>
    <x v="24"/>
    <n v="18140"/>
    <x v="225"/>
    <x v="225"/>
    <n v="69"/>
    <n v="1150"/>
  </r>
  <r>
    <n v="4424"/>
    <x v="0"/>
    <x v="71"/>
    <x v="71"/>
    <x v="2"/>
    <x v="2"/>
    <x v="74"/>
    <n v="18161"/>
    <x v="50"/>
    <x v="136"/>
    <n v="13"/>
    <n v="1182"/>
  </r>
  <r>
    <n v="4425"/>
    <x v="0"/>
    <x v="71"/>
    <x v="71"/>
    <x v="11"/>
    <x v="11"/>
    <x v="171"/>
    <n v="66056"/>
    <x v="180"/>
    <x v="207"/>
    <n v="720"/>
    <n v="1200"/>
  </r>
  <r>
    <n v="4426"/>
    <x v="0"/>
    <x v="72"/>
    <x v="72"/>
    <x v="1"/>
    <x v="1"/>
    <x v="143"/>
    <n v="14042"/>
    <x v="390"/>
    <x v="476"/>
    <n v="71000"/>
    <n v="1868"/>
  </r>
  <r>
    <n v="4427"/>
    <x v="0"/>
    <x v="72"/>
    <x v="72"/>
    <x v="1"/>
    <x v="1"/>
    <x v="107"/>
    <n v="14056"/>
    <x v="568"/>
    <x v="620"/>
    <n v="136300"/>
    <n v="2004"/>
  </r>
  <r>
    <n v="4428"/>
    <x v="0"/>
    <x v="72"/>
    <x v="72"/>
    <x v="1"/>
    <x v="1"/>
    <x v="160"/>
    <n v="14084"/>
    <x v="80"/>
    <x v="9"/>
    <n v="2400"/>
    <n v="1412"/>
  </r>
  <r>
    <n v="4429"/>
    <x v="0"/>
    <x v="72"/>
    <x v="72"/>
    <x v="1"/>
    <x v="1"/>
    <x v="13"/>
    <n v="14098"/>
    <x v="569"/>
    <x v="621"/>
    <n v="106300"/>
    <n v="2006"/>
  </r>
  <r>
    <n v="4430"/>
    <x v="0"/>
    <x v="72"/>
    <x v="72"/>
    <x v="1"/>
    <x v="1"/>
    <x v="8"/>
    <n v="14119"/>
    <x v="570"/>
    <x v="497"/>
    <n v="27900"/>
    <n v="1800"/>
  </r>
  <r>
    <n v="4431"/>
    <x v="0"/>
    <x v="72"/>
    <x v="72"/>
    <x v="1"/>
    <x v="1"/>
    <x v="7"/>
    <n v="14147"/>
    <x v="12"/>
    <x v="12"/>
    <n v="600"/>
    <n v="2000"/>
  </r>
  <r>
    <n v="4432"/>
    <x v="0"/>
    <x v="72"/>
    <x v="72"/>
    <x v="1"/>
    <x v="1"/>
    <x v="10"/>
    <n v="14161"/>
    <x v="571"/>
    <x v="622"/>
    <n v="72200"/>
    <n v="1783"/>
  </r>
  <r>
    <n v="4433"/>
    <x v="0"/>
    <x v="72"/>
    <x v="72"/>
    <x v="1"/>
    <x v="1"/>
    <x v="90"/>
    <n v="14182"/>
    <x v="81"/>
    <x v="83"/>
    <n v="1800"/>
    <n v="1200"/>
  </r>
  <r>
    <n v="4434"/>
    <x v="0"/>
    <x v="72"/>
    <x v="72"/>
    <x v="2"/>
    <x v="2"/>
    <x v="14"/>
    <m/>
    <x v="69"/>
    <x v="69"/>
    <n v="200"/>
    <n v="1250"/>
  </r>
  <r>
    <n v="4435"/>
    <x v="0"/>
    <x v="72"/>
    <x v="72"/>
    <x v="11"/>
    <x v="11"/>
    <x v="14"/>
    <m/>
    <x v="180"/>
    <x v="207"/>
    <n v="900"/>
    <n v="1500"/>
  </r>
  <r>
    <n v="4436"/>
    <x v="0"/>
    <x v="73"/>
    <x v="73"/>
    <x v="1"/>
    <x v="1"/>
    <x v="96"/>
    <n v="14035"/>
    <x v="382"/>
    <x v="623"/>
    <n v="9200"/>
    <n v="1484"/>
  </r>
  <r>
    <n v="4437"/>
    <x v="0"/>
    <x v="73"/>
    <x v="73"/>
    <x v="1"/>
    <x v="1"/>
    <x v="143"/>
    <n v="14042"/>
    <x v="572"/>
    <x v="624"/>
    <n v="66800"/>
    <n v="1658"/>
  </r>
  <r>
    <n v="4438"/>
    <x v="0"/>
    <x v="73"/>
    <x v="73"/>
    <x v="1"/>
    <x v="1"/>
    <x v="107"/>
    <n v="14056"/>
    <x v="573"/>
    <x v="625"/>
    <n v="124500"/>
    <n v="1600"/>
  </r>
  <r>
    <n v="4439"/>
    <x v="0"/>
    <x v="73"/>
    <x v="73"/>
    <x v="1"/>
    <x v="1"/>
    <x v="160"/>
    <n v="14084"/>
    <x v="210"/>
    <x v="464"/>
    <n v="13000"/>
    <n v="1548"/>
  </r>
  <r>
    <n v="4440"/>
    <x v="0"/>
    <x v="73"/>
    <x v="73"/>
    <x v="1"/>
    <x v="1"/>
    <x v="13"/>
    <n v="14098"/>
    <x v="574"/>
    <x v="626"/>
    <n v="63000"/>
    <n v="1310"/>
  </r>
  <r>
    <n v="4441"/>
    <x v="0"/>
    <x v="73"/>
    <x v="73"/>
    <x v="1"/>
    <x v="1"/>
    <x v="8"/>
    <n v="14119"/>
    <x v="575"/>
    <x v="382"/>
    <n v="32200"/>
    <n v="1769"/>
  </r>
  <r>
    <n v="4442"/>
    <x v="0"/>
    <x v="73"/>
    <x v="73"/>
    <x v="1"/>
    <x v="1"/>
    <x v="7"/>
    <n v="14147"/>
    <x v="12"/>
    <x v="12"/>
    <n v="500"/>
    <n v="1667"/>
  </r>
  <r>
    <n v="4443"/>
    <x v="0"/>
    <x v="73"/>
    <x v="73"/>
    <x v="1"/>
    <x v="1"/>
    <x v="10"/>
    <n v="14161"/>
    <x v="576"/>
    <x v="627"/>
    <n v="69700"/>
    <n v="1696"/>
  </r>
  <r>
    <n v="4444"/>
    <x v="0"/>
    <x v="73"/>
    <x v="73"/>
    <x v="1"/>
    <x v="1"/>
    <x v="90"/>
    <n v="14182"/>
    <x v="57"/>
    <x v="56"/>
    <n v="2600"/>
    <n v="2167"/>
  </r>
  <r>
    <n v="4445"/>
    <x v="0"/>
    <x v="73"/>
    <x v="73"/>
    <x v="2"/>
    <x v="2"/>
    <x v="14"/>
    <m/>
    <x v="69"/>
    <x v="69"/>
    <n v="300"/>
    <n v="1875"/>
  </r>
  <r>
    <n v="4446"/>
    <x v="0"/>
    <x v="73"/>
    <x v="73"/>
    <x v="11"/>
    <x v="11"/>
    <x v="117"/>
    <n v="66007"/>
    <x v="14"/>
    <x v="14"/>
    <n v="700"/>
    <n v="1400"/>
  </r>
  <r>
    <n v="4447"/>
    <x v="0"/>
    <x v="73"/>
    <x v="73"/>
    <x v="11"/>
    <x v="11"/>
    <x v="171"/>
    <n v="66056"/>
    <x v="577"/>
    <x v="628"/>
    <n v="10400"/>
    <n v="1405"/>
  </r>
  <r>
    <n v="4448"/>
    <x v="0"/>
    <x v="73"/>
    <x v="73"/>
    <x v="11"/>
    <x v="11"/>
    <x v="140"/>
    <n v="66126"/>
    <x v="10"/>
    <x v="10"/>
    <n v="1500"/>
    <n v="1364"/>
  </r>
  <r>
    <n v="4449"/>
    <x v="0"/>
    <x v="73"/>
    <x v="73"/>
    <x v="13"/>
    <x v="13"/>
    <x v="14"/>
    <m/>
    <x v="12"/>
    <x v="12"/>
    <n v="400"/>
    <n v="1333"/>
  </r>
  <r>
    <n v="4450"/>
    <x v="0"/>
    <x v="74"/>
    <x v="74"/>
    <x v="1"/>
    <x v="1"/>
    <x v="96"/>
    <n v="14035"/>
    <x v="79"/>
    <x v="81"/>
    <n v="19700"/>
    <n v="1642"/>
  </r>
  <r>
    <n v="4451"/>
    <x v="0"/>
    <x v="74"/>
    <x v="74"/>
    <x v="1"/>
    <x v="1"/>
    <x v="143"/>
    <n v="14042"/>
    <x v="578"/>
    <x v="629"/>
    <n v="64400"/>
    <n v="1699"/>
  </r>
  <r>
    <n v="4452"/>
    <x v="0"/>
    <x v="74"/>
    <x v="74"/>
    <x v="1"/>
    <x v="1"/>
    <x v="107"/>
    <n v="14056"/>
    <x v="579"/>
    <x v="630"/>
    <n v="60100"/>
    <n v="1548"/>
  </r>
  <r>
    <n v="4453"/>
    <x v="0"/>
    <x v="74"/>
    <x v="74"/>
    <x v="1"/>
    <x v="1"/>
    <x v="160"/>
    <n v="14084"/>
    <x v="315"/>
    <x v="291"/>
    <n v="13900"/>
    <n v="1738"/>
  </r>
  <r>
    <n v="4454"/>
    <x v="0"/>
    <x v="74"/>
    <x v="74"/>
    <x v="1"/>
    <x v="1"/>
    <x v="13"/>
    <n v="14098"/>
    <x v="580"/>
    <x v="631"/>
    <n v="112400"/>
    <n v="1602"/>
  </r>
  <r>
    <n v="4455"/>
    <x v="0"/>
    <x v="74"/>
    <x v="74"/>
    <x v="1"/>
    <x v="1"/>
    <x v="8"/>
    <n v="14119"/>
    <x v="310"/>
    <x v="632"/>
    <n v="28000"/>
    <n v="1697"/>
  </r>
  <r>
    <n v="4456"/>
    <x v="0"/>
    <x v="74"/>
    <x v="74"/>
    <x v="1"/>
    <x v="1"/>
    <x v="7"/>
    <n v="14147"/>
    <x v="14"/>
    <x v="14"/>
    <n v="800"/>
    <n v="1600"/>
  </r>
  <r>
    <n v="4457"/>
    <x v="0"/>
    <x v="74"/>
    <x v="74"/>
    <x v="1"/>
    <x v="1"/>
    <x v="10"/>
    <n v="14161"/>
    <x v="581"/>
    <x v="366"/>
    <n v="43900"/>
    <n v="1608"/>
  </r>
  <r>
    <n v="4458"/>
    <x v="0"/>
    <x v="74"/>
    <x v="74"/>
    <x v="1"/>
    <x v="1"/>
    <x v="90"/>
    <n v="14182"/>
    <x v="81"/>
    <x v="83"/>
    <n v="3300"/>
    <n v="2200"/>
  </r>
  <r>
    <n v="4459"/>
    <x v="0"/>
    <x v="74"/>
    <x v="74"/>
    <x v="2"/>
    <x v="2"/>
    <x v="14"/>
    <m/>
    <x v="14"/>
    <x v="14"/>
    <n v="900"/>
    <n v="1800"/>
  </r>
  <r>
    <n v="4460"/>
    <x v="0"/>
    <x v="74"/>
    <x v="74"/>
    <x v="4"/>
    <x v="4"/>
    <x v="14"/>
    <m/>
    <x v="180"/>
    <x v="207"/>
    <n v="1000"/>
    <n v="1667"/>
  </r>
  <r>
    <n v="4461"/>
    <x v="0"/>
    <x v="74"/>
    <x v="74"/>
    <x v="11"/>
    <x v="11"/>
    <x v="117"/>
    <n v="66007"/>
    <x v="11"/>
    <x v="11"/>
    <n v="1500"/>
    <n v="1500"/>
  </r>
  <r>
    <n v="4462"/>
    <x v="0"/>
    <x v="74"/>
    <x v="74"/>
    <x v="11"/>
    <x v="11"/>
    <x v="171"/>
    <n v="66056"/>
    <x v="382"/>
    <x v="220"/>
    <n v="10500"/>
    <n v="1500"/>
  </r>
  <r>
    <n v="4463"/>
    <x v="0"/>
    <x v="74"/>
    <x v="74"/>
    <x v="13"/>
    <x v="13"/>
    <x v="14"/>
    <m/>
    <x v="180"/>
    <x v="207"/>
    <n v="1500"/>
    <n v="2500"/>
  </r>
  <r>
    <n v="4464"/>
    <x v="0"/>
    <x v="75"/>
    <x v="75"/>
    <x v="1"/>
    <x v="1"/>
    <x v="96"/>
    <n v="14035"/>
    <x v="54"/>
    <x v="633"/>
    <n v="15900"/>
    <n v="1639"/>
  </r>
  <r>
    <n v="4465"/>
    <x v="0"/>
    <x v="75"/>
    <x v="75"/>
    <x v="1"/>
    <x v="1"/>
    <x v="143"/>
    <n v="14042"/>
    <x v="387"/>
    <x v="456"/>
    <n v="26400"/>
    <n v="1320"/>
  </r>
  <r>
    <n v="4466"/>
    <x v="0"/>
    <x v="75"/>
    <x v="75"/>
    <x v="1"/>
    <x v="1"/>
    <x v="107"/>
    <n v="14056"/>
    <x v="582"/>
    <x v="634"/>
    <n v="38800"/>
    <n v="1401"/>
  </r>
  <r>
    <n v="4467"/>
    <x v="0"/>
    <x v="75"/>
    <x v="75"/>
    <x v="1"/>
    <x v="1"/>
    <x v="160"/>
    <n v="14084"/>
    <x v="229"/>
    <x v="518"/>
    <n v="8500"/>
    <n v="1604"/>
  </r>
  <r>
    <n v="4468"/>
    <x v="0"/>
    <x v="75"/>
    <x v="75"/>
    <x v="1"/>
    <x v="1"/>
    <x v="13"/>
    <n v="14098"/>
    <x v="583"/>
    <x v="635"/>
    <n v="78800"/>
    <n v="1400"/>
  </r>
  <r>
    <n v="4469"/>
    <x v="0"/>
    <x v="75"/>
    <x v="75"/>
    <x v="1"/>
    <x v="1"/>
    <x v="8"/>
    <n v="14119"/>
    <x v="584"/>
    <x v="636"/>
    <n v="17300"/>
    <n v="1466"/>
  </r>
  <r>
    <n v="4470"/>
    <x v="0"/>
    <x v="75"/>
    <x v="75"/>
    <x v="1"/>
    <x v="1"/>
    <x v="7"/>
    <n v="14147"/>
    <x v="18"/>
    <x v="18"/>
    <n v="300"/>
    <n v="1500"/>
  </r>
  <r>
    <n v="4471"/>
    <x v="0"/>
    <x v="75"/>
    <x v="75"/>
    <x v="1"/>
    <x v="1"/>
    <x v="10"/>
    <n v="14161"/>
    <x v="585"/>
    <x v="637"/>
    <n v="22100"/>
    <n v="1292"/>
  </r>
  <r>
    <n v="4472"/>
    <x v="0"/>
    <x v="75"/>
    <x v="75"/>
    <x v="1"/>
    <x v="1"/>
    <x v="90"/>
    <n v="14182"/>
    <x v="81"/>
    <x v="83"/>
    <n v="3300"/>
    <n v="2200"/>
  </r>
  <r>
    <n v="4473"/>
    <x v="0"/>
    <x v="75"/>
    <x v="75"/>
    <x v="2"/>
    <x v="2"/>
    <x v="14"/>
    <m/>
    <x v="14"/>
    <x v="14"/>
    <n v="700"/>
    <n v="1400"/>
  </r>
  <r>
    <n v="4474"/>
    <x v="0"/>
    <x v="75"/>
    <x v="75"/>
    <x v="4"/>
    <x v="4"/>
    <x v="14"/>
    <m/>
    <x v="586"/>
    <x v="638"/>
    <n v="1600"/>
    <n v="1421"/>
  </r>
  <r>
    <n v="4475"/>
    <x v="0"/>
    <x v="75"/>
    <x v="75"/>
    <x v="11"/>
    <x v="11"/>
    <x v="117"/>
    <n v="66007"/>
    <x v="14"/>
    <x v="12"/>
    <n v="400"/>
    <n v="1333"/>
  </r>
  <r>
    <n v="4476"/>
    <x v="0"/>
    <x v="75"/>
    <x v="75"/>
    <x v="11"/>
    <x v="11"/>
    <x v="171"/>
    <n v="66056"/>
    <x v="120"/>
    <x v="301"/>
    <n v="6000"/>
    <n v="1395"/>
  </r>
  <r>
    <n v="4477"/>
    <x v="0"/>
    <x v="75"/>
    <x v="75"/>
    <x v="13"/>
    <x v="13"/>
    <x v="14"/>
    <m/>
    <x v="180"/>
    <x v="207"/>
    <n v="800"/>
    <n v="1333"/>
  </r>
  <r>
    <n v="4478"/>
    <x v="0"/>
    <x v="76"/>
    <x v="76"/>
    <x v="1"/>
    <x v="1"/>
    <x v="96"/>
    <n v="14035"/>
    <x v="587"/>
    <x v="458"/>
    <n v="24100"/>
    <n v="1697"/>
  </r>
  <r>
    <n v="4479"/>
    <x v="0"/>
    <x v="76"/>
    <x v="76"/>
    <x v="1"/>
    <x v="1"/>
    <x v="143"/>
    <n v="14042"/>
    <x v="588"/>
    <x v="294"/>
    <n v="35700"/>
    <n v="1759"/>
  </r>
  <r>
    <n v="4480"/>
    <x v="0"/>
    <x v="76"/>
    <x v="76"/>
    <x v="1"/>
    <x v="1"/>
    <x v="107"/>
    <n v="14056"/>
    <x v="386"/>
    <x v="350"/>
    <n v="41100"/>
    <n v="1678"/>
  </r>
  <r>
    <n v="4481"/>
    <x v="0"/>
    <x v="76"/>
    <x v="76"/>
    <x v="1"/>
    <x v="1"/>
    <x v="160"/>
    <n v="14084"/>
    <x v="382"/>
    <x v="375"/>
    <n v="10700"/>
    <n v="1698"/>
  </r>
  <r>
    <n v="4482"/>
    <x v="0"/>
    <x v="76"/>
    <x v="76"/>
    <x v="1"/>
    <x v="1"/>
    <x v="13"/>
    <n v="14098"/>
    <x v="589"/>
    <x v="639"/>
    <n v="103400"/>
    <n v="1691"/>
  </r>
  <r>
    <n v="4483"/>
    <x v="0"/>
    <x v="76"/>
    <x v="76"/>
    <x v="1"/>
    <x v="1"/>
    <x v="8"/>
    <n v="14119"/>
    <x v="289"/>
    <x v="640"/>
    <n v="21100"/>
    <n v="1819"/>
  </r>
  <r>
    <n v="4484"/>
    <x v="0"/>
    <x v="76"/>
    <x v="76"/>
    <x v="1"/>
    <x v="1"/>
    <x v="7"/>
    <n v="14147"/>
    <x v="18"/>
    <x v="18"/>
    <n v="300"/>
    <n v="1500"/>
  </r>
  <r>
    <n v="4485"/>
    <x v="0"/>
    <x v="76"/>
    <x v="76"/>
    <x v="1"/>
    <x v="1"/>
    <x v="10"/>
    <n v="14161"/>
    <x v="549"/>
    <x v="598"/>
    <n v="26000"/>
    <n v="1688"/>
  </r>
  <r>
    <n v="4486"/>
    <x v="0"/>
    <x v="76"/>
    <x v="76"/>
    <x v="1"/>
    <x v="1"/>
    <x v="90"/>
    <n v="14182"/>
    <x v="341"/>
    <x v="145"/>
    <n v="1300"/>
    <n v="1806"/>
  </r>
  <r>
    <n v="4487"/>
    <x v="0"/>
    <x v="76"/>
    <x v="76"/>
    <x v="2"/>
    <x v="2"/>
    <x v="24"/>
    <n v="18140"/>
    <x v="483"/>
    <x v="147"/>
    <n v="427"/>
    <n v="791"/>
  </r>
  <r>
    <n v="4488"/>
    <x v="0"/>
    <x v="76"/>
    <x v="76"/>
    <x v="4"/>
    <x v="4"/>
    <x v="14"/>
    <m/>
    <x v="590"/>
    <x v="641"/>
    <n v="1623"/>
    <n v="1618"/>
  </r>
  <r>
    <n v="4489"/>
    <x v="0"/>
    <x v="76"/>
    <x v="76"/>
    <x v="11"/>
    <x v="11"/>
    <x v="117"/>
    <n v="66007"/>
    <x v="218"/>
    <x v="230"/>
    <n v="1700"/>
    <n v="2267"/>
  </r>
  <r>
    <n v="4490"/>
    <x v="0"/>
    <x v="76"/>
    <x v="76"/>
    <x v="11"/>
    <x v="11"/>
    <x v="171"/>
    <n v="66056"/>
    <x v="548"/>
    <x v="316"/>
    <n v="18000"/>
    <n v="2500"/>
  </r>
  <r>
    <n v="4491"/>
    <x v="0"/>
    <x v="76"/>
    <x v="76"/>
    <x v="11"/>
    <x v="11"/>
    <x v="140"/>
    <n v="66126"/>
    <x v="75"/>
    <x v="207"/>
    <n v="1400"/>
    <n v="2333"/>
  </r>
  <r>
    <n v="4492"/>
    <x v="0"/>
    <x v="76"/>
    <x v="76"/>
    <x v="13"/>
    <x v="13"/>
    <x v="14"/>
    <m/>
    <x v="591"/>
    <x v="356"/>
    <n v="4700"/>
    <n v="1808"/>
  </r>
  <r>
    <n v="4493"/>
    <x v="0"/>
    <x v="76"/>
    <x v="76"/>
    <x v="7"/>
    <x v="7"/>
    <x v="45"/>
    <n v="82035"/>
    <x v="26"/>
    <x v="59"/>
    <n v="1400"/>
    <n v="3500"/>
  </r>
  <r>
    <n v="4494"/>
    <x v="0"/>
    <x v="77"/>
    <x v="77"/>
    <x v="1"/>
    <x v="1"/>
    <x v="96"/>
    <n v="14035"/>
    <x v="221"/>
    <x v="642"/>
    <n v="43600"/>
    <n v="2000"/>
  </r>
  <r>
    <n v="4495"/>
    <x v="0"/>
    <x v="77"/>
    <x v="77"/>
    <x v="1"/>
    <x v="1"/>
    <x v="143"/>
    <n v="14042"/>
    <x v="592"/>
    <x v="643"/>
    <n v="52800"/>
    <n v="2276"/>
  </r>
  <r>
    <n v="4496"/>
    <x v="0"/>
    <x v="77"/>
    <x v="77"/>
    <x v="1"/>
    <x v="1"/>
    <x v="107"/>
    <n v="14056"/>
    <x v="417"/>
    <x v="644"/>
    <n v="63400"/>
    <n v="2045"/>
  </r>
  <r>
    <n v="4497"/>
    <x v="0"/>
    <x v="77"/>
    <x v="77"/>
    <x v="1"/>
    <x v="1"/>
    <x v="160"/>
    <n v="14084"/>
    <x v="79"/>
    <x v="81"/>
    <n v="26400"/>
    <n v="2200"/>
  </r>
  <r>
    <n v="4498"/>
    <x v="0"/>
    <x v="77"/>
    <x v="77"/>
    <x v="1"/>
    <x v="1"/>
    <x v="13"/>
    <n v="14098"/>
    <x v="593"/>
    <x v="645"/>
    <n v="163400"/>
    <n v="2048"/>
  </r>
  <r>
    <n v="4499"/>
    <x v="0"/>
    <x v="77"/>
    <x v="77"/>
    <x v="1"/>
    <x v="1"/>
    <x v="8"/>
    <n v="14119"/>
    <x v="594"/>
    <x v="646"/>
    <n v="31400"/>
    <n v="2453"/>
  </r>
  <r>
    <n v="4500"/>
    <x v="0"/>
    <x v="77"/>
    <x v="77"/>
    <x v="1"/>
    <x v="1"/>
    <x v="7"/>
    <n v="14147"/>
    <x v="18"/>
    <x v="18"/>
    <n v="500"/>
    <n v="2500"/>
  </r>
  <r>
    <n v="4501"/>
    <x v="0"/>
    <x v="77"/>
    <x v="77"/>
    <x v="1"/>
    <x v="1"/>
    <x v="10"/>
    <n v="14161"/>
    <x v="156"/>
    <x v="161"/>
    <n v="34800"/>
    <n v="2175"/>
  </r>
  <r>
    <n v="4502"/>
    <x v="0"/>
    <x v="77"/>
    <x v="77"/>
    <x v="1"/>
    <x v="1"/>
    <x v="90"/>
    <n v="14182"/>
    <x v="218"/>
    <x v="354"/>
    <n v="2000"/>
    <n v="2353"/>
  </r>
  <r>
    <n v="4503"/>
    <x v="0"/>
    <x v="77"/>
    <x v="77"/>
    <x v="2"/>
    <x v="2"/>
    <x v="24"/>
    <n v="18140"/>
    <x v="483"/>
    <x v="147"/>
    <n v="800"/>
    <n v="1481"/>
  </r>
  <r>
    <n v="4504"/>
    <x v="0"/>
    <x v="77"/>
    <x v="77"/>
    <x v="4"/>
    <x v="4"/>
    <x v="14"/>
    <m/>
    <x v="232"/>
    <x v="433"/>
    <n v="2500"/>
    <n v="1786"/>
  </r>
  <r>
    <n v="4505"/>
    <x v="0"/>
    <x v="77"/>
    <x v="77"/>
    <x v="5"/>
    <x v="5"/>
    <x v="37"/>
    <n v="38063"/>
    <x v="12"/>
    <x v="12"/>
    <n v="500"/>
    <n v="1667"/>
  </r>
  <r>
    <n v="4506"/>
    <x v="0"/>
    <x v="77"/>
    <x v="77"/>
    <x v="5"/>
    <x v="5"/>
    <x v="194"/>
    <n v="38070"/>
    <x v="58"/>
    <x v="57"/>
    <n v="1100"/>
    <n v="1571"/>
  </r>
  <r>
    <n v="4507"/>
    <x v="0"/>
    <x v="77"/>
    <x v="77"/>
    <x v="11"/>
    <x v="11"/>
    <x v="117"/>
    <n v="66007"/>
    <x v="180"/>
    <x v="207"/>
    <n v="900"/>
    <n v="1500"/>
  </r>
  <r>
    <n v="4508"/>
    <x v="0"/>
    <x v="77"/>
    <x v="77"/>
    <x v="11"/>
    <x v="11"/>
    <x v="171"/>
    <n v="66056"/>
    <x v="595"/>
    <x v="361"/>
    <n v="10200"/>
    <n v="2000"/>
  </r>
  <r>
    <n v="4509"/>
    <x v="0"/>
    <x v="77"/>
    <x v="77"/>
    <x v="11"/>
    <x v="11"/>
    <x v="140"/>
    <n v="66126"/>
    <x v="108"/>
    <x v="114"/>
    <n v="2000"/>
    <n v="1538"/>
  </r>
  <r>
    <n v="4510"/>
    <x v="0"/>
    <x v="77"/>
    <x v="77"/>
    <x v="13"/>
    <x v="13"/>
    <x v="14"/>
    <m/>
    <x v="591"/>
    <x v="356"/>
    <n v="6200"/>
    <n v="2385"/>
  </r>
  <r>
    <n v="4511"/>
    <x v="0"/>
    <x v="77"/>
    <x v="77"/>
    <x v="7"/>
    <x v="7"/>
    <x v="45"/>
    <n v="82035"/>
    <x v="58"/>
    <x v="647"/>
    <n v="2300"/>
    <n v="3651"/>
  </r>
  <r>
    <n v="4512"/>
    <x v="0"/>
    <x v="78"/>
    <x v="78"/>
    <x v="1"/>
    <x v="1"/>
    <x v="143"/>
    <n v="14042"/>
    <x v="596"/>
    <x v="648"/>
    <n v="44500"/>
    <n v="2001"/>
  </r>
  <r>
    <n v="4513"/>
    <x v="0"/>
    <x v="78"/>
    <x v="78"/>
    <x v="1"/>
    <x v="1"/>
    <x v="132"/>
    <n v="14049"/>
    <x v="533"/>
    <x v="649"/>
    <n v="47000"/>
    <n v="2282"/>
  </r>
  <r>
    <n v="4514"/>
    <x v="0"/>
    <x v="78"/>
    <x v="78"/>
    <x v="1"/>
    <x v="1"/>
    <x v="107"/>
    <n v="14056"/>
    <x v="597"/>
    <x v="650"/>
    <n v="39900"/>
    <n v="2057"/>
  </r>
  <r>
    <n v="4515"/>
    <x v="0"/>
    <x v="78"/>
    <x v="78"/>
    <x v="1"/>
    <x v="1"/>
    <x v="151"/>
    <n v="14077"/>
    <x v="598"/>
    <x v="273"/>
    <n v="2300"/>
    <n v="2771"/>
  </r>
  <r>
    <n v="4516"/>
    <x v="0"/>
    <x v="78"/>
    <x v="78"/>
    <x v="1"/>
    <x v="1"/>
    <x v="160"/>
    <n v="14084"/>
    <x v="495"/>
    <x v="651"/>
    <n v="24900"/>
    <n v="2128"/>
  </r>
  <r>
    <n v="4517"/>
    <x v="0"/>
    <x v="78"/>
    <x v="78"/>
    <x v="1"/>
    <x v="1"/>
    <x v="13"/>
    <n v="14098"/>
    <x v="599"/>
    <x v="652"/>
    <n v="100300"/>
    <n v="2085"/>
  </r>
  <r>
    <n v="4518"/>
    <x v="0"/>
    <x v="78"/>
    <x v="78"/>
    <x v="1"/>
    <x v="1"/>
    <x v="8"/>
    <n v="14119"/>
    <x v="600"/>
    <x v="653"/>
    <n v="26800"/>
    <n v="2577"/>
  </r>
  <r>
    <n v="4519"/>
    <x v="0"/>
    <x v="78"/>
    <x v="78"/>
    <x v="1"/>
    <x v="1"/>
    <x v="7"/>
    <n v="14147"/>
    <x v="18"/>
    <x v="18"/>
    <n v="400"/>
    <n v="2000"/>
  </r>
  <r>
    <n v="4520"/>
    <x v="0"/>
    <x v="78"/>
    <x v="78"/>
    <x v="1"/>
    <x v="1"/>
    <x v="10"/>
    <n v="14161"/>
    <x v="439"/>
    <x v="502"/>
    <n v="32800"/>
    <n v="2187"/>
  </r>
  <r>
    <n v="4521"/>
    <x v="0"/>
    <x v="78"/>
    <x v="78"/>
    <x v="1"/>
    <x v="1"/>
    <x v="90"/>
    <n v="14182"/>
    <x v="75"/>
    <x v="230"/>
    <n v="1500"/>
    <n v="2000"/>
  </r>
  <r>
    <n v="4522"/>
    <x v="0"/>
    <x v="78"/>
    <x v="78"/>
    <x v="2"/>
    <x v="2"/>
    <x v="12"/>
    <n v="18021"/>
    <x v="250"/>
    <x v="317"/>
    <n v="41"/>
    <n v="707"/>
  </r>
  <r>
    <n v="4523"/>
    <x v="0"/>
    <x v="78"/>
    <x v="78"/>
    <x v="2"/>
    <x v="2"/>
    <x v="17"/>
    <n v="18042"/>
    <x v="33"/>
    <x v="33"/>
    <n v="4"/>
    <n v="800"/>
  </r>
  <r>
    <n v="4524"/>
    <x v="0"/>
    <x v="78"/>
    <x v="78"/>
    <x v="2"/>
    <x v="2"/>
    <x v="72"/>
    <n v="18063"/>
    <x v="78"/>
    <x v="49"/>
    <n v="4"/>
    <n v="667"/>
  </r>
  <r>
    <n v="4525"/>
    <x v="0"/>
    <x v="78"/>
    <x v="78"/>
    <x v="2"/>
    <x v="2"/>
    <x v="73"/>
    <n v="18077"/>
    <x v="53"/>
    <x v="52"/>
    <n v="6"/>
    <n v="667"/>
  </r>
  <r>
    <n v="4526"/>
    <x v="0"/>
    <x v="78"/>
    <x v="78"/>
    <x v="2"/>
    <x v="2"/>
    <x v="78"/>
    <n v="18105"/>
    <x v="47"/>
    <x v="46"/>
    <n v="1"/>
    <n v="250"/>
  </r>
  <r>
    <n v="4527"/>
    <x v="0"/>
    <x v="78"/>
    <x v="78"/>
    <x v="2"/>
    <x v="2"/>
    <x v="19"/>
    <n v="18133"/>
    <x v="32"/>
    <x v="32"/>
    <n v="7"/>
    <n v="700"/>
  </r>
  <r>
    <n v="4528"/>
    <x v="0"/>
    <x v="78"/>
    <x v="78"/>
    <x v="2"/>
    <x v="2"/>
    <x v="24"/>
    <n v="18140"/>
    <x v="181"/>
    <x v="299"/>
    <n v="40"/>
    <n v="625"/>
  </r>
  <r>
    <n v="4529"/>
    <x v="0"/>
    <x v="78"/>
    <x v="78"/>
    <x v="2"/>
    <x v="2"/>
    <x v="20"/>
    <n v="18147"/>
    <x v="48"/>
    <x v="47"/>
    <n v="0"/>
    <n v="0"/>
  </r>
  <r>
    <n v="4530"/>
    <x v="0"/>
    <x v="78"/>
    <x v="78"/>
    <x v="4"/>
    <x v="4"/>
    <x v="14"/>
    <m/>
    <x v="232"/>
    <x v="433"/>
    <n v="2800"/>
    <n v="2000"/>
  </r>
  <r>
    <n v="4531"/>
    <x v="0"/>
    <x v="78"/>
    <x v="78"/>
    <x v="5"/>
    <x v="5"/>
    <x v="37"/>
    <n v="38063"/>
    <x v="12"/>
    <x v="18"/>
    <n v="300"/>
    <n v="1500"/>
  </r>
  <r>
    <n v="4532"/>
    <x v="0"/>
    <x v="78"/>
    <x v="78"/>
    <x v="5"/>
    <x v="5"/>
    <x v="194"/>
    <n v="38070"/>
    <x v="14"/>
    <x v="18"/>
    <n v="300"/>
    <n v="1500"/>
  </r>
  <r>
    <n v="4533"/>
    <x v="0"/>
    <x v="78"/>
    <x v="78"/>
    <x v="11"/>
    <x v="11"/>
    <x v="117"/>
    <n v="66007"/>
    <x v="81"/>
    <x v="14"/>
    <n v="800"/>
    <n v="1600"/>
  </r>
  <r>
    <n v="4534"/>
    <x v="0"/>
    <x v="78"/>
    <x v="78"/>
    <x v="11"/>
    <x v="11"/>
    <x v="106"/>
    <n v="66112"/>
    <x v="180"/>
    <x v="12"/>
    <n v="500"/>
    <n v="1667"/>
  </r>
  <r>
    <n v="4535"/>
    <x v="0"/>
    <x v="78"/>
    <x v="78"/>
    <x v="11"/>
    <x v="11"/>
    <x v="140"/>
    <n v="66126"/>
    <x v="157"/>
    <x v="402"/>
    <n v="6700"/>
    <n v="1595"/>
  </r>
  <r>
    <n v="4536"/>
    <x v="0"/>
    <x v="78"/>
    <x v="78"/>
    <x v="13"/>
    <x v="13"/>
    <x v="14"/>
    <m/>
    <x v="601"/>
    <x v="654"/>
    <n v="13390"/>
    <n v="1935"/>
  </r>
  <r>
    <n v="4537"/>
    <x v="0"/>
    <x v="78"/>
    <x v="78"/>
    <x v="7"/>
    <x v="7"/>
    <x v="45"/>
    <n v="82035"/>
    <x v="370"/>
    <x v="655"/>
    <n v="2030"/>
    <n v="3500"/>
  </r>
  <r>
    <n v="4538"/>
    <x v="0"/>
    <x v="79"/>
    <x v="79"/>
    <x v="1"/>
    <x v="1"/>
    <x v="96"/>
    <n v="14035"/>
    <x v="602"/>
    <x v="656"/>
    <n v="122700"/>
    <n v="3000"/>
  </r>
  <r>
    <n v="4539"/>
    <x v="0"/>
    <x v="79"/>
    <x v="79"/>
    <x v="1"/>
    <x v="1"/>
    <x v="143"/>
    <n v="14042"/>
    <x v="437"/>
    <x v="599"/>
    <n v="50100"/>
    <n v="2397"/>
  </r>
  <r>
    <n v="4540"/>
    <x v="0"/>
    <x v="79"/>
    <x v="79"/>
    <x v="1"/>
    <x v="1"/>
    <x v="107"/>
    <n v="14056"/>
    <x v="603"/>
    <x v="657"/>
    <n v="73500"/>
    <n v="2985"/>
  </r>
  <r>
    <n v="4541"/>
    <x v="0"/>
    <x v="79"/>
    <x v="79"/>
    <x v="1"/>
    <x v="1"/>
    <x v="160"/>
    <n v="14084"/>
    <x v="387"/>
    <x v="658"/>
    <n v="57900"/>
    <n v="2902"/>
  </r>
  <r>
    <n v="4542"/>
    <x v="0"/>
    <x v="79"/>
    <x v="79"/>
    <x v="1"/>
    <x v="1"/>
    <x v="13"/>
    <n v="14098"/>
    <x v="604"/>
    <x v="659"/>
    <n v="185600"/>
    <n v="2994"/>
  </r>
  <r>
    <n v="4543"/>
    <x v="0"/>
    <x v="79"/>
    <x v="79"/>
    <x v="1"/>
    <x v="1"/>
    <x v="8"/>
    <n v="14119"/>
    <x v="605"/>
    <x v="660"/>
    <n v="27200"/>
    <n v="2396"/>
  </r>
  <r>
    <n v="4544"/>
    <x v="0"/>
    <x v="79"/>
    <x v="79"/>
    <x v="1"/>
    <x v="1"/>
    <x v="131"/>
    <n v="14126"/>
    <x v="10"/>
    <x v="10"/>
    <n v="3600"/>
    <n v="3273"/>
  </r>
  <r>
    <n v="4545"/>
    <x v="0"/>
    <x v="79"/>
    <x v="79"/>
    <x v="1"/>
    <x v="1"/>
    <x v="7"/>
    <n v="14147"/>
    <x v="11"/>
    <x v="11"/>
    <n v="2400"/>
    <n v="2400"/>
  </r>
  <r>
    <n v="4546"/>
    <x v="0"/>
    <x v="79"/>
    <x v="79"/>
    <x v="1"/>
    <x v="1"/>
    <x v="10"/>
    <n v="14161"/>
    <x v="606"/>
    <x v="562"/>
    <n v="37400"/>
    <n v="2397"/>
  </r>
  <r>
    <n v="4547"/>
    <x v="0"/>
    <x v="79"/>
    <x v="79"/>
    <x v="1"/>
    <x v="1"/>
    <x v="90"/>
    <n v="14182"/>
    <x v="180"/>
    <x v="207"/>
    <n v="1400"/>
    <n v="2333"/>
  </r>
  <r>
    <n v="4548"/>
    <x v="0"/>
    <x v="79"/>
    <x v="79"/>
    <x v="4"/>
    <x v="4"/>
    <x v="32"/>
    <n v="34014"/>
    <x v="50"/>
    <x v="136"/>
    <n v="10"/>
    <n v="909"/>
  </r>
  <r>
    <n v="4549"/>
    <x v="0"/>
    <x v="79"/>
    <x v="79"/>
    <x v="4"/>
    <x v="4"/>
    <x v="31"/>
    <n v="34021"/>
    <x v="170"/>
    <x v="77"/>
    <n v="20"/>
    <n v="1429"/>
  </r>
  <r>
    <n v="4550"/>
    <x v="0"/>
    <x v="79"/>
    <x v="79"/>
    <x v="4"/>
    <x v="4"/>
    <x v="34"/>
    <n v="34035"/>
    <x v="9"/>
    <x v="9"/>
    <n v="3060"/>
    <n v="1800"/>
  </r>
  <r>
    <n v="4551"/>
    <x v="0"/>
    <x v="79"/>
    <x v="79"/>
    <x v="4"/>
    <x v="4"/>
    <x v="81"/>
    <n v="34042"/>
    <x v="197"/>
    <x v="201"/>
    <n v="45"/>
    <n v="1047"/>
  </r>
  <r>
    <n v="4552"/>
    <x v="0"/>
    <x v="79"/>
    <x v="79"/>
    <x v="4"/>
    <x v="4"/>
    <x v="30"/>
    <n v="34049"/>
    <x v="225"/>
    <x v="225"/>
    <n v="70"/>
    <n v="1167"/>
  </r>
  <r>
    <n v="4553"/>
    <x v="0"/>
    <x v="79"/>
    <x v="79"/>
    <x v="4"/>
    <x v="4"/>
    <x v="33"/>
    <n v="34056"/>
    <x v="256"/>
    <x v="421"/>
    <n v="90"/>
    <n v="1233"/>
  </r>
  <r>
    <n v="4554"/>
    <x v="0"/>
    <x v="79"/>
    <x v="79"/>
    <x v="5"/>
    <x v="5"/>
    <x v="37"/>
    <n v="38063"/>
    <x v="26"/>
    <x v="59"/>
    <n v="600"/>
    <n v="1500"/>
  </r>
  <r>
    <n v="4555"/>
    <x v="0"/>
    <x v="79"/>
    <x v="79"/>
    <x v="5"/>
    <x v="5"/>
    <x v="194"/>
    <n v="38070"/>
    <x v="18"/>
    <x v="18"/>
    <n v="300"/>
    <n v="1500"/>
  </r>
  <r>
    <n v="4556"/>
    <x v="0"/>
    <x v="79"/>
    <x v="79"/>
    <x v="16"/>
    <x v="16"/>
    <x v="203"/>
    <n v="42056"/>
    <x v="74"/>
    <x v="128"/>
    <n v="8000"/>
    <n v="4000"/>
  </r>
  <r>
    <n v="4557"/>
    <x v="0"/>
    <x v="79"/>
    <x v="79"/>
    <x v="16"/>
    <x v="16"/>
    <x v="204"/>
    <n v="42126"/>
    <x v="11"/>
    <x v="11"/>
    <n v="3000"/>
    <n v="3000"/>
  </r>
  <r>
    <n v="4558"/>
    <x v="0"/>
    <x v="79"/>
    <x v="79"/>
    <x v="16"/>
    <x v="16"/>
    <x v="205"/>
    <n v="42133"/>
    <x v="81"/>
    <x v="83"/>
    <n v="5250"/>
    <n v="3500"/>
  </r>
  <r>
    <n v="4559"/>
    <x v="0"/>
    <x v="79"/>
    <x v="79"/>
    <x v="11"/>
    <x v="11"/>
    <x v="117"/>
    <n v="66007"/>
    <x v="180"/>
    <x v="207"/>
    <n v="900"/>
    <n v="1500"/>
  </r>
  <r>
    <n v="4560"/>
    <x v="0"/>
    <x v="79"/>
    <x v="79"/>
    <x v="11"/>
    <x v="11"/>
    <x v="171"/>
    <n v="66056"/>
    <x v="607"/>
    <x v="174"/>
    <n v="6200"/>
    <n v="1409"/>
  </r>
  <r>
    <n v="4561"/>
    <x v="0"/>
    <x v="79"/>
    <x v="79"/>
    <x v="11"/>
    <x v="11"/>
    <x v="140"/>
    <n v="66126"/>
    <x v="11"/>
    <x v="11"/>
    <n v="1400"/>
    <n v="1400"/>
  </r>
  <r>
    <n v="4562"/>
    <x v="0"/>
    <x v="79"/>
    <x v="79"/>
    <x v="13"/>
    <x v="13"/>
    <x v="152"/>
    <n v="74007"/>
    <x v="61"/>
    <x v="61"/>
    <n v="530"/>
    <n v="2120"/>
  </r>
  <r>
    <n v="4563"/>
    <x v="0"/>
    <x v="79"/>
    <x v="79"/>
    <x v="13"/>
    <x v="13"/>
    <x v="94"/>
    <n v="74035"/>
    <x v="608"/>
    <x v="661"/>
    <n v="4490"/>
    <n v="2303"/>
  </r>
  <r>
    <n v="4564"/>
    <x v="0"/>
    <x v="79"/>
    <x v="79"/>
    <x v="13"/>
    <x v="13"/>
    <x v="95"/>
    <n v="74049"/>
    <x v="56"/>
    <x v="55"/>
    <n v="3520"/>
    <n v="2200"/>
  </r>
  <r>
    <n v="4565"/>
    <x v="0"/>
    <x v="79"/>
    <x v="79"/>
    <x v="7"/>
    <x v="7"/>
    <x v="45"/>
    <n v="82035"/>
    <x v="58"/>
    <x v="61"/>
    <n v="750"/>
    <n v="3000"/>
  </r>
  <r>
    <n v="4566"/>
    <x v="0"/>
    <x v="80"/>
    <x v="80"/>
    <x v="1"/>
    <x v="1"/>
    <x v="96"/>
    <n v="14035"/>
    <x v="484"/>
    <x v="662"/>
    <n v="111800"/>
    <n v="2501"/>
  </r>
  <r>
    <n v="4567"/>
    <x v="0"/>
    <x v="80"/>
    <x v="80"/>
    <x v="1"/>
    <x v="1"/>
    <x v="143"/>
    <n v="14042"/>
    <x v="609"/>
    <x v="663"/>
    <n v="52590"/>
    <n v="2297"/>
  </r>
  <r>
    <n v="4568"/>
    <x v="0"/>
    <x v="80"/>
    <x v="80"/>
    <x v="1"/>
    <x v="1"/>
    <x v="107"/>
    <n v="14056"/>
    <x v="387"/>
    <x v="456"/>
    <n v="59600"/>
    <n v="2980"/>
  </r>
  <r>
    <n v="4569"/>
    <x v="0"/>
    <x v="80"/>
    <x v="80"/>
    <x v="1"/>
    <x v="1"/>
    <x v="151"/>
    <n v="14077"/>
    <x v="10"/>
    <x v="10"/>
    <n v="3080"/>
    <n v="2800"/>
  </r>
  <r>
    <n v="4570"/>
    <x v="0"/>
    <x v="80"/>
    <x v="80"/>
    <x v="1"/>
    <x v="1"/>
    <x v="160"/>
    <n v="14084"/>
    <x v="395"/>
    <x v="664"/>
    <n v="59300"/>
    <n v="2601"/>
  </r>
  <r>
    <n v="4571"/>
    <x v="0"/>
    <x v="80"/>
    <x v="80"/>
    <x v="1"/>
    <x v="1"/>
    <x v="13"/>
    <n v="14098"/>
    <x v="610"/>
    <x v="665"/>
    <n v="155040"/>
    <n v="2993"/>
  </r>
  <r>
    <n v="4572"/>
    <x v="0"/>
    <x v="80"/>
    <x v="80"/>
    <x v="1"/>
    <x v="1"/>
    <x v="8"/>
    <n v="14119"/>
    <x v="611"/>
    <x v="666"/>
    <n v="28920"/>
    <n v="2594"/>
  </r>
  <r>
    <n v="4573"/>
    <x v="0"/>
    <x v="80"/>
    <x v="80"/>
    <x v="1"/>
    <x v="1"/>
    <x v="7"/>
    <n v="14147"/>
    <x v="10"/>
    <x v="10"/>
    <n v="2420"/>
    <n v="2200"/>
  </r>
  <r>
    <n v="4574"/>
    <x v="0"/>
    <x v="80"/>
    <x v="80"/>
    <x v="1"/>
    <x v="1"/>
    <x v="10"/>
    <n v="14161"/>
    <x v="585"/>
    <x v="637"/>
    <n v="44340"/>
    <n v="2593"/>
  </r>
  <r>
    <n v="4575"/>
    <x v="0"/>
    <x v="80"/>
    <x v="80"/>
    <x v="4"/>
    <x v="4"/>
    <x v="32"/>
    <n v="34014"/>
    <x v="47"/>
    <x v="46"/>
    <n v="4"/>
    <n v="1000"/>
  </r>
  <r>
    <n v="4576"/>
    <x v="0"/>
    <x v="80"/>
    <x v="80"/>
    <x v="4"/>
    <x v="4"/>
    <x v="31"/>
    <n v="34021"/>
    <x v="78"/>
    <x v="49"/>
    <n v="5"/>
    <n v="833"/>
  </r>
  <r>
    <n v="4577"/>
    <x v="0"/>
    <x v="80"/>
    <x v="80"/>
    <x v="4"/>
    <x v="4"/>
    <x v="81"/>
    <n v="34042"/>
    <x v="50"/>
    <x v="136"/>
    <n v="12"/>
    <n v="1091"/>
  </r>
  <r>
    <n v="4578"/>
    <x v="0"/>
    <x v="80"/>
    <x v="80"/>
    <x v="4"/>
    <x v="4"/>
    <x v="30"/>
    <n v="34049"/>
    <x v="95"/>
    <x v="140"/>
    <n v="18"/>
    <n v="1000"/>
  </r>
  <r>
    <n v="4579"/>
    <x v="0"/>
    <x v="80"/>
    <x v="80"/>
    <x v="5"/>
    <x v="5"/>
    <x v="37"/>
    <n v="38063"/>
    <x v="26"/>
    <x v="59"/>
    <n v="520"/>
    <n v="1300"/>
  </r>
  <r>
    <n v="4580"/>
    <x v="0"/>
    <x v="80"/>
    <x v="80"/>
    <x v="5"/>
    <x v="5"/>
    <x v="194"/>
    <n v="38070"/>
    <x v="18"/>
    <x v="18"/>
    <n v="280"/>
    <n v="1400"/>
  </r>
  <r>
    <n v="4581"/>
    <x v="0"/>
    <x v="80"/>
    <x v="80"/>
    <x v="16"/>
    <x v="16"/>
    <x v="203"/>
    <n v="42056"/>
    <x v="226"/>
    <x v="162"/>
    <n v="17500"/>
    <n v="3500"/>
  </r>
  <r>
    <n v="4582"/>
    <x v="0"/>
    <x v="80"/>
    <x v="80"/>
    <x v="16"/>
    <x v="16"/>
    <x v="204"/>
    <n v="42126"/>
    <x v="439"/>
    <x v="502"/>
    <n v="52500"/>
    <n v="3500"/>
  </r>
  <r>
    <n v="4583"/>
    <x v="0"/>
    <x v="80"/>
    <x v="80"/>
    <x v="16"/>
    <x v="16"/>
    <x v="205"/>
    <n v="42133"/>
    <x v="226"/>
    <x v="162"/>
    <n v="20000"/>
    <n v="4000"/>
  </r>
  <r>
    <n v="4584"/>
    <x v="0"/>
    <x v="80"/>
    <x v="80"/>
    <x v="11"/>
    <x v="11"/>
    <x v="117"/>
    <n v="66007"/>
    <x v="180"/>
    <x v="207"/>
    <n v="840"/>
    <n v="1400"/>
  </r>
  <r>
    <n v="4585"/>
    <x v="0"/>
    <x v="80"/>
    <x v="80"/>
    <x v="11"/>
    <x v="11"/>
    <x v="171"/>
    <n v="66056"/>
    <x v="607"/>
    <x v="174"/>
    <n v="6160"/>
    <n v="1400"/>
  </r>
  <r>
    <n v="4586"/>
    <x v="0"/>
    <x v="80"/>
    <x v="80"/>
    <x v="11"/>
    <x v="11"/>
    <x v="140"/>
    <n v="66126"/>
    <x v="11"/>
    <x v="11"/>
    <n v="1300"/>
    <n v="1300"/>
  </r>
  <r>
    <n v="4587"/>
    <x v="0"/>
    <x v="80"/>
    <x v="80"/>
    <x v="13"/>
    <x v="13"/>
    <x v="152"/>
    <n v="74007"/>
    <x v="26"/>
    <x v="59"/>
    <n v="1080"/>
    <n v="2700"/>
  </r>
  <r>
    <n v="4588"/>
    <x v="0"/>
    <x v="80"/>
    <x v="80"/>
    <x v="13"/>
    <x v="13"/>
    <x v="94"/>
    <n v="74035"/>
    <x v="10"/>
    <x v="10"/>
    <n v="3520"/>
    <n v="3200"/>
  </r>
  <r>
    <n v="4589"/>
    <x v="0"/>
    <x v="80"/>
    <x v="80"/>
    <x v="13"/>
    <x v="13"/>
    <x v="95"/>
    <n v="74049"/>
    <x v="57"/>
    <x v="56"/>
    <n v="3120"/>
    <n v="2600"/>
  </r>
  <r>
    <n v="4590"/>
    <x v="0"/>
    <x v="80"/>
    <x v="80"/>
    <x v="7"/>
    <x v="7"/>
    <x v="45"/>
    <n v="82035"/>
    <x v="26"/>
    <x v="59"/>
    <n v="1400"/>
    <n v="3500"/>
  </r>
  <r>
    <n v="4591"/>
    <x v="0"/>
    <x v="81"/>
    <x v="81"/>
    <x v="1"/>
    <x v="1"/>
    <x v="96"/>
    <n v="14035"/>
    <x v="424"/>
    <x v="589"/>
    <n v="95000"/>
    <n v="2000"/>
  </r>
  <r>
    <n v="4592"/>
    <x v="0"/>
    <x v="81"/>
    <x v="81"/>
    <x v="1"/>
    <x v="1"/>
    <x v="143"/>
    <n v="14042"/>
    <x v="612"/>
    <x v="667"/>
    <n v="76480"/>
    <n v="2791"/>
  </r>
  <r>
    <n v="4593"/>
    <x v="0"/>
    <x v="81"/>
    <x v="81"/>
    <x v="1"/>
    <x v="1"/>
    <x v="132"/>
    <n v="14049"/>
    <x v="395"/>
    <x v="432"/>
    <n v="63800"/>
    <n v="2774"/>
  </r>
  <r>
    <n v="4594"/>
    <x v="0"/>
    <x v="81"/>
    <x v="81"/>
    <x v="1"/>
    <x v="1"/>
    <x v="160"/>
    <n v="14084"/>
    <x v="386"/>
    <x v="668"/>
    <n v="54600"/>
    <n v="2202"/>
  </r>
  <r>
    <n v="4595"/>
    <x v="0"/>
    <x v="81"/>
    <x v="81"/>
    <x v="1"/>
    <x v="1"/>
    <x v="13"/>
    <n v="14098"/>
    <x v="613"/>
    <x v="669"/>
    <n v="172500"/>
    <n v="2791"/>
  </r>
  <r>
    <n v="4596"/>
    <x v="0"/>
    <x v="81"/>
    <x v="81"/>
    <x v="1"/>
    <x v="1"/>
    <x v="8"/>
    <n v="14119"/>
    <x v="614"/>
    <x v="540"/>
    <n v="31620"/>
    <n v="2395"/>
  </r>
  <r>
    <n v="4597"/>
    <x v="0"/>
    <x v="81"/>
    <x v="81"/>
    <x v="1"/>
    <x v="1"/>
    <x v="42"/>
    <n v="14133"/>
    <x v="81"/>
    <x v="83"/>
    <n v="5250"/>
    <n v="3500"/>
  </r>
  <r>
    <n v="4598"/>
    <x v="0"/>
    <x v="81"/>
    <x v="81"/>
    <x v="1"/>
    <x v="1"/>
    <x v="7"/>
    <n v="14147"/>
    <x v="74"/>
    <x v="128"/>
    <n v="4200"/>
    <n v="2100"/>
  </r>
  <r>
    <n v="4599"/>
    <x v="0"/>
    <x v="81"/>
    <x v="81"/>
    <x v="1"/>
    <x v="1"/>
    <x v="10"/>
    <n v="14161"/>
    <x v="279"/>
    <x v="670"/>
    <n v="51500"/>
    <n v="2784"/>
  </r>
  <r>
    <n v="4600"/>
    <x v="0"/>
    <x v="81"/>
    <x v="81"/>
    <x v="5"/>
    <x v="5"/>
    <x v="37"/>
    <n v="38063"/>
    <x v="26"/>
    <x v="59"/>
    <n v="400"/>
    <n v="1000"/>
  </r>
  <r>
    <n v="4601"/>
    <x v="0"/>
    <x v="81"/>
    <x v="81"/>
    <x v="5"/>
    <x v="5"/>
    <x v="194"/>
    <n v="38070"/>
    <x v="18"/>
    <x v="18"/>
    <n v="180"/>
    <n v="900"/>
  </r>
  <r>
    <n v="4602"/>
    <x v="0"/>
    <x v="81"/>
    <x v="81"/>
    <x v="16"/>
    <x v="16"/>
    <x v="12"/>
    <n v="42021"/>
    <x v="61"/>
    <x v="61"/>
    <n v="400"/>
    <n v="1600"/>
  </r>
  <r>
    <n v="4603"/>
    <x v="0"/>
    <x v="81"/>
    <x v="81"/>
    <x v="16"/>
    <x v="16"/>
    <x v="206"/>
    <n v="42028"/>
    <x v="61"/>
    <x v="61"/>
    <n v="400"/>
    <n v="1600"/>
  </r>
  <r>
    <n v="4604"/>
    <x v="0"/>
    <x v="81"/>
    <x v="81"/>
    <x v="16"/>
    <x v="16"/>
    <x v="203"/>
    <n v="42056"/>
    <x v="54"/>
    <x v="54"/>
    <n v="14300"/>
    <n v="1505"/>
  </r>
  <r>
    <n v="4605"/>
    <x v="0"/>
    <x v="81"/>
    <x v="81"/>
    <x v="16"/>
    <x v="16"/>
    <x v="204"/>
    <n v="42126"/>
    <x v="493"/>
    <x v="464"/>
    <n v="6700"/>
    <n v="798"/>
  </r>
  <r>
    <n v="4606"/>
    <x v="0"/>
    <x v="81"/>
    <x v="81"/>
    <x v="16"/>
    <x v="16"/>
    <x v="205"/>
    <n v="42133"/>
    <x v="151"/>
    <x v="209"/>
    <n v="7200"/>
    <n v="1200"/>
  </r>
  <r>
    <n v="4607"/>
    <x v="0"/>
    <x v="81"/>
    <x v="81"/>
    <x v="16"/>
    <x v="16"/>
    <x v="207"/>
    <n v="42147"/>
    <x v="74"/>
    <x v="82"/>
    <n v="1400"/>
    <n v="778"/>
  </r>
  <r>
    <n v="4608"/>
    <x v="0"/>
    <x v="81"/>
    <x v="81"/>
    <x v="11"/>
    <x v="11"/>
    <x v="117"/>
    <n v="66007"/>
    <x v="180"/>
    <x v="207"/>
    <n v="600"/>
    <n v="1000"/>
  </r>
  <r>
    <n v="4609"/>
    <x v="0"/>
    <x v="81"/>
    <x v="81"/>
    <x v="11"/>
    <x v="11"/>
    <x v="171"/>
    <n v="66056"/>
    <x v="607"/>
    <x v="174"/>
    <n v="4400"/>
    <n v="1000"/>
  </r>
  <r>
    <n v="4610"/>
    <x v="0"/>
    <x v="81"/>
    <x v="81"/>
    <x v="11"/>
    <x v="11"/>
    <x v="140"/>
    <n v="66126"/>
    <x v="11"/>
    <x v="11"/>
    <n v="900"/>
    <n v="900"/>
  </r>
  <r>
    <n v="4611"/>
    <x v="0"/>
    <x v="81"/>
    <x v="81"/>
    <x v="13"/>
    <x v="13"/>
    <x v="152"/>
    <n v="74007"/>
    <x v="231"/>
    <x v="212"/>
    <n v="1215"/>
    <n v="2700"/>
  </r>
  <r>
    <n v="4612"/>
    <x v="0"/>
    <x v="81"/>
    <x v="81"/>
    <x v="13"/>
    <x v="13"/>
    <x v="94"/>
    <n v="74035"/>
    <x v="282"/>
    <x v="288"/>
    <n v="7250"/>
    <n v="2900"/>
  </r>
  <r>
    <n v="4613"/>
    <x v="0"/>
    <x v="81"/>
    <x v="81"/>
    <x v="13"/>
    <x v="13"/>
    <x v="95"/>
    <n v="74049"/>
    <x v="81"/>
    <x v="83"/>
    <n v="3900"/>
    <n v="2600"/>
  </r>
  <r>
    <n v="4614"/>
    <x v="0"/>
    <x v="81"/>
    <x v="81"/>
    <x v="7"/>
    <x v="7"/>
    <x v="45"/>
    <n v="82035"/>
    <x v="59"/>
    <x v="58"/>
    <n v="1296"/>
    <n v="2700"/>
  </r>
  <r>
    <n v="4615"/>
    <x v="0"/>
    <x v="82"/>
    <x v="82"/>
    <x v="1"/>
    <x v="1"/>
    <x v="96"/>
    <n v="14035"/>
    <x v="385"/>
    <x v="671"/>
    <n v="142800"/>
    <n v="3400"/>
  </r>
  <r>
    <n v="4616"/>
    <x v="0"/>
    <x v="82"/>
    <x v="82"/>
    <x v="1"/>
    <x v="1"/>
    <x v="143"/>
    <n v="14042"/>
    <x v="615"/>
    <x v="672"/>
    <n v="44330"/>
    <n v="2297"/>
  </r>
  <r>
    <n v="4617"/>
    <x v="0"/>
    <x v="82"/>
    <x v="82"/>
    <x v="1"/>
    <x v="1"/>
    <x v="107"/>
    <n v="14056"/>
    <x v="391"/>
    <x v="673"/>
    <n v="45780"/>
    <n v="2826"/>
  </r>
  <r>
    <n v="4618"/>
    <x v="0"/>
    <x v="82"/>
    <x v="82"/>
    <x v="1"/>
    <x v="1"/>
    <x v="160"/>
    <n v="14084"/>
    <x v="387"/>
    <x v="456"/>
    <n v="72000"/>
    <n v="3600"/>
  </r>
  <r>
    <n v="4619"/>
    <x v="0"/>
    <x v="82"/>
    <x v="82"/>
    <x v="1"/>
    <x v="1"/>
    <x v="13"/>
    <n v="14098"/>
    <x v="616"/>
    <x v="674"/>
    <n v="115400"/>
    <n v="2576"/>
  </r>
  <r>
    <n v="4620"/>
    <x v="0"/>
    <x v="82"/>
    <x v="82"/>
    <x v="1"/>
    <x v="1"/>
    <x v="8"/>
    <n v="14119"/>
    <x v="8"/>
    <x v="8"/>
    <n v="19300"/>
    <n v="2098"/>
  </r>
  <r>
    <n v="4621"/>
    <x v="0"/>
    <x v="82"/>
    <x v="82"/>
    <x v="1"/>
    <x v="1"/>
    <x v="131"/>
    <n v="14126"/>
    <x v="81"/>
    <x v="83"/>
    <n v="4500"/>
    <n v="3000"/>
  </r>
  <r>
    <n v="4622"/>
    <x v="0"/>
    <x v="82"/>
    <x v="82"/>
    <x v="1"/>
    <x v="1"/>
    <x v="7"/>
    <n v="14147"/>
    <x v="232"/>
    <x v="433"/>
    <n v="2800"/>
    <n v="2000"/>
  </r>
  <r>
    <n v="4623"/>
    <x v="0"/>
    <x v="82"/>
    <x v="82"/>
    <x v="1"/>
    <x v="1"/>
    <x v="10"/>
    <n v="14161"/>
    <x v="617"/>
    <x v="675"/>
    <n v="25900"/>
    <n v="2000"/>
  </r>
  <r>
    <n v="4624"/>
    <x v="0"/>
    <x v="82"/>
    <x v="82"/>
    <x v="1"/>
    <x v="1"/>
    <x v="90"/>
    <n v="14182"/>
    <x v="20"/>
    <x v="20"/>
    <n v="375"/>
    <n v="2500"/>
  </r>
  <r>
    <n v="4625"/>
    <x v="0"/>
    <x v="82"/>
    <x v="82"/>
    <x v="5"/>
    <x v="5"/>
    <x v="37"/>
    <n v="38063"/>
    <x v="618"/>
    <x v="676"/>
    <n v="510"/>
    <n v="1301"/>
  </r>
  <r>
    <n v="4626"/>
    <x v="0"/>
    <x v="82"/>
    <x v="82"/>
    <x v="5"/>
    <x v="5"/>
    <x v="194"/>
    <n v="38070"/>
    <x v="619"/>
    <x v="677"/>
    <n v="235"/>
    <n v="1199"/>
  </r>
  <r>
    <n v="4627"/>
    <x v="0"/>
    <x v="82"/>
    <x v="82"/>
    <x v="16"/>
    <x v="16"/>
    <x v="203"/>
    <n v="42056"/>
    <x v="543"/>
    <x v="53"/>
    <n v="32000"/>
    <n v="3200"/>
  </r>
  <r>
    <n v="4628"/>
    <x v="0"/>
    <x v="82"/>
    <x v="82"/>
    <x v="16"/>
    <x v="16"/>
    <x v="208"/>
    <n v="42105"/>
    <x v="495"/>
    <x v="487"/>
    <n v="39000"/>
    <n v="3000"/>
  </r>
  <r>
    <n v="4629"/>
    <x v="0"/>
    <x v="82"/>
    <x v="82"/>
    <x v="16"/>
    <x v="16"/>
    <x v="138"/>
    <n v="42119"/>
    <x v="81"/>
    <x v="83"/>
    <n v="3800"/>
    <n v="2533"/>
  </r>
  <r>
    <n v="4630"/>
    <x v="0"/>
    <x v="82"/>
    <x v="82"/>
    <x v="16"/>
    <x v="16"/>
    <x v="204"/>
    <n v="42126"/>
    <x v="620"/>
    <x v="678"/>
    <n v="13000"/>
    <n v="2500"/>
  </r>
  <r>
    <n v="4631"/>
    <x v="0"/>
    <x v="82"/>
    <x v="82"/>
    <x v="16"/>
    <x v="16"/>
    <x v="205"/>
    <n v="42133"/>
    <x v="621"/>
    <x v="679"/>
    <n v="34400"/>
    <n v="2797"/>
  </r>
  <r>
    <n v="4632"/>
    <x v="0"/>
    <x v="82"/>
    <x v="82"/>
    <x v="16"/>
    <x v="16"/>
    <x v="207"/>
    <n v="42147"/>
    <x v="14"/>
    <x v="14"/>
    <n v="1300"/>
    <n v="2600"/>
  </r>
  <r>
    <n v="4633"/>
    <x v="0"/>
    <x v="82"/>
    <x v="82"/>
    <x v="11"/>
    <x v="11"/>
    <x v="117"/>
    <n v="66007"/>
    <x v="180"/>
    <x v="207"/>
    <n v="720"/>
    <n v="1200"/>
  </r>
  <r>
    <n v="4634"/>
    <x v="0"/>
    <x v="82"/>
    <x v="82"/>
    <x v="11"/>
    <x v="11"/>
    <x v="171"/>
    <n v="66056"/>
    <x v="595"/>
    <x v="361"/>
    <n v="6630"/>
    <n v="1300"/>
  </r>
  <r>
    <n v="4635"/>
    <x v="0"/>
    <x v="82"/>
    <x v="82"/>
    <x v="11"/>
    <x v="11"/>
    <x v="140"/>
    <n v="66126"/>
    <x v="377"/>
    <x v="385"/>
    <n v="1235"/>
    <n v="1300"/>
  </r>
  <r>
    <n v="4636"/>
    <x v="0"/>
    <x v="82"/>
    <x v="82"/>
    <x v="13"/>
    <x v="13"/>
    <x v="94"/>
    <n v="74035"/>
    <x v="81"/>
    <x v="83"/>
    <n v="4800"/>
    <n v="3200"/>
  </r>
  <r>
    <n v="4637"/>
    <x v="0"/>
    <x v="82"/>
    <x v="82"/>
    <x v="7"/>
    <x v="7"/>
    <x v="45"/>
    <n v="82035"/>
    <x v="354"/>
    <x v="151"/>
    <n v="225"/>
    <n v="2500"/>
  </r>
  <r>
    <n v="4638"/>
    <x v="0"/>
    <x v="83"/>
    <x v="83"/>
    <x v="1"/>
    <x v="1"/>
    <x v="96"/>
    <n v="14035"/>
    <x v="622"/>
    <x v="554"/>
    <n v="156600"/>
    <n v="2700"/>
  </r>
  <r>
    <n v="4639"/>
    <x v="0"/>
    <x v="83"/>
    <x v="83"/>
    <x v="1"/>
    <x v="1"/>
    <x v="143"/>
    <n v="14042"/>
    <x v="623"/>
    <x v="680"/>
    <n v="35160"/>
    <n v="2298"/>
  </r>
  <r>
    <n v="4640"/>
    <x v="0"/>
    <x v="83"/>
    <x v="83"/>
    <x v="1"/>
    <x v="1"/>
    <x v="107"/>
    <n v="14056"/>
    <x v="386"/>
    <x v="401"/>
    <n v="75000"/>
    <n v="3000"/>
  </r>
  <r>
    <n v="4641"/>
    <x v="0"/>
    <x v="83"/>
    <x v="83"/>
    <x v="1"/>
    <x v="1"/>
    <x v="151"/>
    <n v="14077"/>
    <x v="81"/>
    <x v="83"/>
    <n v="4800"/>
    <n v="3200"/>
  </r>
  <r>
    <n v="4642"/>
    <x v="0"/>
    <x v="83"/>
    <x v="83"/>
    <x v="1"/>
    <x v="1"/>
    <x v="160"/>
    <n v="14084"/>
    <x v="221"/>
    <x v="232"/>
    <n v="63800"/>
    <n v="2900"/>
  </r>
  <r>
    <n v="4643"/>
    <x v="0"/>
    <x v="83"/>
    <x v="83"/>
    <x v="1"/>
    <x v="1"/>
    <x v="13"/>
    <n v="14098"/>
    <x v="416"/>
    <x v="425"/>
    <n v="195000"/>
    <n v="3000"/>
  </r>
  <r>
    <n v="4644"/>
    <x v="0"/>
    <x v="83"/>
    <x v="83"/>
    <x v="1"/>
    <x v="1"/>
    <x v="8"/>
    <n v="14119"/>
    <x v="8"/>
    <x v="8"/>
    <n v="21140"/>
    <n v="2298"/>
  </r>
  <r>
    <n v="4645"/>
    <x v="0"/>
    <x v="83"/>
    <x v="83"/>
    <x v="1"/>
    <x v="1"/>
    <x v="7"/>
    <n v="14147"/>
    <x v="58"/>
    <x v="57"/>
    <n v="1470"/>
    <n v="2100"/>
  </r>
  <r>
    <n v="4646"/>
    <x v="0"/>
    <x v="83"/>
    <x v="83"/>
    <x v="1"/>
    <x v="1"/>
    <x v="10"/>
    <n v="14161"/>
    <x v="624"/>
    <x v="681"/>
    <n v="23660"/>
    <n v="2297"/>
  </r>
  <r>
    <n v="4647"/>
    <x v="0"/>
    <x v="83"/>
    <x v="83"/>
    <x v="1"/>
    <x v="1"/>
    <x v="90"/>
    <n v="14182"/>
    <x v="23"/>
    <x v="23"/>
    <n v="240"/>
    <n v="2400"/>
  </r>
  <r>
    <n v="4648"/>
    <x v="0"/>
    <x v="83"/>
    <x v="83"/>
    <x v="5"/>
    <x v="5"/>
    <x v="37"/>
    <n v="38063"/>
    <x v="619"/>
    <x v="677"/>
    <n v="235"/>
    <n v="1199"/>
  </r>
  <r>
    <n v="4649"/>
    <x v="0"/>
    <x v="83"/>
    <x v="83"/>
    <x v="5"/>
    <x v="5"/>
    <x v="194"/>
    <n v="38070"/>
    <x v="618"/>
    <x v="676"/>
    <n v="431"/>
    <n v="1099"/>
  </r>
  <r>
    <n v="4650"/>
    <x v="0"/>
    <x v="83"/>
    <x v="83"/>
    <x v="16"/>
    <x v="16"/>
    <x v="203"/>
    <n v="42056"/>
    <x v="625"/>
    <x v="682"/>
    <n v="35750"/>
    <n v="2500"/>
  </r>
  <r>
    <n v="4651"/>
    <x v="0"/>
    <x v="83"/>
    <x v="83"/>
    <x v="16"/>
    <x v="16"/>
    <x v="209"/>
    <n v="42035"/>
    <x v="14"/>
    <x v="14"/>
    <n v="750"/>
    <n v="1500"/>
  </r>
  <r>
    <n v="4652"/>
    <x v="0"/>
    <x v="83"/>
    <x v="83"/>
    <x v="16"/>
    <x v="16"/>
    <x v="208"/>
    <n v="42105"/>
    <x v="189"/>
    <x v="198"/>
    <n v="17000"/>
    <n v="2000"/>
  </r>
  <r>
    <n v="4653"/>
    <x v="0"/>
    <x v="83"/>
    <x v="83"/>
    <x v="16"/>
    <x v="16"/>
    <x v="138"/>
    <n v="42119"/>
    <x v="11"/>
    <x v="11"/>
    <n v="1500"/>
    <n v="1500"/>
  </r>
  <r>
    <n v="4654"/>
    <x v="0"/>
    <x v="83"/>
    <x v="83"/>
    <x v="16"/>
    <x v="16"/>
    <x v="204"/>
    <n v="42126"/>
    <x v="620"/>
    <x v="518"/>
    <n v="9540"/>
    <n v="1800"/>
  </r>
  <r>
    <n v="4655"/>
    <x v="0"/>
    <x v="83"/>
    <x v="83"/>
    <x v="16"/>
    <x v="16"/>
    <x v="205"/>
    <n v="42133"/>
    <x v="625"/>
    <x v="682"/>
    <n v="28600"/>
    <n v="2000"/>
  </r>
  <r>
    <n v="4656"/>
    <x v="0"/>
    <x v="83"/>
    <x v="83"/>
    <x v="16"/>
    <x v="16"/>
    <x v="207"/>
    <n v="42147"/>
    <x v="14"/>
    <x v="14"/>
    <n v="900"/>
    <n v="1800"/>
  </r>
  <r>
    <n v="4657"/>
    <x v="0"/>
    <x v="83"/>
    <x v="83"/>
    <x v="11"/>
    <x v="11"/>
    <x v="117"/>
    <n v="66007"/>
    <x v="180"/>
    <x v="207"/>
    <n v="660"/>
    <n v="1100"/>
  </r>
  <r>
    <n v="4658"/>
    <x v="0"/>
    <x v="83"/>
    <x v="83"/>
    <x v="11"/>
    <x v="11"/>
    <x v="171"/>
    <n v="66056"/>
    <x v="595"/>
    <x v="361"/>
    <n v="6120"/>
    <n v="1200"/>
  </r>
  <r>
    <n v="4659"/>
    <x v="0"/>
    <x v="83"/>
    <x v="83"/>
    <x v="11"/>
    <x v="11"/>
    <x v="140"/>
    <n v="66126"/>
    <x v="377"/>
    <x v="385"/>
    <n v="1140"/>
    <n v="1200"/>
  </r>
  <r>
    <n v="4660"/>
    <x v="0"/>
    <x v="83"/>
    <x v="83"/>
    <x v="13"/>
    <x v="13"/>
    <x v="152"/>
    <n v="74007"/>
    <x v="18"/>
    <x v="18"/>
    <n v="840"/>
    <n v="4200"/>
  </r>
  <r>
    <n v="4661"/>
    <x v="0"/>
    <x v="83"/>
    <x v="83"/>
    <x v="13"/>
    <x v="13"/>
    <x v="94"/>
    <n v="74035"/>
    <x v="229"/>
    <x v="318"/>
    <n v="20900"/>
    <n v="3800"/>
  </r>
  <r>
    <n v="4662"/>
    <x v="0"/>
    <x v="83"/>
    <x v="83"/>
    <x v="7"/>
    <x v="7"/>
    <x v="45"/>
    <n v="82035"/>
    <x v="143"/>
    <x v="150"/>
    <n v="299"/>
    <n v="2300"/>
  </r>
  <r>
    <n v="4663"/>
    <x v="0"/>
    <x v="84"/>
    <x v="84"/>
    <x v="1"/>
    <x v="1"/>
    <x v="96"/>
    <n v="14035"/>
    <x v="626"/>
    <x v="683"/>
    <n v="276000"/>
    <n v="2400"/>
  </r>
  <r>
    <n v="4664"/>
    <x v="0"/>
    <x v="84"/>
    <x v="84"/>
    <x v="1"/>
    <x v="1"/>
    <x v="143"/>
    <n v="14042"/>
    <x v="627"/>
    <x v="684"/>
    <n v="33570"/>
    <n v="1998"/>
  </r>
  <r>
    <n v="4665"/>
    <x v="0"/>
    <x v="84"/>
    <x v="84"/>
    <x v="1"/>
    <x v="1"/>
    <x v="107"/>
    <n v="14056"/>
    <x v="628"/>
    <x v="685"/>
    <n v="56100"/>
    <n v="2200"/>
  </r>
  <r>
    <n v="4666"/>
    <x v="0"/>
    <x v="84"/>
    <x v="84"/>
    <x v="1"/>
    <x v="1"/>
    <x v="160"/>
    <n v="14084"/>
    <x v="375"/>
    <x v="341"/>
    <n v="69000"/>
    <n v="2300"/>
  </r>
  <r>
    <n v="4667"/>
    <x v="0"/>
    <x v="84"/>
    <x v="84"/>
    <x v="1"/>
    <x v="1"/>
    <x v="13"/>
    <n v="14098"/>
    <x v="629"/>
    <x v="544"/>
    <n v="138600"/>
    <n v="2100"/>
  </r>
  <r>
    <n v="4668"/>
    <x v="0"/>
    <x v="84"/>
    <x v="84"/>
    <x v="1"/>
    <x v="1"/>
    <x v="8"/>
    <n v="14119"/>
    <x v="8"/>
    <x v="8"/>
    <n v="19300"/>
    <n v="2098"/>
  </r>
  <r>
    <n v="4669"/>
    <x v="0"/>
    <x v="84"/>
    <x v="84"/>
    <x v="1"/>
    <x v="1"/>
    <x v="42"/>
    <n v="14133"/>
    <x v="81"/>
    <x v="83"/>
    <n v="4500"/>
    <n v="3000"/>
  </r>
  <r>
    <n v="4670"/>
    <x v="0"/>
    <x v="84"/>
    <x v="84"/>
    <x v="1"/>
    <x v="1"/>
    <x v="7"/>
    <n v="14147"/>
    <x v="58"/>
    <x v="57"/>
    <n v="1470"/>
    <n v="2100"/>
  </r>
  <r>
    <n v="4671"/>
    <x v="0"/>
    <x v="84"/>
    <x v="84"/>
    <x v="1"/>
    <x v="1"/>
    <x v="10"/>
    <n v="14161"/>
    <x v="503"/>
    <x v="686"/>
    <n v="27930"/>
    <n v="2100"/>
  </r>
  <r>
    <n v="4672"/>
    <x v="0"/>
    <x v="84"/>
    <x v="84"/>
    <x v="5"/>
    <x v="5"/>
    <x v="37"/>
    <n v="38063"/>
    <x v="619"/>
    <x v="677"/>
    <n v="235"/>
    <n v="1199"/>
  </r>
  <r>
    <n v="4673"/>
    <x v="0"/>
    <x v="84"/>
    <x v="84"/>
    <x v="5"/>
    <x v="5"/>
    <x v="194"/>
    <n v="38070"/>
    <x v="618"/>
    <x v="676"/>
    <n v="510"/>
    <n v="1301"/>
  </r>
  <r>
    <n v="4674"/>
    <x v="0"/>
    <x v="84"/>
    <x v="84"/>
    <x v="16"/>
    <x v="16"/>
    <x v="203"/>
    <n v="42056"/>
    <x v="74"/>
    <x v="128"/>
    <n v="7000"/>
    <n v="3500"/>
  </r>
  <r>
    <n v="4675"/>
    <x v="0"/>
    <x v="84"/>
    <x v="84"/>
    <x v="16"/>
    <x v="16"/>
    <x v="209"/>
    <n v="42035"/>
    <x v="10"/>
    <x v="10"/>
    <n v="3300"/>
    <n v="3000"/>
  </r>
  <r>
    <n v="4676"/>
    <x v="0"/>
    <x v="84"/>
    <x v="84"/>
    <x v="16"/>
    <x v="16"/>
    <x v="208"/>
    <n v="42105"/>
    <x v="57"/>
    <x v="56"/>
    <n v="4200"/>
    <n v="3500"/>
  </r>
  <r>
    <n v="4677"/>
    <x v="0"/>
    <x v="84"/>
    <x v="84"/>
    <x v="16"/>
    <x v="16"/>
    <x v="204"/>
    <n v="42126"/>
    <x v="56"/>
    <x v="55"/>
    <n v="4800"/>
    <n v="3000"/>
  </r>
  <r>
    <n v="4678"/>
    <x v="0"/>
    <x v="84"/>
    <x v="84"/>
    <x v="16"/>
    <x v="16"/>
    <x v="205"/>
    <n v="42133"/>
    <x v="126"/>
    <x v="465"/>
    <n v="9600"/>
    <n v="4000"/>
  </r>
  <r>
    <n v="4679"/>
    <x v="0"/>
    <x v="84"/>
    <x v="84"/>
    <x v="16"/>
    <x v="16"/>
    <x v="207"/>
    <n v="42147"/>
    <x v="14"/>
    <x v="14"/>
    <n v="1500"/>
    <n v="3000"/>
  </r>
  <r>
    <n v="4680"/>
    <x v="0"/>
    <x v="84"/>
    <x v="84"/>
    <x v="11"/>
    <x v="11"/>
    <x v="117"/>
    <n v="66007"/>
    <x v="180"/>
    <x v="687"/>
    <n v="317"/>
    <n v="600"/>
  </r>
  <r>
    <n v="4681"/>
    <x v="0"/>
    <x v="84"/>
    <x v="84"/>
    <x v="11"/>
    <x v="11"/>
    <x v="171"/>
    <n v="66056"/>
    <x v="595"/>
    <x v="361"/>
    <n v="4080"/>
    <n v="800"/>
  </r>
  <r>
    <n v="4682"/>
    <x v="0"/>
    <x v="84"/>
    <x v="84"/>
    <x v="11"/>
    <x v="11"/>
    <x v="140"/>
    <n v="66126"/>
    <x v="377"/>
    <x v="385"/>
    <n v="760"/>
    <n v="800"/>
  </r>
  <r>
    <n v="4683"/>
    <x v="0"/>
    <x v="84"/>
    <x v="84"/>
    <x v="13"/>
    <x v="13"/>
    <x v="152"/>
    <n v="74007"/>
    <x v="630"/>
    <x v="688"/>
    <n v="6600"/>
    <n v="3000"/>
  </r>
  <r>
    <n v="4684"/>
    <x v="0"/>
    <x v="84"/>
    <x v="84"/>
    <x v="13"/>
    <x v="13"/>
    <x v="94"/>
    <n v="74035"/>
    <x v="210"/>
    <x v="443"/>
    <n v="13500"/>
    <n v="1500"/>
  </r>
  <r>
    <n v="4685"/>
    <x v="0"/>
    <x v="84"/>
    <x v="84"/>
    <x v="13"/>
    <x v="13"/>
    <x v="210"/>
    <n v="74042"/>
    <x v="179"/>
    <x v="153"/>
    <n v="1080"/>
    <n v="1200"/>
  </r>
  <r>
    <n v="4686"/>
    <x v="0"/>
    <x v="84"/>
    <x v="84"/>
    <x v="13"/>
    <x v="13"/>
    <x v="211"/>
    <n v="74056"/>
    <x v="179"/>
    <x v="153"/>
    <n v="1170"/>
    <n v="1300"/>
  </r>
  <r>
    <n v="4687"/>
    <x v="0"/>
    <x v="84"/>
    <x v="84"/>
    <x v="7"/>
    <x v="7"/>
    <x v="45"/>
    <n v="82035"/>
    <x v="18"/>
    <x v="18"/>
    <n v="600"/>
    <n v="3000"/>
  </r>
  <r>
    <n v="4688"/>
    <x v="0"/>
    <x v="85"/>
    <x v="85"/>
    <x v="15"/>
    <x v="15"/>
    <x v="191"/>
    <n v="6392"/>
    <x v="81"/>
    <x v="83"/>
    <n v="3600"/>
    <n v="2400"/>
  </r>
  <r>
    <n v="4689"/>
    <x v="0"/>
    <x v="85"/>
    <x v="85"/>
    <x v="1"/>
    <x v="1"/>
    <x v="96"/>
    <n v="14035"/>
    <x v="631"/>
    <x v="689"/>
    <n v="276120"/>
    <n v="2400"/>
  </r>
  <r>
    <n v="4690"/>
    <x v="0"/>
    <x v="85"/>
    <x v="85"/>
    <x v="1"/>
    <x v="1"/>
    <x v="143"/>
    <n v="14042"/>
    <x v="615"/>
    <x v="672"/>
    <n v="42460"/>
    <n v="2200"/>
  </r>
  <r>
    <n v="4691"/>
    <x v="0"/>
    <x v="85"/>
    <x v="85"/>
    <x v="1"/>
    <x v="1"/>
    <x v="107"/>
    <n v="14056"/>
    <x v="632"/>
    <x v="690"/>
    <n v="146440"/>
    <n v="2800"/>
  </r>
  <r>
    <n v="4692"/>
    <x v="0"/>
    <x v="85"/>
    <x v="85"/>
    <x v="1"/>
    <x v="1"/>
    <x v="160"/>
    <n v="14084"/>
    <x v="633"/>
    <x v="691"/>
    <n v="64250"/>
    <n v="2500"/>
  </r>
  <r>
    <n v="4693"/>
    <x v="0"/>
    <x v="85"/>
    <x v="85"/>
    <x v="1"/>
    <x v="1"/>
    <x v="13"/>
    <n v="14098"/>
    <x v="634"/>
    <x v="692"/>
    <n v="335020"/>
    <n v="2800"/>
  </r>
  <r>
    <n v="4694"/>
    <x v="0"/>
    <x v="85"/>
    <x v="85"/>
    <x v="1"/>
    <x v="1"/>
    <x v="8"/>
    <n v="14119"/>
    <x v="635"/>
    <x v="693"/>
    <n v="25740"/>
    <n v="2298"/>
  </r>
  <r>
    <n v="4695"/>
    <x v="0"/>
    <x v="85"/>
    <x v="85"/>
    <x v="1"/>
    <x v="1"/>
    <x v="42"/>
    <n v="14133"/>
    <x v="81"/>
    <x v="83"/>
    <n v="5250"/>
    <n v="3500"/>
  </r>
  <r>
    <n v="4696"/>
    <x v="0"/>
    <x v="85"/>
    <x v="85"/>
    <x v="1"/>
    <x v="1"/>
    <x v="7"/>
    <n v="14147"/>
    <x v="58"/>
    <x v="57"/>
    <n v="1470"/>
    <n v="2100"/>
  </r>
  <r>
    <n v="4697"/>
    <x v="0"/>
    <x v="85"/>
    <x v="85"/>
    <x v="1"/>
    <x v="1"/>
    <x v="10"/>
    <n v="14161"/>
    <x v="449"/>
    <x v="470"/>
    <n v="38430"/>
    <n v="2100"/>
  </r>
  <r>
    <n v="4698"/>
    <x v="0"/>
    <x v="85"/>
    <x v="85"/>
    <x v="5"/>
    <x v="5"/>
    <x v="37"/>
    <n v="38063"/>
    <x v="618"/>
    <x v="694"/>
    <n v="299"/>
    <n v="799"/>
  </r>
  <r>
    <n v="4699"/>
    <x v="0"/>
    <x v="85"/>
    <x v="85"/>
    <x v="5"/>
    <x v="5"/>
    <x v="194"/>
    <n v="38070"/>
    <x v="619"/>
    <x v="48"/>
    <n v="129"/>
    <n v="701"/>
  </r>
  <r>
    <n v="4700"/>
    <x v="0"/>
    <x v="85"/>
    <x v="85"/>
    <x v="16"/>
    <x v="16"/>
    <x v="206"/>
    <n v="42028"/>
    <x v="636"/>
    <x v="695"/>
    <n v="4180"/>
    <n v="2000"/>
  </r>
  <r>
    <n v="4701"/>
    <x v="0"/>
    <x v="85"/>
    <x v="85"/>
    <x v="16"/>
    <x v="16"/>
    <x v="203"/>
    <n v="42056"/>
    <x v="306"/>
    <x v="696"/>
    <n v="16500"/>
    <n v="2500"/>
  </r>
  <r>
    <n v="4702"/>
    <x v="0"/>
    <x v="85"/>
    <x v="85"/>
    <x v="16"/>
    <x v="16"/>
    <x v="209"/>
    <n v="42035"/>
    <x v="179"/>
    <x v="153"/>
    <n v="1800"/>
    <n v="2000"/>
  </r>
  <r>
    <n v="4703"/>
    <x v="0"/>
    <x v="85"/>
    <x v="85"/>
    <x v="16"/>
    <x v="16"/>
    <x v="208"/>
    <n v="42105"/>
    <x v="147"/>
    <x v="101"/>
    <n v="6000"/>
    <n v="2000"/>
  </r>
  <r>
    <n v="4704"/>
    <x v="0"/>
    <x v="85"/>
    <x v="85"/>
    <x v="16"/>
    <x v="16"/>
    <x v="138"/>
    <n v="42119"/>
    <x v="127"/>
    <x v="134"/>
    <n v="140"/>
    <n v="2000"/>
  </r>
  <r>
    <n v="4705"/>
    <x v="0"/>
    <x v="85"/>
    <x v="85"/>
    <x v="16"/>
    <x v="16"/>
    <x v="204"/>
    <n v="42126"/>
    <x v="14"/>
    <x v="14"/>
    <n v="1000"/>
    <n v="2000"/>
  </r>
  <r>
    <n v="4706"/>
    <x v="0"/>
    <x v="85"/>
    <x v="85"/>
    <x v="16"/>
    <x v="16"/>
    <x v="205"/>
    <n v="42133"/>
    <x v="74"/>
    <x v="128"/>
    <n v="5000"/>
    <n v="2500"/>
  </r>
  <r>
    <n v="4707"/>
    <x v="0"/>
    <x v="85"/>
    <x v="85"/>
    <x v="16"/>
    <x v="16"/>
    <x v="207"/>
    <n v="42147"/>
    <x v="58"/>
    <x v="57"/>
    <n v="1400"/>
    <n v="2000"/>
  </r>
  <r>
    <n v="4708"/>
    <x v="0"/>
    <x v="85"/>
    <x v="85"/>
    <x v="11"/>
    <x v="11"/>
    <x v="117"/>
    <n v="66007"/>
    <x v="147"/>
    <x v="83"/>
    <n v="900"/>
    <n v="600"/>
  </r>
  <r>
    <n v="4709"/>
    <x v="0"/>
    <x v="85"/>
    <x v="85"/>
    <x v="11"/>
    <x v="11"/>
    <x v="171"/>
    <n v="66056"/>
    <x v="595"/>
    <x v="697"/>
    <n v="2916"/>
    <n v="600"/>
  </r>
  <r>
    <n v="4710"/>
    <x v="0"/>
    <x v="85"/>
    <x v="85"/>
    <x v="11"/>
    <x v="11"/>
    <x v="140"/>
    <n v="66126"/>
    <x v="377"/>
    <x v="265"/>
    <n v="476"/>
    <n v="600"/>
  </r>
  <r>
    <n v="4711"/>
    <x v="0"/>
    <x v="85"/>
    <x v="85"/>
    <x v="13"/>
    <x v="13"/>
    <x v="152"/>
    <n v="74007"/>
    <x v="637"/>
    <x v="698"/>
    <n v="11385"/>
    <n v="4500"/>
  </r>
  <r>
    <n v="4712"/>
    <x v="0"/>
    <x v="85"/>
    <x v="85"/>
    <x v="13"/>
    <x v="13"/>
    <x v="94"/>
    <n v="74035"/>
    <x v="621"/>
    <x v="699"/>
    <n v="28980"/>
    <n v="2800"/>
  </r>
  <r>
    <n v="4713"/>
    <x v="0"/>
    <x v="85"/>
    <x v="85"/>
    <x v="13"/>
    <x v="13"/>
    <x v="210"/>
    <n v="74042"/>
    <x v="159"/>
    <x v="700"/>
    <n v="1967"/>
    <n v="1900"/>
  </r>
  <r>
    <n v="4714"/>
    <x v="0"/>
    <x v="85"/>
    <x v="85"/>
    <x v="13"/>
    <x v="13"/>
    <x v="211"/>
    <n v="74056"/>
    <x v="638"/>
    <x v="700"/>
    <n v="3105"/>
    <n v="3000"/>
  </r>
  <r>
    <n v="4715"/>
    <x v="0"/>
    <x v="85"/>
    <x v="85"/>
    <x v="7"/>
    <x v="7"/>
    <x v="45"/>
    <n v="82035"/>
    <x v="12"/>
    <x v="12"/>
    <n v="900"/>
    <n v="3000"/>
  </r>
  <r>
    <n v="4716"/>
    <x v="0"/>
    <x v="86"/>
    <x v="86"/>
    <x v="15"/>
    <x v="15"/>
    <x v="191"/>
    <n v="6392"/>
    <x v="81"/>
    <x v="83"/>
    <n v="3600"/>
    <n v="2400"/>
  </r>
  <r>
    <n v="4717"/>
    <x v="0"/>
    <x v="86"/>
    <x v="86"/>
    <x v="1"/>
    <x v="1"/>
    <x v="96"/>
    <n v="14035"/>
    <x v="639"/>
    <x v="701"/>
    <n v="399000"/>
    <n v="3000"/>
  </r>
  <r>
    <n v="4718"/>
    <x v="0"/>
    <x v="86"/>
    <x v="86"/>
    <x v="1"/>
    <x v="1"/>
    <x v="143"/>
    <n v="14042"/>
    <x v="640"/>
    <x v="702"/>
    <n v="61200"/>
    <n v="2000"/>
  </r>
  <r>
    <n v="4719"/>
    <x v="0"/>
    <x v="86"/>
    <x v="86"/>
    <x v="1"/>
    <x v="1"/>
    <x v="107"/>
    <n v="14056"/>
    <x v="484"/>
    <x v="703"/>
    <n v="148500"/>
    <n v="3300"/>
  </r>
  <r>
    <n v="4720"/>
    <x v="0"/>
    <x v="86"/>
    <x v="86"/>
    <x v="1"/>
    <x v="1"/>
    <x v="160"/>
    <n v="14084"/>
    <x v="497"/>
    <x v="704"/>
    <n v="63000"/>
    <n v="3000"/>
  </r>
  <r>
    <n v="4721"/>
    <x v="0"/>
    <x v="86"/>
    <x v="86"/>
    <x v="1"/>
    <x v="1"/>
    <x v="13"/>
    <n v="14098"/>
    <x v="469"/>
    <x v="490"/>
    <n v="330000"/>
    <n v="3000"/>
  </r>
  <r>
    <n v="4722"/>
    <x v="0"/>
    <x v="86"/>
    <x v="86"/>
    <x v="1"/>
    <x v="1"/>
    <x v="8"/>
    <n v="14119"/>
    <x v="641"/>
    <x v="705"/>
    <n v="20805"/>
    <n v="1900"/>
  </r>
  <r>
    <n v="4723"/>
    <x v="0"/>
    <x v="86"/>
    <x v="86"/>
    <x v="1"/>
    <x v="1"/>
    <x v="131"/>
    <n v="14126"/>
    <x v="282"/>
    <x v="288"/>
    <n v="8250"/>
    <n v="3300"/>
  </r>
  <r>
    <n v="4724"/>
    <x v="0"/>
    <x v="86"/>
    <x v="86"/>
    <x v="1"/>
    <x v="1"/>
    <x v="7"/>
    <n v="14147"/>
    <x v="58"/>
    <x v="57"/>
    <n v="1470"/>
    <n v="2100"/>
  </r>
  <r>
    <n v="4725"/>
    <x v="0"/>
    <x v="86"/>
    <x v="86"/>
    <x v="1"/>
    <x v="1"/>
    <x v="10"/>
    <n v="14161"/>
    <x v="575"/>
    <x v="706"/>
    <n v="36220"/>
    <n v="1999"/>
  </r>
  <r>
    <n v="4726"/>
    <x v="0"/>
    <x v="86"/>
    <x v="86"/>
    <x v="1"/>
    <x v="1"/>
    <x v="90"/>
    <n v="14182"/>
    <x v="282"/>
    <x v="288"/>
    <n v="6750"/>
    <n v="2700"/>
  </r>
  <r>
    <n v="4727"/>
    <x v="0"/>
    <x v="86"/>
    <x v="86"/>
    <x v="5"/>
    <x v="5"/>
    <x v="37"/>
    <n v="38063"/>
    <x v="619"/>
    <x v="677"/>
    <n v="235"/>
    <n v="1199"/>
  </r>
  <r>
    <n v="4728"/>
    <x v="0"/>
    <x v="86"/>
    <x v="86"/>
    <x v="5"/>
    <x v="5"/>
    <x v="194"/>
    <n v="38070"/>
    <x v="618"/>
    <x v="676"/>
    <n v="470"/>
    <n v="1199"/>
  </r>
  <r>
    <n v="4729"/>
    <x v="0"/>
    <x v="86"/>
    <x v="86"/>
    <x v="16"/>
    <x v="16"/>
    <x v="203"/>
    <n v="42056"/>
    <x v="642"/>
    <x v="367"/>
    <n v="19200"/>
    <n v="3000"/>
  </r>
  <r>
    <n v="4730"/>
    <x v="0"/>
    <x v="86"/>
    <x v="86"/>
    <x v="16"/>
    <x v="16"/>
    <x v="209"/>
    <n v="42035"/>
    <x v="231"/>
    <x v="212"/>
    <n v="1125"/>
    <n v="2500"/>
  </r>
  <r>
    <n v="4731"/>
    <x v="0"/>
    <x v="86"/>
    <x v="86"/>
    <x v="16"/>
    <x v="16"/>
    <x v="208"/>
    <n v="42105"/>
    <x v="608"/>
    <x v="661"/>
    <n v="5850"/>
    <n v="3000"/>
  </r>
  <r>
    <n v="4732"/>
    <x v="0"/>
    <x v="86"/>
    <x v="86"/>
    <x v="16"/>
    <x v="16"/>
    <x v="204"/>
    <n v="42126"/>
    <x v="135"/>
    <x v="143"/>
    <n v="4750"/>
    <n v="2500"/>
  </r>
  <r>
    <n v="4733"/>
    <x v="0"/>
    <x v="86"/>
    <x v="86"/>
    <x v="16"/>
    <x v="16"/>
    <x v="205"/>
    <n v="42133"/>
    <x v="374"/>
    <x v="707"/>
    <n v="5800"/>
    <n v="2000"/>
  </r>
  <r>
    <n v="4734"/>
    <x v="0"/>
    <x v="86"/>
    <x v="86"/>
    <x v="11"/>
    <x v="11"/>
    <x v="117"/>
    <n v="66007"/>
    <x v="147"/>
    <x v="83"/>
    <n v="1800"/>
    <n v="1200"/>
  </r>
  <r>
    <n v="4735"/>
    <x v="0"/>
    <x v="86"/>
    <x v="86"/>
    <x v="11"/>
    <x v="11"/>
    <x v="171"/>
    <n v="66056"/>
    <x v="595"/>
    <x v="697"/>
    <n v="5346"/>
    <n v="1100"/>
  </r>
  <r>
    <n v="4736"/>
    <x v="0"/>
    <x v="86"/>
    <x v="86"/>
    <x v="11"/>
    <x v="11"/>
    <x v="140"/>
    <n v="66126"/>
    <x v="377"/>
    <x v="265"/>
    <n v="953"/>
    <n v="1200"/>
  </r>
  <r>
    <n v="4737"/>
    <x v="0"/>
    <x v="86"/>
    <x v="86"/>
    <x v="13"/>
    <x v="13"/>
    <x v="152"/>
    <n v="74007"/>
    <x v="81"/>
    <x v="83"/>
    <n v="6000"/>
    <n v="4000"/>
  </r>
  <r>
    <n v="4738"/>
    <x v="0"/>
    <x v="86"/>
    <x v="86"/>
    <x v="13"/>
    <x v="13"/>
    <x v="94"/>
    <n v="74035"/>
    <x v="24"/>
    <x v="708"/>
    <n v="25550"/>
    <n v="3500"/>
  </r>
  <r>
    <n v="4739"/>
    <x v="0"/>
    <x v="86"/>
    <x v="86"/>
    <x v="13"/>
    <x v="13"/>
    <x v="210"/>
    <n v="74042"/>
    <x v="74"/>
    <x v="128"/>
    <n v="5800"/>
    <n v="2900"/>
  </r>
  <r>
    <n v="4740"/>
    <x v="0"/>
    <x v="86"/>
    <x v="86"/>
    <x v="13"/>
    <x v="13"/>
    <x v="211"/>
    <n v="74056"/>
    <x v="11"/>
    <x v="11"/>
    <n v="3500"/>
    <n v="3500"/>
  </r>
  <r>
    <n v="4741"/>
    <x v="0"/>
    <x v="86"/>
    <x v="86"/>
    <x v="7"/>
    <x v="7"/>
    <x v="45"/>
    <n v="82035"/>
    <x v="12"/>
    <x v="12"/>
    <n v="750"/>
    <n v="2500"/>
  </r>
  <r>
    <n v="4742"/>
    <x v="0"/>
    <x v="87"/>
    <x v="87"/>
    <x v="15"/>
    <x v="15"/>
    <x v="191"/>
    <n v="6392"/>
    <x v="81"/>
    <x v="83"/>
    <n v="3300"/>
    <n v="2200"/>
  </r>
  <r>
    <n v="4743"/>
    <x v="0"/>
    <x v="87"/>
    <x v="87"/>
    <x v="15"/>
    <x v="15"/>
    <x v="123"/>
    <n v="6679"/>
    <x v="643"/>
    <x v="709"/>
    <n v="5952"/>
    <n v="2400"/>
  </r>
  <r>
    <n v="4744"/>
    <x v="0"/>
    <x v="87"/>
    <x v="87"/>
    <x v="1"/>
    <x v="1"/>
    <x v="96"/>
    <n v="14035"/>
    <x v="626"/>
    <x v="710"/>
    <n v="275280"/>
    <n v="2400"/>
  </r>
  <r>
    <n v="4745"/>
    <x v="0"/>
    <x v="87"/>
    <x v="87"/>
    <x v="1"/>
    <x v="1"/>
    <x v="143"/>
    <n v="14042"/>
    <x v="644"/>
    <x v="711"/>
    <n v="68050"/>
    <n v="2299"/>
  </r>
  <r>
    <n v="4746"/>
    <x v="0"/>
    <x v="87"/>
    <x v="87"/>
    <x v="1"/>
    <x v="1"/>
    <x v="107"/>
    <n v="14056"/>
    <x v="645"/>
    <x v="712"/>
    <n v="122040"/>
    <n v="2400"/>
  </r>
  <r>
    <n v="4747"/>
    <x v="0"/>
    <x v="87"/>
    <x v="87"/>
    <x v="1"/>
    <x v="1"/>
    <x v="160"/>
    <n v="14084"/>
    <x v="386"/>
    <x v="668"/>
    <n v="59520"/>
    <n v="2400"/>
  </r>
  <r>
    <n v="4748"/>
    <x v="0"/>
    <x v="87"/>
    <x v="87"/>
    <x v="1"/>
    <x v="1"/>
    <x v="13"/>
    <n v="14098"/>
    <x v="646"/>
    <x v="713"/>
    <n v="298320"/>
    <n v="2400"/>
  </r>
  <r>
    <n v="4749"/>
    <x v="0"/>
    <x v="87"/>
    <x v="87"/>
    <x v="1"/>
    <x v="1"/>
    <x v="8"/>
    <n v="14119"/>
    <x v="358"/>
    <x v="714"/>
    <n v="30090"/>
    <n v="2297"/>
  </r>
  <r>
    <n v="4750"/>
    <x v="0"/>
    <x v="87"/>
    <x v="87"/>
    <x v="1"/>
    <x v="1"/>
    <x v="42"/>
    <n v="14133"/>
    <x v="516"/>
    <x v="364"/>
    <n v="6720"/>
    <n v="2400"/>
  </r>
  <r>
    <n v="4751"/>
    <x v="0"/>
    <x v="87"/>
    <x v="87"/>
    <x v="1"/>
    <x v="1"/>
    <x v="7"/>
    <n v="14147"/>
    <x v="58"/>
    <x v="57"/>
    <n v="1540"/>
    <n v="2200"/>
  </r>
  <r>
    <n v="4752"/>
    <x v="0"/>
    <x v="87"/>
    <x v="87"/>
    <x v="1"/>
    <x v="1"/>
    <x v="10"/>
    <n v="14161"/>
    <x v="647"/>
    <x v="715"/>
    <n v="58084"/>
    <n v="2298"/>
  </r>
  <r>
    <n v="4753"/>
    <x v="0"/>
    <x v="87"/>
    <x v="87"/>
    <x v="1"/>
    <x v="1"/>
    <x v="90"/>
    <n v="14182"/>
    <x v="226"/>
    <x v="162"/>
    <n v="12000"/>
    <n v="2400"/>
  </r>
  <r>
    <n v="4754"/>
    <x v="0"/>
    <x v="87"/>
    <x v="87"/>
    <x v="5"/>
    <x v="5"/>
    <x v="37"/>
    <n v="38063"/>
    <x v="618"/>
    <x v="676"/>
    <n v="588"/>
    <n v="1500"/>
  </r>
  <r>
    <n v="4755"/>
    <x v="0"/>
    <x v="87"/>
    <x v="87"/>
    <x v="5"/>
    <x v="5"/>
    <x v="194"/>
    <n v="38070"/>
    <x v="619"/>
    <x v="677"/>
    <n v="294"/>
    <n v="1500"/>
  </r>
  <r>
    <n v="4756"/>
    <x v="0"/>
    <x v="87"/>
    <x v="87"/>
    <x v="16"/>
    <x v="16"/>
    <x v="203"/>
    <n v="42056"/>
    <x v="340"/>
    <x v="227"/>
    <n v="10260"/>
    <n v="2700"/>
  </r>
  <r>
    <n v="4757"/>
    <x v="0"/>
    <x v="87"/>
    <x v="87"/>
    <x v="16"/>
    <x v="16"/>
    <x v="208"/>
    <n v="42105"/>
    <x v="282"/>
    <x v="288"/>
    <n v="6250"/>
    <n v="2500"/>
  </r>
  <r>
    <n v="4758"/>
    <x v="0"/>
    <x v="87"/>
    <x v="87"/>
    <x v="16"/>
    <x v="16"/>
    <x v="204"/>
    <n v="42126"/>
    <x v="26"/>
    <x v="59"/>
    <n v="880"/>
    <n v="2200"/>
  </r>
  <r>
    <n v="4759"/>
    <x v="0"/>
    <x v="87"/>
    <x v="87"/>
    <x v="16"/>
    <x v="16"/>
    <x v="205"/>
    <n v="42133"/>
    <x v="154"/>
    <x v="159"/>
    <n v="4830"/>
    <n v="2300"/>
  </r>
  <r>
    <n v="4760"/>
    <x v="0"/>
    <x v="87"/>
    <x v="87"/>
    <x v="11"/>
    <x v="11"/>
    <x v="117"/>
    <n v="66007"/>
    <x v="648"/>
    <x v="352"/>
    <n v="3185"/>
    <n v="1300"/>
  </r>
  <r>
    <n v="4761"/>
    <x v="0"/>
    <x v="87"/>
    <x v="87"/>
    <x v="11"/>
    <x v="11"/>
    <x v="171"/>
    <n v="66056"/>
    <x v="595"/>
    <x v="361"/>
    <n v="7140"/>
    <n v="1400"/>
  </r>
  <r>
    <n v="4762"/>
    <x v="0"/>
    <x v="87"/>
    <x v="87"/>
    <x v="11"/>
    <x v="11"/>
    <x v="140"/>
    <n v="66126"/>
    <x v="370"/>
    <x v="655"/>
    <n v="754"/>
    <n v="1300"/>
  </r>
  <r>
    <n v="4763"/>
    <x v="0"/>
    <x v="87"/>
    <x v="87"/>
    <x v="13"/>
    <x v="13"/>
    <x v="152"/>
    <n v="74007"/>
    <x v="81"/>
    <x v="83"/>
    <n v="4500"/>
    <n v="3000"/>
  </r>
  <r>
    <n v="4764"/>
    <x v="0"/>
    <x v="87"/>
    <x v="87"/>
    <x v="13"/>
    <x v="13"/>
    <x v="94"/>
    <n v="74035"/>
    <x v="649"/>
    <x v="716"/>
    <n v="23870"/>
    <n v="3100"/>
  </r>
  <r>
    <n v="4765"/>
    <x v="0"/>
    <x v="87"/>
    <x v="87"/>
    <x v="13"/>
    <x v="13"/>
    <x v="210"/>
    <n v="74042"/>
    <x v="180"/>
    <x v="207"/>
    <n v="1620"/>
    <n v="2700"/>
  </r>
  <r>
    <n v="4766"/>
    <x v="0"/>
    <x v="87"/>
    <x v="87"/>
    <x v="13"/>
    <x v="13"/>
    <x v="211"/>
    <n v="74056"/>
    <x v="10"/>
    <x v="10"/>
    <n v="3190"/>
    <n v="2900"/>
  </r>
  <r>
    <n v="4767"/>
    <x v="0"/>
    <x v="87"/>
    <x v="87"/>
    <x v="7"/>
    <x v="7"/>
    <x v="45"/>
    <n v="82035"/>
    <x v="12"/>
    <x v="12"/>
    <n v="600"/>
    <n v="2000"/>
  </r>
  <r>
    <n v="4768"/>
    <x v="0"/>
    <x v="87"/>
    <x v="87"/>
    <x v="7"/>
    <x v="7"/>
    <x v="195"/>
    <n v="82042"/>
    <x v="153"/>
    <x v="282"/>
    <n v="1920"/>
    <n v="2400"/>
  </r>
  <r>
    <n v="4769"/>
    <x v="0"/>
    <x v="88"/>
    <x v="88"/>
    <x v="15"/>
    <x v="15"/>
    <x v="191"/>
    <n v="6392"/>
    <x v="81"/>
    <x v="83"/>
    <n v="3000"/>
    <n v="2000"/>
  </r>
  <r>
    <n v="4770"/>
    <x v="0"/>
    <x v="88"/>
    <x v="88"/>
    <x v="1"/>
    <x v="1"/>
    <x v="96"/>
    <n v="14035"/>
    <x v="485"/>
    <x v="519"/>
    <n v="316500"/>
    <n v="3000"/>
  </r>
  <r>
    <n v="4771"/>
    <x v="0"/>
    <x v="88"/>
    <x v="88"/>
    <x v="1"/>
    <x v="1"/>
    <x v="143"/>
    <n v="14042"/>
    <x v="276"/>
    <x v="464"/>
    <n v="17640"/>
    <n v="2100"/>
  </r>
  <r>
    <n v="4772"/>
    <x v="0"/>
    <x v="88"/>
    <x v="88"/>
    <x v="1"/>
    <x v="1"/>
    <x v="107"/>
    <n v="14056"/>
    <x v="650"/>
    <x v="717"/>
    <n v="177440"/>
    <n v="3200"/>
  </r>
  <r>
    <n v="4773"/>
    <x v="0"/>
    <x v="88"/>
    <x v="88"/>
    <x v="1"/>
    <x v="1"/>
    <x v="186"/>
    <n v="14063"/>
    <x v="651"/>
    <x v="718"/>
    <n v="10434"/>
    <n v="3700"/>
  </r>
  <r>
    <n v="4774"/>
    <x v="0"/>
    <x v="88"/>
    <x v="88"/>
    <x v="1"/>
    <x v="1"/>
    <x v="160"/>
    <n v="14084"/>
    <x v="155"/>
    <x v="161"/>
    <n v="48000"/>
    <n v="3000"/>
  </r>
  <r>
    <n v="4775"/>
    <x v="0"/>
    <x v="88"/>
    <x v="88"/>
    <x v="1"/>
    <x v="1"/>
    <x v="13"/>
    <n v="14098"/>
    <x v="652"/>
    <x v="719"/>
    <n v="198300"/>
    <n v="3000"/>
  </r>
  <r>
    <n v="4776"/>
    <x v="0"/>
    <x v="88"/>
    <x v="88"/>
    <x v="1"/>
    <x v="1"/>
    <x v="8"/>
    <n v="14119"/>
    <x v="54"/>
    <x v="720"/>
    <n v="19740"/>
    <n v="2100"/>
  </r>
  <r>
    <n v="4777"/>
    <x v="0"/>
    <x v="88"/>
    <x v="88"/>
    <x v="1"/>
    <x v="1"/>
    <x v="42"/>
    <n v="14133"/>
    <x v="516"/>
    <x v="364"/>
    <n v="9520"/>
    <n v="3400"/>
  </r>
  <r>
    <n v="4778"/>
    <x v="0"/>
    <x v="88"/>
    <x v="88"/>
    <x v="1"/>
    <x v="1"/>
    <x v="7"/>
    <n v="14147"/>
    <x v="126"/>
    <x v="465"/>
    <n v="5280"/>
    <n v="2200"/>
  </r>
  <r>
    <n v="4779"/>
    <x v="0"/>
    <x v="88"/>
    <x v="88"/>
    <x v="1"/>
    <x v="1"/>
    <x v="10"/>
    <n v="14161"/>
    <x v="653"/>
    <x v="721"/>
    <n v="67620"/>
    <n v="2100"/>
  </r>
  <r>
    <n v="4780"/>
    <x v="0"/>
    <x v="88"/>
    <x v="88"/>
    <x v="1"/>
    <x v="1"/>
    <x v="90"/>
    <n v="14182"/>
    <x v="210"/>
    <x v="515"/>
    <n v="31820"/>
    <n v="3700"/>
  </r>
  <r>
    <n v="4781"/>
    <x v="0"/>
    <x v="88"/>
    <x v="88"/>
    <x v="5"/>
    <x v="5"/>
    <x v="37"/>
    <n v="38063"/>
    <x v="619"/>
    <x v="677"/>
    <n v="235"/>
    <n v="1199"/>
  </r>
  <r>
    <n v="4782"/>
    <x v="0"/>
    <x v="88"/>
    <x v="88"/>
    <x v="5"/>
    <x v="5"/>
    <x v="194"/>
    <n v="38070"/>
    <x v="618"/>
    <x v="676"/>
    <n v="470"/>
    <n v="1199"/>
  </r>
  <r>
    <n v="4783"/>
    <x v="0"/>
    <x v="88"/>
    <x v="88"/>
    <x v="16"/>
    <x v="16"/>
    <x v="203"/>
    <n v="42056"/>
    <x v="654"/>
    <x v="220"/>
    <n v="28000"/>
    <n v="4000"/>
  </r>
  <r>
    <n v="4784"/>
    <x v="0"/>
    <x v="88"/>
    <x v="88"/>
    <x v="16"/>
    <x v="16"/>
    <x v="209"/>
    <n v="42035"/>
    <x v="12"/>
    <x v="12"/>
    <n v="900"/>
    <n v="3000"/>
  </r>
  <r>
    <n v="4785"/>
    <x v="0"/>
    <x v="88"/>
    <x v="88"/>
    <x v="16"/>
    <x v="16"/>
    <x v="208"/>
    <n v="42105"/>
    <x v="282"/>
    <x v="128"/>
    <n v="8000"/>
    <n v="4000"/>
  </r>
  <r>
    <n v="4786"/>
    <x v="0"/>
    <x v="88"/>
    <x v="88"/>
    <x v="16"/>
    <x v="16"/>
    <x v="205"/>
    <n v="42133"/>
    <x v="655"/>
    <x v="288"/>
    <n v="8750"/>
    <n v="3500"/>
  </r>
  <r>
    <n v="4787"/>
    <x v="0"/>
    <x v="88"/>
    <x v="88"/>
    <x v="11"/>
    <x v="11"/>
    <x v="117"/>
    <n v="66007"/>
    <x v="648"/>
    <x v="352"/>
    <n v="2205"/>
    <n v="900"/>
  </r>
  <r>
    <n v="4788"/>
    <x v="0"/>
    <x v="88"/>
    <x v="88"/>
    <x v="11"/>
    <x v="11"/>
    <x v="171"/>
    <n v="66056"/>
    <x v="595"/>
    <x v="361"/>
    <n v="4080"/>
    <n v="800"/>
  </r>
  <r>
    <n v="4789"/>
    <x v="0"/>
    <x v="88"/>
    <x v="88"/>
    <x v="11"/>
    <x v="11"/>
    <x v="140"/>
    <n v="66126"/>
    <x v="370"/>
    <x v="655"/>
    <n v="464"/>
    <n v="800"/>
  </r>
  <r>
    <n v="4790"/>
    <x v="0"/>
    <x v="88"/>
    <x v="88"/>
    <x v="13"/>
    <x v="13"/>
    <x v="152"/>
    <n v="74007"/>
    <x v="11"/>
    <x v="11"/>
    <n v="4800"/>
    <n v="4800"/>
  </r>
  <r>
    <n v="4791"/>
    <x v="0"/>
    <x v="88"/>
    <x v="88"/>
    <x v="13"/>
    <x v="13"/>
    <x v="94"/>
    <n v="74035"/>
    <x v="649"/>
    <x v="716"/>
    <n v="32340"/>
    <n v="4200"/>
  </r>
  <r>
    <n v="4792"/>
    <x v="0"/>
    <x v="88"/>
    <x v="88"/>
    <x v="13"/>
    <x v="13"/>
    <x v="210"/>
    <n v="74042"/>
    <x v="180"/>
    <x v="207"/>
    <n v="2100"/>
    <n v="3500"/>
  </r>
  <r>
    <n v="4793"/>
    <x v="0"/>
    <x v="88"/>
    <x v="88"/>
    <x v="13"/>
    <x v="13"/>
    <x v="211"/>
    <n v="74056"/>
    <x v="12"/>
    <x v="12"/>
    <n v="1260"/>
    <n v="4200"/>
  </r>
  <r>
    <n v="4794"/>
    <x v="0"/>
    <x v="88"/>
    <x v="88"/>
    <x v="13"/>
    <x v="13"/>
    <x v="95"/>
    <n v="74049"/>
    <x v="16"/>
    <x v="16"/>
    <n v="1575"/>
    <n v="4500"/>
  </r>
  <r>
    <n v="4795"/>
    <x v="0"/>
    <x v="88"/>
    <x v="88"/>
    <x v="7"/>
    <x v="7"/>
    <x v="45"/>
    <n v="82035"/>
    <x v="18"/>
    <x v="512"/>
    <n v="0"/>
    <n v="0"/>
  </r>
  <r>
    <n v="4796"/>
    <x v="0"/>
    <x v="88"/>
    <x v="88"/>
    <x v="7"/>
    <x v="7"/>
    <x v="195"/>
    <n v="82042"/>
    <x v="18"/>
    <x v="18"/>
    <n v="640"/>
    <n v="3200"/>
  </r>
  <r>
    <n v="4797"/>
    <x v="0"/>
    <x v="89"/>
    <x v="89"/>
    <x v="15"/>
    <x v="15"/>
    <x v="191"/>
    <n v="6392"/>
    <x v="12"/>
    <x v="12"/>
    <n v="600"/>
    <n v="2000"/>
  </r>
  <r>
    <n v="4798"/>
    <x v="0"/>
    <x v="89"/>
    <x v="89"/>
    <x v="15"/>
    <x v="15"/>
    <x v="126"/>
    <n v="6469"/>
    <x v="314"/>
    <x v="412"/>
    <n v="1274"/>
    <n v="2600"/>
  </r>
  <r>
    <n v="4799"/>
    <x v="0"/>
    <x v="89"/>
    <x v="89"/>
    <x v="1"/>
    <x v="1"/>
    <x v="70"/>
    <n v="14007"/>
    <x v="14"/>
    <x v="14"/>
    <n v="1750"/>
    <n v="3500"/>
  </r>
  <r>
    <n v="4800"/>
    <x v="0"/>
    <x v="89"/>
    <x v="89"/>
    <x v="1"/>
    <x v="1"/>
    <x v="96"/>
    <n v="14035"/>
    <x v="477"/>
    <x v="722"/>
    <n v="265050"/>
    <n v="3100"/>
  </r>
  <r>
    <n v="4801"/>
    <x v="0"/>
    <x v="89"/>
    <x v="89"/>
    <x v="1"/>
    <x v="1"/>
    <x v="143"/>
    <n v="14042"/>
    <x v="156"/>
    <x v="161"/>
    <n v="43200"/>
    <n v="2700"/>
  </r>
  <r>
    <n v="4802"/>
    <x v="0"/>
    <x v="89"/>
    <x v="89"/>
    <x v="1"/>
    <x v="1"/>
    <x v="107"/>
    <n v="14056"/>
    <x v="656"/>
    <x v="723"/>
    <n v="175301"/>
    <n v="3500"/>
  </r>
  <r>
    <n v="4803"/>
    <x v="0"/>
    <x v="89"/>
    <x v="89"/>
    <x v="1"/>
    <x v="1"/>
    <x v="186"/>
    <n v="14063"/>
    <x v="657"/>
    <x v="724"/>
    <n v="1997"/>
    <n v="3900"/>
  </r>
  <r>
    <n v="4804"/>
    <x v="0"/>
    <x v="89"/>
    <x v="89"/>
    <x v="1"/>
    <x v="1"/>
    <x v="160"/>
    <n v="14084"/>
    <x v="497"/>
    <x v="160"/>
    <n v="55800"/>
    <n v="3100"/>
  </r>
  <r>
    <n v="4805"/>
    <x v="0"/>
    <x v="89"/>
    <x v="89"/>
    <x v="1"/>
    <x v="1"/>
    <x v="13"/>
    <n v="14098"/>
    <x v="658"/>
    <x v="725"/>
    <n v="298967"/>
    <n v="3500"/>
  </r>
  <r>
    <n v="4806"/>
    <x v="0"/>
    <x v="89"/>
    <x v="89"/>
    <x v="1"/>
    <x v="1"/>
    <x v="9"/>
    <n v="14105"/>
    <x v="659"/>
    <x v="726"/>
    <n v="17621"/>
    <n v="3800"/>
  </r>
  <r>
    <n v="4807"/>
    <x v="0"/>
    <x v="89"/>
    <x v="89"/>
    <x v="1"/>
    <x v="1"/>
    <x v="8"/>
    <n v="14119"/>
    <x v="120"/>
    <x v="127"/>
    <n v="11250"/>
    <n v="2500"/>
  </r>
  <r>
    <n v="4808"/>
    <x v="0"/>
    <x v="89"/>
    <x v="89"/>
    <x v="1"/>
    <x v="1"/>
    <x v="42"/>
    <n v="14133"/>
    <x v="374"/>
    <x v="707"/>
    <n v="11020"/>
    <n v="3800"/>
  </r>
  <r>
    <n v="4809"/>
    <x v="0"/>
    <x v="89"/>
    <x v="89"/>
    <x v="1"/>
    <x v="1"/>
    <x v="46"/>
    <n v="14140"/>
    <x v="660"/>
    <x v="727"/>
    <n v="3074"/>
    <n v="3800"/>
  </r>
  <r>
    <n v="4810"/>
    <x v="0"/>
    <x v="89"/>
    <x v="89"/>
    <x v="1"/>
    <x v="1"/>
    <x v="7"/>
    <n v="14147"/>
    <x v="14"/>
    <x v="14"/>
    <n v="1100"/>
    <n v="2200"/>
  </r>
  <r>
    <n v="4811"/>
    <x v="0"/>
    <x v="89"/>
    <x v="89"/>
    <x v="1"/>
    <x v="1"/>
    <x v="10"/>
    <n v="14161"/>
    <x v="155"/>
    <x v="160"/>
    <n v="48600"/>
    <n v="2700"/>
  </r>
  <r>
    <n v="4812"/>
    <x v="0"/>
    <x v="89"/>
    <x v="89"/>
    <x v="1"/>
    <x v="1"/>
    <x v="90"/>
    <n v="14182"/>
    <x v="661"/>
    <x v="728"/>
    <n v="20783"/>
    <n v="3900"/>
  </r>
  <r>
    <n v="4813"/>
    <x v="0"/>
    <x v="89"/>
    <x v="89"/>
    <x v="5"/>
    <x v="5"/>
    <x v="37"/>
    <n v="38063"/>
    <x v="619"/>
    <x v="677"/>
    <n v="196"/>
    <n v="1000"/>
  </r>
  <r>
    <n v="4814"/>
    <x v="0"/>
    <x v="89"/>
    <x v="89"/>
    <x v="5"/>
    <x v="5"/>
    <x v="194"/>
    <n v="38070"/>
    <x v="618"/>
    <x v="676"/>
    <n v="392"/>
    <n v="1000"/>
  </r>
  <r>
    <n v="4815"/>
    <x v="0"/>
    <x v="89"/>
    <x v="89"/>
    <x v="16"/>
    <x v="16"/>
    <x v="203"/>
    <n v="42056"/>
    <x v="662"/>
    <x v="227"/>
    <n v="12160"/>
    <n v="3200"/>
  </r>
  <r>
    <n v="4816"/>
    <x v="0"/>
    <x v="89"/>
    <x v="89"/>
    <x v="16"/>
    <x v="16"/>
    <x v="209"/>
    <n v="42035"/>
    <x v="180"/>
    <x v="207"/>
    <n v="1800"/>
    <n v="3000"/>
  </r>
  <r>
    <n v="4817"/>
    <x v="0"/>
    <x v="89"/>
    <x v="89"/>
    <x v="16"/>
    <x v="16"/>
    <x v="208"/>
    <n v="42105"/>
    <x v="383"/>
    <x v="227"/>
    <n v="12160"/>
    <n v="3200"/>
  </r>
  <r>
    <n v="4818"/>
    <x v="0"/>
    <x v="89"/>
    <x v="89"/>
    <x v="16"/>
    <x v="16"/>
    <x v="138"/>
    <n v="42119"/>
    <x v="16"/>
    <x v="16"/>
    <n v="1050"/>
    <n v="3000"/>
  </r>
  <r>
    <n v="4819"/>
    <x v="0"/>
    <x v="89"/>
    <x v="89"/>
    <x v="16"/>
    <x v="16"/>
    <x v="204"/>
    <n v="42126"/>
    <x v="14"/>
    <x v="14"/>
    <n v="1500"/>
    <n v="3000"/>
  </r>
  <r>
    <n v="4820"/>
    <x v="0"/>
    <x v="89"/>
    <x v="89"/>
    <x v="16"/>
    <x v="16"/>
    <x v="205"/>
    <n v="42133"/>
    <x v="516"/>
    <x v="128"/>
    <n v="6400"/>
    <n v="3200"/>
  </r>
  <r>
    <n v="4821"/>
    <x v="0"/>
    <x v="89"/>
    <x v="89"/>
    <x v="11"/>
    <x v="11"/>
    <x v="117"/>
    <n v="66007"/>
    <x v="648"/>
    <x v="158"/>
    <n v="455"/>
    <n v="700"/>
  </r>
  <r>
    <n v="4822"/>
    <x v="0"/>
    <x v="89"/>
    <x v="89"/>
    <x v="11"/>
    <x v="11"/>
    <x v="171"/>
    <n v="66056"/>
    <x v="595"/>
    <x v="361"/>
    <n v="4590"/>
    <n v="900"/>
  </r>
  <r>
    <n v="4823"/>
    <x v="0"/>
    <x v="89"/>
    <x v="89"/>
    <x v="11"/>
    <x v="11"/>
    <x v="140"/>
    <n v="66126"/>
    <x v="370"/>
    <x v="655"/>
    <n v="522"/>
    <n v="900"/>
  </r>
  <r>
    <n v="4824"/>
    <x v="0"/>
    <x v="89"/>
    <x v="89"/>
    <x v="13"/>
    <x v="13"/>
    <x v="152"/>
    <n v="74007"/>
    <x v="81"/>
    <x v="83"/>
    <n v="6750"/>
    <n v="4500"/>
  </r>
  <r>
    <n v="4825"/>
    <x v="0"/>
    <x v="89"/>
    <x v="89"/>
    <x v="13"/>
    <x v="13"/>
    <x v="94"/>
    <n v="74035"/>
    <x v="439"/>
    <x v="502"/>
    <n v="57000"/>
    <n v="3800"/>
  </r>
  <r>
    <n v="4826"/>
    <x v="0"/>
    <x v="89"/>
    <x v="89"/>
    <x v="13"/>
    <x v="13"/>
    <x v="210"/>
    <n v="74042"/>
    <x v="81"/>
    <x v="83"/>
    <n v="5550"/>
    <n v="3700"/>
  </r>
  <r>
    <n v="4827"/>
    <x v="0"/>
    <x v="89"/>
    <x v="89"/>
    <x v="13"/>
    <x v="13"/>
    <x v="211"/>
    <n v="74056"/>
    <x v="12"/>
    <x v="12"/>
    <n v="1170"/>
    <n v="3900"/>
  </r>
  <r>
    <n v="4828"/>
    <x v="0"/>
    <x v="89"/>
    <x v="89"/>
    <x v="13"/>
    <x v="13"/>
    <x v="95"/>
    <n v="74049"/>
    <x v="16"/>
    <x v="16"/>
    <n v="1680"/>
    <n v="4800"/>
  </r>
  <r>
    <n v="4829"/>
    <x v="0"/>
    <x v="89"/>
    <x v="89"/>
    <x v="7"/>
    <x v="7"/>
    <x v="195"/>
    <n v="82042"/>
    <x v="663"/>
    <x v="729"/>
    <n v="10270"/>
    <n v="2600"/>
  </r>
  <r>
    <n v="4830"/>
    <x v="0"/>
    <x v="90"/>
    <x v="90"/>
    <x v="15"/>
    <x v="15"/>
    <x v="212"/>
    <n v="6007"/>
    <x v="108"/>
    <x v="114"/>
    <n v="4160"/>
    <n v="3200"/>
  </r>
  <r>
    <n v="4831"/>
    <x v="0"/>
    <x v="90"/>
    <x v="90"/>
    <x v="15"/>
    <x v="15"/>
    <x v="122"/>
    <n v="6351"/>
    <x v="180"/>
    <x v="207"/>
    <n v="2280"/>
    <n v="3800"/>
  </r>
  <r>
    <n v="4832"/>
    <x v="0"/>
    <x v="90"/>
    <x v="90"/>
    <x v="15"/>
    <x v="15"/>
    <x v="191"/>
    <n v="6392"/>
    <x v="74"/>
    <x v="128"/>
    <n v="8400"/>
    <n v="4200"/>
  </r>
  <r>
    <n v="4833"/>
    <x v="0"/>
    <x v="90"/>
    <x v="90"/>
    <x v="15"/>
    <x v="15"/>
    <x v="102"/>
    <n v="6616"/>
    <x v="516"/>
    <x v="364"/>
    <n v="8960"/>
    <n v="3200"/>
  </r>
  <r>
    <n v="4834"/>
    <x v="0"/>
    <x v="90"/>
    <x v="90"/>
    <x v="15"/>
    <x v="15"/>
    <x v="123"/>
    <n v="6679"/>
    <x v="664"/>
    <x v="730"/>
    <n v="5472"/>
    <n v="3200"/>
  </r>
  <r>
    <n v="4835"/>
    <x v="0"/>
    <x v="90"/>
    <x v="90"/>
    <x v="1"/>
    <x v="1"/>
    <x v="70"/>
    <n v="14007"/>
    <x v="665"/>
    <x v="731"/>
    <n v="19578"/>
    <n v="3000"/>
  </r>
  <r>
    <n v="4836"/>
    <x v="0"/>
    <x v="90"/>
    <x v="90"/>
    <x v="1"/>
    <x v="1"/>
    <x v="96"/>
    <n v="14035"/>
    <x v="429"/>
    <x v="395"/>
    <n v="130000"/>
    <n v="2500"/>
  </r>
  <r>
    <n v="4837"/>
    <x v="0"/>
    <x v="90"/>
    <x v="90"/>
    <x v="1"/>
    <x v="1"/>
    <x v="143"/>
    <n v="14042"/>
    <x v="221"/>
    <x v="232"/>
    <n v="39600"/>
    <n v="1800"/>
  </r>
  <r>
    <n v="4838"/>
    <x v="0"/>
    <x v="90"/>
    <x v="90"/>
    <x v="1"/>
    <x v="1"/>
    <x v="107"/>
    <n v="14056"/>
    <x v="666"/>
    <x v="732"/>
    <n v="124792"/>
    <n v="1800"/>
  </r>
  <r>
    <n v="4839"/>
    <x v="0"/>
    <x v="90"/>
    <x v="90"/>
    <x v="1"/>
    <x v="1"/>
    <x v="186"/>
    <n v="14063"/>
    <x v="667"/>
    <x v="733"/>
    <n v="4855"/>
    <n v="1900"/>
  </r>
  <r>
    <n v="4840"/>
    <x v="0"/>
    <x v="90"/>
    <x v="90"/>
    <x v="1"/>
    <x v="1"/>
    <x v="160"/>
    <n v="14084"/>
    <x v="155"/>
    <x v="502"/>
    <n v="37500"/>
    <n v="2500"/>
  </r>
  <r>
    <n v="4841"/>
    <x v="0"/>
    <x v="90"/>
    <x v="90"/>
    <x v="1"/>
    <x v="1"/>
    <x v="13"/>
    <n v="14098"/>
    <x v="494"/>
    <x v="734"/>
    <n v="293400"/>
    <n v="1800"/>
  </r>
  <r>
    <n v="4842"/>
    <x v="0"/>
    <x v="90"/>
    <x v="90"/>
    <x v="1"/>
    <x v="1"/>
    <x v="9"/>
    <n v="14105"/>
    <x v="668"/>
    <x v="735"/>
    <n v="15312"/>
    <n v="2700"/>
  </r>
  <r>
    <n v="4843"/>
    <x v="0"/>
    <x v="90"/>
    <x v="90"/>
    <x v="1"/>
    <x v="1"/>
    <x v="8"/>
    <n v="14119"/>
    <x v="133"/>
    <x v="141"/>
    <n v="31050"/>
    <n v="2300"/>
  </r>
  <r>
    <n v="4844"/>
    <x v="0"/>
    <x v="90"/>
    <x v="90"/>
    <x v="1"/>
    <x v="1"/>
    <x v="42"/>
    <n v="14133"/>
    <x v="159"/>
    <x v="164"/>
    <n v="13300"/>
    <n v="3800"/>
  </r>
  <r>
    <n v="4845"/>
    <x v="0"/>
    <x v="90"/>
    <x v="90"/>
    <x v="1"/>
    <x v="1"/>
    <x v="46"/>
    <n v="14140"/>
    <x v="13"/>
    <x v="13"/>
    <n v="32"/>
    <n v="2667"/>
  </r>
  <r>
    <n v="4846"/>
    <x v="0"/>
    <x v="90"/>
    <x v="90"/>
    <x v="1"/>
    <x v="1"/>
    <x v="7"/>
    <n v="14147"/>
    <x v="56"/>
    <x v="55"/>
    <n v="3520"/>
    <n v="2200"/>
  </r>
  <r>
    <n v="4847"/>
    <x v="0"/>
    <x v="90"/>
    <x v="90"/>
    <x v="1"/>
    <x v="1"/>
    <x v="10"/>
    <n v="14161"/>
    <x v="387"/>
    <x v="456"/>
    <n v="44000"/>
    <n v="2200"/>
  </r>
  <r>
    <n v="4848"/>
    <x v="0"/>
    <x v="90"/>
    <x v="90"/>
    <x v="1"/>
    <x v="1"/>
    <x v="90"/>
    <n v="14182"/>
    <x v="669"/>
    <x v="736"/>
    <n v="21491"/>
    <n v="1900"/>
  </r>
  <r>
    <n v="4849"/>
    <x v="0"/>
    <x v="90"/>
    <x v="90"/>
    <x v="5"/>
    <x v="5"/>
    <x v="37"/>
    <n v="38063"/>
    <x v="619"/>
    <x v="149"/>
    <n v="190"/>
    <n v="1000"/>
  </r>
  <r>
    <n v="4850"/>
    <x v="0"/>
    <x v="90"/>
    <x v="90"/>
    <x v="5"/>
    <x v="5"/>
    <x v="194"/>
    <n v="38070"/>
    <x v="618"/>
    <x v="380"/>
    <n v="380"/>
    <n v="1000"/>
  </r>
  <r>
    <n v="4851"/>
    <x v="0"/>
    <x v="90"/>
    <x v="90"/>
    <x v="16"/>
    <x v="16"/>
    <x v="203"/>
    <n v="42056"/>
    <x v="670"/>
    <x v="737"/>
    <n v="7980"/>
    <n v="2800"/>
  </r>
  <r>
    <n v="4852"/>
    <x v="0"/>
    <x v="90"/>
    <x v="90"/>
    <x v="16"/>
    <x v="16"/>
    <x v="209"/>
    <n v="42035"/>
    <x v="17"/>
    <x v="17"/>
    <n v="676"/>
    <n v="2600"/>
  </r>
  <r>
    <n v="4853"/>
    <x v="0"/>
    <x v="90"/>
    <x v="90"/>
    <x v="16"/>
    <x v="16"/>
    <x v="208"/>
    <n v="42105"/>
    <x v="671"/>
    <x v="738"/>
    <n v="12068"/>
    <n v="2800"/>
  </r>
  <r>
    <n v="4854"/>
    <x v="0"/>
    <x v="90"/>
    <x v="90"/>
    <x v="16"/>
    <x v="16"/>
    <x v="138"/>
    <n v="42119"/>
    <x v="672"/>
    <x v="739"/>
    <n v="4082"/>
    <n v="2600"/>
  </r>
  <r>
    <n v="4855"/>
    <x v="0"/>
    <x v="90"/>
    <x v="90"/>
    <x v="16"/>
    <x v="16"/>
    <x v="204"/>
    <n v="42126"/>
    <x v="673"/>
    <x v="505"/>
    <n v="2288"/>
    <n v="2600"/>
  </r>
  <r>
    <n v="4856"/>
    <x v="0"/>
    <x v="90"/>
    <x v="90"/>
    <x v="16"/>
    <x v="16"/>
    <x v="205"/>
    <n v="42133"/>
    <x v="674"/>
    <x v="740"/>
    <n v="4004"/>
    <n v="2800"/>
  </r>
  <r>
    <n v="4857"/>
    <x v="0"/>
    <x v="90"/>
    <x v="90"/>
    <x v="11"/>
    <x v="11"/>
    <x v="117"/>
    <n v="66007"/>
    <x v="648"/>
    <x v="352"/>
    <n v="1960"/>
    <n v="800"/>
  </r>
  <r>
    <n v="4858"/>
    <x v="0"/>
    <x v="90"/>
    <x v="90"/>
    <x v="11"/>
    <x v="11"/>
    <x v="171"/>
    <n v="66056"/>
    <x v="595"/>
    <x v="361"/>
    <n v="5100"/>
    <n v="1000"/>
  </r>
  <r>
    <n v="4859"/>
    <x v="0"/>
    <x v="90"/>
    <x v="90"/>
    <x v="11"/>
    <x v="11"/>
    <x v="140"/>
    <n v="66126"/>
    <x v="370"/>
    <x v="655"/>
    <n v="522"/>
    <n v="900"/>
  </r>
  <r>
    <n v="4860"/>
    <x v="0"/>
    <x v="90"/>
    <x v="90"/>
    <x v="13"/>
    <x v="13"/>
    <x v="152"/>
    <n v="74007"/>
    <x v="675"/>
    <x v="741"/>
    <n v="4234"/>
    <n v="2900"/>
  </r>
  <r>
    <n v="4861"/>
    <x v="0"/>
    <x v="90"/>
    <x v="90"/>
    <x v="13"/>
    <x v="13"/>
    <x v="94"/>
    <n v="74035"/>
    <x v="676"/>
    <x v="742"/>
    <n v="56975"/>
    <n v="2500"/>
  </r>
  <r>
    <n v="4862"/>
    <x v="0"/>
    <x v="90"/>
    <x v="90"/>
    <x v="13"/>
    <x v="13"/>
    <x v="210"/>
    <n v="74042"/>
    <x v="65"/>
    <x v="743"/>
    <n v="7705"/>
    <n v="2300"/>
  </r>
  <r>
    <n v="4863"/>
    <x v="0"/>
    <x v="90"/>
    <x v="90"/>
    <x v="13"/>
    <x v="13"/>
    <x v="211"/>
    <n v="74056"/>
    <x v="12"/>
    <x v="12"/>
    <n v="750"/>
    <n v="2500"/>
  </r>
  <r>
    <n v="4864"/>
    <x v="0"/>
    <x v="90"/>
    <x v="90"/>
    <x v="13"/>
    <x v="13"/>
    <x v="95"/>
    <n v="74049"/>
    <x v="16"/>
    <x v="16"/>
    <n v="1015"/>
    <n v="2900"/>
  </r>
  <r>
    <n v="4865"/>
    <x v="0"/>
    <x v="90"/>
    <x v="90"/>
    <x v="7"/>
    <x v="7"/>
    <x v="195"/>
    <n v="82042"/>
    <x v="57"/>
    <x v="56"/>
    <n v="3600"/>
    <n v="3000"/>
  </r>
  <r>
    <n v="4866"/>
    <x v="0"/>
    <x v="91"/>
    <x v="91"/>
    <x v="15"/>
    <x v="15"/>
    <x v="213"/>
    <n v="6154"/>
    <x v="12"/>
    <x v="12"/>
    <n v="1020"/>
    <n v="3400"/>
  </r>
  <r>
    <n v="4867"/>
    <x v="0"/>
    <x v="91"/>
    <x v="91"/>
    <x v="15"/>
    <x v="15"/>
    <x v="214"/>
    <n v="6277"/>
    <x v="231"/>
    <x v="85"/>
    <n v="1419"/>
    <n v="3300"/>
  </r>
  <r>
    <n v="4868"/>
    <x v="0"/>
    <x v="91"/>
    <x v="91"/>
    <x v="15"/>
    <x v="15"/>
    <x v="122"/>
    <n v="6351"/>
    <x v="10"/>
    <x v="744"/>
    <n v="3745"/>
    <n v="3500"/>
  </r>
  <r>
    <n v="4869"/>
    <x v="0"/>
    <x v="91"/>
    <x v="91"/>
    <x v="15"/>
    <x v="15"/>
    <x v="191"/>
    <n v="6392"/>
    <x v="383"/>
    <x v="745"/>
    <n v="16776"/>
    <n v="3600"/>
  </r>
  <r>
    <n v="4870"/>
    <x v="0"/>
    <x v="91"/>
    <x v="91"/>
    <x v="15"/>
    <x v="15"/>
    <x v="102"/>
    <n v="6616"/>
    <x v="57"/>
    <x v="56"/>
    <n v="3840"/>
    <n v="3200"/>
  </r>
  <r>
    <n v="4871"/>
    <x v="0"/>
    <x v="91"/>
    <x v="91"/>
    <x v="15"/>
    <x v="15"/>
    <x v="123"/>
    <n v="6679"/>
    <x v="147"/>
    <x v="101"/>
    <n v="10500"/>
    <n v="3500"/>
  </r>
  <r>
    <n v="4872"/>
    <x v="0"/>
    <x v="91"/>
    <x v="91"/>
    <x v="15"/>
    <x v="15"/>
    <x v="215"/>
    <n v="6721"/>
    <x v="58"/>
    <x v="57"/>
    <n v="2100"/>
    <n v="3000"/>
  </r>
  <r>
    <n v="4873"/>
    <x v="0"/>
    <x v="91"/>
    <x v="91"/>
    <x v="15"/>
    <x v="15"/>
    <x v="129"/>
    <n v="6826"/>
    <x v="74"/>
    <x v="128"/>
    <n v="6800"/>
    <n v="3400"/>
  </r>
  <r>
    <n v="4874"/>
    <x v="0"/>
    <x v="91"/>
    <x v="91"/>
    <x v="1"/>
    <x v="1"/>
    <x v="70"/>
    <n v="14007"/>
    <x v="201"/>
    <x v="211"/>
    <n v="10890"/>
    <n v="3300"/>
  </r>
  <r>
    <n v="4875"/>
    <x v="0"/>
    <x v="91"/>
    <x v="91"/>
    <x v="1"/>
    <x v="1"/>
    <x v="96"/>
    <n v="14035"/>
    <x v="477"/>
    <x v="746"/>
    <n v="330750"/>
    <n v="3500"/>
  </r>
  <r>
    <n v="4876"/>
    <x v="0"/>
    <x v="91"/>
    <x v="91"/>
    <x v="1"/>
    <x v="1"/>
    <x v="143"/>
    <n v="14042"/>
    <x v="677"/>
    <x v="679"/>
    <n v="44280"/>
    <n v="3600"/>
  </r>
  <r>
    <n v="4877"/>
    <x v="0"/>
    <x v="91"/>
    <x v="91"/>
    <x v="1"/>
    <x v="1"/>
    <x v="107"/>
    <n v="14056"/>
    <x v="678"/>
    <x v="526"/>
    <n v="124250"/>
    <n v="3500"/>
  </r>
  <r>
    <n v="4878"/>
    <x v="0"/>
    <x v="91"/>
    <x v="91"/>
    <x v="1"/>
    <x v="1"/>
    <x v="186"/>
    <n v="14063"/>
    <x v="679"/>
    <x v="747"/>
    <n v="37430"/>
    <n v="3200"/>
  </r>
  <r>
    <n v="4879"/>
    <x v="0"/>
    <x v="91"/>
    <x v="91"/>
    <x v="1"/>
    <x v="1"/>
    <x v="160"/>
    <n v="14084"/>
    <x v="386"/>
    <x v="350"/>
    <n v="85750"/>
    <n v="3500"/>
  </r>
  <r>
    <n v="4880"/>
    <x v="0"/>
    <x v="91"/>
    <x v="91"/>
    <x v="1"/>
    <x v="1"/>
    <x v="13"/>
    <n v="14098"/>
    <x v="680"/>
    <x v="748"/>
    <n v="336000"/>
    <n v="3500"/>
  </r>
  <r>
    <n v="4881"/>
    <x v="0"/>
    <x v="91"/>
    <x v="91"/>
    <x v="1"/>
    <x v="1"/>
    <x v="9"/>
    <n v="14105"/>
    <x v="681"/>
    <x v="749"/>
    <n v="11366"/>
    <n v="3400"/>
  </r>
  <r>
    <n v="4882"/>
    <x v="0"/>
    <x v="91"/>
    <x v="91"/>
    <x v="1"/>
    <x v="1"/>
    <x v="8"/>
    <n v="14119"/>
    <x v="54"/>
    <x v="53"/>
    <n v="34000"/>
    <n v="3400"/>
  </r>
  <r>
    <n v="4883"/>
    <x v="0"/>
    <x v="91"/>
    <x v="91"/>
    <x v="1"/>
    <x v="1"/>
    <x v="42"/>
    <n v="14133"/>
    <x v="159"/>
    <x v="164"/>
    <n v="11900"/>
    <n v="3400"/>
  </r>
  <r>
    <n v="4884"/>
    <x v="0"/>
    <x v="91"/>
    <x v="91"/>
    <x v="1"/>
    <x v="1"/>
    <x v="46"/>
    <n v="14140"/>
    <x v="682"/>
    <x v="750"/>
    <n v="3290"/>
    <n v="3600"/>
  </r>
  <r>
    <n v="4885"/>
    <x v="0"/>
    <x v="91"/>
    <x v="91"/>
    <x v="1"/>
    <x v="1"/>
    <x v="7"/>
    <n v="14147"/>
    <x v="120"/>
    <x v="127"/>
    <n v="14400"/>
    <n v="3200"/>
  </r>
  <r>
    <n v="4886"/>
    <x v="0"/>
    <x v="91"/>
    <x v="91"/>
    <x v="1"/>
    <x v="1"/>
    <x v="10"/>
    <n v="14161"/>
    <x v="683"/>
    <x v="751"/>
    <n v="81720"/>
    <n v="3600"/>
  </r>
  <r>
    <n v="4887"/>
    <x v="0"/>
    <x v="91"/>
    <x v="91"/>
    <x v="1"/>
    <x v="1"/>
    <x v="90"/>
    <n v="14182"/>
    <x v="684"/>
    <x v="752"/>
    <n v="34063"/>
    <n v="3300"/>
  </r>
  <r>
    <n v="4888"/>
    <x v="0"/>
    <x v="91"/>
    <x v="91"/>
    <x v="5"/>
    <x v="5"/>
    <x v="37"/>
    <n v="38063"/>
    <x v="619"/>
    <x v="677"/>
    <n v="196"/>
    <n v="1000"/>
  </r>
  <r>
    <n v="4889"/>
    <x v="0"/>
    <x v="91"/>
    <x v="91"/>
    <x v="5"/>
    <x v="5"/>
    <x v="194"/>
    <n v="38070"/>
    <x v="618"/>
    <x v="676"/>
    <n v="392"/>
    <n v="1000"/>
  </r>
  <r>
    <n v="4890"/>
    <x v="0"/>
    <x v="91"/>
    <x v="91"/>
    <x v="16"/>
    <x v="16"/>
    <x v="203"/>
    <n v="42056"/>
    <x v="159"/>
    <x v="164"/>
    <n v="14000"/>
    <n v="4000"/>
  </r>
  <r>
    <n v="4891"/>
    <x v="0"/>
    <x v="91"/>
    <x v="91"/>
    <x v="16"/>
    <x v="16"/>
    <x v="209"/>
    <n v="42035"/>
    <x v="12"/>
    <x v="12"/>
    <n v="1200"/>
    <n v="4000"/>
  </r>
  <r>
    <n v="4892"/>
    <x v="0"/>
    <x v="91"/>
    <x v="91"/>
    <x v="16"/>
    <x v="16"/>
    <x v="208"/>
    <n v="42105"/>
    <x v="159"/>
    <x v="164"/>
    <n v="14000"/>
    <n v="4000"/>
  </r>
  <r>
    <n v="4893"/>
    <x v="0"/>
    <x v="91"/>
    <x v="91"/>
    <x v="16"/>
    <x v="16"/>
    <x v="138"/>
    <n v="42119"/>
    <x v="25"/>
    <x v="377"/>
    <n v="11840"/>
    <n v="3700"/>
  </r>
  <r>
    <n v="4894"/>
    <x v="0"/>
    <x v="91"/>
    <x v="91"/>
    <x v="16"/>
    <x v="16"/>
    <x v="204"/>
    <n v="42126"/>
    <x v="153"/>
    <x v="282"/>
    <n v="3040"/>
    <n v="3800"/>
  </r>
  <r>
    <n v="4895"/>
    <x v="0"/>
    <x v="91"/>
    <x v="91"/>
    <x v="16"/>
    <x v="16"/>
    <x v="205"/>
    <n v="42133"/>
    <x v="56"/>
    <x v="55"/>
    <n v="5920"/>
    <n v="3700"/>
  </r>
  <r>
    <n v="4896"/>
    <x v="0"/>
    <x v="91"/>
    <x v="91"/>
    <x v="11"/>
    <x v="11"/>
    <x v="117"/>
    <n v="66007"/>
    <x v="648"/>
    <x v="352"/>
    <n v="2940"/>
    <n v="1200"/>
  </r>
  <r>
    <n v="4897"/>
    <x v="0"/>
    <x v="91"/>
    <x v="91"/>
    <x v="11"/>
    <x v="11"/>
    <x v="171"/>
    <n v="66056"/>
    <x v="595"/>
    <x v="361"/>
    <n v="6630"/>
    <n v="1300"/>
  </r>
  <r>
    <n v="4898"/>
    <x v="0"/>
    <x v="91"/>
    <x v="91"/>
    <x v="11"/>
    <x v="11"/>
    <x v="140"/>
    <n v="66126"/>
    <x v="370"/>
    <x v="655"/>
    <n v="754"/>
    <n v="1300"/>
  </r>
  <r>
    <n v="4899"/>
    <x v="0"/>
    <x v="91"/>
    <x v="91"/>
    <x v="13"/>
    <x v="13"/>
    <x v="152"/>
    <n v="74007"/>
    <x v="153"/>
    <x v="282"/>
    <n v="3360"/>
    <n v="4200"/>
  </r>
  <r>
    <n v="4900"/>
    <x v="0"/>
    <x v="91"/>
    <x v="91"/>
    <x v="13"/>
    <x v="13"/>
    <x v="94"/>
    <n v="74035"/>
    <x v="134"/>
    <x v="142"/>
    <n v="38500"/>
    <n v="3500"/>
  </r>
  <r>
    <n v="4901"/>
    <x v="0"/>
    <x v="91"/>
    <x v="91"/>
    <x v="13"/>
    <x v="13"/>
    <x v="210"/>
    <n v="74042"/>
    <x v="153"/>
    <x v="282"/>
    <n v="2800"/>
    <n v="3500"/>
  </r>
  <r>
    <n v="4902"/>
    <x v="0"/>
    <x v="91"/>
    <x v="91"/>
    <x v="13"/>
    <x v="13"/>
    <x v="95"/>
    <n v="74049"/>
    <x v="685"/>
    <x v="411"/>
    <n v="1368"/>
    <n v="3800"/>
  </r>
  <r>
    <n v="4903"/>
    <x v="0"/>
    <x v="91"/>
    <x v="91"/>
    <x v="7"/>
    <x v="7"/>
    <x v="195"/>
    <n v="82042"/>
    <x v="157"/>
    <x v="209"/>
    <n v="24000"/>
    <n v="4000"/>
  </r>
  <r>
    <n v="4904"/>
    <x v="0"/>
    <x v="92"/>
    <x v="92"/>
    <x v="15"/>
    <x v="15"/>
    <x v="213"/>
    <n v="6154"/>
    <x v="232"/>
    <x v="433"/>
    <n v="6160"/>
    <n v="4400"/>
  </r>
  <r>
    <n v="4905"/>
    <x v="0"/>
    <x v="92"/>
    <x v="92"/>
    <x v="15"/>
    <x v="15"/>
    <x v="214"/>
    <n v="6277"/>
    <x v="231"/>
    <x v="753"/>
    <n v="1598"/>
    <n v="3699"/>
  </r>
  <r>
    <n v="4906"/>
    <x v="0"/>
    <x v="92"/>
    <x v="92"/>
    <x v="15"/>
    <x v="15"/>
    <x v="122"/>
    <n v="6351"/>
    <x v="10"/>
    <x v="754"/>
    <n v="4268"/>
    <n v="4000"/>
  </r>
  <r>
    <n v="4907"/>
    <x v="0"/>
    <x v="92"/>
    <x v="92"/>
    <x v="15"/>
    <x v="15"/>
    <x v="191"/>
    <n v="6392"/>
    <x v="686"/>
    <x v="755"/>
    <n v="18883"/>
    <n v="3500"/>
  </r>
  <r>
    <n v="4908"/>
    <x v="0"/>
    <x v="92"/>
    <x v="92"/>
    <x v="15"/>
    <x v="15"/>
    <x v="183"/>
    <n v="6462"/>
    <x v="18"/>
    <x v="756"/>
    <n v="693"/>
    <n v="3500"/>
  </r>
  <r>
    <n v="4909"/>
    <x v="0"/>
    <x v="92"/>
    <x v="92"/>
    <x v="15"/>
    <x v="15"/>
    <x v="127"/>
    <n v="6609"/>
    <x v="15"/>
    <x v="15"/>
    <n v="1804"/>
    <n v="4400"/>
  </r>
  <r>
    <n v="4910"/>
    <x v="0"/>
    <x v="92"/>
    <x v="92"/>
    <x v="15"/>
    <x v="15"/>
    <x v="102"/>
    <n v="6616"/>
    <x v="282"/>
    <x v="288"/>
    <n v="7750"/>
    <n v="3100"/>
  </r>
  <r>
    <n v="4911"/>
    <x v="0"/>
    <x v="92"/>
    <x v="92"/>
    <x v="15"/>
    <x v="15"/>
    <x v="123"/>
    <n v="6679"/>
    <x v="157"/>
    <x v="209"/>
    <n v="25200"/>
    <n v="4200"/>
  </r>
  <r>
    <n v="4912"/>
    <x v="0"/>
    <x v="92"/>
    <x v="92"/>
    <x v="15"/>
    <x v="15"/>
    <x v="215"/>
    <n v="6721"/>
    <x v="11"/>
    <x v="11"/>
    <n v="3100"/>
    <n v="3100"/>
  </r>
  <r>
    <n v="4913"/>
    <x v="0"/>
    <x v="92"/>
    <x v="92"/>
    <x v="15"/>
    <x v="15"/>
    <x v="129"/>
    <n v="6826"/>
    <x v="74"/>
    <x v="128"/>
    <n v="8000"/>
    <n v="4000"/>
  </r>
  <r>
    <n v="4914"/>
    <x v="0"/>
    <x v="92"/>
    <x v="92"/>
    <x v="10"/>
    <x v="10"/>
    <x v="58"/>
    <n v="10098"/>
    <x v="630"/>
    <x v="695"/>
    <n v="2090"/>
    <n v="1000"/>
  </r>
  <r>
    <n v="4915"/>
    <x v="0"/>
    <x v="92"/>
    <x v="92"/>
    <x v="1"/>
    <x v="1"/>
    <x v="70"/>
    <n v="14007"/>
    <x v="201"/>
    <x v="211"/>
    <n v="10890"/>
    <n v="3300"/>
  </r>
  <r>
    <n v="4916"/>
    <x v="0"/>
    <x v="92"/>
    <x v="92"/>
    <x v="1"/>
    <x v="1"/>
    <x v="96"/>
    <n v="14035"/>
    <x v="687"/>
    <x v="757"/>
    <n v="314573"/>
    <n v="3500"/>
  </r>
  <r>
    <n v="4917"/>
    <x v="0"/>
    <x v="92"/>
    <x v="92"/>
    <x v="1"/>
    <x v="1"/>
    <x v="143"/>
    <n v="14042"/>
    <x v="315"/>
    <x v="291"/>
    <n v="30400"/>
    <n v="3800"/>
  </r>
  <r>
    <n v="4918"/>
    <x v="0"/>
    <x v="92"/>
    <x v="92"/>
    <x v="1"/>
    <x v="1"/>
    <x v="107"/>
    <n v="14056"/>
    <x v="688"/>
    <x v="758"/>
    <n v="116675"/>
    <n v="3590"/>
  </r>
  <r>
    <n v="4919"/>
    <x v="0"/>
    <x v="92"/>
    <x v="92"/>
    <x v="1"/>
    <x v="1"/>
    <x v="186"/>
    <n v="14063"/>
    <x v="689"/>
    <x v="759"/>
    <n v="37874"/>
    <n v="4300"/>
  </r>
  <r>
    <n v="4920"/>
    <x v="0"/>
    <x v="92"/>
    <x v="92"/>
    <x v="1"/>
    <x v="1"/>
    <x v="160"/>
    <n v="14084"/>
    <x v="690"/>
    <x v="760"/>
    <n v="82831"/>
    <n v="3500"/>
  </r>
  <r>
    <n v="4921"/>
    <x v="0"/>
    <x v="92"/>
    <x v="92"/>
    <x v="1"/>
    <x v="1"/>
    <x v="13"/>
    <n v="14098"/>
    <x v="691"/>
    <x v="761"/>
    <n v="319510"/>
    <n v="3590"/>
  </r>
  <r>
    <n v="4922"/>
    <x v="0"/>
    <x v="92"/>
    <x v="92"/>
    <x v="1"/>
    <x v="1"/>
    <x v="9"/>
    <n v="14105"/>
    <x v="692"/>
    <x v="762"/>
    <n v="14646"/>
    <n v="3000"/>
  </r>
  <r>
    <n v="4923"/>
    <x v="0"/>
    <x v="92"/>
    <x v="92"/>
    <x v="1"/>
    <x v="1"/>
    <x v="8"/>
    <n v="14119"/>
    <x v="41"/>
    <x v="763"/>
    <n v="34410"/>
    <n v="3700"/>
  </r>
  <r>
    <n v="4924"/>
    <x v="0"/>
    <x v="92"/>
    <x v="92"/>
    <x v="1"/>
    <x v="1"/>
    <x v="42"/>
    <n v="14133"/>
    <x v="159"/>
    <x v="164"/>
    <n v="11865"/>
    <n v="3390"/>
  </r>
  <r>
    <n v="4925"/>
    <x v="0"/>
    <x v="92"/>
    <x v="92"/>
    <x v="1"/>
    <x v="1"/>
    <x v="46"/>
    <n v="14140"/>
    <x v="693"/>
    <x v="764"/>
    <n v="4228"/>
    <n v="3100"/>
  </r>
  <r>
    <n v="4926"/>
    <x v="0"/>
    <x v="92"/>
    <x v="92"/>
    <x v="1"/>
    <x v="1"/>
    <x v="7"/>
    <n v="14147"/>
    <x v="501"/>
    <x v="765"/>
    <n v="13940"/>
    <n v="3400"/>
  </r>
  <r>
    <n v="4927"/>
    <x v="0"/>
    <x v="92"/>
    <x v="92"/>
    <x v="1"/>
    <x v="1"/>
    <x v="10"/>
    <n v="14161"/>
    <x v="155"/>
    <x v="160"/>
    <n v="63000"/>
    <n v="3500"/>
  </r>
  <r>
    <n v="4928"/>
    <x v="0"/>
    <x v="92"/>
    <x v="92"/>
    <x v="1"/>
    <x v="1"/>
    <x v="90"/>
    <n v="14182"/>
    <x v="694"/>
    <x v="766"/>
    <n v="42065"/>
    <n v="4440"/>
  </r>
  <r>
    <n v="4929"/>
    <x v="0"/>
    <x v="92"/>
    <x v="92"/>
    <x v="5"/>
    <x v="5"/>
    <x v="37"/>
    <n v="38063"/>
    <x v="619"/>
    <x v="677"/>
    <n v="196"/>
    <n v="1000"/>
  </r>
  <r>
    <n v="4930"/>
    <x v="0"/>
    <x v="92"/>
    <x v="92"/>
    <x v="5"/>
    <x v="5"/>
    <x v="194"/>
    <n v="38070"/>
    <x v="618"/>
    <x v="676"/>
    <n v="392"/>
    <n v="1000"/>
  </r>
  <r>
    <n v="4931"/>
    <x v="0"/>
    <x v="92"/>
    <x v="92"/>
    <x v="16"/>
    <x v="16"/>
    <x v="206"/>
    <n v="42028"/>
    <x v="75"/>
    <x v="230"/>
    <n v="1875"/>
    <n v="2500"/>
  </r>
  <r>
    <n v="4932"/>
    <x v="0"/>
    <x v="92"/>
    <x v="92"/>
    <x v="16"/>
    <x v="16"/>
    <x v="203"/>
    <n v="42056"/>
    <x v="525"/>
    <x v="767"/>
    <n v="13680"/>
    <n v="3800"/>
  </r>
  <r>
    <n v="4933"/>
    <x v="0"/>
    <x v="92"/>
    <x v="92"/>
    <x v="16"/>
    <x v="16"/>
    <x v="209"/>
    <n v="42035"/>
    <x v="231"/>
    <x v="212"/>
    <n v="1575"/>
    <n v="3500"/>
  </r>
  <r>
    <n v="4934"/>
    <x v="0"/>
    <x v="92"/>
    <x v="92"/>
    <x v="16"/>
    <x v="16"/>
    <x v="208"/>
    <n v="42105"/>
    <x v="440"/>
    <x v="127"/>
    <n v="17100"/>
    <n v="3800"/>
  </r>
  <r>
    <n v="4935"/>
    <x v="0"/>
    <x v="92"/>
    <x v="92"/>
    <x v="16"/>
    <x v="16"/>
    <x v="138"/>
    <n v="42119"/>
    <x v="301"/>
    <x v="164"/>
    <n v="12250"/>
    <n v="3500"/>
  </r>
  <r>
    <n v="4936"/>
    <x v="0"/>
    <x v="92"/>
    <x v="92"/>
    <x v="16"/>
    <x v="16"/>
    <x v="204"/>
    <n v="42126"/>
    <x v="180"/>
    <x v="207"/>
    <n v="2100"/>
    <n v="3500"/>
  </r>
  <r>
    <n v="4937"/>
    <x v="0"/>
    <x v="92"/>
    <x v="92"/>
    <x v="16"/>
    <x v="16"/>
    <x v="205"/>
    <n v="42133"/>
    <x v="9"/>
    <x v="9"/>
    <n v="5950"/>
    <n v="3500"/>
  </r>
  <r>
    <n v="4938"/>
    <x v="0"/>
    <x v="92"/>
    <x v="92"/>
    <x v="16"/>
    <x v="16"/>
    <x v="207"/>
    <n v="42147"/>
    <x v="231"/>
    <x v="212"/>
    <n v="1575"/>
    <n v="3500"/>
  </r>
  <r>
    <n v="4939"/>
    <x v="0"/>
    <x v="92"/>
    <x v="92"/>
    <x v="11"/>
    <x v="11"/>
    <x v="117"/>
    <n v="66007"/>
    <x v="695"/>
    <x v="768"/>
    <n v="1991"/>
    <n v="900"/>
  </r>
  <r>
    <n v="4940"/>
    <x v="0"/>
    <x v="92"/>
    <x v="92"/>
    <x v="11"/>
    <x v="11"/>
    <x v="171"/>
    <n v="66056"/>
    <x v="696"/>
    <x v="769"/>
    <n v="2617"/>
    <n v="800"/>
  </r>
  <r>
    <n v="4941"/>
    <x v="0"/>
    <x v="92"/>
    <x v="92"/>
    <x v="11"/>
    <x v="11"/>
    <x v="140"/>
    <n v="66126"/>
    <x v="618"/>
    <x v="676"/>
    <n v="314"/>
    <n v="801"/>
  </r>
  <r>
    <n v="4942"/>
    <x v="0"/>
    <x v="92"/>
    <x v="92"/>
    <x v="13"/>
    <x v="13"/>
    <x v="152"/>
    <n v="74007"/>
    <x v="126"/>
    <x v="465"/>
    <n v="8640"/>
    <n v="3600"/>
  </r>
  <r>
    <n v="4943"/>
    <x v="0"/>
    <x v="92"/>
    <x v="92"/>
    <x v="13"/>
    <x v="13"/>
    <x v="94"/>
    <n v="74035"/>
    <x v="382"/>
    <x v="220"/>
    <n v="15400"/>
    <n v="2200"/>
  </r>
  <r>
    <n v="4944"/>
    <x v="0"/>
    <x v="92"/>
    <x v="92"/>
    <x v="13"/>
    <x v="13"/>
    <x v="210"/>
    <n v="74042"/>
    <x v="180"/>
    <x v="207"/>
    <n v="1248"/>
    <n v="2080"/>
  </r>
  <r>
    <n v="4945"/>
    <x v="0"/>
    <x v="92"/>
    <x v="92"/>
    <x v="13"/>
    <x v="13"/>
    <x v="95"/>
    <n v="74049"/>
    <x v="231"/>
    <x v="212"/>
    <n v="1125"/>
    <n v="2500"/>
  </r>
  <r>
    <n v="4946"/>
    <x v="0"/>
    <x v="92"/>
    <x v="92"/>
    <x v="7"/>
    <x v="7"/>
    <x v="195"/>
    <n v="82042"/>
    <x v="266"/>
    <x v="272"/>
    <n v="20800"/>
    <n v="3200"/>
  </r>
  <r>
    <n v="4947"/>
    <x v="0"/>
    <x v="92"/>
    <x v="92"/>
    <x v="9"/>
    <x v="9"/>
    <x v="69"/>
    <n v="90035"/>
    <x v="20"/>
    <x v="20"/>
    <n v="150"/>
    <n v="1000"/>
  </r>
  <r>
    <n v="4948"/>
    <x v="0"/>
    <x v="93"/>
    <x v="93"/>
    <x v="15"/>
    <x v="15"/>
    <x v="212"/>
    <n v="6007"/>
    <x v="81"/>
    <x v="83"/>
    <n v="4200"/>
    <n v="2800"/>
  </r>
  <r>
    <n v="4949"/>
    <x v="0"/>
    <x v="93"/>
    <x v="93"/>
    <x v="15"/>
    <x v="15"/>
    <x v="213"/>
    <n v="6154"/>
    <x v="697"/>
    <x v="770"/>
    <n v="12000"/>
    <n v="2500"/>
  </r>
  <r>
    <n v="4950"/>
    <x v="0"/>
    <x v="93"/>
    <x v="93"/>
    <x v="15"/>
    <x v="15"/>
    <x v="214"/>
    <n v="6277"/>
    <x v="14"/>
    <x v="14"/>
    <n v="1450"/>
    <n v="2900"/>
  </r>
  <r>
    <n v="4951"/>
    <x v="0"/>
    <x v="93"/>
    <x v="93"/>
    <x v="15"/>
    <x v="15"/>
    <x v="216"/>
    <n v="6294"/>
    <x v="74"/>
    <x v="128"/>
    <n v="6600"/>
    <n v="3300"/>
  </r>
  <r>
    <n v="4952"/>
    <x v="0"/>
    <x v="93"/>
    <x v="93"/>
    <x v="15"/>
    <x v="15"/>
    <x v="122"/>
    <n v="6351"/>
    <x v="81"/>
    <x v="83"/>
    <n v="4650"/>
    <n v="3100"/>
  </r>
  <r>
    <n v="4953"/>
    <x v="0"/>
    <x v="93"/>
    <x v="93"/>
    <x v="15"/>
    <x v="15"/>
    <x v="191"/>
    <n v="6392"/>
    <x v="54"/>
    <x v="53"/>
    <n v="28000"/>
    <n v="2800"/>
  </r>
  <r>
    <n v="4954"/>
    <x v="0"/>
    <x v="93"/>
    <x v="93"/>
    <x v="15"/>
    <x v="15"/>
    <x v="217"/>
    <n v="6399"/>
    <x v="14"/>
    <x v="14"/>
    <n v="1400"/>
    <n v="2800"/>
  </r>
  <r>
    <n v="4955"/>
    <x v="0"/>
    <x v="93"/>
    <x v="93"/>
    <x v="15"/>
    <x v="15"/>
    <x v="95"/>
    <n v="6413"/>
    <x v="80"/>
    <x v="82"/>
    <n v="5760"/>
    <n v="3200"/>
  </r>
  <r>
    <n v="4956"/>
    <x v="0"/>
    <x v="93"/>
    <x v="93"/>
    <x v="15"/>
    <x v="15"/>
    <x v="183"/>
    <n v="6462"/>
    <x v="61"/>
    <x v="61"/>
    <n v="800"/>
    <n v="3200"/>
  </r>
  <r>
    <n v="4957"/>
    <x v="0"/>
    <x v="93"/>
    <x v="93"/>
    <x v="15"/>
    <x v="15"/>
    <x v="127"/>
    <n v="6609"/>
    <x v="282"/>
    <x v="288"/>
    <n v="7750"/>
    <n v="3100"/>
  </r>
  <r>
    <n v="4958"/>
    <x v="0"/>
    <x v="93"/>
    <x v="93"/>
    <x v="15"/>
    <x v="15"/>
    <x v="102"/>
    <n v="6616"/>
    <x v="74"/>
    <x v="128"/>
    <n v="5600"/>
    <n v="2800"/>
  </r>
  <r>
    <n v="4959"/>
    <x v="0"/>
    <x v="93"/>
    <x v="93"/>
    <x v="15"/>
    <x v="15"/>
    <x v="123"/>
    <n v="6679"/>
    <x v="698"/>
    <x v="771"/>
    <n v="23661"/>
    <n v="2900"/>
  </r>
  <r>
    <n v="4960"/>
    <x v="0"/>
    <x v="93"/>
    <x v="93"/>
    <x v="15"/>
    <x v="15"/>
    <x v="215"/>
    <n v="6721"/>
    <x v="11"/>
    <x v="11"/>
    <n v="2800"/>
    <n v="2800"/>
  </r>
  <r>
    <n v="4961"/>
    <x v="0"/>
    <x v="93"/>
    <x v="93"/>
    <x v="15"/>
    <x v="15"/>
    <x v="129"/>
    <n v="6826"/>
    <x v="282"/>
    <x v="288"/>
    <n v="6500"/>
    <n v="2600"/>
  </r>
  <r>
    <n v="4962"/>
    <x v="0"/>
    <x v="93"/>
    <x v="93"/>
    <x v="10"/>
    <x v="10"/>
    <x v="58"/>
    <n v="10098"/>
    <x v="10"/>
    <x v="10"/>
    <n v="2090"/>
    <n v="1900"/>
  </r>
  <r>
    <n v="4963"/>
    <x v="0"/>
    <x v="93"/>
    <x v="93"/>
    <x v="1"/>
    <x v="1"/>
    <x v="70"/>
    <n v="14007"/>
    <x v="201"/>
    <x v="211"/>
    <n v="11550"/>
    <n v="3500"/>
  </r>
  <r>
    <n v="4964"/>
    <x v="0"/>
    <x v="93"/>
    <x v="93"/>
    <x v="1"/>
    <x v="1"/>
    <x v="12"/>
    <n v="14014"/>
    <x v="16"/>
    <x v="16"/>
    <n v="1225"/>
    <n v="3500"/>
  </r>
  <r>
    <n v="4965"/>
    <x v="0"/>
    <x v="93"/>
    <x v="93"/>
    <x v="1"/>
    <x v="1"/>
    <x v="11"/>
    <n v="14021"/>
    <x v="630"/>
    <x v="688"/>
    <n v="7700"/>
    <n v="3500"/>
  </r>
  <r>
    <n v="4966"/>
    <x v="0"/>
    <x v="93"/>
    <x v="93"/>
    <x v="1"/>
    <x v="1"/>
    <x v="96"/>
    <n v="14035"/>
    <x v="699"/>
    <x v="772"/>
    <n v="234509"/>
    <n v="3100"/>
  </r>
  <r>
    <n v="4967"/>
    <x v="0"/>
    <x v="93"/>
    <x v="93"/>
    <x v="1"/>
    <x v="1"/>
    <x v="143"/>
    <n v="14042"/>
    <x v="315"/>
    <x v="291"/>
    <n v="28000"/>
    <n v="3500"/>
  </r>
  <r>
    <n v="4968"/>
    <x v="0"/>
    <x v="93"/>
    <x v="93"/>
    <x v="1"/>
    <x v="1"/>
    <x v="107"/>
    <n v="14056"/>
    <x v="700"/>
    <x v="773"/>
    <n v="136000"/>
    <n v="3200"/>
  </r>
  <r>
    <n v="4969"/>
    <x v="0"/>
    <x v="93"/>
    <x v="93"/>
    <x v="1"/>
    <x v="1"/>
    <x v="186"/>
    <n v="14063"/>
    <x v="379"/>
    <x v="774"/>
    <n v="14706"/>
    <n v="3800"/>
  </r>
  <r>
    <n v="4970"/>
    <x v="0"/>
    <x v="93"/>
    <x v="93"/>
    <x v="1"/>
    <x v="1"/>
    <x v="160"/>
    <n v="14084"/>
    <x v="555"/>
    <x v="775"/>
    <n v="64301"/>
    <n v="3400"/>
  </r>
  <r>
    <n v="4971"/>
    <x v="0"/>
    <x v="93"/>
    <x v="93"/>
    <x v="1"/>
    <x v="1"/>
    <x v="13"/>
    <n v="14098"/>
    <x v="691"/>
    <x v="761"/>
    <n v="268958"/>
    <n v="3022"/>
  </r>
  <r>
    <n v="4972"/>
    <x v="0"/>
    <x v="93"/>
    <x v="93"/>
    <x v="1"/>
    <x v="1"/>
    <x v="9"/>
    <n v="14105"/>
    <x v="701"/>
    <x v="776"/>
    <n v="12355"/>
    <n v="3500"/>
  </r>
  <r>
    <n v="4973"/>
    <x v="0"/>
    <x v="93"/>
    <x v="93"/>
    <x v="1"/>
    <x v="1"/>
    <x v="133"/>
    <n v="14112"/>
    <x v="702"/>
    <x v="777"/>
    <n v="5655"/>
    <n v="3000"/>
  </r>
  <r>
    <n v="4974"/>
    <x v="0"/>
    <x v="93"/>
    <x v="93"/>
    <x v="1"/>
    <x v="1"/>
    <x v="8"/>
    <n v="14119"/>
    <x v="156"/>
    <x v="161"/>
    <n v="56000"/>
    <n v="3500"/>
  </r>
  <r>
    <n v="4975"/>
    <x v="0"/>
    <x v="93"/>
    <x v="93"/>
    <x v="1"/>
    <x v="1"/>
    <x v="42"/>
    <n v="14133"/>
    <x v="159"/>
    <x v="164"/>
    <n v="12250"/>
    <n v="3500"/>
  </r>
  <r>
    <n v="4976"/>
    <x v="0"/>
    <x v="93"/>
    <x v="93"/>
    <x v="1"/>
    <x v="1"/>
    <x v="46"/>
    <n v="14140"/>
    <x v="369"/>
    <x v="778"/>
    <n v="4025"/>
    <n v="3500"/>
  </r>
  <r>
    <n v="4977"/>
    <x v="0"/>
    <x v="93"/>
    <x v="93"/>
    <x v="1"/>
    <x v="1"/>
    <x v="7"/>
    <n v="14147"/>
    <x v="384"/>
    <x v="152"/>
    <n v="8910"/>
    <n v="3300"/>
  </r>
  <r>
    <n v="4978"/>
    <x v="0"/>
    <x v="93"/>
    <x v="93"/>
    <x v="1"/>
    <x v="1"/>
    <x v="10"/>
    <n v="14161"/>
    <x v="497"/>
    <x v="704"/>
    <n v="73500"/>
    <n v="3500"/>
  </r>
  <r>
    <n v="4979"/>
    <x v="0"/>
    <x v="93"/>
    <x v="93"/>
    <x v="1"/>
    <x v="1"/>
    <x v="84"/>
    <n v="14168"/>
    <x v="703"/>
    <x v="779"/>
    <n v="7417"/>
    <n v="3500"/>
  </r>
  <r>
    <n v="4980"/>
    <x v="0"/>
    <x v="93"/>
    <x v="93"/>
    <x v="1"/>
    <x v="1"/>
    <x v="144"/>
    <n v="14175"/>
    <x v="231"/>
    <x v="212"/>
    <n v="1575"/>
    <n v="3500"/>
  </r>
  <r>
    <n v="4981"/>
    <x v="0"/>
    <x v="93"/>
    <x v="93"/>
    <x v="1"/>
    <x v="1"/>
    <x v="90"/>
    <n v="14182"/>
    <x v="575"/>
    <x v="780"/>
    <n v="72400"/>
    <n v="4000"/>
  </r>
  <r>
    <n v="4982"/>
    <x v="0"/>
    <x v="93"/>
    <x v="93"/>
    <x v="5"/>
    <x v="5"/>
    <x v="37"/>
    <n v="38063"/>
    <x v="23"/>
    <x v="23"/>
    <n v="120"/>
    <n v="1200"/>
  </r>
  <r>
    <n v="4983"/>
    <x v="0"/>
    <x v="93"/>
    <x v="93"/>
    <x v="5"/>
    <x v="5"/>
    <x v="194"/>
    <n v="38070"/>
    <x v="23"/>
    <x v="23"/>
    <n v="120"/>
    <n v="1200"/>
  </r>
  <r>
    <n v="4984"/>
    <x v="0"/>
    <x v="93"/>
    <x v="93"/>
    <x v="16"/>
    <x v="16"/>
    <x v="206"/>
    <n v="42028"/>
    <x v="704"/>
    <x v="781"/>
    <n v="2316"/>
    <n v="3000"/>
  </r>
  <r>
    <n v="4985"/>
    <x v="0"/>
    <x v="93"/>
    <x v="93"/>
    <x v="16"/>
    <x v="16"/>
    <x v="203"/>
    <n v="42056"/>
    <x v="705"/>
    <x v="782"/>
    <n v="23550"/>
    <n v="3000"/>
  </r>
  <r>
    <n v="4986"/>
    <x v="0"/>
    <x v="93"/>
    <x v="93"/>
    <x v="16"/>
    <x v="16"/>
    <x v="209"/>
    <n v="42035"/>
    <x v="58"/>
    <x v="57"/>
    <n v="1540"/>
    <n v="2200"/>
  </r>
  <r>
    <n v="4987"/>
    <x v="0"/>
    <x v="93"/>
    <x v="93"/>
    <x v="16"/>
    <x v="16"/>
    <x v="208"/>
    <n v="42105"/>
    <x v="706"/>
    <x v="729"/>
    <n v="11850"/>
    <n v="3000"/>
  </r>
  <r>
    <n v="4988"/>
    <x v="0"/>
    <x v="93"/>
    <x v="93"/>
    <x v="16"/>
    <x v="16"/>
    <x v="138"/>
    <n v="42119"/>
    <x v="226"/>
    <x v="162"/>
    <n v="12500"/>
    <n v="2500"/>
  </r>
  <r>
    <n v="4989"/>
    <x v="0"/>
    <x v="93"/>
    <x v="93"/>
    <x v="16"/>
    <x v="16"/>
    <x v="204"/>
    <n v="42126"/>
    <x v="153"/>
    <x v="282"/>
    <n v="1760"/>
    <n v="2200"/>
  </r>
  <r>
    <n v="4990"/>
    <x v="0"/>
    <x v="93"/>
    <x v="93"/>
    <x v="16"/>
    <x v="16"/>
    <x v="205"/>
    <n v="42133"/>
    <x v="135"/>
    <x v="143"/>
    <n v="4750"/>
    <n v="2500"/>
  </r>
  <r>
    <n v="4991"/>
    <x v="0"/>
    <x v="93"/>
    <x v="93"/>
    <x v="16"/>
    <x v="16"/>
    <x v="207"/>
    <n v="42147"/>
    <x v="18"/>
    <x v="18"/>
    <n v="440"/>
    <n v="2200"/>
  </r>
  <r>
    <n v="4992"/>
    <x v="0"/>
    <x v="93"/>
    <x v="93"/>
    <x v="11"/>
    <x v="11"/>
    <x v="117"/>
    <n v="66007"/>
    <x v="707"/>
    <x v="783"/>
    <n v="707"/>
    <n v="1100"/>
  </r>
  <r>
    <n v="4993"/>
    <x v="0"/>
    <x v="93"/>
    <x v="93"/>
    <x v="11"/>
    <x v="11"/>
    <x v="171"/>
    <n v="66056"/>
    <x v="708"/>
    <x v="784"/>
    <n v="1573"/>
    <n v="900"/>
  </r>
  <r>
    <n v="4994"/>
    <x v="0"/>
    <x v="93"/>
    <x v="93"/>
    <x v="11"/>
    <x v="11"/>
    <x v="140"/>
    <n v="66126"/>
    <x v="664"/>
    <x v="730"/>
    <n v="1539"/>
    <n v="900"/>
  </r>
  <r>
    <n v="4995"/>
    <x v="0"/>
    <x v="93"/>
    <x v="93"/>
    <x v="13"/>
    <x v="13"/>
    <x v="152"/>
    <n v="74007"/>
    <x v="80"/>
    <x v="82"/>
    <n v="7560"/>
    <n v="4200"/>
  </r>
  <r>
    <n v="4996"/>
    <x v="0"/>
    <x v="93"/>
    <x v="93"/>
    <x v="13"/>
    <x v="13"/>
    <x v="86"/>
    <n v="74021"/>
    <x v="16"/>
    <x v="16"/>
    <n v="1120"/>
    <n v="3200"/>
  </r>
  <r>
    <n v="4997"/>
    <x v="0"/>
    <x v="93"/>
    <x v="93"/>
    <x v="13"/>
    <x v="13"/>
    <x v="94"/>
    <n v="74035"/>
    <x v="709"/>
    <x v="785"/>
    <n v="22110"/>
    <n v="3300"/>
  </r>
  <r>
    <n v="4998"/>
    <x v="0"/>
    <x v="93"/>
    <x v="93"/>
    <x v="13"/>
    <x v="13"/>
    <x v="210"/>
    <n v="74042"/>
    <x v="200"/>
    <x v="210"/>
    <n v="10200"/>
    <n v="3000"/>
  </r>
  <r>
    <n v="4999"/>
    <x v="0"/>
    <x v="93"/>
    <x v="93"/>
    <x v="13"/>
    <x v="13"/>
    <x v="95"/>
    <n v="74049"/>
    <x v="305"/>
    <x v="158"/>
    <n v="2730"/>
    <n v="4200"/>
  </r>
  <r>
    <n v="5000"/>
    <x v="0"/>
    <x v="93"/>
    <x v="93"/>
    <x v="7"/>
    <x v="7"/>
    <x v="195"/>
    <n v="82042"/>
    <x v="189"/>
    <x v="198"/>
    <n v="25500"/>
    <n v="3000"/>
  </r>
  <r>
    <n v="5001"/>
    <x v="0"/>
    <x v="93"/>
    <x v="93"/>
    <x v="9"/>
    <x v="9"/>
    <x v="69"/>
    <n v="90035"/>
    <x v="18"/>
    <x v="18"/>
    <n v="340"/>
    <n v="1700"/>
  </r>
  <r>
    <n v="5002"/>
    <x v="0"/>
    <x v="93"/>
    <x v="93"/>
    <x v="9"/>
    <x v="9"/>
    <x v="218"/>
    <n v="90049"/>
    <x v="84"/>
    <x v="115"/>
    <n v="476"/>
    <n v="1700"/>
  </r>
  <r>
    <n v="5003"/>
    <x v="0"/>
    <x v="93"/>
    <x v="93"/>
    <x v="9"/>
    <x v="9"/>
    <x v="66"/>
    <n v="90056"/>
    <x v="67"/>
    <x v="44"/>
    <n v="144"/>
    <n v="1800"/>
  </r>
  <r>
    <n v="5004"/>
    <x v="0"/>
    <x v="94"/>
    <x v="94"/>
    <x v="15"/>
    <x v="15"/>
    <x v="212"/>
    <n v="6007"/>
    <x v="81"/>
    <x v="83"/>
    <n v="4200"/>
    <n v="2800"/>
  </r>
  <r>
    <n v="5005"/>
    <x v="0"/>
    <x v="94"/>
    <x v="94"/>
    <x v="15"/>
    <x v="15"/>
    <x v="219"/>
    <n v="6105"/>
    <x v="710"/>
    <x v="786"/>
    <n v="734"/>
    <n v="3400"/>
  </r>
  <r>
    <n v="5006"/>
    <x v="0"/>
    <x v="94"/>
    <x v="94"/>
    <x v="15"/>
    <x v="15"/>
    <x v="213"/>
    <n v="6154"/>
    <x v="711"/>
    <x v="787"/>
    <n v="11290"/>
    <n v="3800"/>
  </r>
  <r>
    <n v="5007"/>
    <x v="0"/>
    <x v="94"/>
    <x v="94"/>
    <x v="15"/>
    <x v="15"/>
    <x v="220"/>
    <n v="6231"/>
    <x v="244"/>
    <x v="788"/>
    <n v="966"/>
    <n v="3400"/>
  </r>
  <r>
    <n v="5008"/>
    <x v="0"/>
    <x v="94"/>
    <x v="94"/>
    <x v="15"/>
    <x v="15"/>
    <x v="214"/>
    <n v="6277"/>
    <x v="180"/>
    <x v="207"/>
    <n v="1920"/>
    <n v="3200"/>
  </r>
  <r>
    <n v="5009"/>
    <x v="0"/>
    <x v="94"/>
    <x v="94"/>
    <x v="15"/>
    <x v="15"/>
    <x v="216"/>
    <n v="6294"/>
    <x v="153"/>
    <x v="789"/>
    <n v="1948"/>
    <n v="2501"/>
  </r>
  <r>
    <n v="5010"/>
    <x v="0"/>
    <x v="94"/>
    <x v="94"/>
    <x v="15"/>
    <x v="15"/>
    <x v="122"/>
    <n v="6351"/>
    <x v="74"/>
    <x v="128"/>
    <n v="6400"/>
    <n v="3200"/>
  </r>
  <r>
    <n v="5011"/>
    <x v="0"/>
    <x v="94"/>
    <x v="94"/>
    <x v="15"/>
    <x v="15"/>
    <x v="191"/>
    <n v="6392"/>
    <x v="134"/>
    <x v="142"/>
    <n v="37400"/>
    <n v="3400"/>
  </r>
  <r>
    <n v="5012"/>
    <x v="0"/>
    <x v="94"/>
    <x v="94"/>
    <x v="15"/>
    <x v="15"/>
    <x v="217"/>
    <n v="6399"/>
    <x v="14"/>
    <x v="14"/>
    <n v="1400"/>
    <n v="2800"/>
  </r>
  <r>
    <n v="5013"/>
    <x v="0"/>
    <x v="94"/>
    <x v="94"/>
    <x v="15"/>
    <x v="15"/>
    <x v="221"/>
    <n v="6406"/>
    <x v="712"/>
    <x v="790"/>
    <n v="5450"/>
    <n v="3400"/>
  </r>
  <r>
    <n v="5014"/>
    <x v="0"/>
    <x v="94"/>
    <x v="94"/>
    <x v="15"/>
    <x v="15"/>
    <x v="95"/>
    <n v="6413"/>
    <x v="630"/>
    <x v="688"/>
    <n v="5720"/>
    <n v="2600"/>
  </r>
  <r>
    <n v="5015"/>
    <x v="0"/>
    <x v="94"/>
    <x v="94"/>
    <x v="15"/>
    <x v="15"/>
    <x v="183"/>
    <n v="6462"/>
    <x v="18"/>
    <x v="18"/>
    <n v="660"/>
    <n v="3300"/>
  </r>
  <r>
    <n v="5016"/>
    <x v="0"/>
    <x v="94"/>
    <x v="94"/>
    <x v="15"/>
    <x v="15"/>
    <x v="127"/>
    <n v="6609"/>
    <x v="713"/>
    <x v="791"/>
    <n v="3892"/>
    <n v="4000"/>
  </r>
  <r>
    <n v="5017"/>
    <x v="0"/>
    <x v="94"/>
    <x v="94"/>
    <x v="15"/>
    <x v="15"/>
    <x v="102"/>
    <n v="6616"/>
    <x v="74"/>
    <x v="128"/>
    <n v="6000"/>
    <n v="3000"/>
  </r>
  <r>
    <n v="5018"/>
    <x v="0"/>
    <x v="94"/>
    <x v="94"/>
    <x v="15"/>
    <x v="15"/>
    <x v="123"/>
    <n v="6679"/>
    <x v="714"/>
    <x v="792"/>
    <n v="42115"/>
    <n v="4100"/>
  </r>
  <r>
    <n v="5019"/>
    <x v="0"/>
    <x v="94"/>
    <x v="94"/>
    <x v="15"/>
    <x v="15"/>
    <x v="215"/>
    <n v="6721"/>
    <x v="11"/>
    <x v="11"/>
    <n v="3000"/>
    <n v="3000"/>
  </r>
  <r>
    <n v="5020"/>
    <x v="0"/>
    <x v="94"/>
    <x v="94"/>
    <x v="15"/>
    <x v="15"/>
    <x v="129"/>
    <n v="6826"/>
    <x v="715"/>
    <x v="793"/>
    <n v="2831"/>
    <n v="3700"/>
  </r>
  <r>
    <n v="5021"/>
    <x v="0"/>
    <x v="94"/>
    <x v="94"/>
    <x v="10"/>
    <x v="10"/>
    <x v="58"/>
    <n v="10098"/>
    <x v="10"/>
    <x v="10"/>
    <n v="2530"/>
    <n v="2300"/>
  </r>
  <r>
    <n v="5022"/>
    <x v="0"/>
    <x v="94"/>
    <x v="94"/>
    <x v="1"/>
    <x v="1"/>
    <x v="70"/>
    <n v="14007"/>
    <x v="201"/>
    <x v="211"/>
    <n v="10560"/>
    <n v="3200"/>
  </r>
  <r>
    <n v="5023"/>
    <x v="0"/>
    <x v="94"/>
    <x v="94"/>
    <x v="1"/>
    <x v="1"/>
    <x v="12"/>
    <n v="14014"/>
    <x v="26"/>
    <x v="59"/>
    <n v="1200"/>
    <n v="3000"/>
  </r>
  <r>
    <n v="5024"/>
    <x v="0"/>
    <x v="94"/>
    <x v="94"/>
    <x v="1"/>
    <x v="1"/>
    <x v="11"/>
    <n v="14021"/>
    <x v="630"/>
    <x v="688"/>
    <n v="7700"/>
    <n v="3500"/>
  </r>
  <r>
    <n v="5025"/>
    <x v="0"/>
    <x v="94"/>
    <x v="94"/>
    <x v="1"/>
    <x v="1"/>
    <x v="96"/>
    <n v="14035"/>
    <x v="716"/>
    <x v="794"/>
    <n v="178455"/>
    <n v="3000"/>
  </r>
  <r>
    <n v="5026"/>
    <x v="0"/>
    <x v="94"/>
    <x v="94"/>
    <x v="1"/>
    <x v="1"/>
    <x v="143"/>
    <n v="14042"/>
    <x v="439"/>
    <x v="502"/>
    <n v="37500"/>
    <n v="2500"/>
  </r>
  <r>
    <n v="5027"/>
    <x v="0"/>
    <x v="94"/>
    <x v="94"/>
    <x v="1"/>
    <x v="1"/>
    <x v="107"/>
    <n v="14056"/>
    <x v="700"/>
    <x v="773"/>
    <n v="148750"/>
    <n v="3500"/>
  </r>
  <r>
    <n v="5028"/>
    <x v="0"/>
    <x v="94"/>
    <x v="94"/>
    <x v="1"/>
    <x v="1"/>
    <x v="186"/>
    <n v="14063"/>
    <x v="134"/>
    <x v="142"/>
    <n v="39600"/>
    <n v="3600"/>
  </r>
  <r>
    <n v="5029"/>
    <x v="0"/>
    <x v="94"/>
    <x v="94"/>
    <x v="1"/>
    <x v="1"/>
    <x v="160"/>
    <n v="14084"/>
    <x v="717"/>
    <x v="795"/>
    <n v="59110"/>
    <n v="3300"/>
  </r>
  <r>
    <n v="5030"/>
    <x v="0"/>
    <x v="94"/>
    <x v="94"/>
    <x v="1"/>
    <x v="1"/>
    <x v="13"/>
    <n v="14098"/>
    <x v="691"/>
    <x v="761"/>
    <n v="311500"/>
    <n v="3500"/>
  </r>
  <r>
    <n v="5031"/>
    <x v="0"/>
    <x v="94"/>
    <x v="94"/>
    <x v="1"/>
    <x v="1"/>
    <x v="9"/>
    <n v="14105"/>
    <x v="701"/>
    <x v="776"/>
    <n v="12002"/>
    <n v="3400"/>
  </r>
  <r>
    <n v="5032"/>
    <x v="0"/>
    <x v="94"/>
    <x v="94"/>
    <x v="1"/>
    <x v="1"/>
    <x v="133"/>
    <n v="14112"/>
    <x v="702"/>
    <x v="777"/>
    <n v="5844"/>
    <n v="3100"/>
  </r>
  <r>
    <n v="5033"/>
    <x v="0"/>
    <x v="94"/>
    <x v="94"/>
    <x v="1"/>
    <x v="1"/>
    <x v="8"/>
    <n v="14119"/>
    <x v="79"/>
    <x v="81"/>
    <n v="42000"/>
    <n v="3500"/>
  </r>
  <r>
    <n v="5034"/>
    <x v="0"/>
    <x v="94"/>
    <x v="94"/>
    <x v="1"/>
    <x v="1"/>
    <x v="42"/>
    <n v="14133"/>
    <x v="159"/>
    <x v="164"/>
    <n v="12250"/>
    <n v="3500"/>
  </r>
  <r>
    <n v="5035"/>
    <x v="0"/>
    <x v="94"/>
    <x v="94"/>
    <x v="1"/>
    <x v="1"/>
    <x v="46"/>
    <n v="14140"/>
    <x v="369"/>
    <x v="778"/>
    <n v="4025"/>
    <n v="3500"/>
  </r>
  <r>
    <n v="5036"/>
    <x v="0"/>
    <x v="94"/>
    <x v="94"/>
    <x v="1"/>
    <x v="1"/>
    <x v="7"/>
    <n v="14147"/>
    <x v="159"/>
    <x v="164"/>
    <n v="10500"/>
    <n v="3000"/>
  </r>
  <r>
    <n v="5037"/>
    <x v="0"/>
    <x v="94"/>
    <x v="94"/>
    <x v="1"/>
    <x v="1"/>
    <x v="10"/>
    <n v="14161"/>
    <x v="461"/>
    <x v="365"/>
    <n v="96460"/>
    <n v="3710"/>
  </r>
  <r>
    <n v="5038"/>
    <x v="0"/>
    <x v="94"/>
    <x v="94"/>
    <x v="1"/>
    <x v="1"/>
    <x v="84"/>
    <n v="14168"/>
    <x v="703"/>
    <x v="779"/>
    <n v="6993"/>
    <n v="3300"/>
  </r>
  <r>
    <n v="5039"/>
    <x v="0"/>
    <x v="94"/>
    <x v="94"/>
    <x v="1"/>
    <x v="1"/>
    <x v="144"/>
    <n v="14175"/>
    <x v="231"/>
    <x v="212"/>
    <n v="1395"/>
    <n v="3100"/>
  </r>
  <r>
    <n v="5040"/>
    <x v="0"/>
    <x v="94"/>
    <x v="94"/>
    <x v="1"/>
    <x v="1"/>
    <x v="90"/>
    <n v="14182"/>
    <x v="279"/>
    <x v="670"/>
    <n v="68450"/>
    <n v="3700"/>
  </r>
  <r>
    <n v="5041"/>
    <x v="0"/>
    <x v="94"/>
    <x v="94"/>
    <x v="5"/>
    <x v="5"/>
    <x v="37"/>
    <n v="38063"/>
    <x v="23"/>
    <x v="23"/>
    <n v="80"/>
    <n v="800"/>
  </r>
  <r>
    <n v="5042"/>
    <x v="0"/>
    <x v="94"/>
    <x v="94"/>
    <x v="5"/>
    <x v="5"/>
    <x v="194"/>
    <n v="38070"/>
    <x v="23"/>
    <x v="23"/>
    <n v="80"/>
    <n v="800"/>
  </r>
  <r>
    <n v="5043"/>
    <x v="0"/>
    <x v="94"/>
    <x v="94"/>
    <x v="16"/>
    <x v="16"/>
    <x v="206"/>
    <n v="42028"/>
    <x v="718"/>
    <x v="796"/>
    <n v="3472"/>
    <n v="3500"/>
  </r>
  <r>
    <n v="5044"/>
    <x v="0"/>
    <x v="94"/>
    <x v="94"/>
    <x v="16"/>
    <x v="16"/>
    <x v="203"/>
    <n v="42056"/>
    <x v="306"/>
    <x v="272"/>
    <n v="23100"/>
    <n v="3554"/>
  </r>
  <r>
    <n v="5045"/>
    <x v="0"/>
    <x v="94"/>
    <x v="94"/>
    <x v="16"/>
    <x v="16"/>
    <x v="209"/>
    <n v="42035"/>
    <x v="179"/>
    <x v="153"/>
    <n v="2250"/>
    <n v="2500"/>
  </r>
  <r>
    <n v="5046"/>
    <x v="0"/>
    <x v="94"/>
    <x v="94"/>
    <x v="16"/>
    <x v="16"/>
    <x v="208"/>
    <n v="42105"/>
    <x v="440"/>
    <x v="127"/>
    <n v="15640"/>
    <n v="3476"/>
  </r>
  <r>
    <n v="5047"/>
    <x v="0"/>
    <x v="94"/>
    <x v="94"/>
    <x v="16"/>
    <x v="16"/>
    <x v="138"/>
    <n v="42119"/>
    <x v="81"/>
    <x v="83"/>
    <n v="4500"/>
    <n v="3000"/>
  </r>
  <r>
    <n v="5048"/>
    <x v="0"/>
    <x v="94"/>
    <x v="94"/>
    <x v="16"/>
    <x v="16"/>
    <x v="204"/>
    <n v="42126"/>
    <x v="180"/>
    <x v="207"/>
    <n v="1440"/>
    <n v="2400"/>
  </r>
  <r>
    <n v="5049"/>
    <x v="0"/>
    <x v="94"/>
    <x v="94"/>
    <x v="16"/>
    <x v="16"/>
    <x v="205"/>
    <n v="42133"/>
    <x v="159"/>
    <x v="210"/>
    <n v="10200"/>
    <n v="3000"/>
  </r>
  <r>
    <n v="5050"/>
    <x v="0"/>
    <x v="94"/>
    <x v="94"/>
    <x v="11"/>
    <x v="11"/>
    <x v="117"/>
    <n v="66007"/>
    <x v="719"/>
    <x v="797"/>
    <n v="790"/>
    <n v="1000"/>
  </r>
  <r>
    <n v="5051"/>
    <x v="0"/>
    <x v="94"/>
    <x v="94"/>
    <x v="11"/>
    <x v="11"/>
    <x v="171"/>
    <n v="66056"/>
    <x v="25"/>
    <x v="377"/>
    <n v="2880"/>
    <n v="900"/>
  </r>
  <r>
    <n v="5052"/>
    <x v="0"/>
    <x v="94"/>
    <x v="94"/>
    <x v="11"/>
    <x v="11"/>
    <x v="140"/>
    <n v="66126"/>
    <x v="450"/>
    <x v="379"/>
    <n v="612"/>
    <n v="900"/>
  </r>
  <r>
    <n v="5053"/>
    <x v="0"/>
    <x v="94"/>
    <x v="94"/>
    <x v="13"/>
    <x v="13"/>
    <x v="152"/>
    <n v="74007"/>
    <x v="720"/>
    <x v="798"/>
    <n v="7638"/>
    <n v="3800"/>
  </r>
  <r>
    <n v="5054"/>
    <x v="0"/>
    <x v="94"/>
    <x v="94"/>
    <x v="13"/>
    <x v="13"/>
    <x v="94"/>
    <n v="74035"/>
    <x v="577"/>
    <x v="628"/>
    <n v="19980"/>
    <n v="2700"/>
  </r>
  <r>
    <n v="5055"/>
    <x v="0"/>
    <x v="94"/>
    <x v="94"/>
    <x v="13"/>
    <x v="13"/>
    <x v="210"/>
    <n v="74042"/>
    <x v="721"/>
    <x v="720"/>
    <n v="26320"/>
    <n v="2800"/>
  </r>
  <r>
    <n v="5056"/>
    <x v="0"/>
    <x v="94"/>
    <x v="94"/>
    <x v="13"/>
    <x v="13"/>
    <x v="211"/>
    <n v="74056"/>
    <x v="722"/>
    <x v="473"/>
    <n v="1616"/>
    <n v="3200"/>
  </r>
  <r>
    <n v="5057"/>
    <x v="0"/>
    <x v="94"/>
    <x v="94"/>
    <x v="13"/>
    <x v="13"/>
    <x v="95"/>
    <n v="74049"/>
    <x v="422"/>
    <x v="333"/>
    <n v="1591"/>
    <n v="4300"/>
  </r>
  <r>
    <n v="5058"/>
    <x v="0"/>
    <x v="94"/>
    <x v="94"/>
    <x v="7"/>
    <x v="7"/>
    <x v="195"/>
    <n v="82042"/>
    <x v="8"/>
    <x v="8"/>
    <n v="29440"/>
    <n v="3200"/>
  </r>
  <r>
    <n v="5059"/>
    <x v="0"/>
    <x v="94"/>
    <x v="94"/>
    <x v="9"/>
    <x v="9"/>
    <x v="65"/>
    <n v="90014"/>
    <x v="23"/>
    <x v="23"/>
    <n v="200"/>
    <n v="2000"/>
  </r>
  <r>
    <n v="5060"/>
    <x v="0"/>
    <x v="94"/>
    <x v="94"/>
    <x v="9"/>
    <x v="9"/>
    <x v="69"/>
    <n v="90035"/>
    <x v="12"/>
    <x v="799"/>
    <n v="568"/>
    <n v="1900"/>
  </r>
  <r>
    <n v="5061"/>
    <x v="0"/>
    <x v="94"/>
    <x v="94"/>
    <x v="9"/>
    <x v="9"/>
    <x v="218"/>
    <n v="90049"/>
    <x v="26"/>
    <x v="800"/>
    <n v="758"/>
    <n v="1900"/>
  </r>
  <r>
    <n v="5062"/>
    <x v="0"/>
    <x v="94"/>
    <x v="94"/>
    <x v="9"/>
    <x v="9"/>
    <x v="66"/>
    <n v="90056"/>
    <x v="21"/>
    <x v="279"/>
    <n v="262"/>
    <n v="1900"/>
  </r>
  <r>
    <n v="5063"/>
    <x v="0"/>
    <x v="95"/>
    <x v="95"/>
    <x v="15"/>
    <x v="15"/>
    <x v="212"/>
    <n v="6007"/>
    <x v="81"/>
    <x v="83"/>
    <n v="4500"/>
    <n v="3000"/>
  </r>
  <r>
    <n v="5064"/>
    <x v="0"/>
    <x v="95"/>
    <x v="95"/>
    <x v="15"/>
    <x v="15"/>
    <x v="219"/>
    <n v="6105"/>
    <x v="85"/>
    <x v="193"/>
    <n v="765"/>
    <n v="3400"/>
  </r>
  <r>
    <n v="5065"/>
    <x v="0"/>
    <x v="95"/>
    <x v="95"/>
    <x v="15"/>
    <x v="15"/>
    <x v="213"/>
    <n v="6154"/>
    <x v="711"/>
    <x v="787"/>
    <n v="8319"/>
    <n v="2800"/>
  </r>
  <r>
    <n v="5066"/>
    <x v="0"/>
    <x v="95"/>
    <x v="95"/>
    <x v="15"/>
    <x v="15"/>
    <x v="220"/>
    <n v="6231"/>
    <x v="351"/>
    <x v="277"/>
    <n v="986"/>
    <n v="3400"/>
  </r>
  <r>
    <n v="5067"/>
    <x v="0"/>
    <x v="95"/>
    <x v="95"/>
    <x v="15"/>
    <x v="15"/>
    <x v="214"/>
    <n v="6277"/>
    <x v="630"/>
    <x v="688"/>
    <n v="6600"/>
    <n v="3000"/>
  </r>
  <r>
    <n v="5068"/>
    <x v="0"/>
    <x v="95"/>
    <x v="95"/>
    <x v="15"/>
    <x v="15"/>
    <x v="216"/>
    <n v="6294"/>
    <x v="153"/>
    <x v="282"/>
    <n v="2160"/>
    <n v="2700"/>
  </r>
  <r>
    <n v="5069"/>
    <x v="0"/>
    <x v="95"/>
    <x v="95"/>
    <x v="15"/>
    <x v="15"/>
    <x v="122"/>
    <n v="6351"/>
    <x v="80"/>
    <x v="82"/>
    <n v="5760"/>
    <n v="3200"/>
  </r>
  <r>
    <n v="5070"/>
    <x v="0"/>
    <x v="95"/>
    <x v="95"/>
    <x v="15"/>
    <x v="15"/>
    <x v="191"/>
    <n v="6392"/>
    <x v="391"/>
    <x v="556"/>
    <n v="53550"/>
    <n v="3150"/>
  </r>
  <r>
    <n v="5071"/>
    <x v="0"/>
    <x v="95"/>
    <x v="95"/>
    <x v="15"/>
    <x v="15"/>
    <x v="217"/>
    <n v="6399"/>
    <x v="14"/>
    <x v="14"/>
    <n v="1400"/>
    <n v="2800"/>
  </r>
  <r>
    <n v="5072"/>
    <x v="0"/>
    <x v="95"/>
    <x v="95"/>
    <x v="15"/>
    <x v="15"/>
    <x v="221"/>
    <n v="6406"/>
    <x v="723"/>
    <x v="801"/>
    <n v="4950"/>
    <n v="3000"/>
  </r>
  <r>
    <n v="5073"/>
    <x v="0"/>
    <x v="95"/>
    <x v="95"/>
    <x v="15"/>
    <x v="15"/>
    <x v="95"/>
    <n v="6413"/>
    <x v="630"/>
    <x v="688"/>
    <n v="5940"/>
    <n v="2700"/>
  </r>
  <r>
    <n v="5074"/>
    <x v="0"/>
    <x v="95"/>
    <x v="95"/>
    <x v="15"/>
    <x v="15"/>
    <x v="183"/>
    <n v="6462"/>
    <x v="399"/>
    <x v="402"/>
    <n v="12600"/>
    <n v="3000"/>
  </r>
  <r>
    <n v="5075"/>
    <x v="0"/>
    <x v="95"/>
    <x v="95"/>
    <x v="15"/>
    <x v="15"/>
    <x v="126"/>
    <n v="6469"/>
    <x v="81"/>
    <x v="83"/>
    <n v="4575"/>
    <n v="3050"/>
  </r>
  <r>
    <n v="5076"/>
    <x v="0"/>
    <x v="95"/>
    <x v="95"/>
    <x v="15"/>
    <x v="15"/>
    <x v="127"/>
    <n v="6609"/>
    <x v="713"/>
    <x v="791"/>
    <n v="2919"/>
    <n v="3000"/>
  </r>
  <r>
    <n v="5077"/>
    <x v="0"/>
    <x v="95"/>
    <x v="95"/>
    <x v="15"/>
    <x v="15"/>
    <x v="102"/>
    <n v="6616"/>
    <x v="74"/>
    <x v="128"/>
    <n v="5600"/>
    <n v="2800"/>
  </r>
  <r>
    <n v="5078"/>
    <x v="0"/>
    <x v="95"/>
    <x v="95"/>
    <x v="15"/>
    <x v="15"/>
    <x v="123"/>
    <n v="6679"/>
    <x v="714"/>
    <x v="792"/>
    <n v="31843"/>
    <n v="3100"/>
  </r>
  <r>
    <n v="5079"/>
    <x v="0"/>
    <x v="95"/>
    <x v="95"/>
    <x v="15"/>
    <x v="15"/>
    <x v="215"/>
    <n v="6721"/>
    <x v="11"/>
    <x v="11"/>
    <n v="2800"/>
    <n v="2800"/>
  </r>
  <r>
    <n v="5080"/>
    <x v="0"/>
    <x v="95"/>
    <x v="95"/>
    <x v="15"/>
    <x v="15"/>
    <x v="129"/>
    <n v="6826"/>
    <x v="715"/>
    <x v="793"/>
    <n v="2142"/>
    <n v="2800"/>
  </r>
  <r>
    <n v="5081"/>
    <x v="0"/>
    <x v="95"/>
    <x v="95"/>
    <x v="10"/>
    <x v="10"/>
    <x v="58"/>
    <n v="10098"/>
    <x v="10"/>
    <x v="494"/>
    <n v="936"/>
    <n v="900"/>
  </r>
  <r>
    <n v="5082"/>
    <x v="0"/>
    <x v="95"/>
    <x v="95"/>
    <x v="1"/>
    <x v="1"/>
    <x v="70"/>
    <n v="14007"/>
    <x v="418"/>
    <x v="802"/>
    <n v="5060"/>
    <n v="2200"/>
  </r>
  <r>
    <n v="5083"/>
    <x v="0"/>
    <x v="95"/>
    <x v="95"/>
    <x v="1"/>
    <x v="1"/>
    <x v="12"/>
    <n v="14014"/>
    <x v="26"/>
    <x v="59"/>
    <n v="920"/>
    <n v="2300"/>
  </r>
  <r>
    <n v="5084"/>
    <x v="0"/>
    <x v="95"/>
    <x v="95"/>
    <x v="1"/>
    <x v="1"/>
    <x v="11"/>
    <n v="14021"/>
    <x v="11"/>
    <x v="11"/>
    <n v="3000"/>
    <n v="3000"/>
  </r>
  <r>
    <n v="5085"/>
    <x v="0"/>
    <x v="95"/>
    <x v="95"/>
    <x v="1"/>
    <x v="1"/>
    <x v="96"/>
    <n v="14035"/>
    <x v="724"/>
    <x v="803"/>
    <n v="174571"/>
    <n v="2700"/>
  </r>
  <r>
    <n v="5086"/>
    <x v="0"/>
    <x v="95"/>
    <x v="95"/>
    <x v="1"/>
    <x v="1"/>
    <x v="143"/>
    <n v="14042"/>
    <x v="156"/>
    <x v="161"/>
    <n v="36800"/>
    <n v="2300"/>
  </r>
  <r>
    <n v="5087"/>
    <x v="0"/>
    <x v="95"/>
    <x v="95"/>
    <x v="1"/>
    <x v="1"/>
    <x v="107"/>
    <n v="14056"/>
    <x v="344"/>
    <x v="359"/>
    <n v="85000"/>
    <n v="2500"/>
  </r>
  <r>
    <n v="5088"/>
    <x v="0"/>
    <x v="95"/>
    <x v="95"/>
    <x v="1"/>
    <x v="1"/>
    <x v="186"/>
    <n v="14063"/>
    <x v="725"/>
    <x v="804"/>
    <n v="19030"/>
    <n v="2200"/>
  </r>
  <r>
    <n v="5089"/>
    <x v="0"/>
    <x v="95"/>
    <x v="95"/>
    <x v="1"/>
    <x v="1"/>
    <x v="160"/>
    <n v="14084"/>
    <x v="726"/>
    <x v="805"/>
    <n v="45193"/>
    <n v="2700"/>
  </r>
  <r>
    <n v="5090"/>
    <x v="0"/>
    <x v="95"/>
    <x v="95"/>
    <x v="1"/>
    <x v="1"/>
    <x v="13"/>
    <n v="14098"/>
    <x v="727"/>
    <x v="496"/>
    <n v="172500"/>
    <n v="2500"/>
  </r>
  <r>
    <n v="5091"/>
    <x v="0"/>
    <x v="95"/>
    <x v="95"/>
    <x v="1"/>
    <x v="1"/>
    <x v="9"/>
    <n v="14105"/>
    <x v="620"/>
    <x v="518"/>
    <n v="15900"/>
    <n v="3000"/>
  </r>
  <r>
    <n v="5092"/>
    <x v="0"/>
    <x v="95"/>
    <x v="95"/>
    <x v="1"/>
    <x v="1"/>
    <x v="133"/>
    <n v="14112"/>
    <x v="43"/>
    <x v="806"/>
    <n v="1640"/>
    <n v="2000"/>
  </r>
  <r>
    <n v="5093"/>
    <x v="0"/>
    <x v="95"/>
    <x v="95"/>
    <x v="1"/>
    <x v="1"/>
    <x v="8"/>
    <n v="14119"/>
    <x v="189"/>
    <x v="198"/>
    <n v="20400"/>
    <n v="2400"/>
  </r>
  <r>
    <n v="5094"/>
    <x v="0"/>
    <x v="95"/>
    <x v="95"/>
    <x v="1"/>
    <x v="1"/>
    <x v="42"/>
    <n v="14133"/>
    <x v="282"/>
    <x v="288"/>
    <n v="7500"/>
    <n v="3000"/>
  </r>
  <r>
    <n v="5095"/>
    <x v="0"/>
    <x v="95"/>
    <x v="95"/>
    <x v="1"/>
    <x v="1"/>
    <x v="46"/>
    <n v="14140"/>
    <x v="517"/>
    <x v="560"/>
    <n v="3875"/>
    <n v="2500"/>
  </r>
  <r>
    <n v="5096"/>
    <x v="0"/>
    <x v="95"/>
    <x v="95"/>
    <x v="1"/>
    <x v="1"/>
    <x v="7"/>
    <n v="14147"/>
    <x v="159"/>
    <x v="164"/>
    <n v="8050"/>
    <n v="2300"/>
  </r>
  <r>
    <n v="5097"/>
    <x v="0"/>
    <x v="95"/>
    <x v="95"/>
    <x v="1"/>
    <x v="1"/>
    <x v="10"/>
    <n v="14161"/>
    <x v="221"/>
    <x v="232"/>
    <n v="55000"/>
    <n v="2500"/>
  </r>
  <r>
    <n v="5098"/>
    <x v="0"/>
    <x v="95"/>
    <x v="95"/>
    <x v="1"/>
    <x v="1"/>
    <x v="84"/>
    <n v="14168"/>
    <x v="75"/>
    <x v="230"/>
    <n v="1875"/>
    <n v="2500"/>
  </r>
  <r>
    <n v="5099"/>
    <x v="0"/>
    <x v="95"/>
    <x v="95"/>
    <x v="1"/>
    <x v="1"/>
    <x v="144"/>
    <n v="14175"/>
    <x v="231"/>
    <x v="212"/>
    <n v="1125"/>
    <n v="2500"/>
  </r>
  <r>
    <n v="5100"/>
    <x v="0"/>
    <x v="95"/>
    <x v="95"/>
    <x v="1"/>
    <x v="1"/>
    <x v="90"/>
    <n v="14182"/>
    <x v="570"/>
    <x v="807"/>
    <n v="35259"/>
    <n v="2300"/>
  </r>
  <r>
    <n v="5101"/>
    <x v="0"/>
    <x v="95"/>
    <x v="95"/>
    <x v="5"/>
    <x v="5"/>
    <x v="37"/>
    <n v="38063"/>
    <x v="23"/>
    <x v="23"/>
    <n v="100"/>
    <n v="1000"/>
  </r>
  <r>
    <n v="5102"/>
    <x v="0"/>
    <x v="95"/>
    <x v="95"/>
    <x v="5"/>
    <x v="5"/>
    <x v="194"/>
    <n v="38070"/>
    <x v="23"/>
    <x v="23"/>
    <n v="100"/>
    <n v="1000"/>
  </r>
  <r>
    <n v="5103"/>
    <x v="0"/>
    <x v="95"/>
    <x v="95"/>
    <x v="16"/>
    <x v="16"/>
    <x v="206"/>
    <n v="42028"/>
    <x v="728"/>
    <x v="808"/>
    <n v="948"/>
    <n v="1400"/>
  </r>
  <r>
    <n v="5104"/>
    <x v="0"/>
    <x v="95"/>
    <x v="95"/>
    <x v="16"/>
    <x v="16"/>
    <x v="203"/>
    <n v="42056"/>
    <x v="226"/>
    <x v="162"/>
    <n v="15000"/>
    <n v="3000"/>
  </r>
  <r>
    <n v="5105"/>
    <x v="0"/>
    <x v="95"/>
    <x v="95"/>
    <x v="16"/>
    <x v="16"/>
    <x v="209"/>
    <n v="42035"/>
    <x v="180"/>
    <x v="207"/>
    <n v="1200"/>
    <n v="2000"/>
  </r>
  <r>
    <n v="5106"/>
    <x v="0"/>
    <x v="95"/>
    <x v="95"/>
    <x v="16"/>
    <x v="16"/>
    <x v="208"/>
    <n v="42105"/>
    <x v="516"/>
    <x v="364"/>
    <n v="8400"/>
    <n v="3000"/>
  </r>
  <r>
    <n v="5107"/>
    <x v="0"/>
    <x v="95"/>
    <x v="95"/>
    <x v="16"/>
    <x v="16"/>
    <x v="138"/>
    <n v="42119"/>
    <x v="158"/>
    <x v="163"/>
    <n v="10000"/>
    <n v="2500"/>
  </r>
  <r>
    <n v="5108"/>
    <x v="0"/>
    <x v="95"/>
    <x v="95"/>
    <x v="16"/>
    <x v="16"/>
    <x v="204"/>
    <n v="42126"/>
    <x v="18"/>
    <x v="18"/>
    <n v="400"/>
    <n v="2000"/>
  </r>
  <r>
    <n v="5109"/>
    <x v="0"/>
    <x v="95"/>
    <x v="95"/>
    <x v="16"/>
    <x v="16"/>
    <x v="205"/>
    <n v="42133"/>
    <x v="25"/>
    <x v="377"/>
    <n v="8000"/>
    <n v="2500"/>
  </r>
  <r>
    <n v="5110"/>
    <x v="0"/>
    <x v="95"/>
    <x v="95"/>
    <x v="16"/>
    <x v="16"/>
    <x v="207"/>
    <n v="42147"/>
    <x v="12"/>
    <x v="12"/>
    <n v="600"/>
    <n v="2000"/>
  </r>
  <r>
    <n v="5111"/>
    <x v="0"/>
    <x v="95"/>
    <x v="95"/>
    <x v="11"/>
    <x v="11"/>
    <x v="117"/>
    <n v="66007"/>
    <x v="719"/>
    <x v="797"/>
    <n v="711"/>
    <n v="900"/>
  </r>
  <r>
    <n v="5112"/>
    <x v="0"/>
    <x v="95"/>
    <x v="95"/>
    <x v="11"/>
    <x v="11"/>
    <x v="171"/>
    <n v="66056"/>
    <x v="729"/>
    <x v="809"/>
    <n v="1032"/>
    <n v="800"/>
  </r>
  <r>
    <n v="5113"/>
    <x v="0"/>
    <x v="95"/>
    <x v="95"/>
    <x v="11"/>
    <x v="11"/>
    <x v="106"/>
    <n v="66112"/>
    <x v="370"/>
    <x v="655"/>
    <n v="464"/>
    <n v="800"/>
  </r>
  <r>
    <n v="5114"/>
    <x v="0"/>
    <x v="95"/>
    <x v="95"/>
    <x v="11"/>
    <x v="11"/>
    <x v="140"/>
    <n v="66126"/>
    <x v="730"/>
    <x v="810"/>
    <n v="872"/>
    <n v="800"/>
  </r>
  <r>
    <n v="5115"/>
    <x v="0"/>
    <x v="95"/>
    <x v="95"/>
    <x v="13"/>
    <x v="13"/>
    <x v="152"/>
    <n v="74007"/>
    <x v="74"/>
    <x v="128"/>
    <n v="7400"/>
    <n v="3700"/>
  </r>
  <r>
    <n v="5116"/>
    <x v="0"/>
    <x v="95"/>
    <x v="95"/>
    <x v="13"/>
    <x v="13"/>
    <x v="94"/>
    <n v="74035"/>
    <x v="654"/>
    <x v="785"/>
    <n v="18090"/>
    <n v="2700"/>
  </r>
  <r>
    <n v="5117"/>
    <x v="0"/>
    <x v="95"/>
    <x v="95"/>
    <x v="13"/>
    <x v="13"/>
    <x v="210"/>
    <n v="74042"/>
    <x v="266"/>
    <x v="375"/>
    <n v="17640"/>
    <n v="2800"/>
  </r>
  <r>
    <n v="5118"/>
    <x v="0"/>
    <x v="95"/>
    <x v="95"/>
    <x v="13"/>
    <x v="13"/>
    <x v="211"/>
    <n v="74056"/>
    <x v="26"/>
    <x v="59"/>
    <n v="1120"/>
    <n v="2800"/>
  </r>
  <r>
    <n v="5119"/>
    <x v="0"/>
    <x v="95"/>
    <x v="95"/>
    <x v="13"/>
    <x v="13"/>
    <x v="95"/>
    <n v="74049"/>
    <x v="26"/>
    <x v="59"/>
    <n v="1400"/>
    <n v="3500"/>
  </r>
  <r>
    <n v="5120"/>
    <x v="0"/>
    <x v="95"/>
    <x v="95"/>
    <x v="7"/>
    <x v="7"/>
    <x v="195"/>
    <n v="82042"/>
    <x v="315"/>
    <x v="291"/>
    <n v="17600"/>
    <n v="2200"/>
  </r>
  <r>
    <n v="5121"/>
    <x v="0"/>
    <x v="95"/>
    <x v="95"/>
    <x v="9"/>
    <x v="9"/>
    <x v="69"/>
    <n v="90035"/>
    <x v="12"/>
    <x v="192"/>
    <n v="189"/>
    <n v="700"/>
  </r>
  <r>
    <n v="5122"/>
    <x v="0"/>
    <x v="95"/>
    <x v="95"/>
    <x v="9"/>
    <x v="9"/>
    <x v="218"/>
    <n v="90049"/>
    <x v="16"/>
    <x v="16"/>
    <n v="245"/>
    <n v="700"/>
  </r>
  <r>
    <n v="5123"/>
    <x v="0"/>
    <x v="95"/>
    <x v="95"/>
    <x v="9"/>
    <x v="9"/>
    <x v="66"/>
    <n v="90056"/>
    <x v="69"/>
    <x v="20"/>
    <n v="120"/>
    <n v="800"/>
  </r>
  <r>
    <n v="5124"/>
    <x v="0"/>
    <x v="96"/>
    <x v="96"/>
    <x v="15"/>
    <x v="15"/>
    <x v="174"/>
    <n v="6854"/>
    <x v="190"/>
    <x v="811"/>
    <n v="878"/>
    <n v="2500"/>
  </r>
  <r>
    <n v="5125"/>
    <x v="0"/>
    <x v="96"/>
    <x v="96"/>
    <x v="15"/>
    <x v="15"/>
    <x v="212"/>
    <n v="6007"/>
    <x v="81"/>
    <x v="83"/>
    <n v="4500"/>
    <n v="3000"/>
  </r>
  <r>
    <n v="5126"/>
    <x v="0"/>
    <x v="96"/>
    <x v="96"/>
    <x v="15"/>
    <x v="15"/>
    <x v="219"/>
    <n v="6105"/>
    <x v="85"/>
    <x v="193"/>
    <n v="765"/>
    <n v="3400"/>
  </r>
  <r>
    <n v="5127"/>
    <x v="0"/>
    <x v="96"/>
    <x v="96"/>
    <x v="15"/>
    <x v="15"/>
    <x v="124"/>
    <n v="6112"/>
    <x v="232"/>
    <x v="433"/>
    <n v="4200"/>
    <n v="3000"/>
  </r>
  <r>
    <n v="5128"/>
    <x v="0"/>
    <x v="96"/>
    <x v="96"/>
    <x v="15"/>
    <x v="15"/>
    <x v="213"/>
    <n v="6154"/>
    <x v="731"/>
    <x v="812"/>
    <n v="10906"/>
    <n v="3500"/>
  </r>
  <r>
    <n v="5129"/>
    <x v="0"/>
    <x v="96"/>
    <x v="96"/>
    <x v="15"/>
    <x v="15"/>
    <x v="220"/>
    <n v="6231"/>
    <x v="179"/>
    <x v="153"/>
    <n v="3150"/>
    <n v="3500"/>
  </r>
  <r>
    <n v="5130"/>
    <x v="0"/>
    <x v="96"/>
    <x v="96"/>
    <x v="15"/>
    <x v="15"/>
    <x v="214"/>
    <n v="6277"/>
    <x v="57"/>
    <x v="56"/>
    <n v="4200"/>
    <n v="3500"/>
  </r>
  <r>
    <n v="5131"/>
    <x v="0"/>
    <x v="96"/>
    <x v="96"/>
    <x v="15"/>
    <x v="15"/>
    <x v="216"/>
    <n v="6294"/>
    <x v="153"/>
    <x v="282"/>
    <n v="2400"/>
    <n v="3000"/>
  </r>
  <r>
    <n v="5132"/>
    <x v="0"/>
    <x v="96"/>
    <x v="96"/>
    <x v="15"/>
    <x v="15"/>
    <x v="122"/>
    <n v="6351"/>
    <x v="697"/>
    <x v="770"/>
    <n v="17760"/>
    <n v="3700"/>
  </r>
  <r>
    <n v="5133"/>
    <x v="0"/>
    <x v="96"/>
    <x v="96"/>
    <x v="15"/>
    <x v="15"/>
    <x v="222"/>
    <n v="6385"/>
    <x v="153"/>
    <x v="282"/>
    <n v="3200"/>
    <n v="4000"/>
  </r>
  <r>
    <n v="5134"/>
    <x v="0"/>
    <x v="96"/>
    <x v="96"/>
    <x v="15"/>
    <x v="15"/>
    <x v="191"/>
    <n v="6392"/>
    <x v="79"/>
    <x v="81"/>
    <n v="43200"/>
    <n v="3600"/>
  </r>
  <r>
    <n v="5135"/>
    <x v="0"/>
    <x v="96"/>
    <x v="96"/>
    <x v="15"/>
    <x v="15"/>
    <x v="217"/>
    <n v="6399"/>
    <x v="14"/>
    <x v="14"/>
    <n v="1500"/>
    <n v="3000"/>
  </r>
  <r>
    <n v="5136"/>
    <x v="0"/>
    <x v="96"/>
    <x v="96"/>
    <x v="15"/>
    <x v="15"/>
    <x v="221"/>
    <n v="6406"/>
    <x v="723"/>
    <x v="801"/>
    <n v="5775"/>
    <n v="3500"/>
  </r>
  <r>
    <n v="5137"/>
    <x v="0"/>
    <x v="96"/>
    <x v="96"/>
    <x v="15"/>
    <x v="15"/>
    <x v="95"/>
    <n v="6413"/>
    <x v="630"/>
    <x v="688"/>
    <n v="6600"/>
    <n v="3000"/>
  </r>
  <r>
    <n v="5138"/>
    <x v="0"/>
    <x v="96"/>
    <x v="96"/>
    <x v="15"/>
    <x v="15"/>
    <x v="183"/>
    <n v="6462"/>
    <x v="74"/>
    <x v="128"/>
    <n v="7100"/>
    <n v="3550"/>
  </r>
  <r>
    <n v="5139"/>
    <x v="0"/>
    <x v="96"/>
    <x v="96"/>
    <x v="15"/>
    <x v="15"/>
    <x v="126"/>
    <n v="6469"/>
    <x v="158"/>
    <x v="163"/>
    <n v="13800"/>
    <n v="3450"/>
  </r>
  <r>
    <n v="5140"/>
    <x v="0"/>
    <x v="96"/>
    <x v="96"/>
    <x v="15"/>
    <x v="15"/>
    <x v="127"/>
    <n v="6609"/>
    <x v="732"/>
    <x v="813"/>
    <n v="3617"/>
    <n v="3300"/>
  </r>
  <r>
    <n v="5141"/>
    <x v="0"/>
    <x v="96"/>
    <x v="96"/>
    <x v="15"/>
    <x v="15"/>
    <x v="102"/>
    <n v="6616"/>
    <x v="74"/>
    <x v="128"/>
    <n v="6000"/>
    <n v="3000"/>
  </r>
  <r>
    <n v="5142"/>
    <x v="0"/>
    <x v="96"/>
    <x v="96"/>
    <x v="15"/>
    <x v="15"/>
    <x v="123"/>
    <n v="6679"/>
    <x v="733"/>
    <x v="814"/>
    <n v="28546"/>
    <n v="3500"/>
  </r>
  <r>
    <n v="5143"/>
    <x v="0"/>
    <x v="96"/>
    <x v="96"/>
    <x v="15"/>
    <x v="15"/>
    <x v="223"/>
    <n v="6707"/>
    <x v="734"/>
    <x v="266"/>
    <n v="248"/>
    <n v="2500"/>
  </r>
  <r>
    <n v="5144"/>
    <x v="0"/>
    <x v="96"/>
    <x v="96"/>
    <x v="15"/>
    <x v="15"/>
    <x v="215"/>
    <n v="6721"/>
    <x v="11"/>
    <x v="11"/>
    <n v="3000"/>
    <n v="3000"/>
  </r>
  <r>
    <n v="5145"/>
    <x v="0"/>
    <x v="96"/>
    <x v="96"/>
    <x v="15"/>
    <x v="15"/>
    <x v="129"/>
    <n v="6826"/>
    <x v="362"/>
    <x v="815"/>
    <n v="3854"/>
    <n v="3300"/>
  </r>
  <r>
    <n v="5146"/>
    <x v="0"/>
    <x v="96"/>
    <x v="96"/>
    <x v="10"/>
    <x v="10"/>
    <x v="58"/>
    <n v="10098"/>
    <x v="153"/>
    <x v="282"/>
    <n v="1280"/>
    <n v="1600"/>
  </r>
  <r>
    <n v="5147"/>
    <x v="0"/>
    <x v="96"/>
    <x v="96"/>
    <x v="1"/>
    <x v="1"/>
    <x v="70"/>
    <n v="14007"/>
    <x v="282"/>
    <x v="288"/>
    <n v="9500"/>
    <n v="3800"/>
  </r>
  <r>
    <n v="5148"/>
    <x v="0"/>
    <x v="96"/>
    <x v="96"/>
    <x v="1"/>
    <x v="1"/>
    <x v="12"/>
    <n v="14014"/>
    <x v="26"/>
    <x v="59"/>
    <n v="1320"/>
    <n v="3300"/>
  </r>
  <r>
    <n v="5149"/>
    <x v="0"/>
    <x v="96"/>
    <x v="96"/>
    <x v="1"/>
    <x v="1"/>
    <x v="11"/>
    <n v="14021"/>
    <x v="57"/>
    <x v="56"/>
    <n v="4920"/>
    <n v="4100"/>
  </r>
  <r>
    <n v="5150"/>
    <x v="0"/>
    <x v="96"/>
    <x v="96"/>
    <x v="1"/>
    <x v="1"/>
    <x v="135"/>
    <n v="14028"/>
    <x v="58"/>
    <x v="57"/>
    <n v="2100"/>
    <n v="3000"/>
  </r>
  <r>
    <n v="5151"/>
    <x v="0"/>
    <x v="96"/>
    <x v="96"/>
    <x v="1"/>
    <x v="1"/>
    <x v="96"/>
    <n v="14035"/>
    <x v="735"/>
    <x v="816"/>
    <n v="223422"/>
    <n v="3000"/>
  </r>
  <r>
    <n v="5152"/>
    <x v="0"/>
    <x v="96"/>
    <x v="96"/>
    <x v="1"/>
    <x v="1"/>
    <x v="143"/>
    <n v="14042"/>
    <x v="736"/>
    <x v="269"/>
    <n v="66500"/>
    <n v="3500"/>
  </r>
  <r>
    <n v="5153"/>
    <x v="0"/>
    <x v="96"/>
    <x v="96"/>
    <x v="1"/>
    <x v="1"/>
    <x v="107"/>
    <n v="14056"/>
    <x v="420"/>
    <x v="817"/>
    <n v="176000"/>
    <n v="4000"/>
  </r>
  <r>
    <n v="5154"/>
    <x v="0"/>
    <x v="96"/>
    <x v="96"/>
    <x v="1"/>
    <x v="1"/>
    <x v="186"/>
    <n v="14063"/>
    <x v="493"/>
    <x v="528"/>
    <n v="39900"/>
    <n v="3800"/>
  </r>
  <r>
    <n v="5155"/>
    <x v="0"/>
    <x v="96"/>
    <x v="96"/>
    <x v="1"/>
    <x v="1"/>
    <x v="160"/>
    <n v="14084"/>
    <x v="737"/>
    <x v="818"/>
    <n v="69366"/>
    <n v="3300"/>
  </r>
  <r>
    <n v="5156"/>
    <x v="0"/>
    <x v="96"/>
    <x v="96"/>
    <x v="1"/>
    <x v="1"/>
    <x v="13"/>
    <n v="14098"/>
    <x v="738"/>
    <x v="549"/>
    <n v="283500"/>
    <n v="3500"/>
  </r>
  <r>
    <n v="5157"/>
    <x v="0"/>
    <x v="96"/>
    <x v="96"/>
    <x v="1"/>
    <x v="1"/>
    <x v="9"/>
    <n v="14105"/>
    <x v="739"/>
    <x v="623"/>
    <n v="26040"/>
    <n v="4200"/>
  </r>
  <r>
    <n v="5158"/>
    <x v="0"/>
    <x v="96"/>
    <x v="96"/>
    <x v="1"/>
    <x v="1"/>
    <x v="133"/>
    <n v="14112"/>
    <x v="377"/>
    <x v="385"/>
    <n v="2850"/>
    <n v="3000"/>
  </r>
  <r>
    <n v="5159"/>
    <x v="0"/>
    <x v="96"/>
    <x v="96"/>
    <x v="1"/>
    <x v="1"/>
    <x v="8"/>
    <n v="14119"/>
    <x v="315"/>
    <x v="291"/>
    <n v="28000"/>
    <n v="3500"/>
  </r>
  <r>
    <n v="5160"/>
    <x v="0"/>
    <x v="96"/>
    <x v="96"/>
    <x v="1"/>
    <x v="1"/>
    <x v="42"/>
    <n v="14133"/>
    <x v="282"/>
    <x v="288"/>
    <n v="8750"/>
    <n v="3500"/>
  </r>
  <r>
    <n v="5161"/>
    <x v="0"/>
    <x v="96"/>
    <x v="96"/>
    <x v="1"/>
    <x v="1"/>
    <x v="46"/>
    <n v="14140"/>
    <x v="108"/>
    <x v="114"/>
    <n v="5850"/>
    <n v="4500"/>
  </r>
  <r>
    <n v="5162"/>
    <x v="0"/>
    <x v="96"/>
    <x v="96"/>
    <x v="1"/>
    <x v="1"/>
    <x v="7"/>
    <n v="14147"/>
    <x v="157"/>
    <x v="209"/>
    <n v="19200"/>
    <n v="3200"/>
  </r>
  <r>
    <n v="5163"/>
    <x v="0"/>
    <x v="96"/>
    <x v="96"/>
    <x v="1"/>
    <x v="1"/>
    <x v="10"/>
    <n v="14161"/>
    <x v="221"/>
    <x v="232"/>
    <n v="77000"/>
    <n v="3500"/>
  </r>
  <r>
    <n v="5164"/>
    <x v="0"/>
    <x v="96"/>
    <x v="96"/>
    <x v="1"/>
    <x v="1"/>
    <x v="84"/>
    <n v="14168"/>
    <x v="301"/>
    <x v="767"/>
    <n v="13680"/>
    <n v="3800"/>
  </r>
  <r>
    <n v="5165"/>
    <x v="0"/>
    <x v="96"/>
    <x v="96"/>
    <x v="1"/>
    <x v="1"/>
    <x v="144"/>
    <n v="14175"/>
    <x v="180"/>
    <x v="207"/>
    <n v="1920"/>
    <n v="3200"/>
  </r>
  <r>
    <n v="5166"/>
    <x v="0"/>
    <x v="96"/>
    <x v="96"/>
    <x v="1"/>
    <x v="1"/>
    <x v="90"/>
    <n v="14182"/>
    <x v="279"/>
    <x v="670"/>
    <n v="70300"/>
    <n v="3800"/>
  </r>
  <r>
    <n v="5167"/>
    <x v="0"/>
    <x v="96"/>
    <x v="96"/>
    <x v="5"/>
    <x v="5"/>
    <x v="37"/>
    <n v="38063"/>
    <x v="26"/>
    <x v="59"/>
    <n v="600"/>
    <n v="1500"/>
  </r>
  <r>
    <n v="5168"/>
    <x v="0"/>
    <x v="96"/>
    <x v="96"/>
    <x v="16"/>
    <x v="16"/>
    <x v="206"/>
    <n v="42028"/>
    <x v="740"/>
    <x v="819"/>
    <n v="4872"/>
    <n v="4000"/>
  </r>
  <r>
    <n v="5169"/>
    <x v="0"/>
    <x v="96"/>
    <x v="96"/>
    <x v="16"/>
    <x v="16"/>
    <x v="203"/>
    <n v="42056"/>
    <x v="620"/>
    <x v="678"/>
    <n v="20800"/>
    <n v="4000"/>
  </r>
  <r>
    <n v="5170"/>
    <x v="0"/>
    <x v="96"/>
    <x v="96"/>
    <x v="16"/>
    <x v="16"/>
    <x v="209"/>
    <n v="42035"/>
    <x v="179"/>
    <x v="153"/>
    <n v="3150"/>
    <n v="3500"/>
  </r>
  <r>
    <n v="5171"/>
    <x v="0"/>
    <x v="96"/>
    <x v="96"/>
    <x v="16"/>
    <x v="16"/>
    <x v="208"/>
    <n v="42105"/>
    <x v="25"/>
    <x v="305"/>
    <n v="12400"/>
    <n v="4000"/>
  </r>
  <r>
    <n v="5172"/>
    <x v="0"/>
    <x v="96"/>
    <x v="96"/>
    <x v="16"/>
    <x v="16"/>
    <x v="138"/>
    <n v="42119"/>
    <x v="25"/>
    <x v="377"/>
    <n v="12800"/>
    <n v="4000"/>
  </r>
  <r>
    <n v="5173"/>
    <x v="0"/>
    <x v="96"/>
    <x v="96"/>
    <x v="16"/>
    <x v="16"/>
    <x v="204"/>
    <n v="42126"/>
    <x v="154"/>
    <x v="159"/>
    <n v="6300"/>
    <n v="3000"/>
  </r>
  <r>
    <n v="5174"/>
    <x v="0"/>
    <x v="96"/>
    <x v="96"/>
    <x v="16"/>
    <x v="16"/>
    <x v="205"/>
    <n v="42133"/>
    <x v="516"/>
    <x v="152"/>
    <n v="10800"/>
    <n v="4000"/>
  </r>
  <r>
    <n v="5175"/>
    <x v="0"/>
    <x v="96"/>
    <x v="96"/>
    <x v="16"/>
    <x v="16"/>
    <x v="207"/>
    <n v="42147"/>
    <x v="18"/>
    <x v="18"/>
    <n v="700"/>
    <n v="3500"/>
  </r>
  <r>
    <n v="5176"/>
    <x v="0"/>
    <x v="96"/>
    <x v="96"/>
    <x v="11"/>
    <x v="11"/>
    <x v="117"/>
    <n v="66007"/>
    <x v="741"/>
    <x v="820"/>
    <n v="1297"/>
    <n v="1300"/>
  </r>
  <r>
    <n v="5177"/>
    <x v="0"/>
    <x v="96"/>
    <x v="96"/>
    <x v="11"/>
    <x v="11"/>
    <x v="171"/>
    <n v="66056"/>
    <x v="742"/>
    <x v="821"/>
    <n v="1942"/>
    <n v="1300"/>
  </r>
  <r>
    <n v="5178"/>
    <x v="0"/>
    <x v="96"/>
    <x v="96"/>
    <x v="11"/>
    <x v="11"/>
    <x v="106"/>
    <n v="66112"/>
    <x v="14"/>
    <x v="14"/>
    <n v="650"/>
    <n v="1300"/>
  </r>
  <r>
    <n v="5179"/>
    <x v="0"/>
    <x v="96"/>
    <x v="96"/>
    <x v="11"/>
    <x v="11"/>
    <x v="140"/>
    <n v="66126"/>
    <x v="129"/>
    <x v="137"/>
    <n v="464"/>
    <n v="1100"/>
  </r>
  <r>
    <n v="5180"/>
    <x v="0"/>
    <x v="96"/>
    <x v="96"/>
    <x v="13"/>
    <x v="13"/>
    <x v="152"/>
    <n v="74007"/>
    <x v="154"/>
    <x v="159"/>
    <n v="7350"/>
    <n v="3500"/>
  </r>
  <r>
    <n v="5181"/>
    <x v="0"/>
    <x v="96"/>
    <x v="96"/>
    <x v="13"/>
    <x v="13"/>
    <x v="94"/>
    <n v="74035"/>
    <x v="743"/>
    <x v="822"/>
    <n v="33480"/>
    <n v="3100"/>
  </r>
  <r>
    <n v="5182"/>
    <x v="0"/>
    <x v="96"/>
    <x v="96"/>
    <x v="13"/>
    <x v="13"/>
    <x v="210"/>
    <n v="74042"/>
    <x v="630"/>
    <x v="688"/>
    <n v="6600"/>
    <n v="3000"/>
  </r>
  <r>
    <n v="5183"/>
    <x v="0"/>
    <x v="96"/>
    <x v="96"/>
    <x v="13"/>
    <x v="13"/>
    <x v="95"/>
    <n v="74049"/>
    <x v="26"/>
    <x v="59"/>
    <n v="1200"/>
    <n v="3000"/>
  </r>
  <r>
    <n v="5184"/>
    <x v="0"/>
    <x v="96"/>
    <x v="96"/>
    <x v="7"/>
    <x v="7"/>
    <x v="195"/>
    <n v="82042"/>
    <x v="744"/>
    <x v="823"/>
    <n v="47127"/>
    <n v="3000"/>
  </r>
  <r>
    <n v="5185"/>
    <x v="0"/>
    <x v="96"/>
    <x v="96"/>
    <x v="8"/>
    <x v="8"/>
    <x v="149"/>
    <n v="86084"/>
    <x v="12"/>
    <x v="824"/>
    <n v="738"/>
    <n v="2500"/>
  </r>
  <r>
    <n v="5186"/>
    <x v="0"/>
    <x v="96"/>
    <x v="96"/>
    <x v="9"/>
    <x v="9"/>
    <x v="69"/>
    <n v="90035"/>
    <x v="305"/>
    <x v="158"/>
    <n v="1040"/>
    <n v="1600"/>
  </r>
  <r>
    <n v="5187"/>
    <x v="0"/>
    <x v="96"/>
    <x v="96"/>
    <x v="9"/>
    <x v="9"/>
    <x v="218"/>
    <n v="90049"/>
    <x v="75"/>
    <x v="230"/>
    <n v="1200"/>
    <n v="1600"/>
  </r>
  <r>
    <n v="5188"/>
    <x v="0"/>
    <x v="96"/>
    <x v="96"/>
    <x v="9"/>
    <x v="9"/>
    <x v="66"/>
    <n v="90056"/>
    <x v="231"/>
    <x v="212"/>
    <n v="720"/>
    <n v="1600"/>
  </r>
  <r>
    <n v="5189"/>
    <x v="0"/>
    <x v="97"/>
    <x v="97"/>
    <x v="15"/>
    <x v="15"/>
    <x v="174"/>
    <n v="6854"/>
    <x v="137"/>
    <x v="825"/>
    <n v="2066"/>
    <n v="2799"/>
  </r>
  <r>
    <n v="5190"/>
    <x v="0"/>
    <x v="97"/>
    <x v="97"/>
    <x v="15"/>
    <x v="15"/>
    <x v="172"/>
    <n v="6588"/>
    <x v="74"/>
    <x v="128"/>
    <n v="6000"/>
    <n v="3000"/>
  </r>
  <r>
    <n v="5191"/>
    <x v="0"/>
    <x v="97"/>
    <x v="97"/>
    <x v="15"/>
    <x v="15"/>
    <x v="212"/>
    <n v="6007"/>
    <x v="12"/>
    <x v="12"/>
    <n v="960"/>
    <n v="3200"/>
  </r>
  <r>
    <n v="5192"/>
    <x v="0"/>
    <x v="97"/>
    <x v="97"/>
    <x v="15"/>
    <x v="15"/>
    <x v="219"/>
    <n v="6105"/>
    <x v="745"/>
    <x v="826"/>
    <n v="731"/>
    <n v="3400"/>
  </r>
  <r>
    <n v="5193"/>
    <x v="0"/>
    <x v="97"/>
    <x v="97"/>
    <x v="15"/>
    <x v="15"/>
    <x v="124"/>
    <n v="6112"/>
    <x v="153"/>
    <x v="282"/>
    <n v="2400"/>
    <n v="3000"/>
  </r>
  <r>
    <n v="5194"/>
    <x v="0"/>
    <x v="97"/>
    <x v="97"/>
    <x v="15"/>
    <x v="15"/>
    <x v="224"/>
    <n v="6147"/>
    <x v="746"/>
    <x v="827"/>
    <n v="1660"/>
    <n v="4301"/>
  </r>
  <r>
    <n v="5195"/>
    <x v="0"/>
    <x v="97"/>
    <x v="97"/>
    <x v="15"/>
    <x v="15"/>
    <x v="213"/>
    <n v="6154"/>
    <x v="747"/>
    <x v="828"/>
    <n v="39110"/>
    <n v="4100"/>
  </r>
  <r>
    <n v="5196"/>
    <x v="0"/>
    <x v="97"/>
    <x v="97"/>
    <x v="15"/>
    <x v="15"/>
    <x v="220"/>
    <n v="6231"/>
    <x v="58"/>
    <x v="57"/>
    <n v="2380"/>
    <n v="3400"/>
  </r>
  <r>
    <n v="5197"/>
    <x v="0"/>
    <x v="97"/>
    <x v="97"/>
    <x v="15"/>
    <x v="15"/>
    <x v="214"/>
    <n v="6277"/>
    <x v="229"/>
    <x v="318"/>
    <n v="20185"/>
    <n v="3670"/>
  </r>
  <r>
    <n v="5198"/>
    <x v="0"/>
    <x v="97"/>
    <x v="97"/>
    <x v="15"/>
    <x v="15"/>
    <x v="216"/>
    <n v="6294"/>
    <x v="418"/>
    <x v="802"/>
    <n v="7360"/>
    <n v="3200"/>
  </r>
  <r>
    <n v="5199"/>
    <x v="0"/>
    <x v="97"/>
    <x v="97"/>
    <x v="15"/>
    <x v="15"/>
    <x v="122"/>
    <n v="6351"/>
    <x v="64"/>
    <x v="829"/>
    <n v="28500"/>
    <n v="3750"/>
  </r>
  <r>
    <n v="5200"/>
    <x v="0"/>
    <x v="97"/>
    <x v="97"/>
    <x v="15"/>
    <x v="15"/>
    <x v="222"/>
    <n v="6385"/>
    <x v="12"/>
    <x v="12"/>
    <n v="1230"/>
    <n v="4100"/>
  </r>
  <r>
    <n v="5201"/>
    <x v="0"/>
    <x v="97"/>
    <x v="97"/>
    <x v="15"/>
    <x v="15"/>
    <x v="191"/>
    <n v="6392"/>
    <x v="438"/>
    <x v="457"/>
    <n v="64750"/>
    <n v="3700"/>
  </r>
  <r>
    <n v="5202"/>
    <x v="0"/>
    <x v="97"/>
    <x v="97"/>
    <x v="15"/>
    <x v="15"/>
    <x v="217"/>
    <n v="6399"/>
    <x v="80"/>
    <x v="82"/>
    <n v="5760"/>
    <n v="3200"/>
  </r>
  <r>
    <n v="5203"/>
    <x v="0"/>
    <x v="97"/>
    <x v="97"/>
    <x v="15"/>
    <x v="15"/>
    <x v="221"/>
    <n v="6406"/>
    <x v="748"/>
    <x v="830"/>
    <n v="4250"/>
    <n v="3400"/>
  </r>
  <r>
    <n v="5204"/>
    <x v="0"/>
    <x v="97"/>
    <x v="97"/>
    <x v="15"/>
    <x v="15"/>
    <x v="95"/>
    <n v="6413"/>
    <x v="56"/>
    <x v="55"/>
    <n v="5120"/>
    <n v="3200"/>
  </r>
  <r>
    <n v="5205"/>
    <x v="0"/>
    <x v="97"/>
    <x v="97"/>
    <x v="15"/>
    <x v="15"/>
    <x v="183"/>
    <n v="6462"/>
    <x v="74"/>
    <x v="128"/>
    <n v="7200"/>
    <n v="3600"/>
  </r>
  <r>
    <n v="5206"/>
    <x v="0"/>
    <x v="97"/>
    <x v="97"/>
    <x v="15"/>
    <x v="15"/>
    <x v="126"/>
    <n v="6469"/>
    <x v="154"/>
    <x v="159"/>
    <n v="7644"/>
    <n v="3640"/>
  </r>
  <r>
    <n v="5207"/>
    <x v="0"/>
    <x v="97"/>
    <x v="97"/>
    <x v="15"/>
    <x v="15"/>
    <x v="127"/>
    <n v="6609"/>
    <x v="749"/>
    <x v="831"/>
    <n v="15536"/>
    <n v="4300"/>
  </r>
  <r>
    <n v="5208"/>
    <x v="0"/>
    <x v="97"/>
    <x v="97"/>
    <x v="15"/>
    <x v="15"/>
    <x v="102"/>
    <n v="6616"/>
    <x v="282"/>
    <x v="465"/>
    <n v="7680"/>
    <n v="3200"/>
  </r>
  <r>
    <n v="5209"/>
    <x v="0"/>
    <x v="97"/>
    <x v="97"/>
    <x v="15"/>
    <x v="15"/>
    <x v="123"/>
    <n v="6679"/>
    <x v="750"/>
    <x v="832"/>
    <n v="70664"/>
    <n v="3900"/>
  </r>
  <r>
    <n v="5210"/>
    <x v="0"/>
    <x v="97"/>
    <x v="97"/>
    <x v="15"/>
    <x v="15"/>
    <x v="223"/>
    <n v="6707"/>
    <x v="734"/>
    <x v="266"/>
    <n v="267"/>
    <n v="2697"/>
  </r>
  <r>
    <n v="5211"/>
    <x v="0"/>
    <x v="97"/>
    <x v="97"/>
    <x v="15"/>
    <x v="15"/>
    <x v="215"/>
    <n v="6721"/>
    <x v="14"/>
    <x v="14"/>
    <n v="1580"/>
    <n v="3160"/>
  </r>
  <r>
    <n v="5212"/>
    <x v="0"/>
    <x v="97"/>
    <x v="97"/>
    <x v="15"/>
    <x v="15"/>
    <x v="129"/>
    <n v="6826"/>
    <x v="293"/>
    <x v="833"/>
    <n v="12728"/>
    <n v="3700"/>
  </r>
  <r>
    <n v="5213"/>
    <x v="0"/>
    <x v="97"/>
    <x v="97"/>
    <x v="10"/>
    <x v="10"/>
    <x v="58"/>
    <n v="10098"/>
    <x v="57"/>
    <x v="56"/>
    <n v="2280"/>
    <n v="1900"/>
  </r>
  <r>
    <n v="5214"/>
    <x v="0"/>
    <x v="97"/>
    <x v="97"/>
    <x v="1"/>
    <x v="1"/>
    <x v="70"/>
    <n v="14007"/>
    <x v="74"/>
    <x v="128"/>
    <n v="7000"/>
    <n v="3500"/>
  </r>
  <r>
    <n v="5215"/>
    <x v="0"/>
    <x v="97"/>
    <x v="97"/>
    <x v="1"/>
    <x v="1"/>
    <x v="12"/>
    <n v="14014"/>
    <x v="401"/>
    <x v="310"/>
    <n v="1760"/>
    <n v="3200"/>
  </r>
  <r>
    <n v="5216"/>
    <x v="0"/>
    <x v="97"/>
    <x v="97"/>
    <x v="1"/>
    <x v="1"/>
    <x v="11"/>
    <n v="14021"/>
    <x v="591"/>
    <x v="356"/>
    <n v="10998"/>
    <n v="4230"/>
  </r>
  <r>
    <n v="5217"/>
    <x v="0"/>
    <x v="97"/>
    <x v="97"/>
    <x v="1"/>
    <x v="1"/>
    <x v="135"/>
    <n v="14028"/>
    <x v="153"/>
    <x v="282"/>
    <n v="2400"/>
    <n v="3000"/>
  </r>
  <r>
    <n v="5218"/>
    <x v="0"/>
    <x v="97"/>
    <x v="97"/>
    <x v="1"/>
    <x v="1"/>
    <x v="96"/>
    <n v="14035"/>
    <x v="751"/>
    <x v="834"/>
    <n v="249150"/>
    <n v="3000"/>
  </r>
  <r>
    <n v="5219"/>
    <x v="0"/>
    <x v="97"/>
    <x v="97"/>
    <x v="1"/>
    <x v="1"/>
    <x v="143"/>
    <n v="14042"/>
    <x v="752"/>
    <x v="835"/>
    <n v="66900"/>
    <n v="3000"/>
  </r>
  <r>
    <n v="5220"/>
    <x v="0"/>
    <x v="97"/>
    <x v="97"/>
    <x v="1"/>
    <x v="1"/>
    <x v="107"/>
    <n v="14056"/>
    <x v="753"/>
    <x v="836"/>
    <n v="180084"/>
    <n v="3490"/>
  </r>
  <r>
    <n v="5221"/>
    <x v="0"/>
    <x v="97"/>
    <x v="97"/>
    <x v="1"/>
    <x v="1"/>
    <x v="186"/>
    <n v="14063"/>
    <x v="754"/>
    <x v="837"/>
    <n v="46170"/>
    <n v="3800"/>
  </r>
  <r>
    <n v="5222"/>
    <x v="0"/>
    <x v="97"/>
    <x v="97"/>
    <x v="1"/>
    <x v="1"/>
    <x v="160"/>
    <n v="14084"/>
    <x v="755"/>
    <x v="838"/>
    <n v="94122"/>
    <n v="3400"/>
  </r>
  <r>
    <n v="5223"/>
    <x v="0"/>
    <x v="97"/>
    <x v="97"/>
    <x v="1"/>
    <x v="1"/>
    <x v="13"/>
    <n v="14098"/>
    <x v="436"/>
    <x v="455"/>
    <n v="297500"/>
    <n v="3500"/>
  </r>
  <r>
    <n v="5224"/>
    <x v="0"/>
    <x v="97"/>
    <x v="97"/>
    <x v="1"/>
    <x v="1"/>
    <x v="9"/>
    <n v="14105"/>
    <x v="151"/>
    <x v="538"/>
    <n v="34725"/>
    <n v="4630"/>
  </r>
  <r>
    <n v="5225"/>
    <x v="0"/>
    <x v="97"/>
    <x v="97"/>
    <x v="1"/>
    <x v="1"/>
    <x v="133"/>
    <n v="14112"/>
    <x v="282"/>
    <x v="288"/>
    <n v="8750"/>
    <n v="3500"/>
  </r>
  <r>
    <n v="5226"/>
    <x v="0"/>
    <x v="97"/>
    <x v="97"/>
    <x v="1"/>
    <x v="1"/>
    <x v="8"/>
    <n v="14119"/>
    <x v="756"/>
    <x v="839"/>
    <n v="55360"/>
    <n v="3200"/>
  </r>
  <r>
    <n v="5227"/>
    <x v="0"/>
    <x v="97"/>
    <x v="97"/>
    <x v="1"/>
    <x v="1"/>
    <x v="131"/>
    <n v="14126"/>
    <x v="23"/>
    <x v="23"/>
    <n v="400"/>
    <n v="4000"/>
  </r>
  <r>
    <n v="5228"/>
    <x v="0"/>
    <x v="97"/>
    <x v="97"/>
    <x v="1"/>
    <x v="1"/>
    <x v="42"/>
    <n v="14133"/>
    <x v="11"/>
    <x v="11"/>
    <n v="4000"/>
    <n v="4000"/>
  </r>
  <r>
    <n v="5229"/>
    <x v="0"/>
    <x v="97"/>
    <x v="97"/>
    <x v="1"/>
    <x v="1"/>
    <x v="46"/>
    <n v="14140"/>
    <x v="418"/>
    <x v="802"/>
    <n v="10350"/>
    <n v="4500"/>
  </r>
  <r>
    <n v="5230"/>
    <x v="0"/>
    <x v="97"/>
    <x v="97"/>
    <x v="1"/>
    <x v="1"/>
    <x v="7"/>
    <n v="14147"/>
    <x v="607"/>
    <x v="174"/>
    <n v="12760"/>
    <n v="2900"/>
  </r>
  <r>
    <n v="5231"/>
    <x v="0"/>
    <x v="97"/>
    <x v="97"/>
    <x v="1"/>
    <x v="1"/>
    <x v="10"/>
    <n v="14161"/>
    <x v="386"/>
    <x v="401"/>
    <n v="86000"/>
    <n v="3440"/>
  </r>
  <r>
    <n v="5232"/>
    <x v="0"/>
    <x v="97"/>
    <x v="97"/>
    <x v="1"/>
    <x v="1"/>
    <x v="84"/>
    <n v="14168"/>
    <x v="108"/>
    <x v="114"/>
    <n v="5330"/>
    <n v="4100"/>
  </r>
  <r>
    <n v="5233"/>
    <x v="0"/>
    <x v="97"/>
    <x v="97"/>
    <x v="1"/>
    <x v="1"/>
    <x v="144"/>
    <n v="14175"/>
    <x v="57"/>
    <x v="56"/>
    <n v="4734"/>
    <n v="3945"/>
  </r>
  <r>
    <n v="5234"/>
    <x v="0"/>
    <x v="97"/>
    <x v="97"/>
    <x v="1"/>
    <x v="1"/>
    <x v="90"/>
    <n v="14182"/>
    <x v="757"/>
    <x v="840"/>
    <n v="89870"/>
    <n v="3800"/>
  </r>
  <r>
    <n v="5235"/>
    <x v="0"/>
    <x v="97"/>
    <x v="97"/>
    <x v="5"/>
    <x v="5"/>
    <x v="37"/>
    <n v="38063"/>
    <x v="26"/>
    <x v="59"/>
    <n v="520"/>
    <n v="1300"/>
  </r>
  <r>
    <n v="5236"/>
    <x v="0"/>
    <x v="97"/>
    <x v="97"/>
    <x v="16"/>
    <x v="16"/>
    <x v="206"/>
    <n v="42028"/>
    <x v="80"/>
    <x v="82"/>
    <n v="6300"/>
    <n v="3500"/>
  </r>
  <r>
    <n v="5237"/>
    <x v="0"/>
    <x v="97"/>
    <x v="97"/>
    <x v="16"/>
    <x v="16"/>
    <x v="203"/>
    <n v="42056"/>
    <x v="438"/>
    <x v="841"/>
    <n v="60333"/>
    <n v="3500"/>
  </r>
  <r>
    <n v="5238"/>
    <x v="0"/>
    <x v="97"/>
    <x v="97"/>
    <x v="16"/>
    <x v="16"/>
    <x v="209"/>
    <n v="42035"/>
    <x v="108"/>
    <x v="842"/>
    <n v="4484"/>
    <n v="3500"/>
  </r>
  <r>
    <n v="5239"/>
    <x v="0"/>
    <x v="97"/>
    <x v="97"/>
    <x v="16"/>
    <x v="16"/>
    <x v="208"/>
    <n v="42105"/>
    <x v="758"/>
    <x v="843"/>
    <n v="41713"/>
    <n v="3500"/>
  </r>
  <r>
    <n v="5240"/>
    <x v="0"/>
    <x v="97"/>
    <x v="97"/>
    <x v="16"/>
    <x v="16"/>
    <x v="138"/>
    <n v="42119"/>
    <x v="282"/>
    <x v="844"/>
    <n v="8469"/>
    <n v="3440"/>
  </r>
  <r>
    <n v="5241"/>
    <x v="0"/>
    <x v="97"/>
    <x v="97"/>
    <x v="16"/>
    <x v="16"/>
    <x v="204"/>
    <n v="42126"/>
    <x v="18"/>
    <x v="845"/>
    <n v="690"/>
    <n v="3503"/>
  </r>
  <r>
    <n v="5242"/>
    <x v="0"/>
    <x v="97"/>
    <x v="97"/>
    <x v="16"/>
    <x v="16"/>
    <x v="205"/>
    <n v="42133"/>
    <x v="232"/>
    <x v="846"/>
    <n v="4964"/>
    <n v="3600"/>
  </r>
  <r>
    <n v="5243"/>
    <x v="0"/>
    <x v="97"/>
    <x v="97"/>
    <x v="16"/>
    <x v="16"/>
    <x v="207"/>
    <n v="42147"/>
    <x v="12"/>
    <x v="824"/>
    <n v="1033"/>
    <n v="3502"/>
  </r>
  <r>
    <n v="5244"/>
    <x v="0"/>
    <x v="97"/>
    <x v="97"/>
    <x v="11"/>
    <x v="11"/>
    <x v="117"/>
    <n v="66007"/>
    <x v="17"/>
    <x v="17"/>
    <n v="0"/>
    <n v="0"/>
  </r>
  <r>
    <n v="5245"/>
    <x v="0"/>
    <x v="97"/>
    <x v="97"/>
    <x v="11"/>
    <x v="11"/>
    <x v="171"/>
    <n v="66056"/>
    <x v="759"/>
    <x v="847"/>
    <n v="1423"/>
    <n v="1100"/>
  </r>
  <r>
    <n v="5246"/>
    <x v="0"/>
    <x v="97"/>
    <x v="97"/>
    <x v="11"/>
    <x v="11"/>
    <x v="106"/>
    <n v="66112"/>
    <x v="58"/>
    <x v="57"/>
    <n v="840"/>
    <n v="1200"/>
  </r>
  <r>
    <n v="5247"/>
    <x v="0"/>
    <x v="97"/>
    <x v="97"/>
    <x v="11"/>
    <x v="11"/>
    <x v="140"/>
    <n v="66126"/>
    <x v="44"/>
    <x v="111"/>
    <n v="50"/>
    <n v="1000"/>
  </r>
  <r>
    <n v="5248"/>
    <x v="0"/>
    <x v="97"/>
    <x v="97"/>
    <x v="11"/>
    <x v="11"/>
    <x v="146"/>
    <n v="66140"/>
    <x v="84"/>
    <x v="115"/>
    <n v="280"/>
    <n v="1000"/>
  </r>
  <r>
    <n v="5249"/>
    <x v="0"/>
    <x v="97"/>
    <x v="97"/>
    <x v="13"/>
    <x v="13"/>
    <x v="152"/>
    <n v="74007"/>
    <x v="282"/>
    <x v="288"/>
    <n v="7525"/>
    <n v="3010"/>
  </r>
  <r>
    <n v="5250"/>
    <x v="0"/>
    <x v="97"/>
    <x v="97"/>
    <x v="13"/>
    <x v="13"/>
    <x v="94"/>
    <n v="74035"/>
    <x v="544"/>
    <x v="594"/>
    <n v="18361"/>
    <n v="3010"/>
  </r>
  <r>
    <n v="5251"/>
    <x v="0"/>
    <x v="97"/>
    <x v="97"/>
    <x v="13"/>
    <x v="13"/>
    <x v="210"/>
    <n v="74042"/>
    <x v="384"/>
    <x v="152"/>
    <n v="9045"/>
    <n v="3350"/>
  </r>
  <r>
    <n v="5252"/>
    <x v="0"/>
    <x v="97"/>
    <x v="97"/>
    <x v="13"/>
    <x v="13"/>
    <x v="95"/>
    <n v="74049"/>
    <x v="66"/>
    <x v="452"/>
    <n v="1407"/>
    <n v="3350"/>
  </r>
  <r>
    <n v="5253"/>
    <x v="0"/>
    <x v="97"/>
    <x v="97"/>
    <x v="7"/>
    <x v="7"/>
    <x v="195"/>
    <n v="82042"/>
    <x v="760"/>
    <x v="848"/>
    <n v="51170"/>
    <n v="2800"/>
  </r>
  <r>
    <n v="5254"/>
    <x v="0"/>
    <x v="97"/>
    <x v="97"/>
    <x v="8"/>
    <x v="8"/>
    <x v="149"/>
    <n v="86084"/>
    <x v="12"/>
    <x v="849"/>
    <n v="627"/>
    <n v="2200"/>
  </r>
  <r>
    <n v="5255"/>
    <x v="0"/>
    <x v="97"/>
    <x v="97"/>
    <x v="9"/>
    <x v="9"/>
    <x v="218"/>
    <n v="90049"/>
    <x v="10"/>
    <x v="10"/>
    <n v="2068"/>
    <n v="1880"/>
  </r>
  <r>
    <n v="5256"/>
    <x v="0"/>
    <x v="97"/>
    <x v="97"/>
    <x v="9"/>
    <x v="9"/>
    <x v="66"/>
    <n v="90056"/>
    <x v="58"/>
    <x v="57"/>
    <n v="1386"/>
    <n v="1980"/>
  </r>
  <r>
    <n v="5257"/>
    <x v="0"/>
    <x v="97"/>
    <x v="97"/>
    <x v="9"/>
    <x v="9"/>
    <x v="225"/>
    <n v="90091"/>
    <x v="61"/>
    <x v="61"/>
    <n v="445"/>
    <n v="17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4C908-4C1D-47AF-8017-C41A4B834C72}" name="ComparacionCampaniasProv" cacheId="0" dataPosition="0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outline="1" outlineData="1" multipleFieldFilters="0" rowHeaderCaption="Provincias" colHeaderCaption="" fieldListSortAscending="1">
  <location ref="A1:E38" firstHeaderRow="0" firstDataRow="1" firstDataCol="1"/>
  <pivotFields count="12">
    <pivotField showAll="0"/>
    <pivotField showAll="0"/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Campaña" axis="axisRow" multipleItemSelectionAllowed="1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x="93"/>
        <item x="94"/>
        <item h="1" x="95"/>
        <item h="1" x="96"/>
        <item h="1" x="97"/>
        <item t="default"/>
      </items>
    </pivotField>
    <pivotField name="Provincia" axis="axisRow" multipleItemSelectionAllowed="1" showAll="0" sortType="descending">
      <items count="19">
        <item x="15"/>
        <item x="10"/>
        <item x="0"/>
        <item x="1"/>
        <item x="2"/>
        <item x="3"/>
        <item x="4"/>
        <item x="5"/>
        <item x="16"/>
        <item x="17"/>
        <item x="14"/>
        <item x="6"/>
        <item x="11"/>
        <item x="12"/>
        <item x="13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27">
        <item x="62"/>
        <item x="169"/>
        <item x="178"/>
        <item x="174"/>
        <item x="47"/>
        <item x="172"/>
        <item x="212"/>
        <item x="155"/>
        <item x="157"/>
        <item x="188"/>
        <item x="117"/>
        <item x="39"/>
        <item x="153"/>
        <item x="152"/>
        <item x="121"/>
        <item x="120"/>
        <item x="21"/>
        <item x="4"/>
        <item x="75"/>
        <item x="219"/>
        <item x="124"/>
        <item x="55"/>
        <item x="114"/>
        <item x="70"/>
        <item x="0"/>
        <item x="98"/>
        <item x="40"/>
        <item x="202"/>
        <item x="12"/>
        <item x="224"/>
        <item x="213"/>
        <item x="119"/>
        <item x="206"/>
        <item x="93"/>
        <item x="87"/>
        <item x="203"/>
        <item x="83"/>
        <item x="125"/>
        <item x="52"/>
        <item x="11"/>
        <item x="180"/>
        <item x="43"/>
        <item x="29"/>
        <item x="209"/>
        <item x="156"/>
        <item x="3"/>
        <item x="86"/>
        <item x="65"/>
        <item x="135"/>
        <item x="25"/>
        <item x="220"/>
        <item x="161"/>
        <item x="35"/>
        <item x="185"/>
        <item x="17"/>
        <item x="18"/>
        <item x="63"/>
        <item x="28"/>
        <item x="196"/>
        <item x="110"/>
        <item x="148"/>
        <item x="214"/>
        <item x="32"/>
        <item x="179"/>
        <item x="59"/>
        <item x="45"/>
        <item x="105"/>
        <item x="216"/>
        <item x="142"/>
        <item x="168"/>
        <item x="176"/>
        <item x="171"/>
        <item x="195"/>
        <item x="192"/>
        <item x="44"/>
        <item x="72"/>
        <item x="94"/>
        <item x="122"/>
        <item x="96"/>
        <item x="143"/>
        <item x="222"/>
        <item x="191"/>
        <item x="210"/>
        <item x="26"/>
        <item x="69"/>
        <item x="193"/>
        <item x="111"/>
        <item x="80"/>
        <item x="217"/>
        <item x="115"/>
        <item x="149"/>
        <item x="198"/>
        <item x="221"/>
        <item x="116"/>
        <item x="190"/>
        <item x="197"/>
        <item x="132"/>
        <item x="73"/>
        <item x="22"/>
        <item x="103"/>
        <item x="211"/>
        <item x="107"/>
        <item x="95"/>
        <item x="53"/>
        <item x="147"/>
        <item x="99"/>
        <item x="36"/>
        <item x="218"/>
        <item x="139"/>
        <item x="92"/>
        <item x="201"/>
        <item x="31"/>
        <item x="101"/>
        <item x="16"/>
        <item x="66"/>
        <item x="183"/>
        <item x="137"/>
        <item x="170"/>
        <item x="88"/>
        <item x="126"/>
        <item x="177"/>
        <item x="208"/>
        <item x="186"/>
        <item x="48"/>
        <item x="71"/>
        <item x="78"/>
        <item x="106"/>
        <item x="136"/>
        <item x="49"/>
        <item x="15"/>
        <item x="184"/>
        <item x="67"/>
        <item x="50"/>
        <item x="1"/>
        <item x="108"/>
        <item x="182"/>
        <item x="181"/>
        <item x="141"/>
        <item x="140"/>
        <item x="14"/>
        <item x="57"/>
        <item x="91"/>
        <item x="77"/>
        <item x="34"/>
        <item x="127"/>
        <item x="102"/>
        <item x="81"/>
        <item x="30"/>
        <item x="33"/>
        <item x="151"/>
        <item x="85"/>
        <item x="56"/>
        <item x="164"/>
        <item x="166"/>
        <item x="160"/>
        <item x="134"/>
        <item x="150"/>
        <item x="138"/>
        <item x="173"/>
        <item x="162"/>
        <item x="204"/>
        <item x="205"/>
        <item x="2"/>
        <item x="82"/>
        <item x="13"/>
        <item x="51"/>
        <item x="9"/>
        <item x="133"/>
        <item x="8"/>
        <item x="130"/>
        <item x="123"/>
        <item x="54"/>
        <item x="146"/>
        <item x="97"/>
        <item x="23"/>
        <item x="223"/>
        <item x="158"/>
        <item x="215"/>
        <item x="131"/>
        <item x="128"/>
        <item x="38"/>
        <item x="199"/>
        <item x="19"/>
        <item x="118"/>
        <item x="175"/>
        <item x="41"/>
        <item x="42"/>
        <item x="163"/>
        <item x="46"/>
        <item x="189"/>
        <item x="24"/>
        <item x="20"/>
        <item x="76"/>
        <item x="37"/>
        <item x="104"/>
        <item x="74"/>
        <item x="194"/>
        <item x="7"/>
        <item x="58"/>
        <item x="187"/>
        <item x="27"/>
        <item x="167"/>
        <item x="159"/>
        <item x="61"/>
        <item x="154"/>
        <item x="225"/>
        <item x="145"/>
        <item x="68"/>
        <item x="113"/>
        <item x="6"/>
        <item x="89"/>
        <item x="10"/>
        <item x="5"/>
        <item x="84"/>
        <item x="64"/>
        <item x="207"/>
        <item x="129"/>
        <item x="144"/>
        <item x="200"/>
        <item x="90"/>
        <item x="79"/>
        <item x="60"/>
        <item x="100"/>
        <item x="109"/>
        <item x="112"/>
        <item x="165"/>
        <item t="default"/>
      </items>
    </pivotField>
    <pivotField showAll="0"/>
    <pivotField dataField="1" showAll="0">
      <items count="762">
        <item x="48"/>
        <item x="34"/>
        <item x="30"/>
        <item x="47"/>
        <item x="33"/>
        <item x="78"/>
        <item x="29"/>
        <item x="77"/>
        <item x="53"/>
        <item x="32"/>
        <item x="50"/>
        <item x="13"/>
        <item x="128"/>
        <item x="170"/>
        <item x="31"/>
        <item x="132"/>
        <item x="107"/>
        <item x="95"/>
        <item x="46"/>
        <item x="45"/>
        <item x="40"/>
        <item x="94"/>
        <item x="93"/>
        <item x="6"/>
        <item x="92"/>
        <item x="105"/>
        <item x="76"/>
        <item x="146"/>
        <item x="145"/>
        <item x="72"/>
        <item x="284"/>
        <item x="96"/>
        <item x="5"/>
        <item x="101"/>
        <item x="131"/>
        <item x="4"/>
        <item x="275"/>
        <item x="426"/>
        <item x="130"/>
        <item x="125"/>
        <item x="274"/>
        <item x="100"/>
        <item x="197"/>
        <item x="28"/>
        <item x="39"/>
        <item x="182"/>
        <item x="119"/>
        <item x="220"/>
        <item x="124"/>
        <item x="44"/>
        <item x="435"/>
        <item x="199"/>
        <item x="118"/>
        <item x="175"/>
        <item x="38"/>
        <item x="196"/>
        <item x="337"/>
        <item x="250"/>
        <item x="192"/>
        <item x="225"/>
        <item x="91"/>
        <item x="90"/>
        <item x="318"/>
        <item x="181"/>
        <item x="27"/>
        <item x="255"/>
        <item x="332"/>
        <item x="373"/>
        <item x="174"/>
        <item x="127"/>
        <item x="3"/>
        <item x="273"/>
        <item x="256"/>
        <item x="249"/>
        <item x="89"/>
        <item x="88"/>
        <item x="427"/>
        <item x="248"/>
        <item x="67"/>
        <item x="87"/>
        <item x="453"/>
        <item x="99"/>
        <item x="71"/>
        <item x="209"/>
        <item x="254"/>
        <item x="117"/>
        <item x="331"/>
        <item x="224"/>
        <item x="247"/>
        <item x="371"/>
        <item x="168"/>
        <item x="253"/>
        <item x="452"/>
        <item x="144"/>
        <item x="734"/>
        <item x="23"/>
        <item x="246"/>
        <item x="188"/>
        <item x="116"/>
        <item x="86"/>
        <item x="37"/>
        <item x="223"/>
        <item x="150"/>
        <item x="245"/>
        <item x="354"/>
        <item x="123"/>
        <item x="339"/>
        <item x="169"/>
        <item x="208"/>
        <item x="36"/>
        <item x="167"/>
        <item x="321"/>
        <item x="272"/>
        <item x="143"/>
        <item x="98"/>
        <item x="142"/>
        <item x="498"/>
        <item x="22"/>
        <item x="70"/>
        <item x="21"/>
        <item x="353"/>
        <item x="363"/>
        <item x="166"/>
        <item x="207"/>
        <item x="115"/>
        <item x="505"/>
        <item x="364"/>
        <item x="20"/>
        <item x="52"/>
        <item x="271"/>
        <item x="506"/>
        <item x="441"/>
        <item x="114"/>
        <item x="113"/>
        <item x="195"/>
        <item x="69"/>
        <item x="212"/>
        <item x="198"/>
        <item x="19"/>
        <item x="270"/>
        <item x="35"/>
        <item x="406"/>
        <item x="165"/>
        <item x="63"/>
        <item x="49"/>
        <item x="419"/>
        <item x="215"/>
        <item x="206"/>
        <item x="219"/>
        <item x="283"/>
        <item x="2"/>
        <item x="173"/>
        <item x="619"/>
        <item x="18"/>
        <item x="112"/>
        <item x="141"/>
        <item x="205"/>
        <item x="97"/>
        <item x="297"/>
        <item x="187"/>
        <item x="352"/>
        <item x="745"/>
        <item x="710"/>
        <item x="62"/>
        <item x="85"/>
        <item x="242"/>
        <item x="164"/>
        <item x="204"/>
        <item x="411"/>
        <item x="104"/>
        <item x="456"/>
        <item x="203"/>
        <item x="350"/>
        <item x="61"/>
        <item x="396"/>
        <item x="463"/>
        <item x="434"/>
        <item x="445"/>
        <item x="17"/>
        <item x="111"/>
        <item x="122"/>
        <item x="302"/>
        <item x="84"/>
        <item x="244"/>
        <item x="457"/>
        <item x="351"/>
        <item x="227"/>
        <item x="12"/>
        <item x="186"/>
        <item x="330"/>
        <item x="149"/>
        <item x="60"/>
        <item x="191"/>
        <item x="269"/>
        <item x="68"/>
        <item x="148"/>
        <item x="451"/>
        <item x="214"/>
        <item x="510"/>
        <item x="320"/>
        <item x="291"/>
        <item x="294"/>
        <item x="110"/>
        <item x="16"/>
        <item x="190"/>
        <item x="163"/>
        <item x="185"/>
        <item x="685"/>
        <item x="109"/>
        <item x="202"/>
        <item x="422"/>
        <item x="172"/>
        <item x="303"/>
        <item x="400"/>
        <item x="121"/>
        <item x="618"/>
        <item x="26"/>
        <item x="162"/>
        <item x="184"/>
        <item x="15"/>
        <item x="171"/>
        <item x="66"/>
        <item x="129"/>
        <item x="319"/>
        <item x="342"/>
        <item x="178"/>
        <item x="83"/>
        <item x="213"/>
        <item x="241"/>
        <item x="231"/>
        <item x="1"/>
        <item x="746"/>
        <item x="433"/>
        <item x="59"/>
        <item x="161"/>
        <item x="314"/>
        <item x="230"/>
        <item x="286"/>
        <item x="14"/>
        <item x="722"/>
        <item x="296"/>
        <item x="295"/>
        <item x="183"/>
        <item x="309"/>
        <item x="476"/>
        <item x="446"/>
        <item x="336"/>
        <item x="140"/>
        <item x="483"/>
        <item x="217"/>
        <item x="401"/>
        <item x="308"/>
        <item x="268"/>
        <item x="329"/>
        <item x="487"/>
        <item x="139"/>
        <item x="160"/>
        <item x="370"/>
        <item x="138"/>
        <item x="285"/>
        <item x="333"/>
        <item x="180"/>
        <item x="82"/>
        <item x="317"/>
        <item x="307"/>
        <item x="292"/>
        <item x="338"/>
        <item x="707"/>
        <item x="305"/>
        <item x="267"/>
        <item x="657"/>
        <item x="728"/>
        <item x="450"/>
        <item x="51"/>
        <item x="261"/>
        <item x="58"/>
        <item x="341"/>
        <item x="137"/>
        <item x="75"/>
        <item x="260"/>
        <item x="715"/>
        <item x="704"/>
        <item x="719"/>
        <item x="153"/>
        <item x="660"/>
        <item x="507"/>
        <item x="488"/>
        <item x="43"/>
        <item x="598"/>
        <item x="218"/>
        <item x="259"/>
        <item x="277"/>
        <item x="673"/>
        <item x="410"/>
        <item x="240"/>
        <item x="179"/>
        <item x="682"/>
        <item x="377"/>
        <item x="136"/>
        <item x="405"/>
        <item x="713"/>
        <item x="480"/>
        <item x="718"/>
        <item x="741"/>
        <item x="11"/>
        <item x="590"/>
        <item x="638"/>
        <item x="472"/>
        <item x="216"/>
        <item x="243"/>
        <item x="730"/>
        <item x="732"/>
        <item x="349"/>
        <item x="10"/>
        <item x="518"/>
        <item x="586"/>
        <item x="369"/>
        <item x="362"/>
        <item x="468"/>
        <item x="57"/>
        <item x="740"/>
        <item x="389"/>
        <item x="393"/>
        <item x="748"/>
        <item x="729"/>
        <item x="759"/>
        <item x="239"/>
        <item x="108"/>
        <item x="281"/>
        <item x="467"/>
        <item x="523"/>
        <item x="693"/>
        <item x="232"/>
        <item x="674"/>
        <item x="675"/>
        <item x="742"/>
        <item x="81"/>
        <item x="238"/>
        <item x="517"/>
        <item x="672"/>
        <item x="56"/>
        <item x="712"/>
        <item x="723"/>
        <item x="328"/>
        <item x="9"/>
        <item x="664"/>
        <item x="290"/>
        <item x="708"/>
        <item x="252"/>
        <item x="80"/>
        <item x="361"/>
        <item x="702"/>
        <item x="135"/>
        <item x="608"/>
        <item x="74"/>
        <item x="720"/>
        <item x="106"/>
        <item x="514"/>
        <item x="636"/>
        <item x="154"/>
        <item x="152"/>
        <item x="703"/>
        <item x="211"/>
        <item x="630"/>
        <item x="695"/>
        <item x="327"/>
        <item x="418"/>
        <item x="126"/>
        <item x="648"/>
        <item x="643"/>
        <item x="282"/>
        <item x="637"/>
        <item x="591"/>
        <item x="42"/>
        <item x="384"/>
        <item x="103"/>
        <item x="516"/>
        <item x="374"/>
        <item x="670"/>
        <item x="667"/>
        <item x="711"/>
        <item x="147"/>
        <item x="651"/>
        <item x="479"/>
        <item x="655"/>
        <item x="731"/>
        <item x="25"/>
        <item x="313"/>
        <item x="335"/>
        <item x="696"/>
        <item x="201"/>
        <item x="316"/>
        <item x="681"/>
        <item x="65"/>
        <item x="326"/>
        <item x="200"/>
        <item x="293"/>
        <item x="159"/>
        <item x="701"/>
        <item x="258"/>
        <item x="301"/>
        <item x="749"/>
        <item x="525"/>
        <item x="340"/>
        <item x="378"/>
        <item x="379"/>
        <item x="348"/>
        <item x="158"/>
        <item x="251"/>
        <item x="432"/>
        <item x="706"/>
        <item x="501"/>
        <item x="399"/>
        <item x="0"/>
        <item x="671"/>
        <item x="607"/>
        <item x="120"/>
        <item x="440"/>
        <item x="659"/>
        <item x="383"/>
        <item x="697"/>
        <item x="692"/>
        <item x="360"/>
        <item x="226"/>
        <item x="595"/>
        <item x="376"/>
        <item x="237"/>
        <item x="620"/>
        <item x="194"/>
        <item x="102"/>
        <item x="662"/>
        <item x="686"/>
        <item x="229"/>
        <item x="177"/>
        <item x="392"/>
        <item x="388"/>
        <item x="325"/>
        <item x="661"/>
        <item x="663"/>
        <item x="372"/>
        <item x="359"/>
        <item x="368"/>
        <item x="668"/>
        <item x="157"/>
        <item x="544"/>
        <item x="739"/>
        <item x="642"/>
        <item x="266"/>
        <item x="334"/>
        <item x="665"/>
        <item x="306"/>
        <item x="347"/>
        <item x="709"/>
        <item x="601"/>
        <item x="382"/>
        <item x="548"/>
        <item x="24"/>
        <item x="577"/>
        <item x="312"/>
        <item x="151"/>
        <item x="64"/>
        <item x="649"/>
        <item x="304"/>
        <item x="705"/>
        <item x="315"/>
        <item x="265"/>
        <item x="733"/>
        <item x="698"/>
        <item x="654"/>
        <item x="300"/>
        <item x="528"/>
        <item x="444"/>
        <item x="189"/>
        <item x="280"/>
        <item x="462"/>
        <item x="276"/>
        <item x="725"/>
        <item x="689"/>
        <item x="236"/>
        <item x="210"/>
        <item x="521"/>
        <item x="8"/>
        <item x="41"/>
        <item x="721"/>
        <item x="228"/>
        <item x="55"/>
        <item x="747"/>
        <item x="257"/>
        <item x="694"/>
        <item x="73"/>
        <item x="7"/>
        <item x="54"/>
        <item x="543"/>
        <item x="714"/>
        <item x="624"/>
        <item x="600"/>
        <item x="493"/>
        <item x="743"/>
        <item x="684"/>
        <item x="134"/>
        <item x="641"/>
        <item x="611"/>
        <item x="635"/>
        <item x="311"/>
        <item x="605"/>
        <item x="489"/>
        <item x="289"/>
        <item x="584"/>
        <item x="346"/>
        <item x="79"/>
        <item x="679"/>
        <item x="758"/>
        <item x="754"/>
        <item x="235"/>
        <item x="677"/>
        <item x="621"/>
        <item x="421"/>
        <item x="475"/>
        <item x="471"/>
        <item x="594"/>
        <item x="669"/>
        <item x="299"/>
        <item x="617"/>
        <item x="495"/>
        <item x="193"/>
        <item x="358"/>
        <item x="614"/>
        <item x="503"/>
        <item x="133"/>
        <item x="222"/>
        <item x="625"/>
        <item x="587"/>
        <item x="264"/>
        <item x="176"/>
        <item x="530"/>
        <item x="439"/>
        <item x="623"/>
        <item x="549"/>
        <item x="570"/>
        <item x="606"/>
        <item x="288"/>
        <item x="519"/>
        <item x="156"/>
        <item x="310"/>
        <item x="726"/>
        <item x="627"/>
        <item x="391"/>
        <item x="585"/>
        <item x="756"/>
        <item x="744"/>
        <item x="545"/>
        <item x="443"/>
        <item x="438"/>
        <item x="298"/>
        <item x="155"/>
        <item x="750"/>
        <item x="575"/>
        <item x="760"/>
        <item x="449"/>
        <item x="279"/>
        <item x="736"/>
        <item x="615"/>
        <item x="597"/>
        <item x="490"/>
        <item x="555"/>
        <item x="717"/>
        <item x="387"/>
        <item x="278"/>
        <item x="588"/>
        <item x="533"/>
        <item x="437"/>
        <item x="497"/>
        <item x="324"/>
        <item x="737"/>
        <item x="425"/>
        <item x="221"/>
        <item x="752"/>
        <item x="431"/>
        <item x="287"/>
        <item x="566"/>
        <item x="683"/>
        <item x="676"/>
        <item x="263"/>
        <item x="609"/>
        <item x="395"/>
        <item x="592"/>
        <item x="499"/>
        <item x="430"/>
        <item x="690"/>
        <item x="466"/>
        <item x="757"/>
        <item x="603"/>
        <item x="386"/>
        <item x="647"/>
        <item x="628"/>
        <item x="461"/>
        <item x="552"/>
        <item x="541"/>
        <item x="381"/>
        <item x="262"/>
        <item x="234"/>
        <item x="581"/>
        <item x="612"/>
        <item x="539"/>
        <item x="755"/>
        <item x="582"/>
        <item x="596"/>
        <item x="460"/>
        <item x="323"/>
        <item x="633"/>
        <item x="322"/>
        <item x="375"/>
        <item x="644"/>
        <item x="640"/>
        <item x="417"/>
        <item x="465"/>
        <item x="380"/>
        <item x="653"/>
        <item x="345"/>
        <item x="688"/>
        <item x="442"/>
        <item x="344"/>
        <item x="367"/>
        <item x="357"/>
        <item x="678"/>
        <item x="356"/>
        <item x="491"/>
        <item x="547"/>
        <item x="535"/>
        <item x="578"/>
        <item x="390"/>
        <item x="531"/>
        <item x="343"/>
        <item x="542"/>
        <item x="579"/>
        <item x="520"/>
        <item x="366"/>
        <item x="572"/>
        <item x="571"/>
        <item x="602"/>
        <item x="576"/>
        <item x="551"/>
        <item x="385"/>
        <item x="700"/>
        <item x="527"/>
        <item x="233"/>
        <item x="404"/>
        <item x="420"/>
        <item x="398"/>
        <item x="484"/>
        <item x="403"/>
        <item x="616"/>
        <item x="409"/>
        <item x="408"/>
        <item x="574"/>
        <item x="599"/>
        <item x="532"/>
        <item x="540"/>
        <item x="424"/>
        <item x="559"/>
        <item x="538"/>
        <item x="645"/>
        <item x="556"/>
        <item x="753"/>
        <item x="610"/>
        <item x="569"/>
        <item x="632"/>
        <item x="524"/>
        <item x="500"/>
        <item x="656"/>
        <item x="394"/>
        <item x="429"/>
        <item x="355"/>
        <item x="567"/>
        <item x="414"/>
        <item x="583"/>
        <item x="546"/>
        <item x="622"/>
        <item x="526"/>
        <item x="536"/>
        <item x="365"/>
        <item x="529"/>
        <item x="613"/>
        <item x="604"/>
        <item x="534"/>
        <item x="589"/>
        <item x="560"/>
        <item x="474"/>
        <item x="724"/>
        <item x="416"/>
        <item x="550"/>
        <item x="563"/>
        <item x="650"/>
        <item x="629"/>
        <item x="423"/>
        <item x="522"/>
        <item x="716"/>
        <item x="568"/>
        <item x="727"/>
        <item x="666"/>
        <item x="397"/>
        <item x="580"/>
        <item x="412"/>
        <item x="428"/>
        <item x="459"/>
        <item x="652"/>
        <item x="735"/>
        <item x="470"/>
        <item x="402"/>
        <item x="573"/>
        <item x="699"/>
        <item x="593"/>
        <item x="407"/>
        <item x="738"/>
        <item x="511"/>
        <item x="751"/>
        <item x="554"/>
        <item x="512"/>
        <item x="436"/>
        <item x="565"/>
        <item x="481"/>
        <item x="691"/>
        <item x="448"/>
        <item x="687"/>
        <item x="515"/>
        <item x="658"/>
        <item x="455"/>
        <item x="492"/>
        <item x="553"/>
        <item x="477"/>
        <item x="502"/>
        <item x="558"/>
        <item x="680"/>
        <item x="473"/>
        <item x="415"/>
        <item x="413"/>
        <item x="485"/>
        <item x="557"/>
        <item x="564"/>
        <item x="469"/>
        <item x="562"/>
        <item x="626"/>
        <item x="508"/>
        <item x="631"/>
        <item x="478"/>
        <item x="634"/>
        <item x="646"/>
        <item x="513"/>
        <item x="561"/>
        <item x="639"/>
        <item x="458"/>
        <item x="464"/>
        <item x="454"/>
        <item x="482"/>
        <item x="447"/>
        <item x="537"/>
        <item x="504"/>
        <item x="494"/>
        <item x="496"/>
        <item x="486"/>
        <item x="509"/>
        <item t="default"/>
      </items>
    </pivotField>
    <pivotField dataField="1" showAll="0" maxSubtotal="1">
      <items count="851">
        <item x="512"/>
        <item x="47"/>
        <item x="34"/>
        <item x="30"/>
        <item x="46"/>
        <item x="33"/>
        <item x="49"/>
        <item x="29"/>
        <item x="67"/>
        <item x="52"/>
        <item x="32"/>
        <item x="136"/>
        <item x="13"/>
        <item x="135"/>
        <item x="77"/>
        <item x="31"/>
        <item x="79"/>
        <item x="100"/>
        <item x="140"/>
        <item x="112"/>
        <item x="80"/>
        <item x="40"/>
        <item x="99"/>
        <item x="98"/>
        <item x="6"/>
        <item x="78"/>
        <item x="182"/>
        <item x="157"/>
        <item x="202"/>
        <item x="258"/>
        <item x="72"/>
        <item x="290"/>
        <item x="102"/>
        <item x="5"/>
        <item x="107"/>
        <item x="139"/>
        <item x="4"/>
        <item x="285"/>
        <item x="454"/>
        <item x="138"/>
        <item x="45"/>
        <item x="262"/>
        <item x="106"/>
        <item x="201"/>
        <item x="28"/>
        <item x="39"/>
        <item x="259"/>
        <item x="126"/>
        <item x="97"/>
        <item x="132"/>
        <item x="111"/>
        <item x="466"/>
        <item x="231"/>
        <item x="125"/>
        <item x="181"/>
        <item x="38"/>
        <item x="219"/>
        <item x="237"/>
        <item x="317"/>
        <item x="256"/>
        <item x="225"/>
        <item x="95"/>
        <item x="96"/>
        <item x="321"/>
        <item x="299"/>
        <item x="27"/>
        <item x="263"/>
        <item x="345"/>
        <item x="257"/>
        <item x="180"/>
        <item x="134"/>
        <item x="3"/>
        <item x="236"/>
        <item x="421"/>
        <item x="76"/>
        <item x="94"/>
        <item x="188"/>
        <item x="239"/>
        <item x="44"/>
        <item x="93"/>
        <item x="561"/>
        <item x="92"/>
        <item x="105"/>
        <item x="71"/>
        <item x="394"/>
        <item x="124"/>
        <item x="513"/>
        <item x="151"/>
        <item x="386"/>
        <item x="173"/>
        <item x="197"/>
        <item x="208"/>
        <item x="221"/>
        <item x="266"/>
        <item x="23"/>
        <item x="332"/>
        <item x="91"/>
        <item x="320"/>
        <item x="123"/>
        <item x="37"/>
        <item x="274"/>
        <item x="355"/>
        <item x="196"/>
        <item x="156"/>
        <item x="176"/>
        <item x="200"/>
        <item x="542"/>
        <item x="206"/>
        <item x="131"/>
        <item x="90"/>
        <item x="347"/>
        <item x="36"/>
        <item x="172"/>
        <item x="298"/>
        <item x="255"/>
        <item x="150"/>
        <item x="104"/>
        <item x="22"/>
        <item x="70"/>
        <item x="297"/>
        <item x="279"/>
        <item x="21"/>
        <item x="357"/>
        <item x="171"/>
        <item x="122"/>
        <item x="218"/>
        <item x="89"/>
        <item x="20"/>
        <item x="51"/>
        <item x="217"/>
        <item x="224"/>
        <item x="235"/>
        <item x="459"/>
        <item x="121"/>
        <item x="120"/>
        <item x="69"/>
        <item x="254"/>
        <item x="216"/>
        <item x="289"/>
        <item x="19"/>
        <item x="187"/>
        <item x="35"/>
        <item x="88"/>
        <item x="170"/>
        <item x="63"/>
        <item x="48"/>
        <item x="215"/>
        <item x="87"/>
        <item x="195"/>
        <item x="149"/>
        <item x="2"/>
        <item x="179"/>
        <item x="278"/>
        <item x="677"/>
        <item x="845"/>
        <item x="756"/>
        <item x="398"/>
        <item x="18"/>
        <item x="119"/>
        <item x="103"/>
        <item x="194"/>
        <item x="826"/>
        <item x="786"/>
        <item x="62"/>
        <item x="86"/>
        <item x="193"/>
        <item x="169"/>
        <item x="110"/>
        <item x="214"/>
        <item x="547"/>
        <item x="344"/>
        <item x="569"/>
        <item x="61"/>
        <item x="253"/>
        <item x="17"/>
        <item x="118"/>
        <item x="130"/>
        <item x="445"/>
        <item x="439"/>
        <item x="192"/>
        <item x="155"/>
        <item x="238"/>
        <item x="115"/>
        <item x="533"/>
        <item x="331"/>
        <item x="788"/>
        <item x="849"/>
        <item x="223"/>
        <item x="277"/>
        <item x="824"/>
        <item x="213"/>
        <item x="417"/>
        <item x="799"/>
        <item x="12"/>
        <item x="404"/>
        <item x="205"/>
        <item x="60"/>
        <item x="154"/>
        <item x="199"/>
        <item x="191"/>
        <item x="68"/>
        <item x="186"/>
        <item x="472"/>
        <item x="300"/>
        <item x="427"/>
        <item x="251"/>
        <item x="548"/>
        <item x="602"/>
        <item x="190"/>
        <item x="306"/>
        <item x="117"/>
        <item x="16"/>
        <item x="811"/>
        <item x="168"/>
        <item x="411"/>
        <item x="116"/>
        <item x="333"/>
        <item x="178"/>
        <item x="694"/>
        <item x="250"/>
        <item x="380"/>
        <item x="129"/>
        <item x="827"/>
        <item x="26"/>
        <item x="676"/>
        <item x="222"/>
        <item x="800"/>
        <item x="59"/>
        <item x="167"/>
        <item x="66"/>
        <item x="15"/>
        <item x="177"/>
        <item x="452"/>
        <item x="137"/>
        <item x="403"/>
        <item x="338"/>
        <item x="85"/>
        <item x="753"/>
        <item x="241"/>
        <item x="212"/>
        <item x="336"/>
        <item x="311"/>
        <item x="1"/>
        <item x="189"/>
        <item x="369"/>
        <item x="58"/>
        <item x="166"/>
        <item x="229"/>
        <item x="501"/>
        <item x="412"/>
        <item x="446"/>
        <item x="293"/>
        <item x="14"/>
        <item x="473"/>
        <item x="724"/>
        <item x="460"/>
        <item x="453"/>
        <item x="330"/>
        <item x="687"/>
        <item x="148"/>
        <item x="267"/>
        <item x="467"/>
        <item x="147"/>
        <item x="522"/>
        <item x="268"/>
        <item x="310"/>
        <item x="308"/>
        <item x="146"/>
        <item x="276"/>
        <item x="165"/>
        <item x="478"/>
        <item x="655"/>
        <item x="292"/>
        <item x="207"/>
        <item x="275"/>
        <item x="84"/>
        <item x="307"/>
        <item x="647"/>
        <item x="337"/>
        <item x="783"/>
        <item x="158"/>
        <item x="808"/>
        <item x="379"/>
        <item x="50"/>
        <item x="428"/>
        <item x="57"/>
        <item x="393"/>
        <item x="75"/>
        <item x="145"/>
        <item x="309"/>
        <item x="825"/>
        <item x="230"/>
        <item x="511"/>
        <item x="793"/>
        <item x="43"/>
        <item x="781"/>
        <item x="789"/>
        <item x="797"/>
        <item x="265"/>
        <item x="282"/>
        <item x="727"/>
        <item x="378"/>
        <item x="523"/>
        <item x="806"/>
        <item x="273"/>
        <item x="284"/>
        <item x="354"/>
        <item x="249"/>
        <item x="283"/>
        <item x="505"/>
        <item x="416"/>
        <item x="228"/>
        <item x="329"/>
        <item x="153"/>
        <item x="750"/>
        <item x="144"/>
        <item x="353"/>
        <item x="385"/>
        <item x="410"/>
        <item x="392"/>
        <item x="791"/>
        <item x="575"/>
        <item x="796"/>
        <item x="536"/>
        <item x="820"/>
        <item x="11"/>
        <item x="641"/>
        <item x="489"/>
        <item x="252"/>
        <item x="524"/>
        <item x="700"/>
        <item x="494"/>
        <item x="362"/>
        <item x="754"/>
        <item x="744"/>
        <item x="287"/>
        <item x="810"/>
        <item x="813"/>
        <item x="343"/>
        <item x="10"/>
        <item x="638"/>
        <item x="778"/>
        <item x="815"/>
        <item x="248"/>
        <item x="56"/>
        <item x="819"/>
        <item x="830"/>
        <item x="514"/>
        <item x="842"/>
        <item x="809"/>
        <item x="847"/>
        <item x="114"/>
        <item x="247"/>
        <item x="488"/>
        <item x="175"/>
        <item x="764"/>
        <item x="846"/>
        <item x="433"/>
        <item x="740"/>
        <item x="741"/>
        <item x="821"/>
        <item x="83"/>
        <item x="296"/>
        <item x="560"/>
        <item x="387"/>
        <item x="739"/>
        <item x="388"/>
        <item x="55"/>
        <item x="790"/>
        <item x="801"/>
        <item x="261"/>
        <item x="328"/>
        <item x="9"/>
        <item x="730"/>
        <item x="784"/>
        <item x="82"/>
        <item x="504"/>
        <item x="777"/>
        <item x="74"/>
        <item x="143"/>
        <item x="661"/>
        <item x="426"/>
        <item x="572"/>
        <item x="128"/>
        <item x="798"/>
        <item x="113"/>
        <item x="553"/>
        <item x="695"/>
        <item x="327"/>
        <item x="159"/>
        <item x="779"/>
        <item x="688"/>
        <item x="768"/>
        <item x="335"/>
        <item x="802"/>
        <item x="133"/>
        <item x="465"/>
        <item x="352"/>
        <item x="844"/>
        <item x="709"/>
        <item x="288"/>
        <item x="42"/>
        <item x="698"/>
        <item x="733"/>
        <item x="356"/>
        <item x="152"/>
        <item x="315"/>
        <item x="109"/>
        <item x="364"/>
        <item x="718"/>
        <item x="737"/>
        <item x="351"/>
        <item x="707"/>
        <item x="787"/>
        <item x="101"/>
        <item x="305"/>
        <item x="25"/>
        <item x="812"/>
        <item x="391"/>
        <item x="326"/>
        <item x="377"/>
        <item x="65"/>
        <item x="769"/>
        <item x="211"/>
        <item x="749"/>
        <item x="743"/>
        <item x="210"/>
        <item x="833"/>
        <item x="164"/>
        <item x="776"/>
        <item x="371"/>
        <item x="767"/>
        <item x="831"/>
        <item x="471"/>
        <item x="451"/>
        <item x="227"/>
        <item x="334"/>
        <item x="774"/>
        <item x="368"/>
        <item x="260"/>
        <item x="729"/>
        <item x="342"/>
        <item x="376"/>
        <item x="163"/>
        <item x="384"/>
        <item x="765"/>
        <item x="409"/>
        <item x="402"/>
        <item x="0"/>
        <item x="319"/>
        <item x="301"/>
        <item x="738"/>
        <item x="363"/>
        <item x="174"/>
        <item x="346"/>
        <item x="127"/>
        <item x="204"/>
        <item x="281"/>
        <item x="726"/>
        <item x="745"/>
        <item x="770"/>
        <item x="383"/>
        <item x="697"/>
        <item x="762"/>
        <item x="408"/>
        <item x="185"/>
        <item x="162"/>
        <item x="361"/>
        <item x="246"/>
        <item x="108"/>
        <item x="678"/>
        <item x="325"/>
        <item x="518"/>
        <item x="728"/>
        <item x="755"/>
        <item x="444"/>
        <item x="318"/>
        <item x="370"/>
        <item x="735"/>
        <item x="271"/>
        <item x="209"/>
        <item x="594"/>
        <item x="623"/>
        <item x="375"/>
        <item x="367"/>
        <item x="498"/>
        <item x="272"/>
        <item x="244"/>
        <item x="731"/>
        <item x="696"/>
        <item x="785"/>
        <item x="506"/>
        <item x="280"/>
        <item x="314"/>
        <item x="654"/>
        <item x="220"/>
        <item x="24"/>
        <item x="304"/>
        <item x="316"/>
        <item x="708"/>
        <item x="64"/>
        <item x="628"/>
        <item x="538"/>
        <item x="829"/>
        <item x="716"/>
        <item x="782"/>
        <item x="291"/>
        <item x="240"/>
        <item x="226"/>
        <item x="234"/>
        <item x="814"/>
        <item x="771"/>
        <item x="482"/>
        <item x="464"/>
        <item x="41"/>
        <item x="198"/>
        <item x="245"/>
        <item x="515"/>
        <item x="264"/>
        <item x="804"/>
        <item x="270"/>
        <item x="759"/>
        <item x="73"/>
        <item x="443"/>
        <item x="8"/>
        <item x="763"/>
        <item x="720"/>
        <item x="766"/>
        <item x="54"/>
        <item x="828"/>
        <item x="633"/>
        <item x="7"/>
        <item x="203"/>
        <item x="53"/>
        <item x="593"/>
        <item x="184"/>
        <item x="792"/>
        <item x="681"/>
        <item x="752"/>
        <item x="390"/>
        <item x="699"/>
        <item x="303"/>
        <item x="653"/>
        <item x="528"/>
        <item x="313"/>
        <item x="438"/>
        <item x="822"/>
        <item x="705"/>
        <item x="142"/>
        <item x="666"/>
        <item x="693"/>
        <item x="736"/>
        <item x="660"/>
        <item x="525"/>
        <item x="640"/>
        <item x="747"/>
        <item x="651"/>
        <item x="636"/>
        <item x="843"/>
        <item x="558"/>
        <item x="81"/>
        <item x="837"/>
        <item x="679"/>
        <item x="493"/>
        <item x="286"/>
        <item x="646"/>
        <item x="675"/>
        <item x="487"/>
        <item x="714"/>
        <item x="540"/>
        <item x="686"/>
        <item x="295"/>
        <item x="564"/>
        <item x="141"/>
        <item x="233"/>
        <item x="458"/>
        <item x="682"/>
        <item x="571"/>
        <item x="588"/>
        <item x="520"/>
        <item x="502"/>
        <item x="312"/>
        <item x="680"/>
        <item x="807"/>
        <item x="598"/>
        <item x="497"/>
        <item x="562"/>
        <item x="823"/>
        <item x="463"/>
        <item x="161"/>
        <item x="673"/>
        <item x="302"/>
        <item x="632"/>
        <item x="805"/>
        <item x="684"/>
        <item x="556"/>
        <item x="637"/>
        <item x="841"/>
        <item x="839"/>
        <item x="595"/>
        <item x="457"/>
        <item x="449"/>
        <item x="795"/>
        <item x="160"/>
        <item x="780"/>
        <item x="832"/>
        <item x="706"/>
        <item x="382"/>
        <item x="848"/>
        <item x="470"/>
        <item x="670"/>
        <item x="396"/>
        <item x="775"/>
        <item x="269"/>
        <item x="324"/>
        <item x="672"/>
        <item x="650"/>
        <item x="397"/>
        <item x="507"/>
        <item x="606"/>
        <item x="243"/>
        <item x="658"/>
        <item x="456"/>
        <item x="294"/>
        <item x="576"/>
        <item x="649"/>
        <item x="578"/>
        <item x="599"/>
        <item x="704"/>
        <item x="818"/>
        <item x="450"/>
        <item x="442"/>
        <item x="642"/>
        <item x="232"/>
        <item x="648"/>
        <item x="835"/>
        <item x="618"/>
        <item x="751"/>
        <item x="742"/>
        <item x="664"/>
        <item x="663"/>
        <item x="432"/>
        <item x="587"/>
        <item x="643"/>
        <item x="840"/>
        <item x="760"/>
        <item x="516"/>
        <item x="420"/>
        <item x="350"/>
        <item x="657"/>
        <item x="492"/>
        <item x="668"/>
        <item x="374"/>
        <item x="401"/>
        <item x="715"/>
        <item x="685"/>
        <item x="691"/>
        <item x="365"/>
        <item x="603"/>
        <item x="323"/>
        <item x="591"/>
        <item x="373"/>
        <item x="372"/>
        <item x="437"/>
        <item x="366"/>
        <item x="322"/>
        <item x="667"/>
        <item x="838"/>
        <item x="634"/>
        <item x="550"/>
        <item x="360"/>
        <item x="711"/>
        <item x="341"/>
        <item x="431"/>
        <item x="340"/>
        <item x="702"/>
        <item x="644"/>
        <item x="486"/>
        <item x="481"/>
        <item x="462"/>
        <item x="349"/>
        <item x="557"/>
        <item x="721"/>
        <item x="758"/>
        <item x="485"/>
        <item x="389"/>
        <item x="359"/>
        <item x="477"/>
        <item x="543"/>
        <item x="400"/>
        <item x="526"/>
        <item x="339"/>
        <item x="508"/>
        <item x="597"/>
        <item x="582"/>
        <item x="573"/>
        <item x="629"/>
        <item x="476"/>
        <item x="242"/>
        <item x="592"/>
        <item x="630"/>
        <item x="381"/>
        <item x="419"/>
        <item x="563"/>
        <item x="624"/>
        <item x="622"/>
        <item x="656"/>
        <item x="436"/>
        <item x="627"/>
        <item x="406"/>
        <item x="585"/>
        <item x="601"/>
        <item x="671"/>
        <item x="414"/>
        <item x="773"/>
        <item x="567"/>
        <item x="586"/>
        <item x="407"/>
        <item x="517"/>
        <item x="817"/>
        <item x="662"/>
        <item x="674"/>
        <item x="703"/>
        <item x="415"/>
        <item x="441"/>
        <item x="589"/>
        <item x="626"/>
        <item x="652"/>
        <item x="574"/>
        <item x="530"/>
        <item x="590"/>
        <item x="579"/>
        <item x="348"/>
        <item x="581"/>
        <item x="723"/>
        <item x="610"/>
        <item x="712"/>
        <item x="358"/>
        <item x="607"/>
        <item x="836"/>
        <item x="665"/>
        <item x="395"/>
        <item x="690"/>
        <item x="621"/>
        <item x="423"/>
        <item x="448"/>
        <item x="615"/>
        <item x="537"/>
        <item x="619"/>
        <item x="568"/>
        <item x="717"/>
        <item x="635"/>
        <item x="596"/>
        <item x="554"/>
        <item x="566"/>
        <item x="435"/>
        <item x="794"/>
        <item x="583"/>
        <item x="430"/>
        <item x="570"/>
        <item x="639"/>
        <item x="580"/>
        <item x="669"/>
        <item x="659"/>
        <item x="499"/>
        <item x="611"/>
        <item x="803"/>
        <item x="425"/>
        <item x="600"/>
        <item x="614"/>
        <item x="544"/>
        <item x="440"/>
        <item x="719"/>
        <item x="565"/>
        <item x="620"/>
        <item x="399"/>
        <item x="496"/>
        <item x="732"/>
        <item x="484"/>
        <item x="631"/>
        <item x="491"/>
        <item x="447"/>
        <item x="418"/>
        <item x="480"/>
        <item x="816"/>
        <item x="509"/>
        <item x="500"/>
        <item x="772"/>
        <item x="405"/>
        <item x="534"/>
        <item x="625"/>
        <item x="577"/>
        <item x="413"/>
        <item x="645"/>
        <item x="559"/>
        <item x="549"/>
        <item x="609"/>
        <item x="617"/>
        <item x="551"/>
        <item x="834"/>
        <item x="605"/>
        <item x="455"/>
        <item x="725"/>
        <item x="722"/>
        <item x="531"/>
        <item x="555"/>
        <item x="761"/>
        <item x="475"/>
        <item x="757"/>
        <item x="469"/>
        <item x="527"/>
        <item x="495"/>
        <item x="608"/>
        <item x="461"/>
        <item x="746"/>
        <item x="604"/>
        <item x="434"/>
        <item x="539"/>
        <item x="748"/>
        <item x="424"/>
        <item x="429"/>
        <item x="422"/>
        <item x="613"/>
        <item x="545"/>
        <item x="519"/>
        <item x="616"/>
        <item x="490"/>
        <item x="710"/>
        <item x="683"/>
        <item x="689"/>
        <item x="612"/>
        <item x="692"/>
        <item x="503"/>
        <item x="552"/>
        <item x="713"/>
        <item x="479"/>
        <item x="701"/>
        <item x="535"/>
        <item x="483"/>
        <item x="510"/>
        <item x="474"/>
        <item x="468"/>
        <item x="584"/>
        <item x="541"/>
        <item x="529"/>
        <item x="532"/>
        <item x="734"/>
        <item x="521"/>
        <item x="546"/>
        <item x="183"/>
        <item t="max"/>
      </items>
    </pivotField>
    <pivotField dataField="1" showAll="0"/>
    <pivotField dataField="1" showAll="0"/>
  </pivotFields>
  <rowFields count="2">
    <field x="4"/>
    <field x="3"/>
  </rowFields>
  <rowItems count="37">
    <i>
      <x v="3"/>
    </i>
    <i r="1">
      <x v="92"/>
    </i>
    <i r="1">
      <x v="93"/>
    </i>
    <i r="1">
      <x v="94"/>
    </i>
    <i>
      <x/>
    </i>
    <i r="1">
      <x v="92"/>
    </i>
    <i r="1">
      <x v="93"/>
    </i>
    <i r="1">
      <x v="94"/>
    </i>
    <i>
      <x v="8"/>
    </i>
    <i r="1">
      <x v="92"/>
    </i>
    <i r="1">
      <x v="93"/>
    </i>
    <i r="1">
      <x v="94"/>
    </i>
    <i>
      <x v="14"/>
    </i>
    <i r="1">
      <x v="92"/>
    </i>
    <i r="1">
      <x v="93"/>
    </i>
    <i r="1">
      <x v="94"/>
    </i>
    <i>
      <x v="15"/>
    </i>
    <i r="1">
      <x v="92"/>
    </i>
    <i r="1">
      <x v="93"/>
    </i>
    <i r="1">
      <x v="94"/>
    </i>
    <i>
      <x v="12"/>
    </i>
    <i r="1">
      <x v="92"/>
    </i>
    <i r="1">
      <x v="93"/>
    </i>
    <i r="1">
      <x v="94"/>
    </i>
    <i>
      <x v="1"/>
    </i>
    <i r="1">
      <x v="92"/>
    </i>
    <i r="1">
      <x v="93"/>
    </i>
    <i r="1">
      <x v="94"/>
    </i>
    <i>
      <x v="17"/>
    </i>
    <i r="1">
      <x v="92"/>
    </i>
    <i r="1">
      <x v="93"/>
    </i>
    <i r="1">
      <x v="94"/>
    </i>
    <i>
      <x v="7"/>
    </i>
    <i r="1">
      <x v="92"/>
    </i>
    <i r="1">
      <x v="93"/>
    </i>
    <i r="1">
      <x v="9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perficie sembrada" fld="8" baseField="6" baseItem="3" numFmtId="3"/>
    <dataField name="Superficie cosechada" fld="9" baseField="6" baseItem="3" numFmtId="3"/>
    <dataField name="Toneladas producidas" fld="10" baseField="4" baseItem="0" numFmtId="3"/>
    <dataField name="Rendimiento Kg x Ha" fld="11" baseField="4" baseItem="0" numFmtId="3"/>
  </dataFields>
  <formats count="10">
    <format dxfId="11">
      <pivotArea outline="0" fieldPosition="0">
        <references count="1">
          <reference field="4294967294" count="1">
            <x v="1"/>
          </reference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3"/>
          </reference>
        </references>
      </pivotArea>
    </format>
    <format dxfId="7">
      <pivotArea field="4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field="4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">
      <pivotArea field="4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A6390-AD90-46FC-A11F-13F393D19256}" name="TablaDinámica3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27" rowHeaderCaption="Departamento" fieldListSortAscending="1">
  <location ref="B11:D22" firstHeaderRow="0" firstDataRow="1" firstDataCol="1"/>
  <pivotFields count="12">
    <pivotField showAll="0"/>
    <pivotField showAll="0"/>
    <pivotField name="Año" axis="axisRow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x="94"/>
        <item x="95"/>
        <item x="96"/>
        <item x="97"/>
        <item t="default"/>
      </items>
    </pivotField>
    <pivotField name="Campaña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x="97"/>
        <item t="default"/>
      </items>
    </pivotField>
    <pivotField name="Provincia" showAll="0">
      <items count="19">
        <item x="15"/>
        <item h="1" x="10"/>
        <item h="1" x="0"/>
        <item x="1"/>
        <item h="1" x="2"/>
        <item h="1" x="3"/>
        <item h="1" x="4"/>
        <item h="1" x="5"/>
        <item h="1" x="16"/>
        <item h="1" x="17"/>
        <item h="1" x="14"/>
        <item h="1" x="6"/>
        <item h="1" x="11"/>
        <item h="1" x="12"/>
        <item h="1" x="13"/>
        <item h="1" x="7"/>
        <item h="1" x="8"/>
        <item h="1" x="9"/>
        <item t="default"/>
      </items>
    </pivotField>
    <pivotField showAll="0"/>
    <pivotField name="Departamento" axis="axisRow" showAll="0" sortType="descending">
      <items count="227">
        <item h="1" x="62"/>
        <item h="1" x="169"/>
        <item h="1" x="178"/>
        <item h="1" x="174"/>
        <item h="1" x="47"/>
        <item h="1" x="172"/>
        <item h="1" x="212"/>
        <item h="1" x="155"/>
        <item h="1" x="157"/>
        <item h="1" x="188"/>
        <item h="1" x="117"/>
        <item h="1" x="39"/>
        <item h="1" x="153"/>
        <item h="1" x="152"/>
        <item h="1" x="121"/>
        <item h="1" x="120"/>
        <item h="1" x="21"/>
        <item h="1" x="4"/>
        <item h="1" x="75"/>
        <item h="1" x="219"/>
        <item h="1" x="124"/>
        <item h="1" x="55"/>
        <item h="1" x="114"/>
        <item h="1" x="70"/>
        <item h="1" x="0"/>
        <item h="1" x="98"/>
        <item h="1" x="40"/>
        <item h="1" x="202"/>
        <item h="1" x="12"/>
        <item h="1" x="224"/>
        <item h="1" x="213"/>
        <item h="1" x="119"/>
        <item h="1" x="206"/>
        <item h="1" x="93"/>
        <item h="1" x="87"/>
        <item h="1" x="203"/>
        <item h="1" x="83"/>
        <item h="1" x="125"/>
        <item h="1" x="52"/>
        <item h="1" x="11"/>
        <item h="1" x="180"/>
        <item h="1" x="43"/>
        <item h="1" x="29"/>
        <item h="1" x="209"/>
        <item h="1" x="156"/>
        <item h="1" x="3"/>
        <item h="1" x="86"/>
        <item h="1" x="65"/>
        <item h="1" x="135"/>
        <item h="1" x="25"/>
        <item h="1" x="220"/>
        <item h="1" x="161"/>
        <item h="1" x="35"/>
        <item h="1" x="185"/>
        <item h="1" x="17"/>
        <item h="1" x="18"/>
        <item h="1" x="63"/>
        <item h="1" x="28"/>
        <item h="1" x="196"/>
        <item h="1" x="110"/>
        <item h="1" x="148"/>
        <item h="1" x="214"/>
        <item h="1" x="32"/>
        <item h="1" x="179"/>
        <item h="1" x="59"/>
        <item h="1" x="45"/>
        <item h="1" x="105"/>
        <item h="1" x="216"/>
        <item h="1" x="142"/>
        <item h="1" x="168"/>
        <item h="1" x="176"/>
        <item h="1" x="171"/>
        <item h="1" x="195"/>
        <item h="1" x="192"/>
        <item h="1" x="44"/>
        <item h="1" x="72"/>
        <item h="1" x="94"/>
        <item h="1" x="122"/>
        <item h="1" x="96"/>
        <item h="1" x="143"/>
        <item h="1" x="222"/>
        <item x="191"/>
        <item h="1" x="210"/>
        <item h="1" x="26"/>
        <item h="1" x="69"/>
        <item h="1" x="193"/>
        <item h="1" x="111"/>
        <item h="1" x="80"/>
        <item h="1" x="217"/>
        <item h="1" x="115"/>
        <item h="1" x="149"/>
        <item h="1" x="198"/>
        <item h="1" x="221"/>
        <item h="1" x="116"/>
        <item h="1" x="190"/>
        <item h="1" x="197"/>
        <item h="1" x="132"/>
        <item h="1" x="73"/>
        <item h="1" x="22"/>
        <item h="1" x="103"/>
        <item h="1" x="211"/>
        <item h="1" x="107"/>
        <item h="1" x="95"/>
        <item h="1" x="53"/>
        <item h="1" x="147"/>
        <item h="1" x="99"/>
        <item h="1" x="36"/>
        <item h="1" x="218"/>
        <item h="1" x="139"/>
        <item h="1" x="92"/>
        <item h="1" x="201"/>
        <item h="1" x="31"/>
        <item h="1" x="101"/>
        <item h="1" x="16"/>
        <item h="1" x="66"/>
        <item h="1" x="183"/>
        <item h="1" x="137"/>
        <item h="1" x="170"/>
        <item h="1" x="88"/>
        <item h="1" x="126"/>
        <item h="1" x="177"/>
        <item h="1" x="208"/>
        <item h="1" x="186"/>
        <item h="1" x="48"/>
        <item h="1" x="71"/>
        <item h="1" x="78"/>
        <item h="1" x="106"/>
        <item h="1" x="136"/>
        <item h="1" x="49"/>
        <item h="1" x="15"/>
        <item h="1" x="184"/>
        <item h="1" x="67"/>
        <item h="1" x="50"/>
        <item h="1" x="1"/>
        <item h="1" x="108"/>
        <item h="1" x="182"/>
        <item h="1" x="181"/>
        <item h="1" x="141"/>
        <item h="1" x="140"/>
        <item h="1" x="14"/>
        <item h="1" x="57"/>
        <item h="1" x="91"/>
        <item h="1" x="77"/>
        <item h="1" x="34"/>
        <item h="1" x="127"/>
        <item h="1" x="102"/>
        <item h="1" x="81"/>
        <item h="1" x="30"/>
        <item h="1" x="33"/>
        <item h="1" x="151"/>
        <item h="1" x="85"/>
        <item h="1" x="56"/>
        <item h="1" x="164"/>
        <item h="1" x="166"/>
        <item h="1" x="160"/>
        <item h="1" x="134"/>
        <item h="1" x="150"/>
        <item h="1" x="138"/>
        <item h="1" x="173"/>
        <item h="1" x="162"/>
        <item h="1" x="204"/>
        <item h="1" x="205"/>
        <item h="1" x="2"/>
        <item h="1" x="82"/>
        <item x="13"/>
        <item h="1" x="51"/>
        <item h="1" x="9"/>
        <item h="1" x="133"/>
        <item h="1" x="8"/>
        <item h="1" x="130"/>
        <item h="1" x="123"/>
        <item h="1" x="54"/>
        <item h="1" x="146"/>
        <item h="1" x="97"/>
        <item h="1" x="23"/>
        <item h="1" x="223"/>
        <item h="1" x="158"/>
        <item h="1" x="215"/>
        <item h="1" x="131"/>
        <item h="1" x="128"/>
        <item h="1" x="38"/>
        <item h="1" x="199"/>
        <item h="1" x="19"/>
        <item h="1" x="118"/>
        <item h="1" x="175"/>
        <item h="1" x="41"/>
        <item h="1" x="42"/>
        <item h="1" x="163"/>
        <item h="1" x="46"/>
        <item h="1" x="189"/>
        <item h="1" x="24"/>
        <item h="1" x="20"/>
        <item h="1" x="76"/>
        <item h="1" x="37"/>
        <item h="1" x="104"/>
        <item h="1" x="74"/>
        <item h="1" x="194"/>
        <item h="1" x="7"/>
        <item h="1" x="58"/>
        <item h="1" x="187"/>
        <item h="1" x="27"/>
        <item h="1" x="167"/>
        <item h="1" x="159"/>
        <item h="1" x="61"/>
        <item h="1" x="154"/>
        <item h="1" x="225"/>
        <item h="1" x="145"/>
        <item h="1" x="68"/>
        <item h="1" x="113"/>
        <item h="1" x="6"/>
        <item h="1" x="89"/>
        <item h="1" x="10"/>
        <item h="1" x="5"/>
        <item h="1" x="84"/>
        <item h="1" x="64"/>
        <item h="1" x="207"/>
        <item h="1" x="129"/>
        <item h="1" x="144"/>
        <item h="1" x="200"/>
        <item h="1" x="90"/>
        <item h="1" x="79"/>
        <item h="1" x="60"/>
        <item h="1" x="100"/>
        <item h="1" x="109"/>
        <item h="1" x="112"/>
        <item h="1" x="1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</pivotFields>
  <rowFields count="2">
    <field x="6"/>
    <field x="2"/>
  </rowFields>
  <rowItems count="11">
    <i>
      <x v="164"/>
    </i>
    <i r="1">
      <x v="94"/>
    </i>
    <i r="1">
      <x v="95"/>
    </i>
    <i r="1">
      <x v="96"/>
    </i>
    <i r="1">
      <x v="97"/>
    </i>
    <i>
      <x v="81"/>
    </i>
    <i r="1">
      <x v="94"/>
    </i>
    <i r="1">
      <x v="95"/>
    </i>
    <i r="1">
      <x v="96"/>
    </i>
    <i r="1">
      <x v="97"/>
    </i>
    <i t="grand">
      <x/>
    </i>
  </rowItems>
  <colFields count="1">
    <field x="-2"/>
  </colFields>
  <colItems count="2">
    <i>
      <x/>
    </i>
    <i i="1">
      <x v="1"/>
    </i>
  </colItems>
  <dataFields count="2">
    <dataField name="Superficie sembrada" fld="8" baseField="6" baseItem="6" numFmtId="164"/>
    <dataField name="Superficie cosechada" fld="9" baseField="6" baseItem="6" numFmtId="164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6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94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95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96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97"/>
          </reference>
        </references>
      </pivotArea>
    </chartFormat>
  </chartFormats>
  <pivotTableStyleInfo name="PivotStyleDark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4519305-35EB-413B-BB9C-157EE9DC2EF5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cultivo_nombre" tableColumnId="2"/>
      <queryTableField id="3" name="anio" tableColumnId="3"/>
      <queryTableField id="4" name="campania" tableColumnId="4"/>
      <queryTableField id="5" name="provincia_nombre" tableColumnId="5"/>
      <queryTableField id="6" name="provincia_id" tableColumnId="6"/>
      <queryTableField id="7" name="departamento_nombre" tableColumnId="7"/>
      <queryTableField id="8" name="departamento_id" tableColumnId="8"/>
      <queryTableField id="9" name="superficie_sembrada_ha" tableColumnId="9"/>
      <queryTableField id="10" name="superficie_cosechada_ha" tableColumnId="10"/>
      <queryTableField id="11" name="produccion_tm" tableColumnId="11"/>
      <queryTableField id="12" name="rendimiento_kgxha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mpania" xr10:uid="{131137F4-431D-47EB-A72D-BF09CBA93E48}" sourceName="campania">
  <pivotTables>
    <pivotTable tabId="6" name="ComparacionCampaniasProv"/>
  </pivotTables>
  <data>
    <tabular pivotCacheId="1095073308">
      <items count="98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55"/>
        <i x="56"/>
        <i x="57"/>
        <i x="58"/>
        <i x="59"/>
        <i x="60"/>
        <i x="61"/>
        <i x="62"/>
        <i x="63"/>
        <i x="64"/>
        <i x="65"/>
        <i x="66"/>
        <i x="67"/>
        <i x="68"/>
        <i x="69"/>
        <i x="70"/>
        <i x="71"/>
        <i x="72"/>
        <i x="73"/>
        <i x="74"/>
        <i x="75"/>
        <i x="76"/>
        <i x="77"/>
        <i x="78"/>
        <i x="79"/>
        <i x="80"/>
        <i x="81"/>
        <i x="82"/>
        <i x="83"/>
        <i x="84"/>
        <i x="85"/>
        <i x="86"/>
        <i x="87"/>
        <i x="88"/>
        <i x="89"/>
        <i x="90"/>
        <i x="91"/>
        <i x="92" s="1"/>
        <i x="93" s="1"/>
        <i x="94" s="1"/>
        <i x="95"/>
        <i x="96"/>
        <i x="97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incia_nombre" xr10:uid="{72E6F067-657B-46AE-B8BA-DE6C37B56E32}" sourceName="provincia_nombre">
  <pivotTables>
    <pivotTable tabId="6" name="ComparacionCampaniasProv"/>
  </pivotTables>
  <data>
    <tabular pivotCacheId="1095073308">
      <items count="18">
        <i x="15" s="1"/>
        <i x="10" s="1"/>
        <i x="1" s="1"/>
        <i x="5" s="1"/>
        <i x="16" s="1"/>
        <i x="11" s="1"/>
        <i x="13" s="1"/>
        <i x="7" s="1"/>
        <i x="9" s="1"/>
        <i x="0" s="1" nd="1"/>
        <i x="2" s="1" nd="1"/>
        <i x="3" s="1" nd="1"/>
        <i x="4" s="1" nd="1"/>
        <i x="17" s="1" nd="1"/>
        <i x="14" s="1" nd="1"/>
        <i x="6" s="1" nd="1"/>
        <i x="12" s="1" nd="1"/>
        <i x="8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incia_nombre1" xr10:uid="{FECA00E4-3049-4BF9-AC73-36BEF288B93D}" sourceName="provincia_nombre">
  <pivotTables>
    <pivotTable tabId="7" name="TablaDinámica3"/>
  </pivotTables>
  <data>
    <tabular pivotCacheId="1095073308">
      <items count="18">
        <i x="15" s="1"/>
        <i x="1" s="1"/>
        <i x="10" nd="1"/>
        <i x="0" nd="1"/>
        <i x="2" nd="1"/>
        <i x="3" nd="1"/>
        <i x="4" nd="1"/>
        <i x="5" nd="1"/>
        <i x="16" nd="1"/>
        <i x="17" nd="1"/>
        <i x="14" nd="1"/>
        <i x="6" nd="1"/>
        <i x="11" nd="1"/>
        <i x="12" nd="1"/>
        <i x="13" nd="1"/>
        <i x="7" nd="1"/>
        <i x="8" nd="1"/>
        <i x="9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nio" xr10:uid="{45E518DF-5F57-4843-B634-4C6485270EC7}" sourceName="anio">
  <pivotTables>
    <pivotTable tabId="7" name="TablaDinámica3"/>
  </pivotTables>
  <data>
    <tabular pivotCacheId="1095073308">
      <items count="98">
        <i x="0"/>
        <i x="6"/>
        <i x="7"/>
        <i x="8"/>
        <i x="9"/>
        <i x="10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55"/>
        <i x="56"/>
        <i x="57"/>
        <i x="58"/>
        <i x="59"/>
        <i x="60"/>
        <i x="62"/>
        <i x="63"/>
        <i x="64"/>
        <i x="65"/>
        <i x="66"/>
        <i x="67"/>
        <i x="68"/>
        <i x="69"/>
        <i x="70"/>
        <i x="71"/>
        <i x="72"/>
        <i x="73"/>
        <i x="74"/>
        <i x="75"/>
        <i x="76"/>
        <i x="77"/>
        <i x="78"/>
        <i x="79"/>
        <i x="80"/>
        <i x="81"/>
        <i x="82"/>
        <i x="83"/>
        <i x="84"/>
        <i x="85"/>
        <i x="86"/>
        <i x="87"/>
        <i x="88"/>
        <i x="89"/>
        <i x="90"/>
        <i x="91"/>
        <i x="92"/>
        <i x="93"/>
        <i x="94" s="1"/>
        <i x="95" s="1"/>
        <i x="96" s="1"/>
        <i x="97" s="1"/>
        <i x="1" nd="1"/>
        <i x="2" nd="1"/>
        <i x="3" nd="1"/>
        <i x="4" nd="1"/>
        <i x="5" nd="1"/>
        <i x="11" nd="1"/>
        <i x="6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_nombre" xr10:uid="{59E64B28-48C9-4F4E-811C-3CB982B47112}" sourceName="departamento_nombre">
  <pivotTables>
    <pivotTable tabId="7" name="TablaDinámica3"/>
  </pivotTables>
  <data>
    <tabular pivotCacheId="1095073308">
      <items count="226">
        <i x="174"/>
        <i x="172"/>
        <i x="212"/>
        <i x="219"/>
        <i x="124"/>
        <i x="70"/>
        <i x="12"/>
        <i x="224"/>
        <i x="213"/>
        <i x="11"/>
        <i x="135"/>
        <i x="220"/>
        <i x="214"/>
        <i x="216"/>
        <i x="122"/>
        <i x="96"/>
        <i x="143"/>
        <i x="222"/>
        <i x="191" s="1"/>
        <i x="217"/>
        <i x="221"/>
        <i x="107"/>
        <i x="95"/>
        <i x="183"/>
        <i x="126"/>
        <i x="186"/>
        <i x="127"/>
        <i x="102"/>
        <i x="160"/>
        <i x="13" s="1"/>
        <i x="9"/>
        <i x="133"/>
        <i x="8"/>
        <i x="123"/>
        <i x="223"/>
        <i x="215"/>
        <i x="131"/>
        <i x="42"/>
        <i x="46"/>
        <i x="7"/>
        <i x="10"/>
        <i x="84"/>
        <i x="129"/>
        <i x="144"/>
        <i x="90"/>
        <i x="62" nd="1"/>
        <i x="169" nd="1"/>
        <i x="178" nd="1"/>
        <i x="47" nd="1"/>
        <i x="155" nd="1"/>
        <i x="157" nd="1"/>
        <i x="188" nd="1"/>
        <i x="117" nd="1"/>
        <i x="39" nd="1"/>
        <i x="153" nd="1"/>
        <i x="152" nd="1"/>
        <i x="121" nd="1"/>
        <i x="120" nd="1"/>
        <i x="21" nd="1"/>
        <i x="4" nd="1"/>
        <i x="75" nd="1"/>
        <i x="55" nd="1"/>
        <i x="114" nd="1"/>
        <i x="0" nd="1"/>
        <i x="98" nd="1"/>
        <i x="40" nd="1"/>
        <i x="202" nd="1"/>
        <i x="119" nd="1"/>
        <i x="206" nd="1"/>
        <i x="93" nd="1"/>
        <i x="87" nd="1"/>
        <i x="203" nd="1"/>
        <i x="83" nd="1"/>
        <i x="125" nd="1"/>
        <i x="52" nd="1"/>
        <i x="180" nd="1"/>
        <i x="43" nd="1"/>
        <i x="29" nd="1"/>
        <i x="209" nd="1"/>
        <i x="156" nd="1"/>
        <i x="3" nd="1"/>
        <i x="86" nd="1"/>
        <i x="65" nd="1"/>
        <i x="25" nd="1"/>
        <i x="161" nd="1"/>
        <i x="35" nd="1"/>
        <i x="185" nd="1"/>
        <i x="17" nd="1"/>
        <i x="18" nd="1"/>
        <i x="63" nd="1"/>
        <i x="28" nd="1"/>
        <i x="196" nd="1"/>
        <i x="110" nd="1"/>
        <i x="148" nd="1"/>
        <i x="32" nd="1"/>
        <i x="179" nd="1"/>
        <i x="59" nd="1"/>
        <i x="45" nd="1"/>
        <i x="105" nd="1"/>
        <i x="142" nd="1"/>
        <i x="168" nd="1"/>
        <i x="176" nd="1"/>
        <i x="171" nd="1"/>
        <i x="195" nd="1"/>
        <i x="192" nd="1"/>
        <i x="44" nd="1"/>
        <i x="72" nd="1"/>
        <i x="94" nd="1"/>
        <i x="210" nd="1"/>
        <i x="26" nd="1"/>
        <i x="69" nd="1"/>
        <i x="193" nd="1"/>
        <i x="111" nd="1"/>
        <i x="80" nd="1"/>
        <i x="115" nd="1"/>
        <i x="149" nd="1"/>
        <i x="198" nd="1"/>
        <i x="116" nd="1"/>
        <i x="190" nd="1"/>
        <i x="197" nd="1"/>
        <i x="132" nd="1"/>
        <i x="73" nd="1"/>
        <i x="22" nd="1"/>
        <i x="103" nd="1"/>
        <i x="211" nd="1"/>
        <i x="53" nd="1"/>
        <i x="147" nd="1"/>
        <i x="99" nd="1"/>
        <i x="36" nd="1"/>
        <i x="218" nd="1"/>
        <i x="139" nd="1"/>
        <i x="92" nd="1"/>
        <i x="201" nd="1"/>
        <i x="31" nd="1"/>
        <i x="101" nd="1"/>
        <i x="16" nd="1"/>
        <i x="66" nd="1"/>
        <i x="137" nd="1"/>
        <i x="170" nd="1"/>
        <i x="88" nd="1"/>
        <i x="177" nd="1"/>
        <i x="208" nd="1"/>
        <i x="48" nd="1"/>
        <i x="71" nd="1"/>
        <i x="78" nd="1"/>
        <i x="106" nd="1"/>
        <i x="136" nd="1"/>
        <i x="49" nd="1"/>
        <i x="15" nd="1"/>
        <i x="184" nd="1"/>
        <i x="67" nd="1"/>
        <i x="50" nd="1"/>
        <i x="1" nd="1"/>
        <i x="108" nd="1"/>
        <i x="182" nd="1"/>
        <i x="181" nd="1"/>
        <i x="141" nd="1"/>
        <i x="140" nd="1"/>
        <i x="14" nd="1"/>
        <i x="57" nd="1"/>
        <i x="91" nd="1"/>
        <i x="77" nd="1"/>
        <i x="34" nd="1"/>
        <i x="81" nd="1"/>
        <i x="30" nd="1"/>
        <i x="33" nd="1"/>
        <i x="151" nd="1"/>
        <i x="85" nd="1"/>
        <i x="56" nd="1"/>
        <i x="164" nd="1"/>
        <i x="166" nd="1"/>
        <i x="134" nd="1"/>
        <i x="150" nd="1"/>
        <i x="138" nd="1"/>
        <i x="173" nd="1"/>
        <i x="162" nd="1"/>
        <i x="204" nd="1"/>
        <i x="205" nd="1"/>
        <i x="2" nd="1"/>
        <i x="82" nd="1"/>
        <i x="51" nd="1"/>
        <i x="130" nd="1"/>
        <i x="54" nd="1"/>
        <i x="146" nd="1"/>
        <i x="97" nd="1"/>
        <i x="23" nd="1"/>
        <i x="158" nd="1"/>
        <i x="128" nd="1"/>
        <i x="38" nd="1"/>
        <i x="199" nd="1"/>
        <i x="19" nd="1"/>
        <i x="118" nd="1"/>
        <i x="175" nd="1"/>
        <i x="41" nd="1"/>
        <i x="163" nd="1"/>
        <i x="189" nd="1"/>
        <i x="24" nd="1"/>
        <i x="20" nd="1"/>
        <i x="76" nd="1"/>
        <i x="37" nd="1"/>
        <i x="104" nd="1"/>
        <i x="74" nd="1"/>
        <i x="194" nd="1"/>
        <i x="58" nd="1"/>
        <i x="187" nd="1"/>
        <i x="27" nd="1"/>
        <i x="167" nd="1"/>
        <i x="159" nd="1"/>
        <i x="61" nd="1"/>
        <i x="154" nd="1"/>
        <i x="225" nd="1"/>
        <i x="145" nd="1"/>
        <i x="68" nd="1"/>
        <i x="113" nd="1"/>
        <i x="6" nd="1"/>
        <i x="89" nd="1"/>
        <i x="5" nd="1"/>
        <i x="64" nd="1"/>
        <i x="207" nd="1"/>
        <i x="200" nd="1"/>
        <i x="79" nd="1"/>
        <i x="60" nd="1"/>
        <i x="100" nd="1"/>
        <i x="109" nd="1"/>
        <i x="112" nd="1"/>
        <i x="16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mpaña" xr10:uid="{FDED67E1-9DF0-45D7-95BF-0AF5E99499D7}" cache="SegmentaciónDeDatos_campania" caption="Campaña" startItem="92" rowHeight="241300"/>
  <slicer name="Provincia" xr10:uid="{5378394E-1CA8-4006-8C30-0CD651F51C3A}" cache="SegmentaciónDeDatos_provincia_nombre" caption="Provincia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ia 1" xr10:uid="{D68CB08A-9263-4ABA-83DB-4618E10A2F22}" cache="SegmentaciónDeDatos_provincia_nombre1" caption="Provincia" rowHeight="241300"/>
  <slicer name="Año" xr10:uid="{45988061-BC41-42C0-9743-C28F7C98696F}" cache="SegmentaciónDeDatos_anio" caption="Año" startItem="78" rowHeight="241300"/>
  <slicer name="Departamento" xr10:uid="{6CCD055B-28D7-4F0A-94A5-19350007BD1A}" cache="SegmentaciónDeDatos_departamento_nombre" caption="Departamento" startItem="27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91B4D-7A8F-4FD1-9F17-62DEA3922539}" name="Produccion_mani" displayName="Produccion_mani" ref="A1:L5258" tableType="queryTable" totalsRowShown="0">
  <autoFilter ref="A1:L5258" xr:uid="{7B091B4D-7A8F-4FD1-9F17-62DEA3922539}">
    <filterColumn colId="6">
      <filters>
        <filter val="San Pedro"/>
      </filters>
    </filterColumn>
  </autoFilter>
  <tableColumns count="12">
    <tableColumn id="1" xr3:uid="{046B3C16-BFD6-446B-AE54-E1006F79BB65}" uniqueName="1" name="id" queryTableFieldId="1"/>
    <tableColumn id="2" xr3:uid="{1AC30705-10D3-4C13-8E98-982DBB6BD43F}" uniqueName="2" name="cultivo_nombre" queryTableFieldId="2" dataDxfId="15"/>
    <tableColumn id="3" xr3:uid="{670005AE-167B-4D21-B0CC-1582A6486D48}" uniqueName="3" name="anio" queryTableFieldId="3"/>
    <tableColumn id="4" xr3:uid="{0E62546A-2212-46BE-B74D-D200DAA80A9F}" uniqueName="4" name="campania" queryTableFieldId="4" dataDxfId="14"/>
    <tableColumn id="5" xr3:uid="{2BEC591D-1C7D-4305-AB48-41AD0DF3F2C5}" uniqueName="5" name="provincia_nombre" queryTableFieldId="5" dataDxfId="13"/>
    <tableColumn id="6" xr3:uid="{7BA69EAE-9DB1-466A-BFEC-054BEF90FB91}" uniqueName="6" name="provincia_id" queryTableFieldId="6"/>
    <tableColumn id="7" xr3:uid="{0A591CD3-A04B-4FE3-A6D4-EF7B612C5BED}" uniqueName="7" name="departamento_nombre" queryTableFieldId="7" dataDxfId="12"/>
    <tableColumn id="8" xr3:uid="{28FC23DE-9A1F-44A4-919A-79678EB625B3}" uniqueName="8" name="departamento_id" queryTableFieldId="8"/>
    <tableColumn id="9" xr3:uid="{E3BCE414-E569-42E8-9E0B-A6ABDF02F604}" uniqueName="9" name="superficie_sembrada_ha" queryTableFieldId="9"/>
    <tableColumn id="10" xr3:uid="{F67F55BD-298B-407A-A6FD-5CA4B749FB8F}" uniqueName="10" name="superficie_cosechada_ha" queryTableFieldId="10"/>
    <tableColumn id="11" xr3:uid="{8EB2B771-FC73-419F-A95C-8B7FB1647915}" uniqueName="11" name="produccion_tm" queryTableFieldId="11"/>
    <tableColumn id="12" xr3:uid="{BB248F8C-0673-45C3-BA94-3571E85AF06E}" uniqueName="12" name="rendimiento_kgxha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35DA-3F02-4BDB-B82C-F78C02398C15}">
  <dimension ref="A1:L5258"/>
  <sheetViews>
    <sheetView workbookViewId="0">
      <selection activeCell="O13" sqref="O13"/>
    </sheetView>
  </sheetViews>
  <sheetFormatPr baseColWidth="10" defaultRowHeight="15" x14ac:dyDescent="0.25"/>
  <cols>
    <col min="1" max="1" width="5" bestFit="1" customWidth="1"/>
    <col min="2" max="2" width="17.28515625" bestFit="1" customWidth="1"/>
    <col min="3" max="3" width="7.140625" bestFit="1" customWidth="1"/>
    <col min="4" max="4" width="11.7109375" bestFit="1" customWidth="1"/>
    <col min="5" max="5" width="19.5703125" bestFit="1" customWidth="1"/>
    <col min="6" max="6" width="14.140625" bestFit="1" customWidth="1"/>
    <col min="7" max="7" width="27.7109375" bestFit="1" customWidth="1"/>
    <col min="8" max="8" width="18.85546875" bestFit="1" customWidth="1"/>
    <col min="9" max="9" width="25.28515625" bestFit="1" customWidth="1"/>
    <col min="10" max="10" width="25.7109375" bestFit="1" customWidth="1"/>
    <col min="11" max="11" width="16.5703125" bestFit="1" customWidth="1"/>
    <col min="12" max="12" width="2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>
        <v>1</v>
      </c>
      <c r="B2" s="1" t="s">
        <v>12</v>
      </c>
      <c r="C2">
        <v>1927</v>
      </c>
      <c r="D2" s="1" t="s">
        <v>13</v>
      </c>
      <c r="E2" s="1" t="s">
        <v>14</v>
      </c>
      <c r="F2">
        <v>22</v>
      </c>
      <c r="G2" s="1" t="s">
        <v>15</v>
      </c>
      <c r="H2">
        <v>22105</v>
      </c>
      <c r="I2">
        <v>4213</v>
      </c>
      <c r="J2">
        <v>4213</v>
      </c>
      <c r="K2">
        <v>3160</v>
      </c>
      <c r="L2">
        <v>750</v>
      </c>
    </row>
    <row r="3" spans="1:12" hidden="1" x14ac:dyDescent="0.25">
      <c r="A3">
        <v>2</v>
      </c>
      <c r="B3" s="1" t="s">
        <v>12</v>
      </c>
      <c r="C3">
        <v>1927</v>
      </c>
      <c r="D3" s="1" t="s">
        <v>13</v>
      </c>
      <c r="E3" s="1" t="s">
        <v>14</v>
      </c>
      <c r="F3">
        <v>22</v>
      </c>
      <c r="G3" s="1" t="s">
        <v>16</v>
      </c>
      <c r="H3">
        <v>22049</v>
      </c>
      <c r="I3">
        <v>465</v>
      </c>
      <c r="J3">
        <v>465</v>
      </c>
      <c r="K3">
        <v>348</v>
      </c>
      <c r="L3">
        <v>750</v>
      </c>
    </row>
    <row r="4" spans="1:12" hidden="1" x14ac:dyDescent="0.25">
      <c r="A4">
        <v>3</v>
      </c>
      <c r="B4" s="1" t="s">
        <v>12</v>
      </c>
      <c r="C4">
        <v>1927</v>
      </c>
      <c r="D4" s="1" t="s">
        <v>13</v>
      </c>
      <c r="E4" s="1" t="s">
        <v>14</v>
      </c>
      <c r="F4">
        <v>22</v>
      </c>
      <c r="G4" s="1" t="s">
        <v>17</v>
      </c>
      <c r="H4">
        <v>22140</v>
      </c>
      <c r="I4">
        <v>192</v>
      </c>
      <c r="J4">
        <v>192</v>
      </c>
      <c r="K4">
        <v>144</v>
      </c>
      <c r="L4">
        <v>750</v>
      </c>
    </row>
    <row r="5" spans="1:12" hidden="1" x14ac:dyDescent="0.25">
      <c r="A5">
        <v>4</v>
      </c>
      <c r="B5" s="1" t="s">
        <v>12</v>
      </c>
      <c r="C5">
        <v>1927</v>
      </c>
      <c r="D5" s="1" t="s">
        <v>13</v>
      </c>
      <c r="E5" s="1" t="s">
        <v>14</v>
      </c>
      <c r="F5">
        <v>22</v>
      </c>
      <c r="G5" s="1" t="s">
        <v>18</v>
      </c>
      <c r="H5">
        <v>22084</v>
      </c>
      <c r="I5">
        <v>71</v>
      </c>
      <c r="J5">
        <v>71</v>
      </c>
      <c r="K5">
        <v>53</v>
      </c>
      <c r="L5">
        <v>750</v>
      </c>
    </row>
    <row r="6" spans="1:12" hidden="1" x14ac:dyDescent="0.25">
      <c r="A6">
        <v>5</v>
      </c>
      <c r="B6" s="1" t="s">
        <v>12</v>
      </c>
      <c r="C6">
        <v>1927</v>
      </c>
      <c r="D6" s="1" t="s">
        <v>13</v>
      </c>
      <c r="E6" s="1" t="s">
        <v>14</v>
      </c>
      <c r="F6">
        <v>22</v>
      </c>
      <c r="G6" s="1" t="s">
        <v>19</v>
      </c>
      <c r="H6">
        <v>22014</v>
      </c>
      <c r="I6">
        <v>36</v>
      </c>
      <c r="J6">
        <v>36</v>
      </c>
      <c r="K6">
        <v>27</v>
      </c>
      <c r="L6">
        <v>750</v>
      </c>
    </row>
    <row r="7" spans="1:12" hidden="1" x14ac:dyDescent="0.25">
      <c r="A7">
        <v>6</v>
      </c>
      <c r="B7" s="1" t="s">
        <v>12</v>
      </c>
      <c r="C7">
        <v>1927</v>
      </c>
      <c r="D7" s="1" t="s">
        <v>13</v>
      </c>
      <c r="E7" s="1" t="s">
        <v>14</v>
      </c>
      <c r="F7">
        <v>22</v>
      </c>
      <c r="G7" s="1" t="s">
        <v>20</v>
      </c>
      <c r="H7">
        <v>22091</v>
      </c>
      <c r="I7">
        <v>33</v>
      </c>
      <c r="J7">
        <v>33</v>
      </c>
      <c r="K7">
        <v>25</v>
      </c>
      <c r="L7">
        <v>750</v>
      </c>
    </row>
    <row r="8" spans="1:12" hidden="1" x14ac:dyDescent="0.25">
      <c r="A8">
        <v>7</v>
      </c>
      <c r="B8" s="1" t="s">
        <v>12</v>
      </c>
      <c r="C8">
        <v>1927</v>
      </c>
      <c r="D8" s="1" t="s">
        <v>13</v>
      </c>
      <c r="E8" s="1" t="s">
        <v>14</v>
      </c>
      <c r="F8">
        <v>22</v>
      </c>
      <c r="G8" s="1" t="s">
        <v>21</v>
      </c>
      <c r="H8">
        <v>22161</v>
      </c>
      <c r="I8">
        <v>24</v>
      </c>
      <c r="J8">
        <v>24</v>
      </c>
      <c r="K8">
        <v>18</v>
      </c>
      <c r="L8">
        <v>750</v>
      </c>
    </row>
    <row r="9" spans="1:12" hidden="1" x14ac:dyDescent="0.25">
      <c r="A9">
        <v>8</v>
      </c>
      <c r="B9" s="1" t="s">
        <v>12</v>
      </c>
      <c r="C9">
        <v>1927</v>
      </c>
      <c r="D9" s="1" t="s">
        <v>13</v>
      </c>
      <c r="E9" s="1" t="s">
        <v>22</v>
      </c>
      <c r="F9">
        <v>14</v>
      </c>
      <c r="G9" s="1" t="s">
        <v>23</v>
      </c>
      <c r="H9">
        <v>14147</v>
      </c>
      <c r="I9">
        <v>9800</v>
      </c>
      <c r="J9">
        <v>9800</v>
      </c>
      <c r="K9">
        <v>13720</v>
      </c>
      <c r="L9">
        <v>1400</v>
      </c>
    </row>
    <row r="10" spans="1:12" hidden="1" x14ac:dyDescent="0.25">
      <c r="A10">
        <v>9</v>
      </c>
      <c r="B10" s="1" t="s">
        <v>12</v>
      </c>
      <c r="C10">
        <v>1927</v>
      </c>
      <c r="D10" s="1" t="s">
        <v>13</v>
      </c>
      <c r="E10" s="1" t="s">
        <v>22</v>
      </c>
      <c r="F10">
        <v>14</v>
      </c>
      <c r="G10" s="1" t="s">
        <v>24</v>
      </c>
      <c r="H10">
        <v>14119</v>
      </c>
      <c r="I10">
        <v>9200</v>
      </c>
      <c r="J10">
        <v>9200</v>
      </c>
      <c r="K10">
        <v>13800</v>
      </c>
      <c r="L10">
        <v>1500</v>
      </c>
    </row>
    <row r="11" spans="1:12" hidden="1" x14ac:dyDescent="0.25">
      <c r="A11">
        <v>10</v>
      </c>
      <c r="B11" s="1" t="s">
        <v>12</v>
      </c>
      <c r="C11">
        <v>1927</v>
      </c>
      <c r="D11" s="1" t="s">
        <v>13</v>
      </c>
      <c r="E11" s="1" t="s">
        <v>22</v>
      </c>
      <c r="F11">
        <v>14</v>
      </c>
      <c r="G11" s="1" t="s">
        <v>25</v>
      </c>
      <c r="H11">
        <v>14105</v>
      </c>
      <c r="I11">
        <v>1700</v>
      </c>
      <c r="J11">
        <v>1700</v>
      </c>
      <c r="K11">
        <v>1870</v>
      </c>
      <c r="L11">
        <v>1100</v>
      </c>
    </row>
    <row r="12" spans="1:12" hidden="1" x14ac:dyDescent="0.25">
      <c r="A12">
        <v>11</v>
      </c>
      <c r="B12" s="1" t="s">
        <v>12</v>
      </c>
      <c r="C12">
        <v>1927</v>
      </c>
      <c r="D12" s="1" t="s">
        <v>13</v>
      </c>
      <c r="E12" s="1" t="s">
        <v>22</v>
      </c>
      <c r="F12">
        <v>14</v>
      </c>
      <c r="G12" s="1" t="s">
        <v>26</v>
      </c>
      <c r="H12">
        <v>14161</v>
      </c>
      <c r="I12">
        <v>1100</v>
      </c>
      <c r="J12">
        <v>1100</v>
      </c>
      <c r="K12">
        <v>1650</v>
      </c>
      <c r="L12">
        <v>1500</v>
      </c>
    </row>
    <row r="13" spans="1:12" hidden="1" x14ac:dyDescent="0.25">
      <c r="A13">
        <v>12</v>
      </c>
      <c r="B13" s="1" t="s">
        <v>12</v>
      </c>
      <c r="C13">
        <v>1927</v>
      </c>
      <c r="D13" s="1" t="s">
        <v>13</v>
      </c>
      <c r="E13" s="1" t="s">
        <v>22</v>
      </c>
      <c r="F13">
        <v>14</v>
      </c>
      <c r="G13" s="1" t="s">
        <v>27</v>
      </c>
      <c r="H13">
        <v>14021</v>
      </c>
      <c r="I13">
        <v>1000</v>
      </c>
      <c r="J13">
        <v>1000</v>
      </c>
      <c r="K13">
        <v>1300</v>
      </c>
      <c r="L13">
        <v>1300</v>
      </c>
    </row>
    <row r="14" spans="1:12" hidden="1" x14ac:dyDescent="0.25">
      <c r="A14">
        <v>13</v>
      </c>
      <c r="B14" s="1" t="s">
        <v>12</v>
      </c>
      <c r="C14">
        <v>1927</v>
      </c>
      <c r="D14" s="1" t="s">
        <v>13</v>
      </c>
      <c r="E14" s="1" t="s">
        <v>22</v>
      </c>
      <c r="F14">
        <v>14</v>
      </c>
      <c r="G14" s="1" t="s">
        <v>28</v>
      </c>
      <c r="H14">
        <v>14014</v>
      </c>
      <c r="I14">
        <v>300</v>
      </c>
      <c r="J14">
        <v>300</v>
      </c>
      <c r="K14">
        <v>390</v>
      </c>
      <c r="L14">
        <v>1300</v>
      </c>
    </row>
    <row r="15" spans="1:12" hidden="1" x14ac:dyDescent="0.25">
      <c r="A15">
        <v>14</v>
      </c>
      <c r="B15" s="1" t="s">
        <v>12</v>
      </c>
      <c r="C15">
        <v>1927</v>
      </c>
      <c r="D15" s="1" t="s">
        <v>13</v>
      </c>
      <c r="E15" s="1" t="s">
        <v>22</v>
      </c>
      <c r="F15">
        <v>14</v>
      </c>
      <c r="G15" s="1" t="s">
        <v>29</v>
      </c>
      <c r="H15">
        <v>14098</v>
      </c>
      <c r="I15">
        <v>12</v>
      </c>
      <c r="J15">
        <v>12</v>
      </c>
      <c r="K15">
        <v>12</v>
      </c>
      <c r="L15">
        <v>1000</v>
      </c>
    </row>
    <row r="16" spans="1:12" hidden="1" x14ac:dyDescent="0.25">
      <c r="A16">
        <v>15</v>
      </c>
      <c r="B16" s="1" t="s">
        <v>12</v>
      </c>
      <c r="C16">
        <v>1927</v>
      </c>
      <c r="D16" s="1" t="s">
        <v>13</v>
      </c>
      <c r="E16" s="1" t="s">
        <v>30</v>
      </c>
      <c r="F16">
        <v>18</v>
      </c>
      <c r="G16" s="1" t="s">
        <v>31</v>
      </c>
      <c r="I16">
        <v>500</v>
      </c>
      <c r="J16">
        <v>500</v>
      </c>
      <c r="K16">
        <v>350</v>
      </c>
      <c r="L16">
        <v>700</v>
      </c>
    </row>
    <row r="17" spans="1:12" hidden="1" x14ac:dyDescent="0.25">
      <c r="A17">
        <v>16</v>
      </c>
      <c r="B17" s="1" t="s">
        <v>12</v>
      </c>
      <c r="C17">
        <v>1927</v>
      </c>
      <c r="D17" s="1" t="s">
        <v>13</v>
      </c>
      <c r="E17" s="1" t="s">
        <v>30</v>
      </c>
      <c r="F17">
        <v>18</v>
      </c>
      <c r="G17" s="1" t="s">
        <v>32</v>
      </c>
      <c r="H17">
        <v>18112</v>
      </c>
      <c r="I17">
        <v>410</v>
      </c>
      <c r="J17">
        <v>410</v>
      </c>
      <c r="K17">
        <v>328</v>
      </c>
      <c r="L17">
        <v>800</v>
      </c>
    </row>
    <row r="18" spans="1:12" hidden="1" x14ac:dyDescent="0.25">
      <c r="A18">
        <v>17</v>
      </c>
      <c r="B18" s="1" t="s">
        <v>12</v>
      </c>
      <c r="C18">
        <v>1927</v>
      </c>
      <c r="D18" s="1" t="s">
        <v>13</v>
      </c>
      <c r="E18" s="1" t="s">
        <v>30</v>
      </c>
      <c r="F18">
        <v>18</v>
      </c>
      <c r="G18" s="1" t="s">
        <v>33</v>
      </c>
      <c r="H18">
        <v>18091</v>
      </c>
      <c r="I18">
        <v>350</v>
      </c>
      <c r="J18">
        <v>350</v>
      </c>
      <c r="K18">
        <v>245</v>
      </c>
      <c r="L18">
        <v>700</v>
      </c>
    </row>
    <row r="19" spans="1:12" hidden="1" x14ac:dyDescent="0.25">
      <c r="A19">
        <v>18</v>
      </c>
      <c r="B19" s="1" t="s">
        <v>12</v>
      </c>
      <c r="C19">
        <v>1927</v>
      </c>
      <c r="D19" s="1" t="s">
        <v>13</v>
      </c>
      <c r="E19" s="1" t="s">
        <v>30</v>
      </c>
      <c r="F19">
        <v>18</v>
      </c>
      <c r="G19" s="1" t="s">
        <v>34</v>
      </c>
      <c r="H19">
        <v>18042</v>
      </c>
      <c r="I19">
        <v>300</v>
      </c>
      <c r="J19">
        <v>300</v>
      </c>
      <c r="K19">
        <v>360</v>
      </c>
      <c r="L19">
        <v>1200</v>
      </c>
    </row>
    <row r="20" spans="1:12" hidden="1" x14ac:dyDescent="0.25">
      <c r="A20">
        <v>19</v>
      </c>
      <c r="B20" s="1" t="s">
        <v>12</v>
      </c>
      <c r="C20">
        <v>1927</v>
      </c>
      <c r="D20" s="1" t="s">
        <v>13</v>
      </c>
      <c r="E20" s="1" t="s">
        <v>30</v>
      </c>
      <c r="F20">
        <v>18</v>
      </c>
      <c r="G20" s="1" t="s">
        <v>35</v>
      </c>
      <c r="H20">
        <v>18049</v>
      </c>
      <c r="I20">
        <v>300</v>
      </c>
      <c r="J20">
        <v>300</v>
      </c>
      <c r="K20">
        <v>300</v>
      </c>
      <c r="L20">
        <v>1000</v>
      </c>
    </row>
    <row r="21" spans="1:12" hidden="1" x14ac:dyDescent="0.25">
      <c r="A21">
        <v>20</v>
      </c>
      <c r="B21" s="1" t="s">
        <v>12</v>
      </c>
      <c r="C21">
        <v>1927</v>
      </c>
      <c r="D21" s="1" t="s">
        <v>13</v>
      </c>
      <c r="E21" s="1" t="s">
        <v>30</v>
      </c>
      <c r="F21">
        <v>18</v>
      </c>
      <c r="G21" s="1" t="s">
        <v>36</v>
      </c>
      <c r="H21">
        <v>18133</v>
      </c>
      <c r="I21">
        <v>260</v>
      </c>
      <c r="J21">
        <v>260</v>
      </c>
      <c r="K21">
        <v>260</v>
      </c>
      <c r="L21">
        <v>1000</v>
      </c>
    </row>
    <row r="22" spans="1:12" hidden="1" x14ac:dyDescent="0.25">
      <c r="A22">
        <v>21</v>
      </c>
      <c r="B22" s="1" t="s">
        <v>12</v>
      </c>
      <c r="C22">
        <v>1927</v>
      </c>
      <c r="D22" s="1" t="s">
        <v>13</v>
      </c>
      <c r="E22" s="1" t="s">
        <v>30</v>
      </c>
      <c r="F22">
        <v>18</v>
      </c>
      <c r="G22" s="1" t="s">
        <v>37</v>
      </c>
      <c r="H22">
        <v>18147</v>
      </c>
      <c r="I22">
        <v>200</v>
      </c>
      <c r="J22">
        <v>200</v>
      </c>
      <c r="K22">
        <v>180</v>
      </c>
      <c r="L22">
        <v>900</v>
      </c>
    </row>
    <row r="23" spans="1:12" hidden="1" x14ac:dyDescent="0.25">
      <c r="A23">
        <v>22</v>
      </c>
      <c r="B23" s="1" t="s">
        <v>12</v>
      </c>
      <c r="C23">
        <v>1927</v>
      </c>
      <c r="D23" s="1" t="s">
        <v>13</v>
      </c>
      <c r="E23" s="1" t="s">
        <v>30</v>
      </c>
      <c r="F23">
        <v>18</v>
      </c>
      <c r="G23" s="1" t="s">
        <v>38</v>
      </c>
      <c r="H23">
        <v>18007</v>
      </c>
      <c r="I23">
        <v>170</v>
      </c>
      <c r="J23">
        <v>170</v>
      </c>
      <c r="K23">
        <v>119</v>
      </c>
      <c r="L23">
        <v>700</v>
      </c>
    </row>
    <row r="24" spans="1:12" hidden="1" x14ac:dyDescent="0.25">
      <c r="A24">
        <v>23</v>
      </c>
      <c r="B24" s="1" t="s">
        <v>12</v>
      </c>
      <c r="C24">
        <v>1927</v>
      </c>
      <c r="D24" s="1" t="s">
        <v>13</v>
      </c>
      <c r="E24" s="1" t="s">
        <v>30</v>
      </c>
      <c r="F24">
        <v>18</v>
      </c>
      <c r="G24" s="1" t="s">
        <v>39</v>
      </c>
      <c r="H24">
        <v>18084</v>
      </c>
      <c r="I24">
        <v>150</v>
      </c>
      <c r="J24">
        <v>150</v>
      </c>
      <c r="K24">
        <v>75</v>
      </c>
      <c r="L24">
        <v>500</v>
      </c>
    </row>
    <row r="25" spans="1:12" hidden="1" x14ac:dyDescent="0.25">
      <c r="A25">
        <v>24</v>
      </c>
      <c r="B25" s="1" t="s">
        <v>12</v>
      </c>
      <c r="C25">
        <v>1927</v>
      </c>
      <c r="D25" s="1" t="s">
        <v>13</v>
      </c>
      <c r="E25" s="1" t="s">
        <v>30</v>
      </c>
      <c r="F25">
        <v>18</v>
      </c>
      <c r="G25" s="1" t="s">
        <v>40</v>
      </c>
      <c r="H25">
        <v>18126</v>
      </c>
      <c r="I25">
        <v>150</v>
      </c>
      <c r="J25">
        <v>150</v>
      </c>
      <c r="K25">
        <v>90</v>
      </c>
      <c r="L25">
        <v>600</v>
      </c>
    </row>
    <row r="26" spans="1:12" hidden="1" x14ac:dyDescent="0.25">
      <c r="A26">
        <v>25</v>
      </c>
      <c r="B26" s="1" t="s">
        <v>12</v>
      </c>
      <c r="C26">
        <v>1927</v>
      </c>
      <c r="D26" s="1" t="s">
        <v>13</v>
      </c>
      <c r="E26" s="1" t="s">
        <v>30</v>
      </c>
      <c r="F26">
        <v>18</v>
      </c>
      <c r="G26" s="1" t="s">
        <v>41</v>
      </c>
      <c r="H26">
        <v>18140</v>
      </c>
      <c r="I26">
        <v>140</v>
      </c>
      <c r="J26">
        <v>140</v>
      </c>
      <c r="K26">
        <v>140</v>
      </c>
      <c r="L26">
        <v>1000</v>
      </c>
    </row>
    <row r="27" spans="1:12" hidden="1" x14ac:dyDescent="0.25">
      <c r="A27">
        <v>26</v>
      </c>
      <c r="B27" s="1" t="s">
        <v>12</v>
      </c>
      <c r="C27">
        <v>1927</v>
      </c>
      <c r="D27" s="1" t="s">
        <v>13</v>
      </c>
      <c r="E27" s="1" t="s">
        <v>30</v>
      </c>
      <c r="F27">
        <v>18</v>
      </c>
      <c r="G27" s="1" t="s">
        <v>28</v>
      </c>
      <c r="H27">
        <v>18021</v>
      </c>
      <c r="I27">
        <v>134</v>
      </c>
      <c r="J27">
        <v>134</v>
      </c>
      <c r="K27">
        <v>67</v>
      </c>
      <c r="L27">
        <v>500</v>
      </c>
    </row>
    <row r="28" spans="1:12" hidden="1" x14ac:dyDescent="0.25">
      <c r="A28">
        <v>27</v>
      </c>
      <c r="B28" s="1" t="s">
        <v>12</v>
      </c>
      <c r="C28">
        <v>1927</v>
      </c>
      <c r="D28" s="1" t="s">
        <v>13</v>
      </c>
      <c r="E28" s="1" t="s">
        <v>30</v>
      </c>
      <c r="F28">
        <v>18</v>
      </c>
      <c r="G28" s="1" t="s">
        <v>42</v>
      </c>
      <c r="H28">
        <v>18035</v>
      </c>
      <c r="I28">
        <v>100</v>
      </c>
      <c r="J28">
        <v>100</v>
      </c>
      <c r="K28">
        <v>100</v>
      </c>
      <c r="L28">
        <v>1000</v>
      </c>
    </row>
    <row r="29" spans="1:12" hidden="1" x14ac:dyDescent="0.25">
      <c r="A29">
        <v>28</v>
      </c>
      <c r="B29" s="1" t="s">
        <v>12</v>
      </c>
      <c r="C29">
        <v>1927</v>
      </c>
      <c r="D29" s="1" t="s">
        <v>13</v>
      </c>
      <c r="E29" s="1" t="s">
        <v>30</v>
      </c>
      <c r="F29">
        <v>18</v>
      </c>
      <c r="G29" s="1" t="s">
        <v>43</v>
      </c>
      <c r="H29">
        <v>18070</v>
      </c>
      <c r="I29">
        <v>100</v>
      </c>
      <c r="J29">
        <v>100</v>
      </c>
      <c r="K29">
        <v>40</v>
      </c>
      <c r="L29">
        <v>400</v>
      </c>
    </row>
    <row r="30" spans="1:12" hidden="1" x14ac:dyDescent="0.25">
      <c r="A30">
        <v>29</v>
      </c>
      <c r="B30" s="1" t="s">
        <v>12</v>
      </c>
      <c r="C30">
        <v>1927</v>
      </c>
      <c r="D30" s="1" t="s">
        <v>13</v>
      </c>
      <c r="E30" s="1" t="s">
        <v>30</v>
      </c>
      <c r="F30">
        <v>18</v>
      </c>
      <c r="G30" s="1" t="s">
        <v>44</v>
      </c>
      <c r="H30">
        <v>18168</v>
      </c>
      <c r="I30">
        <v>100</v>
      </c>
      <c r="J30">
        <v>100</v>
      </c>
      <c r="K30">
        <v>70</v>
      </c>
      <c r="L30">
        <v>700</v>
      </c>
    </row>
    <row r="31" spans="1:12" hidden="1" x14ac:dyDescent="0.25">
      <c r="A31">
        <v>30</v>
      </c>
      <c r="B31" s="1" t="s">
        <v>12</v>
      </c>
      <c r="C31">
        <v>1927</v>
      </c>
      <c r="D31" s="1" t="s">
        <v>13</v>
      </c>
      <c r="E31" s="1" t="s">
        <v>45</v>
      </c>
      <c r="F31">
        <v>30</v>
      </c>
      <c r="G31" s="1" t="s">
        <v>46</v>
      </c>
      <c r="H31">
        <v>30028</v>
      </c>
      <c r="I31">
        <v>7300</v>
      </c>
      <c r="J31">
        <v>7100</v>
      </c>
      <c r="K31">
        <v>7810</v>
      </c>
      <c r="L31">
        <v>1100</v>
      </c>
    </row>
    <row r="32" spans="1:12" hidden="1" x14ac:dyDescent="0.25">
      <c r="A32">
        <v>31</v>
      </c>
      <c r="B32" s="1" t="s">
        <v>12</v>
      </c>
      <c r="C32">
        <v>1927</v>
      </c>
      <c r="D32" s="1" t="s">
        <v>13</v>
      </c>
      <c r="E32" s="1" t="s">
        <v>45</v>
      </c>
      <c r="F32">
        <v>30</v>
      </c>
      <c r="G32" s="1" t="s">
        <v>47</v>
      </c>
      <c r="H32">
        <v>30015</v>
      </c>
      <c r="I32">
        <v>3200</v>
      </c>
      <c r="J32">
        <v>3110</v>
      </c>
      <c r="K32">
        <v>3421</v>
      </c>
      <c r="L32">
        <v>1100</v>
      </c>
    </row>
    <row r="33" spans="1:12" hidden="1" x14ac:dyDescent="0.25">
      <c r="A33">
        <v>32</v>
      </c>
      <c r="B33" s="1" t="s">
        <v>12</v>
      </c>
      <c r="C33">
        <v>1927</v>
      </c>
      <c r="D33" s="1" t="s">
        <v>13</v>
      </c>
      <c r="E33" s="1" t="s">
        <v>45</v>
      </c>
      <c r="F33">
        <v>30</v>
      </c>
      <c r="G33" s="1" t="s">
        <v>27</v>
      </c>
      <c r="H33">
        <v>30008</v>
      </c>
      <c r="I33">
        <v>400</v>
      </c>
      <c r="J33">
        <v>390</v>
      </c>
      <c r="K33">
        <v>409</v>
      </c>
      <c r="L33">
        <v>1050</v>
      </c>
    </row>
    <row r="34" spans="1:12" hidden="1" x14ac:dyDescent="0.25">
      <c r="A34">
        <v>33</v>
      </c>
      <c r="B34" s="1" t="s">
        <v>12</v>
      </c>
      <c r="C34">
        <v>1927</v>
      </c>
      <c r="D34" s="1" t="s">
        <v>13</v>
      </c>
      <c r="E34" s="1" t="s">
        <v>48</v>
      </c>
      <c r="F34">
        <v>34</v>
      </c>
      <c r="G34" s="1" t="s">
        <v>49</v>
      </c>
      <c r="H34">
        <v>34049</v>
      </c>
      <c r="I34">
        <v>65</v>
      </c>
      <c r="J34">
        <v>65</v>
      </c>
      <c r="K34">
        <v>51</v>
      </c>
      <c r="L34">
        <v>784</v>
      </c>
    </row>
    <row r="35" spans="1:12" hidden="1" x14ac:dyDescent="0.25">
      <c r="A35">
        <v>34</v>
      </c>
      <c r="B35" s="1" t="s">
        <v>12</v>
      </c>
      <c r="C35">
        <v>1927</v>
      </c>
      <c r="D35" s="1" t="s">
        <v>13</v>
      </c>
      <c r="E35" s="1" t="s">
        <v>48</v>
      </c>
      <c r="F35">
        <v>34</v>
      </c>
      <c r="G35" s="1" t="s">
        <v>50</v>
      </c>
      <c r="H35">
        <v>34021</v>
      </c>
      <c r="I35">
        <v>44</v>
      </c>
      <c r="J35">
        <v>44</v>
      </c>
      <c r="K35">
        <v>35</v>
      </c>
      <c r="L35">
        <v>800</v>
      </c>
    </row>
    <row r="36" spans="1:12" hidden="1" x14ac:dyDescent="0.25">
      <c r="A36">
        <v>35</v>
      </c>
      <c r="B36" s="1" t="s">
        <v>12</v>
      </c>
      <c r="C36">
        <v>1927</v>
      </c>
      <c r="D36" s="1" t="s">
        <v>13</v>
      </c>
      <c r="E36" s="1" t="s">
        <v>48</v>
      </c>
      <c r="F36">
        <v>34</v>
      </c>
      <c r="G36" s="1" t="s">
        <v>48</v>
      </c>
      <c r="H36">
        <v>34014</v>
      </c>
      <c r="I36">
        <v>7</v>
      </c>
      <c r="J36">
        <v>7</v>
      </c>
      <c r="K36">
        <v>6</v>
      </c>
      <c r="L36">
        <v>800</v>
      </c>
    </row>
    <row r="37" spans="1:12" hidden="1" x14ac:dyDescent="0.25">
      <c r="A37">
        <v>36</v>
      </c>
      <c r="B37" s="1" t="s">
        <v>12</v>
      </c>
      <c r="C37">
        <v>1927</v>
      </c>
      <c r="D37" s="1" t="s">
        <v>13</v>
      </c>
      <c r="E37" s="1" t="s">
        <v>48</v>
      </c>
      <c r="F37">
        <v>34</v>
      </c>
      <c r="G37" s="1" t="s">
        <v>51</v>
      </c>
      <c r="H37">
        <v>34056</v>
      </c>
      <c r="I37">
        <v>7</v>
      </c>
      <c r="J37">
        <v>7</v>
      </c>
      <c r="K37">
        <v>6</v>
      </c>
      <c r="L37">
        <v>800</v>
      </c>
    </row>
    <row r="38" spans="1:12" hidden="1" x14ac:dyDescent="0.25">
      <c r="A38">
        <v>37</v>
      </c>
      <c r="B38" s="1" t="s">
        <v>12</v>
      </c>
      <c r="C38">
        <v>1927</v>
      </c>
      <c r="D38" s="1" t="s">
        <v>13</v>
      </c>
      <c r="E38" s="1" t="s">
        <v>48</v>
      </c>
      <c r="F38">
        <v>34</v>
      </c>
      <c r="G38" s="1" t="s">
        <v>52</v>
      </c>
      <c r="H38">
        <v>34035</v>
      </c>
      <c r="I38">
        <v>3</v>
      </c>
      <c r="J38">
        <v>3</v>
      </c>
      <c r="K38">
        <v>2</v>
      </c>
      <c r="L38">
        <v>800</v>
      </c>
    </row>
    <row r="39" spans="1:12" hidden="1" x14ac:dyDescent="0.25">
      <c r="A39">
        <v>38</v>
      </c>
      <c r="B39" s="1" t="s">
        <v>12</v>
      </c>
      <c r="C39">
        <v>1927</v>
      </c>
      <c r="D39" s="1" t="s">
        <v>13</v>
      </c>
      <c r="E39" s="1" t="s">
        <v>53</v>
      </c>
      <c r="F39">
        <v>38</v>
      </c>
      <c r="G39" s="1" t="s">
        <v>54</v>
      </c>
      <c r="H39">
        <v>38014</v>
      </c>
      <c r="I39">
        <v>15</v>
      </c>
      <c r="J39">
        <v>15</v>
      </c>
      <c r="K39">
        <v>12</v>
      </c>
      <c r="L39">
        <v>800</v>
      </c>
    </row>
    <row r="40" spans="1:12" hidden="1" x14ac:dyDescent="0.25">
      <c r="A40">
        <v>39</v>
      </c>
      <c r="B40" s="1" t="s">
        <v>12</v>
      </c>
      <c r="C40">
        <v>1927</v>
      </c>
      <c r="D40" s="1" t="s">
        <v>13</v>
      </c>
      <c r="E40" s="1" t="s">
        <v>53</v>
      </c>
      <c r="F40">
        <v>38</v>
      </c>
      <c r="G40" s="1" t="s">
        <v>55</v>
      </c>
      <c r="H40">
        <v>38021</v>
      </c>
      <c r="I40">
        <v>10</v>
      </c>
      <c r="J40">
        <v>10</v>
      </c>
      <c r="K40">
        <v>8</v>
      </c>
      <c r="L40">
        <v>800</v>
      </c>
    </row>
    <row r="41" spans="1:12" x14ac:dyDescent="0.25">
      <c r="A41">
        <v>40</v>
      </c>
      <c r="B41" s="1" t="s">
        <v>12</v>
      </c>
      <c r="C41">
        <v>1927</v>
      </c>
      <c r="D41" s="1" t="s">
        <v>13</v>
      </c>
      <c r="E41" s="1" t="s">
        <v>53</v>
      </c>
      <c r="F41">
        <v>38</v>
      </c>
      <c r="G41" s="1" t="s">
        <v>56</v>
      </c>
      <c r="H41">
        <v>38063</v>
      </c>
      <c r="I41">
        <v>5</v>
      </c>
      <c r="J41">
        <v>5</v>
      </c>
      <c r="K41">
        <v>5</v>
      </c>
      <c r="L41">
        <v>1000</v>
      </c>
    </row>
    <row r="42" spans="1:12" hidden="1" x14ac:dyDescent="0.25">
      <c r="A42">
        <v>41</v>
      </c>
      <c r="B42" s="1" t="s">
        <v>12</v>
      </c>
      <c r="C42">
        <v>1927</v>
      </c>
      <c r="D42" s="1" t="s">
        <v>13</v>
      </c>
      <c r="E42" s="1" t="s">
        <v>53</v>
      </c>
      <c r="F42">
        <v>38</v>
      </c>
      <c r="G42" s="1" t="s">
        <v>57</v>
      </c>
      <c r="H42">
        <v>38056</v>
      </c>
      <c r="I42">
        <v>2</v>
      </c>
      <c r="J42">
        <v>2</v>
      </c>
      <c r="K42">
        <v>2</v>
      </c>
      <c r="L42">
        <v>800</v>
      </c>
    </row>
    <row r="43" spans="1:12" hidden="1" x14ac:dyDescent="0.25">
      <c r="A43">
        <v>42</v>
      </c>
      <c r="B43" s="1" t="s">
        <v>12</v>
      </c>
      <c r="C43">
        <v>1927</v>
      </c>
      <c r="D43" s="1" t="s">
        <v>13</v>
      </c>
      <c r="E43" s="1" t="s">
        <v>58</v>
      </c>
      <c r="F43">
        <v>54</v>
      </c>
      <c r="G43" s="1" t="s">
        <v>59</v>
      </c>
      <c r="H43">
        <v>54007</v>
      </c>
      <c r="I43">
        <v>174</v>
      </c>
      <c r="J43">
        <v>174</v>
      </c>
      <c r="K43">
        <v>174</v>
      </c>
      <c r="L43">
        <v>1000</v>
      </c>
    </row>
    <row r="44" spans="1:12" hidden="1" x14ac:dyDescent="0.25">
      <c r="A44">
        <v>43</v>
      </c>
      <c r="B44" s="1" t="s">
        <v>12</v>
      </c>
      <c r="C44">
        <v>1927</v>
      </c>
      <c r="D44" s="1" t="s">
        <v>13</v>
      </c>
      <c r="E44" s="1" t="s">
        <v>58</v>
      </c>
      <c r="F44">
        <v>54</v>
      </c>
      <c r="G44" s="1" t="s">
        <v>60</v>
      </c>
      <c r="H44">
        <v>54021</v>
      </c>
      <c r="I44">
        <v>125</v>
      </c>
      <c r="J44">
        <v>125</v>
      </c>
      <c r="K44">
        <v>125</v>
      </c>
      <c r="L44">
        <v>1000</v>
      </c>
    </row>
    <row r="45" spans="1:12" hidden="1" x14ac:dyDescent="0.25">
      <c r="A45">
        <v>44</v>
      </c>
      <c r="B45" s="1" t="s">
        <v>12</v>
      </c>
      <c r="C45">
        <v>1927</v>
      </c>
      <c r="D45" s="1" t="s">
        <v>13</v>
      </c>
      <c r="E45" s="1" t="s">
        <v>58</v>
      </c>
      <c r="F45">
        <v>54</v>
      </c>
      <c r="G45" s="1" t="s">
        <v>61</v>
      </c>
      <c r="H45">
        <v>54098</v>
      </c>
      <c r="I45">
        <v>109</v>
      </c>
      <c r="J45">
        <v>109</v>
      </c>
      <c r="K45">
        <v>109</v>
      </c>
      <c r="L45">
        <v>1000</v>
      </c>
    </row>
    <row r="46" spans="1:12" hidden="1" x14ac:dyDescent="0.25">
      <c r="A46">
        <v>45</v>
      </c>
      <c r="B46" s="1" t="s">
        <v>12</v>
      </c>
      <c r="C46">
        <v>1927</v>
      </c>
      <c r="D46" s="1" t="s">
        <v>13</v>
      </c>
      <c r="E46" s="1" t="s">
        <v>58</v>
      </c>
      <c r="F46">
        <v>54</v>
      </c>
      <c r="G46" s="1" t="s">
        <v>62</v>
      </c>
      <c r="H46">
        <v>54105</v>
      </c>
      <c r="I46">
        <v>55</v>
      </c>
      <c r="J46">
        <v>55</v>
      </c>
      <c r="K46">
        <v>55</v>
      </c>
      <c r="L46">
        <v>1000</v>
      </c>
    </row>
    <row r="47" spans="1:12" hidden="1" x14ac:dyDescent="0.25">
      <c r="A47">
        <v>46</v>
      </c>
      <c r="B47" s="1" t="s">
        <v>12</v>
      </c>
      <c r="C47">
        <v>1927</v>
      </c>
      <c r="D47" s="1" t="s">
        <v>13</v>
      </c>
      <c r="E47" s="1" t="s">
        <v>58</v>
      </c>
      <c r="F47">
        <v>54</v>
      </c>
      <c r="G47" s="1" t="s">
        <v>63</v>
      </c>
      <c r="H47">
        <v>54035</v>
      </c>
      <c r="I47">
        <v>45</v>
      </c>
      <c r="J47">
        <v>45</v>
      </c>
      <c r="K47">
        <v>45</v>
      </c>
      <c r="L47">
        <v>1000</v>
      </c>
    </row>
    <row r="48" spans="1:12" hidden="1" x14ac:dyDescent="0.25">
      <c r="A48">
        <v>47</v>
      </c>
      <c r="B48" s="1" t="s">
        <v>12</v>
      </c>
      <c r="C48">
        <v>1927</v>
      </c>
      <c r="D48" s="1" t="s">
        <v>13</v>
      </c>
      <c r="E48" s="1" t="s">
        <v>58</v>
      </c>
      <c r="F48">
        <v>54</v>
      </c>
      <c r="G48" s="1" t="s">
        <v>28</v>
      </c>
      <c r="H48">
        <v>54028</v>
      </c>
      <c r="I48">
        <v>21</v>
      </c>
      <c r="J48">
        <v>21</v>
      </c>
      <c r="K48">
        <v>21</v>
      </c>
      <c r="L48">
        <v>1000</v>
      </c>
    </row>
    <row r="49" spans="1:12" hidden="1" x14ac:dyDescent="0.25">
      <c r="A49">
        <v>48</v>
      </c>
      <c r="B49" s="1" t="s">
        <v>12</v>
      </c>
      <c r="C49">
        <v>1927</v>
      </c>
      <c r="D49" s="1" t="s">
        <v>13</v>
      </c>
      <c r="E49" s="1" t="s">
        <v>64</v>
      </c>
      <c r="F49">
        <v>82</v>
      </c>
      <c r="G49" s="1" t="s">
        <v>65</v>
      </c>
      <c r="H49">
        <v>82049</v>
      </c>
      <c r="I49">
        <v>9300</v>
      </c>
      <c r="J49">
        <v>8463</v>
      </c>
      <c r="K49">
        <v>8675</v>
      </c>
      <c r="L49">
        <v>1025</v>
      </c>
    </row>
    <row r="50" spans="1:12" hidden="1" x14ac:dyDescent="0.25">
      <c r="A50">
        <v>49</v>
      </c>
      <c r="B50" s="1" t="s">
        <v>12</v>
      </c>
      <c r="C50">
        <v>1927</v>
      </c>
      <c r="D50" s="1" t="s">
        <v>13</v>
      </c>
      <c r="E50" s="1" t="s">
        <v>64</v>
      </c>
      <c r="F50">
        <v>82</v>
      </c>
      <c r="G50" s="1" t="s">
        <v>66</v>
      </c>
      <c r="H50">
        <v>82035</v>
      </c>
      <c r="I50">
        <v>2650</v>
      </c>
      <c r="J50">
        <v>2518</v>
      </c>
      <c r="K50">
        <v>3399</v>
      </c>
      <c r="L50">
        <v>1350</v>
      </c>
    </row>
    <row r="51" spans="1:12" hidden="1" x14ac:dyDescent="0.25">
      <c r="A51">
        <v>50</v>
      </c>
      <c r="B51" s="1" t="s">
        <v>12</v>
      </c>
      <c r="C51">
        <v>1927</v>
      </c>
      <c r="D51" s="1" t="s">
        <v>13</v>
      </c>
      <c r="E51" s="1" t="s">
        <v>64</v>
      </c>
      <c r="F51">
        <v>82</v>
      </c>
      <c r="G51" s="1" t="s">
        <v>62</v>
      </c>
      <c r="H51">
        <v>82098</v>
      </c>
      <c r="I51">
        <v>820</v>
      </c>
      <c r="J51">
        <v>771</v>
      </c>
      <c r="K51">
        <v>732</v>
      </c>
      <c r="L51">
        <v>950</v>
      </c>
    </row>
    <row r="52" spans="1:12" hidden="1" x14ac:dyDescent="0.25">
      <c r="A52">
        <v>51</v>
      </c>
      <c r="B52" s="1" t="s">
        <v>12</v>
      </c>
      <c r="C52">
        <v>1927</v>
      </c>
      <c r="D52" s="1" t="s">
        <v>13</v>
      </c>
      <c r="E52" s="1" t="s">
        <v>64</v>
      </c>
      <c r="F52">
        <v>82</v>
      </c>
      <c r="G52" s="1" t="s">
        <v>28</v>
      </c>
      <c r="H52">
        <v>82063</v>
      </c>
      <c r="I52">
        <v>100</v>
      </c>
      <c r="J52">
        <v>80</v>
      </c>
      <c r="K52">
        <v>64</v>
      </c>
      <c r="L52">
        <v>800</v>
      </c>
    </row>
    <row r="53" spans="1:12" hidden="1" x14ac:dyDescent="0.25">
      <c r="A53">
        <v>52</v>
      </c>
      <c r="B53" s="1" t="s">
        <v>12</v>
      </c>
      <c r="C53">
        <v>1927</v>
      </c>
      <c r="D53" s="1" t="s">
        <v>13</v>
      </c>
      <c r="E53" s="1" t="s">
        <v>64</v>
      </c>
      <c r="F53">
        <v>82</v>
      </c>
      <c r="G53" s="1" t="s">
        <v>67</v>
      </c>
      <c r="H53">
        <v>82112</v>
      </c>
      <c r="I53">
        <v>50</v>
      </c>
      <c r="J53">
        <v>45</v>
      </c>
      <c r="K53">
        <v>36</v>
      </c>
      <c r="L53">
        <v>800</v>
      </c>
    </row>
    <row r="54" spans="1:12" hidden="1" x14ac:dyDescent="0.25">
      <c r="A54">
        <v>53</v>
      </c>
      <c r="B54" s="1" t="s">
        <v>12</v>
      </c>
      <c r="C54">
        <v>1927</v>
      </c>
      <c r="D54" s="1" t="s">
        <v>13</v>
      </c>
      <c r="E54" s="1" t="s">
        <v>68</v>
      </c>
      <c r="F54">
        <v>86</v>
      </c>
      <c r="G54" s="1" t="s">
        <v>69</v>
      </c>
      <c r="H54">
        <v>86077</v>
      </c>
      <c r="I54">
        <v>50</v>
      </c>
      <c r="J54">
        <v>40</v>
      </c>
      <c r="K54">
        <v>39</v>
      </c>
      <c r="L54">
        <v>980</v>
      </c>
    </row>
    <row r="55" spans="1:12" hidden="1" x14ac:dyDescent="0.25">
      <c r="A55">
        <v>54</v>
      </c>
      <c r="B55" s="1" t="s">
        <v>12</v>
      </c>
      <c r="C55">
        <v>1927</v>
      </c>
      <c r="D55" s="1" t="s">
        <v>13</v>
      </c>
      <c r="E55" s="1" t="s">
        <v>68</v>
      </c>
      <c r="F55">
        <v>86</v>
      </c>
      <c r="G55" s="1" t="s">
        <v>70</v>
      </c>
      <c r="H55">
        <v>86098</v>
      </c>
      <c r="I55">
        <v>20</v>
      </c>
      <c r="J55">
        <v>15</v>
      </c>
      <c r="K55">
        <v>16</v>
      </c>
      <c r="L55">
        <v>1050</v>
      </c>
    </row>
    <row r="56" spans="1:12" hidden="1" x14ac:dyDescent="0.25">
      <c r="A56">
        <v>55</v>
      </c>
      <c r="B56" s="1" t="s">
        <v>12</v>
      </c>
      <c r="C56">
        <v>1927</v>
      </c>
      <c r="D56" s="1" t="s">
        <v>13</v>
      </c>
      <c r="E56" s="1" t="s">
        <v>68</v>
      </c>
      <c r="F56">
        <v>86</v>
      </c>
      <c r="G56" s="1" t="s">
        <v>71</v>
      </c>
      <c r="H56">
        <v>86112</v>
      </c>
      <c r="I56">
        <v>19</v>
      </c>
      <c r="J56">
        <v>15</v>
      </c>
      <c r="K56">
        <v>16</v>
      </c>
      <c r="L56">
        <v>1100</v>
      </c>
    </row>
    <row r="57" spans="1:12" hidden="1" x14ac:dyDescent="0.25">
      <c r="A57">
        <v>56</v>
      </c>
      <c r="B57" s="1" t="s">
        <v>12</v>
      </c>
      <c r="C57">
        <v>1927</v>
      </c>
      <c r="D57" s="1" t="s">
        <v>13</v>
      </c>
      <c r="E57" s="1" t="s">
        <v>68</v>
      </c>
      <c r="F57">
        <v>86</v>
      </c>
      <c r="G57" s="1" t="s">
        <v>72</v>
      </c>
      <c r="H57">
        <v>86119</v>
      </c>
      <c r="I57">
        <v>10</v>
      </c>
      <c r="J57">
        <v>10</v>
      </c>
      <c r="K57">
        <v>10</v>
      </c>
      <c r="L57">
        <v>1000</v>
      </c>
    </row>
    <row r="58" spans="1:12" hidden="1" x14ac:dyDescent="0.25">
      <c r="A58">
        <v>57</v>
      </c>
      <c r="B58" s="1" t="s">
        <v>12</v>
      </c>
      <c r="C58">
        <v>1927</v>
      </c>
      <c r="D58" s="1" t="s">
        <v>13</v>
      </c>
      <c r="E58" s="1" t="s">
        <v>68</v>
      </c>
      <c r="F58">
        <v>86</v>
      </c>
      <c r="G58" s="1" t="s">
        <v>73</v>
      </c>
      <c r="H58">
        <v>86147</v>
      </c>
      <c r="I58">
        <v>55</v>
      </c>
      <c r="J58">
        <v>55</v>
      </c>
      <c r="K58">
        <v>6</v>
      </c>
      <c r="L58">
        <v>1150</v>
      </c>
    </row>
    <row r="59" spans="1:12" hidden="1" x14ac:dyDescent="0.25">
      <c r="A59">
        <v>58</v>
      </c>
      <c r="B59" s="1" t="s">
        <v>12</v>
      </c>
      <c r="C59">
        <v>1927</v>
      </c>
      <c r="D59" s="1" t="s">
        <v>13</v>
      </c>
      <c r="E59" s="1" t="s">
        <v>68</v>
      </c>
      <c r="F59">
        <v>86</v>
      </c>
      <c r="G59" s="1" t="s">
        <v>28</v>
      </c>
      <c r="H59">
        <v>86049</v>
      </c>
      <c r="I59">
        <v>4</v>
      </c>
      <c r="J59">
        <v>4</v>
      </c>
      <c r="K59">
        <v>6</v>
      </c>
      <c r="L59">
        <v>1400</v>
      </c>
    </row>
    <row r="60" spans="1:12" hidden="1" x14ac:dyDescent="0.25">
      <c r="A60">
        <v>59</v>
      </c>
      <c r="B60" s="1" t="s">
        <v>12</v>
      </c>
      <c r="C60">
        <v>1927</v>
      </c>
      <c r="D60" s="1" t="s">
        <v>13</v>
      </c>
      <c r="E60" s="1" t="s">
        <v>68</v>
      </c>
      <c r="F60">
        <v>86</v>
      </c>
      <c r="G60" s="1" t="s">
        <v>74</v>
      </c>
      <c r="H60">
        <v>86063</v>
      </c>
      <c r="I60">
        <v>2</v>
      </c>
      <c r="J60">
        <v>2</v>
      </c>
      <c r="K60">
        <v>2</v>
      </c>
      <c r="L60">
        <v>1000</v>
      </c>
    </row>
    <row r="61" spans="1:12" hidden="1" x14ac:dyDescent="0.25">
      <c r="A61">
        <v>60</v>
      </c>
      <c r="B61" s="1" t="s">
        <v>12</v>
      </c>
      <c r="C61">
        <v>1927</v>
      </c>
      <c r="D61" s="1" t="s">
        <v>13</v>
      </c>
      <c r="E61" s="1" t="s">
        <v>68</v>
      </c>
      <c r="F61">
        <v>86</v>
      </c>
      <c r="G61" s="1" t="s">
        <v>75</v>
      </c>
      <c r="H61">
        <v>86035</v>
      </c>
      <c r="I61">
        <v>15</v>
      </c>
      <c r="J61">
        <v>15</v>
      </c>
      <c r="K61">
        <v>2</v>
      </c>
      <c r="L61">
        <v>1400</v>
      </c>
    </row>
    <row r="62" spans="1:12" hidden="1" x14ac:dyDescent="0.25">
      <c r="A62">
        <v>61</v>
      </c>
      <c r="B62" s="1" t="s">
        <v>12</v>
      </c>
      <c r="C62">
        <v>1927</v>
      </c>
      <c r="D62" s="1" t="s">
        <v>13</v>
      </c>
      <c r="E62" s="1" t="s">
        <v>68</v>
      </c>
      <c r="F62">
        <v>86</v>
      </c>
      <c r="G62" s="1" t="s">
        <v>76</v>
      </c>
      <c r="H62">
        <v>86161</v>
      </c>
      <c r="I62">
        <v>1</v>
      </c>
      <c r="J62">
        <v>1</v>
      </c>
      <c r="K62">
        <v>1</v>
      </c>
      <c r="L62">
        <v>1000</v>
      </c>
    </row>
    <row r="63" spans="1:12" hidden="1" x14ac:dyDescent="0.25">
      <c r="A63">
        <v>62</v>
      </c>
      <c r="B63" s="1" t="s">
        <v>12</v>
      </c>
      <c r="C63">
        <v>1927</v>
      </c>
      <c r="D63" s="1" t="s">
        <v>13</v>
      </c>
      <c r="E63" s="1" t="s">
        <v>77</v>
      </c>
      <c r="F63">
        <v>90</v>
      </c>
      <c r="G63" s="1" t="s">
        <v>78</v>
      </c>
      <c r="H63">
        <v>90007</v>
      </c>
      <c r="I63">
        <v>184</v>
      </c>
      <c r="J63">
        <v>184</v>
      </c>
      <c r="K63">
        <v>183</v>
      </c>
      <c r="L63">
        <v>994</v>
      </c>
    </row>
    <row r="64" spans="1:12" hidden="1" x14ac:dyDescent="0.25">
      <c r="A64">
        <v>63</v>
      </c>
      <c r="B64" s="1" t="s">
        <v>12</v>
      </c>
      <c r="C64">
        <v>1928</v>
      </c>
      <c r="D64" s="1" t="s">
        <v>79</v>
      </c>
      <c r="E64" s="1" t="s">
        <v>80</v>
      </c>
      <c r="F64">
        <v>10</v>
      </c>
      <c r="G64" s="1" t="s">
        <v>81</v>
      </c>
      <c r="H64">
        <v>10084</v>
      </c>
      <c r="I64">
        <v>11</v>
      </c>
      <c r="J64">
        <v>6</v>
      </c>
      <c r="K64">
        <v>7</v>
      </c>
      <c r="L64">
        <v>1166</v>
      </c>
    </row>
    <row r="65" spans="1:12" hidden="1" x14ac:dyDescent="0.25">
      <c r="A65">
        <v>64</v>
      </c>
      <c r="B65" s="1" t="s">
        <v>12</v>
      </c>
      <c r="C65">
        <v>1928</v>
      </c>
      <c r="D65" s="1" t="s">
        <v>79</v>
      </c>
      <c r="E65" s="1" t="s">
        <v>80</v>
      </c>
      <c r="F65">
        <v>10</v>
      </c>
      <c r="G65" s="1" t="s">
        <v>28</v>
      </c>
      <c r="H65">
        <v>10049</v>
      </c>
      <c r="I65">
        <v>10</v>
      </c>
      <c r="J65">
        <v>6</v>
      </c>
      <c r="K65">
        <v>9</v>
      </c>
      <c r="L65">
        <v>1500</v>
      </c>
    </row>
    <row r="66" spans="1:12" hidden="1" x14ac:dyDescent="0.25">
      <c r="A66">
        <v>65</v>
      </c>
      <c r="B66" s="1" t="s">
        <v>12</v>
      </c>
      <c r="C66">
        <v>1928</v>
      </c>
      <c r="D66" s="1" t="s">
        <v>79</v>
      </c>
      <c r="E66" s="1" t="s">
        <v>80</v>
      </c>
      <c r="F66">
        <v>10</v>
      </c>
      <c r="G66" s="1" t="s">
        <v>82</v>
      </c>
      <c r="H66">
        <v>10077</v>
      </c>
      <c r="I66">
        <v>7</v>
      </c>
      <c r="J66">
        <v>5</v>
      </c>
      <c r="K66">
        <v>5</v>
      </c>
      <c r="L66">
        <v>1000</v>
      </c>
    </row>
    <row r="67" spans="1:12" hidden="1" x14ac:dyDescent="0.25">
      <c r="A67">
        <v>66</v>
      </c>
      <c r="B67" s="1" t="s">
        <v>12</v>
      </c>
      <c r="C67">
        <v>1928</v>
      </c>
      <c r="D67" s="1" t="s">
        <v>79</v>
      </c>
      <c r="E67" s="1" t="s">
        <v>80</v>
      </c>
      <c r="F67">
        <v>10</v>
      </c>
      <c r="G67" s="1" t="s">
        <v>83</v>
      </c>
      <c r="H67">
        <v>10098</v>
      </c>
      <c r="I67">
        <v>4</v>
      </c>
      <c r="J67">
        <v>1</v>
      </c>
      <c r="K67">
        <v>1</v>
      </c>
      <c r="L67">
        <v>1000</v>
      </c>
    </row>
    <row r="68" spans="1:12" hidden="1" x14ac:dyDescent="0.25">
      <c r="A68">
        <v>67</v>
      </c>
      <c r="B68" s="1" t="s">
        <v>12</v>
      </c>
      <c r="C68">
        <v>1928</v>
      </c>
      <c r="D68" s="1" t="s">
        <v>79</v>
      </c>
      <c r="E68" s="1" t="s">
        <v>80</v>
      </c>
      <c r="F68">
        <v>10</v>
      </c>
      <c r="G68" s="1" t="s">
        <v>84</v>
      </c>
      <c r="H68">
        <v>10063</v>
      </c>
      <c r="I68">
        <v>3</v>
      </c>
      <c r="J68">
        <v>2</v>
      </c>
      <c r="K68">
        <v>2</v>
      </c>
      <c r="L68">
        <v>1000</v>
      </c>
    </row>
    <row r="69" spans="1:12" hidden="1" x14ac:dyDescent="0.25">
      <c r="A69">
        <v>68</v>
      </c>
      <c r="B69" s="1" t="s">
        <v>12</v>
      </c>
      <c r="C69">
        <v>1928</v>
      </c>
      <c r="D69" s="1" t="s">
        <v>79</v>
      </c>
      <c r="E69" s="1" t="s">
        <v>80</v>
      </c>
      <c r="F69">
        <v>10</v>
      </c>
      <c r="G69" s="1" t="s">
        <v>85</v>
      </c>
      <c r="H69">
        <v>10112</v>
      </c>
      <c r="I69">
        <v>3</v>
      </c>
      <c r="J69">
        <v>1</v>
      </c>
      <c r="K69">
        <v>1</v>
      </c>
      <c r="L69">
        <v>1000</v>
      </c>
    </row>
    <row r="70" spans="1:12" hidden="1" x14ac:dyDescent="0.25">
      <c r="A70">
        <v>69</v>
      </c>
      <c r="B70" s="1" t="s">
        <v>12</v>
      </c>
      <c r="C70">
        <v>1928</v>
      </c>
      <c r="D70" s="1" t="s">
        <v>79</v>
      </c>
      <c r="E70" s="1" t="s">
        <v>14</v>
      </c>
      <c r="F70">
        <v>22</v>
      </c>
      <c r="G70" s="1" t="s">
        <v>15</v>
      </c>
      <c r="H70">
        <v>22105</v>
      </c>
      <c r="I70">
        <v>687</v>
      </c>
      <c r="J70">
        <v>687</v>
      </c>
      <c r="K70">
        <v>962</v>
      </c>
      <c r="L70">
        <v>1400</v>
      </c>
    </row>
    <row r="71" spans="1:12" hidden="1" x14ac:dyDescent="0.25">
      <c r="A71">
        <v>70</v>
      </c>
      <c r="B71" s="1" t="s">
        <v>12</v>
      </c>
      <c r="C71">
        <v>1928</v>
      </c>
      <c r="D71" s="1" t="s">
        <v>79</v>
      </c>
      <c r="E71" s="1" t="s">
        <v>14</v>
      </c>
      <c r="F71">
        <v>22</v>
      </c>
      <c r="G71" s="1" t="s">
        <v>16</v>
      </c>
      <c r="H71">
        <v>22049</v>
      </c>
      <c r="I71">
        <v>151</v>
      </c>
      <c r="J71">
        <v>151</v>
      </c>
      <c r="K71">
        <v>213</v>
      </c>
      <c r="L71">
        <v>1410</v>
      </c>
    </row>
    <row r="72" spans="1:12" hidden="1" x14ac:dyDescent="0.25">
      <c r="A72">
        <v>71</v>
      </c>
      <c r="B72" s="1" t="s">
        <v>12</v>
      </c>
      <c r="C72">
        <v>1928</v>
      </c>
      <c r="D72" s="1" t="s">
        <v>79</v>
      </c>
      <c r="E72" s="1" t="s">
        <v>14</v>
      </c>
      <c r="F72">
        <v>22</v>
      </c>
      <c r="G72" s="1" t="s">
        <v>21</v>
      </c>
      <c r="H72">
        <v>22161</v>
      </c>
      <c r="I72">
        <v>9</v>
      </c>
      <c r="J72">
        <v>9</v>
      </c>
      <c r="K72">
        <v>12</v>
      </c>
      <c r="L72">
        <v>1333</v>
      </c>
    </row>
    <row r="73" spans="1:12" hidden="1" x14ac:dyDescent="0.25">
      <c r="A73">
        <v>72</v>
      </c>
      <c r="B73" s="1" t="s">
        <v>12</v>
      </c>
      <c r="C73">
        <v>1928</v>
      </c>
      <c r="D73" s="1" t="s">
        <v>79</v>
      </c>
      <c r="E73" s="1" t="s">
        <v>14</v>
      </c>
      <c r="F73">
        <v>22</v>
      </c>
      <c r="G73" s="1" t="s">
        <v>20</v>
      </c>
      <c r="H73">
        <v>22091</v>
      </c>
      <c r="I73">
        <v>7</v>
      </c>
      <c r="J73">
        <v>7</v>
      </c>
      <c r="K73">
        <v>9</v>
      </c>
      <c r="L73">
        <v>1285</v>
      </c>
    </row>
    <row r="74" spans="1:12" hidden="1" x14ac:dyDescent="0.25">
      <c r="A74">
        <v>73</v>
      </c>
      <c r="B74" s="1" t="s">
        <v>12</v>
      </c>
      <c r="C74">
        <v>1928</v>
      </c>
      <c r="D74" s="1" t="s">
        <v>79</v>
      </c>
      <c r="E74" s="1" t="s">
        <v>14</v>
      </c>
      <c r="F74">
        <v>22</v>
      </c>
      <c r="G74" s="1" t="s">
        <v>17</v>
      </c>
      <c r="H74">
        <v>22140</v>
      </c>
      <c r="I74">
        <v>4</v>
      </c>
      <c r="J74">
        <v>4</v>
      </c>
      <c r="K74">
        <v>5</v>
      </c>
      <c r="L74">
        <v>1250</v>
      </c>
    </row>
    <row r="75" spans="1:12" hidden="1" x14ac:dyDescent="0.25">
      <c r="A75">
        <v>74</v>
      </c>
      <c r="B75" s="1" t="s">
        <v>12</v>
      </c>
      <c r="C75">
        <v>1928</v>
      </c>
      <c r="D75" s="1" t="s">
        <v>79</v>
      </c>
      <c r="E75" s="1" t="s">
        <v>14</v>
      </c>
      <c r="F75">
        <v>22</v>
      </c>
      <c r="G75" s="1" t="s">
        <v>19</v>
      </c>
      <c r="H75">
        <v>22014</v>
      </c>
      <c r="I75">
        <v>3</v>
      </c>
      <c r="J75">
        <v>3</v>
      </c>
      <c r="K75">
        <v>4</v>
      </c>
      <c r="L75">
        <v>1333</v>
      </c>
    </row>
    <row r="76" spans="1:12" hidden="1" x14ac:dyDescent="0.25">
      <c r="A76">
        <v>75</v>
      </c>
      <c r="B76" s="1" t="s">
        <v>12</v>
      </c>
      <c r="C76">
        <v>1928</v>
      </c>
      <c r="D76" s="1" t="s">
        <v>79</v>
      </c>
      <c r="E76" s="1" t="s">
        <v>22</v>
      </c>
      <c r="F76">
        <v>14</v>
      </c>
      <c r="G76" s="1" t="s">
        <v>23</v>
      </c>
      <c r="H76">
        <v>14147</v>
      </c>
      <c r="I76">
        <v>10000</v>
      </c>
      <c r="J76">
        <v>10000</v>
      </c>
      <c r="K76">
        <v>5500</v>
      </c>
      <c r="L76">
        <v>550</v>
      </c>
    </row>
    <row r="77" spans="1:12" hidden="1" x14ac:dyDescent="0.25">
      <c r="A77">
        <v>76</v>
      </c>
      <c r="B77" s="1" t="s">
        <v>12</v>
      </c>
      <c r="C77">
        <v>1928</v>
      </c>
      <c r="D77" s="1" t="s">
        <v>79</v>
      </c>
      <c r="E77" s="1" t="s">
        <v>22</v>
      </c>
      <c r="F77">
        <v>14</v>
      </c>
      <c r="G77" s="1" t="s">
        <v>24</v>
      </c>
      <c r="H77">
        <v>14119</v>
      </c>
      <c r="I77">
        <v>9500</v>
      </c>
      <c r="J77">
        <v>9500</v>
      </c>
      <c r="K77">
        <v>4750</v>
      </c>
      <c r="L77">
        <v>500</v>
      </c>
    </row>
    <row r="78" spans="1:12" hidden="1" x14ac:dyDescent="0.25">
      <c r="A78">
        <v>77</v>
      </c>
      <c r="B78" s="1" t="s">
        <v>12</v>
      </c>
      <c r="C78">
        <v>1928</v>
      </c>
      <c r="D78" s="1" t="s">
        <v>79</v>
      </c>
      <c r="E78" s="1" t="s">
        <v>22</v>
      </c>
      <c r="F78">
        <v>14</v>
      </c>
      <c r="G78" s="1" t="s">
        <v>25</v>
      </c>
      <c r="H78">
        <v>14105</v>
      </c>
      <c r="I78">
        <v>1600</v>
      </c>
      <c r="J78">
        <v>1600</v>
      </c>
      <c r="K78">
        <v>960</v>
      </c>
      <c r="L78">
        <v>600</v>
      </c>
    </row>
    <row r="79" spans="1:12" hidden="1" x14ac:dyDescent="0.25">
      <c r="A79">
        <v>78</v>
      </c>
      <c r="B79" s="1" t="s">
        <v>12</v>
      </c>
      <c r="C79">
        <v>1928</v>
      </c>
      <c r="D79" s="1" t="s">
        <v>79</v>
      </c>
      <c r="E79" s="1" t="s">
        <v>22</v>
      </c>
      <c r="F79">
        <v>14</v>
      </c>
      <c r="G79" s="1" t="s">
        <v>26</v>
      </c>
      <c r="H79">
        <v>14161</v>
      </c>
      <c r="I79">
        <v>1200</v>
      </c>
      <c r="J79">
        <v>1200</v>
      </c>
      <c r="K79">
        <v>720</v>
      </c>
      <c r="L79">
        <v>600</v>
      </c>
    </row>
    <row r="80" spans="1:12" hidden="1" x14ac:dyDescent="0.25">
      <c r="A80">
        <v>79</v>
      </c>
      <c r="B80" s="1" t="s">
        <v>12</v>
      </c>
      <c r="C80">
        <v>1928</v>
      </c>
      <c r="D80" s="1" t="s">
        <v>79</v>
      </c>
      <c r="E80" s="1" t="s">
        <v>30</v>
      </c>
      <c r="F80">
        <v>18</v>
      </c>
      <c r="G80" s="1" t="s">
        <v>43</v>
      </c>
      <c r="H80">
        <v>18070</v>
      </c>
      <c r="I80">
        <v>700</v>
      </c>
      <c r="J80">
        <v>700</v>
      </c>
      <c r="K80">
        <v>490</v>
      </c>
      <c r="L80">
        <v>700</v>
      </c>
    </row>
    <row r="81" spans="1:12" hidden="1" x14ac:dyDescent="0.25">
      <c r="A81">
        <v>80</v>
      </c>
      <c r="B81" s="1" t="s">
        <v>12</v>
      </c>
      <c r="C81">
        <v>1928</v>
      </c>
      <c r="D81" s="1" t="s">
        <v>79</v>
      </c>
      <c r="E81" s="1" t="s">
        <v>30</v>
      </c>
      <c r="F81">
        <v>18</v>
      </c>
      <c r="G81" s="1" t="s">
        <v>32</v>
      </c>
      <c r="H81">
        <v>18112</v>
      </c>
      <c r="I81">
        <v>480</v>
      </c>
      <c r="J81">
        <v>480</v>
      </c>
      <c r="K81">
        <v>480</v>
      </c>
      <c r="L81">
        <v>1000</v>
      </c>
    </row>
    <row r="82" spans="1:12" hidden="1" x14ac:dyDescent="0.25">
      <c r="A82">
        <v>81</v>
      </c>
      <c r="B82" s="1" t="s">
        <v>12</v>
      </c>
      <c r="C82">
        <v>1928</v>
      </c>
      <c r="D82" s="1" t="s">
        <v>79</v>
      </c>
      <c r="E82" s="1" t="s">
        <v>30</v>
      </c>
      <c r="F82">
        <v>18</v>
      </c>
      <c r="G82" s="1" t="s">
        <v>33</v>
      </c>
      <c r="H82">
        <v>18091</v>
      </c>
      <c r="I82">
        <v>400</v>
      </c>
      <c r="J82">
        <v>400</v>
      </c>
      <c r="K82">
        <v>280</v>
      </c>
      <c r="L82">
        <v>700</v>
      </c>
    </row>
    <row r="83" spans="1:12" hidden="1" x14ac:dyDescent="0.25">
      <c r="A83">
        <v>82</v>
      </c>
      <c r="B83" s="1" t="s">
        <v>12</v>
      </c>
      <c r="C83">
        <v>1928</v>
      </c>
      <c r="D83" s="1" t="s">
        <v>79</v>
      </c>
      <c r="E83" s="1" t="s">
        <v>30</v>
      </c>
      <c r="F83">
        <v>18</v>
      </c>
      <c r="G83" s="1" t="s">
        <v>34</v>
      </c>
      <c r="H83">
        <v>18042</v>
      </c>
      <c r="I83">
        <v>310</v>
      </c>
      <c r="J83">
        <v>310</v>
      </c>
      <c r="K83">
        <v>279</v>
      </c>
      <c r="L83">
        <v>900</v>
      </c>
    </row>
    <row r="84" spans="1:12" hidden="1" x14ac:dyDescent="0.25">
      <c r="A84">
        <v>83</v>
      </c>
      <c r="B84" s="1" t="s">
        <v>12</v>
      </c>
      <c r="C84">
        <v>1928</v>
      </c>
      <c r="D84" s="1" t="s">
        <v>79</v>
      </c>
      <c r="E84" s="1" t="s">
        <v>30</v>
      </c>
      <c r="F84">
        <v>18</v>
      </c>
      <c r="G84" s="1" t="s">
        <v>36</v>
      </c>
      <c r="H84">
        <v>18133</v>
      </c>
      <c r="I84">
        <v>250</v>
      </c>
      <c r="J84">
        <v>250</v>
      </c>
      <c r="K84">
        <v>125</v>
      </c>
      <c r="L84">
        <v>500</v>
      </c>
    </row>
    <row r="85" spans="1:12" hidden="1" x14ac:dyDescent="0.25">
      <c r="A85">
        <v>84</v>
      </c>
      <c r="B85" s="1" t="s">
        <v>12</v>
      </c>
      <c r="C85">
        <v>1928</v>
      </c>
      <c r="D85" s="1" t="s">
        <v>79</v>
      </c>
      <c r="E85" s="1" t="s">
        <v>30</v>
      </c>
      <c r="F85">
        <v>18</v>
      </c>
      <c r="G85" s="1" t="s">
        <v>37</v>
      </c>
      <c r="H85">
        <v>18147</v>
      </c>
      <c r="I85">
        <v>220</v>
      </c>
      <c r="J85">
        <v>220</v>
      </c>
      <c r="K85">
        <v>220</v>
      </c>
      <c r="L85">
        <v>1000</v>
      </c>
    </row>
    <row r="86" spans="1:12" hidden="1" x14ac:dyDescent="0.25">
      <c r="A86">
        <v>85</v>
      </c>
      <c r="B86" s="1" t="s">
        <v>12</v>
      </c>
      <c r="C86">
        <v>1928</v>
      </c>
      <c r="D86" s="1" t="s">
        <v>79</v>
      </c>
      <c r="E86" s="1" t="s">
        <v>30</v>
      </c>
      <c r="F86">
        <v>18</v>
      </c>
      <c r="G86" s="1" t="s">
        <v>39</v>
      </c>
      <c r="H86">
        <v>18084</v>
      </c>
      <c r="I86">
        <v>200</v>
      </c>
      <c r="J86">
        <v>200</v>
      </c>
      <c r="K86">
        <v>100</v>
      </c>
      <c r="L86">
        <v>500</v>
      </c>
    </row>
    <row r="87" spans="1:12" hidden="1" x14ac:dyDescent="0.25">
      <c r="A87">
        <v>86</v>
      </c>
      <c r="B87" s="1" t="s">
        <v>12</v>
      </c>
      <c r="C87">
        <v>1928</v>
      </c>
      <c r="D87" s="1" t="s">
        <v>79</v>
      </c>
      <c r="E87" s="1" t="s">
        <v>30</v>
      </c>
      <c r="F87">
        <v>18</v>
      </c>
      <c r="G87" s="1" t="s">
        <v>40</v>
      </c>
      <c r="H87">
        <v>18126</v>
      </c>
      <c r="I87">
        <v>200</v>
      </c>
      <c r="J87">
        <v>200</v>
      </c>
      <c r="K87">
        <v>140</v>
      </c>
      <c r="L87">
        <v>700</v>
      </c>
    </row>
    <row r="88" spans="1:12" hidden="1" x14ac:dyDescent="0.25">
      <c r="A88">
        <v>87</v>
      </c>
      <c r="B88" s="1" t="s">
        <v>12</v>
      </c>
      <c r="C88">
        <v>1928</v>
      </c>
      <c r="D88" s="1" t="s">
        <v>79</v>
      </c>
      <c r="E88" s="1" t="s">
        <v>30</v>
      </c>
      <c r="F88">
        <v>18</v>
      </c>
      <c r="G88" s="1" t="s">
        <v>31</v>
      </c>
      <c r="I88">
        <v>200</v>
      </c>
      <c r="J88">
        <v>200</v>
      </c>
      <c r="K88">
        <v>140</v>
      </c>
      <c r="L88">
        <v>700</v>
      </c>
    </row>
    <row r="89" spans="1:12" hidden="1" x14ac:dyDescent="0.25">
      <c r="A89">
        <v>88</v>
      </c>
      <c r="B89" s="1" t="s">
        <v>12</v>
      </c>
      <c r="C89">
        <v>1928</v>
      </c>
      <c r="D89" s="1" t="s">
        <v>79</v>
      </c>
      <c r="E89" s="1" t="s">
        <v>30</v>
      </c>
      <c r="F89">
        <v>18</v>
      </c>
      <c r="G89" s="1" t="s">
        <v>38</v>
      </c>
      <c r="H89">
        <v>18007</v>
      </c>
      <c r="I89">
        <v>180</v>
      </c>
      <c r="J89">
        <v>180</v>
      </c>
      <c r="K89">
        <v>108</v>
      </c>
      <c r="L89">
        <v>600</v>
      </c>
    </row>
    <row r="90" spans="1:12" hidden="1" x14ac:dyDescent="0.25">
      <c r="A90">
        <v>89</v>
      </c>
      <c r="B90" s="1" t="s">
        <v>12</v>
      </c>
      <c r="C90">
        <v>1928</v>
      </c>
      <c r="D90" s="1" t="s">
        <v>79</v>
      </c>
      <c r="E90" s="1" t="s">
        <v>30</v>
      </c>
      <c r="F90">
        <v>18</v>
      </c>
      <c r="G90" s="1" t="s">
        <v>86</v>
      </c>
      <c r="H90">
        <v>18175</v>
      </c>
      <c r="I90">
        <v>180</v>
      </c>
      <c r="J90">
        <v>180</v>
      </c>
      <c r="K90">
        <v>180</v>
      </c>
      <c r="L90">
        <v>1000</v>
      </c>
    </row>
    <row r="91" spans="1:12" hidden="1" x14ac:dyDescent="0.25">
      <c r="A91">
        <v>90</v>
      </c>
      <c r="B91" s="1" t="s">
        <v>12</v>
      </c>
      <c r="C91">
        <v>1928</v>
      </c>
      <c r="D91" s="1" t="s">
        <v>79</v>
      </c>
      <c r="E91" s="1" t="s">
        <v>30</v>
      </c>
      <c r="F91">
        <v>18</v>
      </c>
      <c r="G91" s="1" t="s">
        <v>42</v>
      </c>
      <c r="H91">
        <v>18035</v>
      </c>
      <c r="I91">
        <v>140</v>
      </c>
      <c r="J91">
        <v>140</v>
      </c>
      <c r="K91">
        <v>112</v>
      </c>
      <c r="L91">
        <v>800</v>
      </c>
    </row>
    <row r="92" spans="1:12" hidden="1" x14ac:dyDescent="0.25">
      <c r="A92">
        <v>91</v>
      </c>
      <c r="B92" s="1" t="s">
        <v>12</v>
      </c>
      <c r="C92">
        <v>1928</v>
      </c>
      <c r="D92" s="1" t="s">
        <v>79</v>
      </c>
      <c r="E92" s="1" t="s">
        <v>30</v>
      </c>
      <c r="F92">
        <v>18</v>
      </c>
      <c r="G92" s="1" t="s">
        <v>41</v>
      </c>
      <c r="H92">
        <v>18140</v>
      </c>
      <c r="I92">
        <v>100</v>
      </c>
      <c r="J92">
        <v>100</v>
      </c>
      <c r="K92">
        <v>60</v>
      </c>
      <c r="L92">
        <v>600</v>
      </c>
    </row>
    <row r="93" spans="1:12" hidden="1" x14ac:dyDescent="0.25">
      <c r="A93">
        <v>92</v>
      </c>
      <c r="B93" s="1" t="s">
        <v>12</v>
      </c>
      <c r="C93">
        <v>1928</v>
      </c>
      <c r="D93" s="1" t="s">
        <v>79</v>
      </c>
      <c r="E93" s="1" t="s">
        <v>30</v>
      </c>
      <c r="F93">
        <v>18</v>
      </c>
      <c r="G93" s="1" t="s">
        <v>44</v>
      </c>
      <c r="H93">
        <v>18168</v>
      </c>
      <c r="I93">
        <v>100</v>
      </c>
      <c r="J93">
        <v>100</v>
      </c>
      <c r="K93">
        <v>60</v>
      </c>
      <c r="L93">
        <v>600</v>
      </c>
    </row>
    <row r="94" spans="1:12" hidden="1" x14ac:dyDescent="0.25">
      <c r="A94">
        <v>93</v>
      </c>
      <c r="B94" s="1" t="s">
        <v>12</v>
      </c>
      <c r="C94">
        <v>1928</v>
      </c>
      <c r="D94" s="1" t="s">
        <v>79</v>
      </c>
      <c r="E94" s="1" t="s">
        <v>45</v>
      </c>
      <c r="F94">
        <v>30</v>
      </c>
      <c r="G94" s="1" t="s">
        <v>46</v>
      </c>
      <c r="H94">
        <v>30028</v>
      </c>
      <c r="I94">
        <v>7600</v>
      </c>
      <c r="J94">
        <v>7365</v>
      </c>
      <c r="K94">
        <v>9575</v>
      </c>
      <c r="L94">
        <v>1300</v>
      </c>
    </row>
    <row r="95" spans="1:12" hidden="1" x14ac:dyDescent="0.25">
      <c r="A95">
        <v>94</v>
      </c>
      <c r="B95" s="1" t="s">
        <v>12</v>
      </c>
      <c r="C95">
        <v>1928</v>
      </c>
      <c r="D95" s="1" t="s">
        <v>79</v>
      </c>
      <c r="E95" s="1" t="s">
        <v>45</v>
      </c>
      <c r="F95">
        <v>30</v>
      </c>
      <c r="G95" s="1" t="s">
        <v>47</v>
      </c>
      <c r="H95">
        <v>30015</v>
      </c>
      <c r="I95">
        <v>3350</v>
      </c>
      <c r="J95">
        <v>3250</v>
      </c>
      <c r="K95">
        <v>3900</v>
      </c>
      <c r="L95">
        <v>1200</v>
      </c>
    </row>
    <row r="96" spans="1:12" hidden="1" x14ac:dyDescent="0.25">
      <c r="A96">
        <v>95</v>
      </c>
      <c r="B96" s="1" t="s">
        <v>12</v>
      </c>
      <c r="C96">
        <v>1928</v>
      </c>
      <c r="D96" s="1" t="s">
        <v>79</v>
      </c>
      <c r="E96" s="1" t="s">
        <v>45</v>
      </c>
      <c r="F96">
        <v>30</v>
      </c>
      <c r="G96" s="1" t="s">
        <v>27</v>
      </c>
      <c r="H96">
        <v>30008</v>
      </c>
      <c r="I96">
        <v>420</v>
      </c>
      <c r="J96">
        <v>405</v>
      </c>
      <c r="K96">
        <v>445</v>
      </c>
      <c r="L96">
        <v>1100</v>
      </c>
    </row>
    <row r="97" spans="1:12" hidden="1" x14ac:dyDescent="0.25">
      <c r="A97">
        <v>96</v>
      </c>
      <c r="B97" s="1" t="s">
        <v>12</v>
      </c>
      <c r="C97">
        <v>1928</v>
      </c>
      <c r="D97" s="1" t="s">
        <v>79</v>
      </c>
      <c r="E97" s="1" t="s">
        <v>48</v>
      </c>
      <c r="F97">
        <v>34</v>
      </c>
      <c r="G97" s="1" t="s">
        <v>49</v>
      </c>
      <c r="H97">
        <v>34049</v>
      </c>
      <c r="I97">
        <v>80</v>
      </c>
      <c r="J97">
        <v>65</v>
      </c>
      <c r="K97">
        <v>13</v>
      </c>
      <c r="L97">
        <v>200</v>
      </c>
    </row>
    <row r="98" spans="1:12" hidden="1" x14ac:dyDescent="0.25">
      <c r="A98">
        <v>97</v>
      </c>
      <c r="B98" s="1" t="s">
        <v>12</v>
      </c>
      <c r="C98">
        <v>1928</v>
      </c>
      <c r="D98" s="1" t="s">
        <v>79</v>
      </c>
      <c r="E98" s="1" t="s">
        <v>48</v>
      </c>
      <c r="F98">
        <v>34</v>
      </c>
      <c r="G98" s="1" t="s">
        <v>51</v>
      </c>
      <c r="H98">
        <v>34056</v>
      </c>
      <c r="I98">
        <v>11</v>
      </c>
      <c r="J98">
        <v>8</v>
      </c>
      <c r="K98">
        <v>2</v>
      </c>
      <c r="L98">
        <v>250</v>
      </c>
    </row>
    <row r="99" spans="1:12" hidden="1" x14ac:dyDescent="0.25">
      <c r="A99">
        <v>98</v>
      </c>
      <c r="B99" s="1" t="s">
        <v>12</v>
      </c>
      <c r="C99">
        <v>1928</v>
      </c>
      <c r="D99" s="1" t="s">
        <v>79</v>
      </c>
      <c r="E99" s="1" t="s">
        <v>48</v>
      </c>
      <c r="F99">
        <v>34</v>
      </c>
      <c r="G99" s="1" t="s">
        <v>52</v>
      </c>
      <c r="H99">
        <v>34035</v>
      </c>
      <c r="I99">
        <v>5</v>
      </c>
      <c r="J99">
        <v>3</v>
      </c>
      <c r="K99">
        <v>1</v>
      </c>
      <c r="L99">
        <v>300</v>
      </c>
    </row>
    <row r="100" spans="1:12" hidden="1" x14ac:dyDescent="0.25">
      <c r="A100">
        <v>99</v>
      </c>
      <c r="B100" s="1" t="s">
        <v>12</v>
      </c>
      <c r="C100">
        <v>1928</v>
      </c>
      <c r="D100" s="1" t="s">
        <v>79</v>
      </c>
      <c r="E100" s="1" t="s">
        <v>58</v>
      </c>
      <c r="F100">
        <v>54</v>
      </c>
      <c r="G100" s="1" t="s">
        <v>59</v>
      </c>
      <c r="H100">
        <v>54007</v>
      </c>
      <c r="I100">
        <v>320</v>
      </c>
      <c r="J100">
        <v>320</v>
      </c>
      <c r="K100">
        <v>291</v>
      </c>
      <c r="L100">
        <v>909</v>
      </c>
    </row>
    <row r="101" spans="1:12" hidden="1" x14ac:dyDescent="0.25">
      <c r="A101">
        <v>100</v>
      </c>
      <c r="B101" s="1" t="s">
        <v>12</v>
      </c>
      <c r="C101">
        <v>1928</v>
      </c>
      <c r="D101" s="1" t="s">
        <v>79</v>
      </c>
      <c r="E101" s="1" t="s">
        <v>58</v>
      </c>
      <c r="F101">
        <v>54</v>
      </c>
      <c r="G101" s="1" t="s">
        <v>62</v>
      </c>
      <c r="H101">
        <v>54105</v>
      </c>
      <c r="I101">
        <v>160</v>
      </c>
      <c r="J101">
        <v>160</v>
      </c>
      <c r="K101">
        <v>115</v>
      </c>
      <c r="L101">
        <v>719</v>
      </c>
    </row>
    <row r="102" spans="1:12" hidden="1" x14ac:dyDescent="0.25">
      <c r="A102">
        <v>101</v>
      </c>
      <c r="B102" s="1" t="s">
        <v>12</v>
      </c>
      <c r="C102">
        <v>1928</v>
      </c>
      <c r="D102" s="1" t="s">
        <v>79</v>
      </c>
      <c r="E102" s="1" t="s">
        <v>58</v>
      </c>
      <c r="F102">
        <v>54</v>
      </c>
      <c r="G102" s="1" t="s">
        <v>61</v>
      </c>
      <c r="H102">
        <v>54098</v>
      </c>
      <c r="I102">
        <v>135</v>
      </c>
      <c r="J102">
        <v>135</v>
      </c>
      <c r="K102">
        <v>130</v>
      </c>
      <c r="L102">
        <v>963</v>
      </c>
    </row>
    <row r="103" spans="1:12" hidden="1" x14ac:dyDescent="0.25">
      <c r="A103">
        <v>102</v>
      </c>
      <c r="B103" s="1" t="s">
        <v>12</v>
      </c>
      <c r="C103">
        <v>1928</v>
      </c>
      <c r="D103" s="1" t="s">
        <v>79</v>
      </c>
      <c r="E103" s="1" t="s">
        <v>58</v>
      </c>
      <c r="F103">
        <v>54</v>
      </c>
      <c r="G103" s="1" t="s">
        <v>63</v>
      </c>
      <c r="H103">
        <v>54035</v>
      </c>
      <c r="I103">
        <v>85</v>
      </c>
      <c r="J103">
        <v>85</v>
      </c>
      <c r="K103">
        <v>75</v>
      </c>
      <c r="L103">
        <v>882</v>
      </c>
    </row>
    <row r="104" spans="1:12" hidden="1" x14ac:dyDescent="0.25">
      <c r="A104">
        <v>103</v>
      </c>
      <c r="B104" s="1" t="s">
        <v>12</v>
      </c>
      <c r="C104">
        <v>1928</v>
      </c>
      <c r="D104" s="1" t="s">
        <v>79</v>
      </c>
      <c r="E104" s="1" t="s">
        <v>87</v>
      </c>
      <c r="F104">
        <v>66</v>
      </c>
      <c r="G104" s="1" t="s">
        <v>88</v>
      </c>
      <c r="I104">
        <v>30</v>
      </c>
      <c r="J104">
        <v>30</v>
      </c>
      <c r="K104">
        <v>45</v>
      </c>
      <c r="L104">
        <v>1500</v>
      </c>
    </row>
    <row r="105" spans="1:12" hidden="1" x14ac:dyDescent="0.25">
      <c r="A105">
        <v>104</v>
      </c>
      <c r="B105" s="1" t="s">
        <v>12</v>
      </c>
      <c r="C105">
        <v>1928</v>
      </c>
      <c r="D105" s="1" t="s">
        <v>79</v>
      </c>
      <c r="E105" s="1" t="s">
        <v>64</v>
      </c>
      <c r="F105">
        <v>82</v>
      </c>
      <c r="G105" s="1" t="s">
        <v>65</v>
      </c>
      <c r="H105">
        <v>82049</v>
      </c>
      <c r="I105">
        <v>9765</v>
      </c>
      <c r="J105">
        <v>8984</v>
      </c>
      <c r="K105">
        <v>11230</v>
      </c>
      <c r="L105">
        <v>1250</v>
      </c>
    </row>
    <row r="106" spans="1:12" hidden="1" x14ac:dyDescent="0.25">
      <c r="A106">
        <v>105</v>
      </c>
      <c r="B106" s="1" t="s">
        <v>12</v>
      </c>
      <c r="C106">
        <v>1928</v>
      </c>
      <c r="D106" s="1" t="s">
        <v>79</v>
      </c>
      <c r="E106" s="1" t="s">
        <v>64</v>
      </c>
      <c r="F106">
        <v>82</v>
      </c>
      <c r="G106" s="1" t="s">
        <v>66</v>
      </c>
      <c r="H106">
        <v>82035</v>
      </c>
      <c r="I106">
        <v>2000</v>
      </c>
      <c r="J106">
        <v>1895</v>
      </c>
      <c r="K106">
        <v>3411</v>
      </c>
      <c r="L106">
        <v>1800</v>
      </c>
    </row>
    <row r="107" spans="1:12" hidden="1" x14ac:dyDescent="0.25">
      <c r="A107">
        <v>106</v>
      </c>
      <c r="B107" s="1" t="s">
        <v>12</v>
      </c>
      <c r="C107">
        <v>1928</v>
      </c>
      <c r="D107" s="1" t="s">
        <v>79</v>
      </c>
      <c r="E107" s="1" t="s">
        <v>64</v>
      </c>
      <c r="F107">
        <v>82</v>
      </c>
      <c r="G107" s="1" t="s">
        <v>62</v>
      </c>
      <c r="H107">
        <v>82098</v>
      </c>
      <c r="I107">
        <v>750</v>
      </c>
      <c r="J107">
        <v>710</v>
      </c>
      <c r="K107">
        <v>852</v>
      </c>
      <c r="L107">
        <v>1200</v>
      </c>
    </row>
    <row r="108" spans="1:12" hidden="1" x14ac:dyDescent="0.25">
      <c r="A108">
        <v>107</v>
      </c>
      <c r="B108" s="1" t="s">
        <v>12</v>
      </c>
      <c r="C108">
        <v>1928</v>
      </c>
      <c r="D108" s="1" t="s">
        <v>79</v>
      </c>
      <c r="E108" s="1" t="s">
        <v>64</v>
      </c>
      <c r="F108">
        <v>82</v>
      </c>
      <c r="G108" s="1" t="s">
        <v>28</v>
      </c>
      <c r="H108">
        <v>82063</v>
      </c>
      <c r="I108">
        <v>80</v>
      </c>
      <c r="J108">
        <v>75</v>
      </c>
      <c r="K108">
        <v>64</v>
      </c>
      <c r="L108">
        <v>853</v>
      </c>
    </row>
    <row r="109" spans="1:12" hidden="1" x14ac:dyDescent="0.25">
      <c r="A109">
        <v>108</v>
      </c>
      <c r="B109" s="1" t="s">
        <v>12</v>
      </c>
      <c r="C109">
        <v>1928</v>
      </c>
      <c r="D109" s="1" t="s">
        <v>79</v>
      </c>
      <c r="E109" s="1" t="s">
        <v>64</v>
      </c>
      <c r="F109">
        <v>82</v>
      </c>
      <c r="G109" s="1" t="s">
        <v>67</v>
      </c>
      <c r="H109">
        <v>82112</v>
      </c>
      <c r="I109">
        <v>15</v>
      </c>
      <c r="J109">
        <v>14</v>
      </c>
      <c r="K109">
        <v>11</v>
      </c>
      <c r="L109">
        <v>786</v>
      </c>
    </row>
    <row r="110" spans="1:12" hidden="1" x14ac:dyDescent="0.25">
      <c r="A110">
        <v>109</v>
      </c>
      <c r="B110" s="1" t="s">
        <v>12</v>
      </c>
      <c r="C110">
        <v>1928</v>
      </c>
      <c r="D110" s="1" t="s">
        <v>79</v>
      </c>
      <c r="E110" s="1" t="s">
        <v>68</v>
      </c>
      <c r="F110">
        <v>86</v>
      </c>
      <c r="G110" s="1" t="s">
        <v>70</v>
      </c>
      <c r="H110">
        <v>86098</v>
      </c>
      <c r="I110">
        <v>27</v>
      </c>
      <c r="J110">
        <v>25</v>
      </c>
      <c r="K110">
        <v>27</v>
      </c>
      <c r="L110">
        <v>1080</v>
      </c>
    </row>
    <row r="111" spans="1:12" hidden="1" x14ac:dyDescent="0.25">
      <c r="A111">
        <v>110</v>
      </c>
      <c r="B111" s="1" t="s">
        <v>12</v>
      </c>
      <c r="C111">
        <v>1928</v>
      </c>
      <c r="D111" s="1" t="s">
        <v>79</v>
      </c>
      <c r="E111" s="1" t="s">
        <v>68</v>
      </c>
      <c r="F111">
        <v>86</v>
      </c>
      <c r="G111" s="1" t="s">
        <v>71</v>
      </c>
      <c r="H111">
        <v>86112</v>
      </c>
      <c r="I111">
        <v>12</v>
      </c>
      <c r="J111">
        <v>9</v>
      </c>
      <c r="K111">
        <v>9</v>
      </c>
      <c r="L111">
        <v>1000</v>
      </c>
    </row>
    <row r="112" spans="1:12" hidden="1" x14ac:dyDescent="0.25">
      <c r="A112">
        <v>111</v>
      </c>
      <c r="B112" s="1" t="s">
        <v>12</v>
      </c>
      <c r="C112">
        <v>1928</v>
      </c>
      <c r="D112" s="1" t="s">
        <v>79</v>
      </c>
      <c r="E112" s="1" t="s">
        <v>68</v>
      </c>
      <c r="F112">
        <v>86</v>
      </c>
      <c r="G112" s="1" t="s">
        <v>72</v>
      </c>
      <c r="H112">
        <v>86119</v>
      </c>
      <c r="I112">
        <v>8</v>
      </c>
      <c r="J112">
        <v>7</v>
      </c>
      <c r="K112">
        <v>7</v>
      </c>
      <c r="L112">
        <v>1000</v>
      </c>
    </row>
    <row r="113" spans="1:12" hidden="1" x14ac:dyDescent="0.25">
      <c r="A113">
        <v>112</v>
      </c>
      <c r="B113" s="1" t="s">
        <v>12</v>
      </c>
      <c r="C113">
        <v>1928</v>
      </c>
      <c r="D113" s="1" t="s">
        <v>79</v>
      </c>
      <c r="E113" s="1" t="s">
        <v>68</v>
      </c>
      <c r="F113">
        <v>86</v>
      </c>
      <c r="G113" s="1" t="s">
        <v>28</v>
      </c>
      <c r="H113">
        <v>86049</v>
      </c>
      <c r="I113">
        <v>5</v>
      </c>
      <c r="J113">
        <v>5</v>
      </c>
      <c r="K113">
        <v>8</v>
      </c>
      <c r="L113">
        <v>1600</v>
      </c>
    </row>
    <row r="114" spans="1:12" hidden="1" x14ac:dyDescent="0.25">
      <c r="A114">
        <v>113</v>
      </c>
      <c r="B114" s="1" t="s">
        <v>12</v>
      </c>
      <c r="C114">
        <v>1928</v>
      </c>
      <c r="D114" s="1" t="s">
        <v>79</v>
      </c>
      <c r="E114" s="1" t="s">
        <v>68</v>
      </c>
      <c r="F114">
        <v>86</v>
      </c>
      <c r="G114" s="1" t="s">
        <v>75</v>
      </c>
      <c r="H114">
        <v>86035</v>
      </c>
      <c r="I114">
        <v>3</v>
      </c>
      <c r="J114">
        <v>3</v>
      </c>
      <c r="K114">
        <v>4</v>
      </c>
      <c r="L114">
        <v>1333</v>
      </c>
    </row>
    <row r="115" spans="1:12" hidden="1" x14ac:dyDescent="0.25">
      <c r="A115">
        <v>114</v>
      </c>
      <c r="B115" s="1" t="s">
        <v>12</v>
      </c>
      <c r="C115">
        <v>1928</v>
      </c>
      <c r="D115" s="1" t="s">
        <v>79</v>
      </c>
      <c r="E115" s="1" t="s">
        <v>68</v>
      </c>
      <c r="F115">
        <v>86</v>
      </c>
      <c r="G115" s="1" t="s">
        <v>73</v>
      </c>
      <c r="H115">
        <v>86147</v>
      </c>
      <c r="I115">
        <v>2</v>
      </c>
      <c r="J115">
        <v>2</v>
      </c>
      <c r="K115">
        <v>2</v>
      </c>
      <c r="L115">
        <v>1000</v>
      </c>
    </row>
    <row r="116" spans="1:12" hidden="1" x14ac:dyDescent="0.25">
      <c r="A116">
        <v>115</v>
      </c>
      <c r="B116" s="1" t="s">
        <v>12</v>
      </c>
      <c r="C116">
        <v>1928</v>
      </c>
      <c r="D116" s="1" t="s">
        <v>79</v>
      </c>
      <c r="E116" s="1" t="s">
        <v>68</v>
      </c>
      <c r="F116">
        <v>86</v>
      </c>
      <c r="G116" s="1" t="s">
        <v>74</v>
      </c>
      <c r="H116">
        <v>86063</v>
      </c>
      <c r="I116">
        <v>1</v>
      </c>
      <c r="J116">
        <v>1</v>
      </c>
      <c r="K116">
        <v>1</v>
      </c>
      <c r="L116">
        <v>1000</v>
      </c>
    </row>
    <row r="117" spans="1:12" hidden="1" x14ac:dyDescent="0.25">
      <c r="A117">
        <v>116</v>
      </c>
      <c r="B117" s="1" t="s">
        <v>12</v>
      </c>
      <c r="C117">
        <v>1928</v>
      </c>
      <c r="D117" s="1" t="s">
        <v>79</v>
      </c>
      <c r="E117" s="1" t="s">
        <v>77</v>
      </c>
      <c r="F117">
        <v>90</v>
      </c>
      <c r="G117" s="1" t="s">
        <v>89</v>
      </c>
      <c r="H117">
        <v>90028</v>
      </c>
      <c r="I117">
        <v>20</v>
      </c>
      <c r="J117">
        <v>16</v>
      </c>
      <c r="K117">
        <v>11</v>
      </c>
      <c r="L117">
        <v>688</v>
      </c>
    </row>
    <row r="118" spans="1:12" hidden="1" x14ac:dyDescent="0.25">
      <c r="A118">
        <v>117</v>
      </c>
      <c r="B118" s="1" t="s">
        <v>12</v>
      </c>
      <c r="C118">
        <v>1928</v>
      </c>
      <c r="D118" s="1" t="s">
        <v>79</v>
      </c>
      <c r="E118" s="1" t="s">
        <v>77</v>
      </c>
      <c r="F118">
        <v>90</v>
      </c>
      <c r="G118" s="1" t="s">
        <v>90</v>
      </c>
      <c r="H118">
        <v>90112</v>
      </c>
      <c r="I118">
        <v>12</v>
      </c>
      <c r="J118">
        <v>8</v>
      </c>
      <c r="K118">
        <v>6</v>
      </c>
      <c r="L118">
        <v>750</v>
      </c>
    </row>
    <row r="119" spans="1:12" hidden="1" x14ac:dyDescent="0.25">
      <c r="A119">
        <v>118</v>
      </c>
      <c r="B119" s="1" t="s">
        <v>12</v>
      </c>
      <c r="C119">
        <v>1928</v>
      </c>
      <c r="D119" s="1" t="s">
        <v>79</v>
      </c>
      <c r="E119" s="1" t="s">
        <v>77</v>
      </c>
      <c r="F119">
        <v>90</v>
      </c>
      <c r="G119" s="1" t="s">
        <v>28</v>
      </c>
      <c r="H119">
        <v>90084</v>
      </c>
      <c r="I119">
        <v>9</v>
      </c>
      <c r="J119">
        <v>6</v>
      </c>
      <c r="K119">
        <v>4</v>
      </c>
      <c r="L119">
        <v>667</v>
      </c>
    </row>
    <row r="120" spans="1:12" hidden="1" x14ac:dyDescent="0.25">
      <c r="A120">
        <v>119</v>
      </c>
      <c r="B120" s="1" t="s">
        <v>12</v>
      </c>
      <c r="C120">
        <v>1928</v>
      </c>
      <c r="D120" s="1" t="s">
        <v>79</v>
      </c>
      <c r="E120" s="1" t="s">
        <v>77</v>
      </c>
      <c r="F120">
        <v>90</v>
      </c>
      <c r="G120" s="1" t="s">
        <v>91</v>
      </c>
      <c r="H120">
        <v>90014</v>
      </c>
      <c r="I120">
        <v>8</v>
      </c>
      <c r="J120">
        <v>4</v>
      </c>
      <c r="K120">
        <v>4</v>
      </c>
      <c r="L120">
        <v>1000</v>
      </c>
    </row>
    <row r="121" spans="1:12" hidden="1" x14ac:dyDescent="0.25">
      <c r="A121">
        <v>120</v>
      </c>
      <c r="B121" s="1" t="s">
        <v>12</v>
      </c>
      <c r="C121">
        <v>1928</v>
      </c>
      <c r="D121" s="1" t="s">
        <v>79</v>
      </c>
      <c r="E121" s="1" t="s">
        <v>77</v>
      </c>
      <c r="F121">
        <v>90</v>
      </c>
      <c r="G121" s="1" t="s">
        <v>92</v>
      </c>
      <c r="H121">
        <v>90056</v>
      </c>
      <c r="I121">
        <v>6</v>
      </c>
      <c r="J121">
        <v>5</v>
      </c>
      <c r="K121">
        <v>3</v>
      </c>
      <c r="L121">
        <v>600</v>
      </c>
    </row>
    <row r="122" spans="1:12" hidden="1" x14ac:dyDescent="0.25">
      <c r="A122">
        <v>121</v>
      </c>
      <c r="B122" s="1" t="s">
        <v>12</v>
      </c>
      <c r="C122">
        <v>1928</v>
      </c>
      <c r="D122" s="1" t="s">
        <v>79</v>
      </c>
      <c r="E122" s="1" t="s">
        <v>77</v>
      </c>
      <c r="F122">
        <v>90</v>
      </c>
      <c r="G122" s="1" t="s">
        <v>93</v>
      </c>
      <c r="H122">
        <v>90070</v>
      </c>
      <c r="I122">
        <v>4</v>
      </c>
      <c r="J122">
        <v>3</v>
      </c>
      <c r="K122">
        <v>2</v>
      </c>
      <c r="L122">
        <v>667</v>
      </c>
    </row>
    <row r="123" spans="1:12" hidden="1" x14ac:dyDescent="0.25">
      <c r="A123">
        <v>122</v>
      </c>
      <c r="B123" s="1" t="s">
        <v>12</v>
      </c>
      <c r="C123">
        <v>1928</v>
      </c>
      <c r="D123" s="1" t="s">
        <v>79</v>
      </c>
      <c r="E123" s="1" t="s">
        <v>77</v>
      </c>
      <c r="F123">
        <v>90</v>
      </c>
      <c r="G123" s="1" t="s">
        <v>94</v>
      </c>
      <c r="H123">
        <v>90105</v>
      </c>
      <c r="I123">
        <v>4</v>
      </c>
      <c r="J123">
        <v>4</v>
      </c>
      <c r="K123">
        <v>3</v>
      </c>
      <c r="L123">
        <v>750</v>
      </c>
    </row>
    <row r="124" spans="1:12" hidden="1" x14ac:dyDescent="0.25">
      <c r="A124">
        <v>123</v>
      </c>
      <c r="B124" s="1" t="s">
        <v>12</v>
      </c>
      <c r="C124">
        <v>1928</v>
      </c>
      <c r="D124" s="1" t="s">
        <v>79</v>
      </c>
      <c r="E124" s="1" t="s">
        <v>77</v>
      </c>
      <c r="F124">
        <v>90</v>
      </c>
      <c r="G124" s="1" t="s">
        <v>95</v>
      </c>
      <c r="H124">
        <v>90035</v>
      </c>
      <c r="I124">
        <v>2</v>
      </c>
      <c r="J124">
        <v>1</v>
      </c>
      <c r="K124">
        <v>1</v>
      </c>
      <c r="L124">
        <v>1000</v>
      </c>
    </row>
    <row r="125" spans="1:12" hidden="1" x14ac:dyDescent="0.25">
      <c r="A125">
        <v>124</v>
      </c>
      <c r="B125" s="1" t="s">
        <v>12</v>
      </c>
      <c r="C125">
        <v>1929</v>
      </c>
      <c r="D125" s="1" t="s">
        <v>96</v>
      </c>
      <c r="E125" s="1" t="s">
        <v>80</v>
      </c>
      <c r="F125">
        <v>10</v>
      </c>
      <c r="G125" s="1" t="s">
        <v>82</v>
      </c>
      <c r="H125">
        <v>10077</v>
      </c>
      <c r="I125">
        <v>20</v>
      </c>
      <c r="J125">
        <v>20</v>
      </c>
      <c r="K125">
        <v>20</v>
      </c>
      <c r="L125">
        <v>1000</v>
      </c>
    </row>
    <row r="126" spans="1:12" hidden="1" x14ac:dyDescent="0.25">
      <c r="A126">
        <v>125</v>
      </c>
      <c r="B126" s="1" t="s">
        <v>12</v>
      </c>
      <c r="C126">
        <v>1929</v>
      </c>
      <c r="D126" s="1" t="s">
        <v>96</v>
      </c>
      <c r="E126" s="1" t="s">
        <v>14</v>
      </c>
      <c r="F126">
        <v>22</v>
      </c>
      <c r="G126" s="1" t="s">
        <v>15</v>
      </c>
      <c r="H126">
        <v>22105</v>
      </c>
      <c r="I126">
        <v>400</v>
      </c>
      <c r="J126">
        <v>400</v>
      </c>
      <c r="K126">
        <v>450</v>
      </c>
      <c r="L126">
        <v>1125</v>
      </c>
    </row>
    <row r="127" spans="1:12" hidden="1" x14ac:dyDescent="0.25">
      <c r="A127">
        <v>126</v>
      </c>
      <c r="B127" s="1" t="s">
        <v>12</v>
      </c>
      <c r="C127">
        <v>1929</v>
      </c>
      <c r="D127" s="1" t="s">
        <v>96</v>
      </c>
      <c r="E127" s="1" t="s">
        <v>14</v>
      </c>
      <c r="F127">
        <v>22</v>
      </c>
      <c r="G127" s="1" t="s">
        <v>16</v>
      </c>
      <c r="H127">
        <v>22049</v>
      </c>
      <c r="I127">
        <v>400</v>
      </c>
      <c r="J127">
        <v>400</v>
      </c>
      <c r="K127">
        <v>520</v>
      </c>
      <c r="L127">
        <v>1300</v>
      </c>
    </row>
    <row r="128" spans="1:12" hidden="1" x14ac:dyDescent="0.25">
      <c r="A128">
        <v>127</v>
      </c>
      <c r="B128" s="1" t="s">
        <v>12</v>
      </c>
      <c r="C128">
        <v>1929</v>
      </c>
      <c r="D128" s="1" t="s">
        <v>96</v>
      </c>
      <c r="E128" s="1" t="s">
        <v>14</v>
      </c>
      <c r="F128">
        <v>22</v>
      </c>
      <c r="G128" s="1" t="s">
        <v>18</v>
      </c>
      <c r="H128">
        <v>22084</v>
      </c>
      <c r="I128">
        <v>100</v>
      </c>
      <c r="J128">
        <v>100</v>
      </c>
      <c r="K128">
        <v>130</v>
      </c>
      <c r="L128">
        <v>1300</v>
      </c>
    </row>
    <row r="129" spans="1:12" hidden="1" x14ac:dyDescent="0.25">
      <c r="A129">
        <v>128</v>
      </c>
      <c r="B129" s="1" t="s">
        <v>12</v>
      </c>
      <c r="C129">
        <v>1929</v>
      </c>
      <c r="D129" s="1" t="s">
        <v>96</v>
      </c>
      <c r="E129" s="1" t="s">
        <v>14</v>
      </c>
      <c r="F129">
        <v>22</v>
      </c>
      <c r="G129" s="1" t="s">
        <v>17</v>
      </c>
      <c r="H129">
        <v>22140</v>
      </c>
      <c r="I129">
        <v>100</v>
      </c>
      <c r="J129">
        <v>100</v>
      </c>
      <c r="K129">
        <v>100</v>
      </c>
      <c r="L129">
        <v>1000</v>
      </c>
    </row>
    <row r="130" spans="1:12" hidden="1" x14ac:dyDescent="0.25">
      <c r="A130">
        <v>129</v>
      </c>
      <c r="B130" s="1" t="s">
        <v>12</v>
      </c>
      <c r="C130">
        <v>1929</v>
      </c>
      <c r="D130" s="1" t="s">
        <v>96</v>
      </c>
      <c r="E130" s="1" t="s">
        <v>22</v>
      </c>
      <c r="F130">
        <v>14</v>
      </c>
      <c r="G130" s="1" t="s">
        <v>23</v>
      </c>
      <c r="H130">
        <v>14147</v>
      </c>
      <c r="I130">
        <v>12000</v>
      </c>
      <c r="J130">
        <v>12000</v>
      </c>
      <c r="K130">
        <v>19200</v>
      </c>
      <c r="L130">
        <v>1600</v>
      </c>
    </row>
    <row r="131" spans="1:12" hidden="1" x14ac:dyDescent="0.25">
      <c r="A131">
        <v>130</v>
      </c>
      <c r="B131" s="1" t="s">
        <v>12</v>
      </c>
      <c r="C131">
        <v>1929</v>
      </c>
      <c r="D131" s="1" t="s">
        <v>96</v>
      </c>
      <c r="E131" s="1" t="s">
        <v>22</v>
      </c>
      <c r="F131">
        <v>14</v>
      </c>
      <c r="G131" s="1" t="s">
        <v>24</v>
      </c>
      <c r="H131">
        <v>14119</v>
      </c>
      <c r="I131">
        <v>10000</v>
      </c>
      <c r="J131">
        <v>10000</v>
      </c>
      <c r="K131">
        <v>16000</v>
      </c>
      <c r="L131">
        <v>1600</v>
      </c>
    </row>
    <row r="132" spans="1:12" hidden="1" x14ac:dyDescent="0.25">
      <c r="A132">
        <v>131</v>
      </c>
      <c r="B132" s="1" t="s">
        <v>12</v>
      </c>
      <c r="C132">
        <v>1929</v>
      </c>
      <c r="D132" s="1" t="s">
        <v>96</v>
      </c>
      <c r="E132" s="1" t="s">
        <v>22</v>
      </c>
      <c r="F132">
        <v>14</v>
      </c>
      <c r="G132" s="1" t="s">
        <v>25</v>
      </c>
      <c r="H132">
        <v>14105</v>
      </c>
      <c r="I132">
        <v>1800</v>
      </c>
      <c r="J132">
        <v>1800</v>
      </c>
      <c r="K132">
        <v>2520</v>
      </c>
      <c r="L132">
        <v>1400</v>
      </c>
    </row>
    <row r="133" spans="1:12" hidden="1" x14ac:dyDescent="0.25">
      <c r="A133">
        <v>132</v>
      </c>
      <c r="B133" s="1" t="s">
        <v>12</v>
      </c>
      <c r="C133">
        <v>1929</v>
      </c>
      <c r="D133" s="1" t="s">
        <v>96</v>
      </c>
      <c r="E133" s="1" t="s">
        <v>22</v>
      </c>
      <c r="F133">
        <v>14</v>
      </c>
      <c r="G133" s="1" t="s">
        <v>26</v>
      </c>
      <c r="H133">
        <v>14161</v>
      </c>
      <c r="I133">
        <v>1500</v>
      </c>
      <c r="J133">
        <v>1500</v>
      </c>
      <c r="K133">
        <v>2400</v>
      </c>
      <c r="L133">
        <v>1600</v>
      </c>
    </row>
    <row r="134" spans="1:12" hidden="1" x14ac:dyDescent="0.25">
      <c r="A134">
        <v>133</v>
      </c>
      <c r="B134" s="1" t="s">
        <v>12</v>
      </c>
      <c r="C134">
        <v>1929</v>
      </c>
      <c r="D134" s="1" t="s">
        <v>96</v>
      </c>
      <c r="E134" s="1" t="s">
        <v>22</v>
      </c>
      <c r="F134">
        <v>14</v>
      </c>
      <c r="G134" s="1" t="s">
        <v>27</v>
      </c>
      <c r="H134">
        <v>14021</v>
      </c>
      <c r="I134">
        <v>1200</v>
      </c>
      <c r="J134">
        <v>1200</v>
      </c>
      <c r="K134">
        <v>1800</v>
      </c>
      <c r="L134">
        <v>1500</v>
      </c>
    </row>
    <row r="135" spans="1:12" hidden="1" x14ac:dyDescent="0.25">
      <c r="A135">
        <v>134</v>
      </c>
      <c r="B135" s="1" t="s">
        <v>12</v>
      </c>
      <c r="C135">
        <v>1929</v>
      </c>
      <c r="D135" s="1" t="s">
        <v>96</v>
      </c>
      <c r="E135" s="1" t="s">
        <v>22</v>
      </c>
      <c r="F135">
        <v>14</v>
      </c>
      <c r="G135" s="1" t="s">
        <v>28</v>
      </c>
      <c r="H135">
        <v>14014</v>
      </c>
      <c r="I135">
        <v>400</v>
      </c>
      <c r="J135">
        <v>400</v>
      </c>
      <c r="K135">
        <v>600</v>
      </c>
      <c r="L135">
        <v>1500</v>
      </c>
    </row>
    <row r="136" spans="1:12" hidden="1" x14ac:dyDescent="0.25">
      <c r="A136">
        <v>135</v>
      </c>
      <c r="B136" s="1" t="s">
        <v>12</v>
      </c>
      <c r="C136">
        <v>1929</v>
      </c>
      <c r="D136" s="1" t="s">
        <v>96</v>
      </c>
      <c r="E136" s="1" t="s">
        <v>22</v>
      </c>
      <c r="F136">
        <v>14</v>
      </c>
      <c r="G136" s="1" t="s">
        <v>97</v>
      </c>
      <c r="H136">
        <v>14007</v>
      </c>
      <c r="I136">
        <v>150</v>
      </c>
      <c r="J136">
        <v>150</v>
      </c>
      <c r="K136">
        <v>210</v>
      </c>
      <c r="L136">
        <v>1400</v>
      </c>
    </row>
    <row r="137" spans="1:12" hidden="1" x14ac:dyDescent="0.25">
      <c r="A137">
        <v>136</v>
      </c>
      <c r="B137" s="1" t="s">
        <v>12</v>
      </c>
      <c r="C137">
        <v>1929</v>
      </c>
      <c r="D137" s="1" t="s">
        <v>96</v>
      </c>
      <c r="E137" s="1" t="s">
        <v>30</v>
      </c>
      <c r="F137">
        <v>18</v>
      </c>
      <c r="G137" s="1" t="s">
        <v>32</v>
      </c>
      <c r="H137">
        <v>18112</v>
      </c>
      <c r="I137">
        <v>610</v>
      </c>
      <c r="J137">
        <v>603</v>
      </c>
      <c r="K137">
        <v>460</v>
      </c>
      <c r="L137">
        <v>763</v>
      </c>
    </row>
    <row r="138" spans="1:12" hidden="1" x14ac:dyDescent="0.25">
      <c r="A138">
        <v>137</v>
      </c>
      <c r="B138" s="1" t="s">
        <v>12</v>
      </c>
      <c r="C138">
        <v>1929</v>
      </c>
      <c r="D138" s="1" t="s">
        <v>96</v>
      </c>
      <c r="E138" s="1" t="s">
        <v>30</v>
      </c>
      <c r="F138">
        <v>18</v>
      </c>
      <c r="G138" s="1" t="s">
        <v>33</v>
      </c>
      <c r="H138">
        <v>18091</v>
      </c>
      <c r="I138">
        <v>440</v>
      </c>
      <c r="J138">
        <v>430</v>
      </c>
      <c r="K138">
        <v>350</v>
      </c>
      <c r="L138">
        <v>814</v>
      </c>
    </row>
    <row r="139" spans="1:12" hidden="1" x14ac:dyDescent="0.25">
      <c r="A139">
        <v>138</v>
      </c>
      <c r="B139" s="1" t="s">
        <v>12</v>
      </c>
      <c r="C139">
        <v>1929</v>
      </c>
      <c r="D139" s="1" t="s">
        <v>96</v>
      </c>
      <c r="E139" s="1" t="s">
        <v>30</v>
      </c>
      <c r="F139">
        <v>18</v>
      </c>
      <c r="G139" s="1" t="s">
        <v>35</v>
      </c>
      <c r="H139">
        <v>18049</v>
      </c>
      <c r="I139">
        <v>280</v>
      </c>
      <c r="J139">
        <v>260</v>
      </c>
      <c r="K139">
        <v>213</v>
      </c>
      <c r="L139">
        <v>819</v>
      </c>
    </row>
    <row r="140" spans="1:12" hidden="1" x14ac:dyDescent="0.25">
      <c r="A140">
        <v>139</v>
      </c>
      <c r="B140" s="1" t="s">
        <v>12</v>
      </c>
      <c r="C140">
        <v>1929</v>
      </c>
      <c r="D140" s="1" t="s">
        <v>96</v>
      </c>
      <c r="E140" s="1" t="s">
        <v>30</v>
      </c>
      <c r="F140">
        <v>18</v>
      </c>
      <c r="G140" s="1" t="s">
        <v>41</v>
      </c>
      <c r="H140">
        <v>18140</v>
      </c>
      <c r="I140">
        <v>225</v>
      </c>
      <c r="J140">
        <v>221</v>
      </c>
      <c r="K140">
        <v>174</v>
      </c>
      <c r="L140">
        <v>787</v>
      </c>
    </row>
    <row r="141" spans="1:12" hidden="1" x14ac:dyDescent="0.25">
      <c r="A141">
        <v>140</v>
      </c>
      <c r="B141" s="1" t="s">
        <v>12</v>
      </c>
      <c r="C141">
        <v>1929</v>
      </c>
      <c r="D141" s="1" t="s">
        <v>96</v>
      </c>
      <c r="E141" s="1" t="s">
        <v>30</v>
      </c>
      <c r="F141">
        <v>18</v>
      </c>
      <c r="G141" s="1" t="s">
        <v>28</v>
      </c>
      <c r="H141">
        <v>18021</v>
      </c>
      <c r="I141">
        <v>200</v>
      </c>
      <c r="J141">
        <v>186</v>
      </c>
      <c r="K141">
        <v>149</v>
      </c>
      <c r="L141">
        <v>800</v>
      </c>
    </row>
    <row r="142" spans="1:12" hidden="1" x14ac:dyDescent="0.25">
      <c r="A142">
        <v>141</v>
      </c>
      <c r="B142" s="1" t="s">
        <v>12</v>
      </c>
      <c r="C142">
        <v>1929</v>
      </c>
      <c r="D142" s="1" t="s">
        <v>96</v>
      </c>
      <c r="E142" s="1" t="s">
        <v>30</v>
      </c>
      <c r="F142">
        <v>18</v>
      </c>
      <c r="G142" s="1" t="s">
        <v>34</v>
      </c>
      <c r="H142">
        <v>18042</v>
      </c>
      <c r="I142">
        <v>180</v>
      </c>
      <c r="J142">
        <v>175</v>
      </c>
      <c r="K142">
        <v>131</v>
      </c>
      <c r="L142">
        <v>749</v>
      </c>
    </row>
    <row r="143" spans="1:12" hidden="1" x14ac:dyDescent="0.25">
      <c r="A143">
        <v>142</v>
      </c>
      <c r="B143" s="1" t="s">
        <v>12</v>
      </c>
      <c r="C143">
        <v>1929</v>
      </c>
      <c r="D143" s="1" t="s">
        <v>96</v>
      </c>
      <c r="E143" s="1" t="s">
        <v>30</v>
      </c>
      <c r="F143">
        <v>18</v>
      </c>
      <c r="G143" s="1" t="s">
        <v>39</v>
      </c>
      <c r="H143">
        <v>18084</v>
      </c>
      <c r="I143">
        <v>150</v>
      </c>
      <c r="J143">
        <v>149</v>
      </c>
      <c r="K143">
        <v>112</v>
      </c>
      <c r="L143">
        <v>752</v>
      </c>
    </row>
    <row r="144" spans="1:12" hidden="1" x14ac:dyDescent="0.25">
      <c r="A144">
        <v>143</v>
      </c>
      <c r="B144" s="1" t="s">
        <v>12</v>
      </c>
      <c r="C144">
        <v>1929</v>
      </c>
      <c r="D144" s="1" t="s">
        <v>96</v>
      </c>
      <c r="E144" s="1" t="s">
        <v>30</v>
      </c>
      <c r="F144">
        <v>18</v>
      </c>
      <c r="G144" s="1" t="s">
        <v>36</v>
      </c>
      <c r="H144">
        <v>18133</v>
      </c>
      <c r="I144">
        <v>125</v>
      </c>
      <c r="J144">
        <v>121</v>
      </c>
      <c r="K144">
        <v>99</v>
      </c>
      <c r="L144">
        <v>818</v>
      </c>
    </row>
    <row r="145" spans="1:12" hidden="1" x14ac:dyDescent="0.25">
      <c r="A145">
        <v>144</v>
      </c>
      <c r="B145" s="1" t="s">
        <v>12</v>
      </c>
      <c r="C145">
        <v>1929</v>
      </c>
      <c r="D145" s="1" t="s">
        <v>96</v>
      </c>
      <c r="E145" s="1" t="s">
        <v>30</v>
      </c>
      <c r="F145">
        <v>18</v>
      </c>
      <c r="G145" s="1" t="s">
        <v>98</v>
      </c>
      <c r="H145">
        <v>18098</v>
      </c>
      <c r="I145">
        <v>108</v>
      </c>
      <c r="J145">
        <v>104</v>
      </c>
      <c r="K145">
        <v>83</v>
      </c>
      <c r="L145">
        <v>798</v>
      </c>
    </row>
    <row r="146" spans="1:12" hidden="1" x14ac:dyDescent="0.25">
      <c r="A146">
        <v>145</v>
      </c>
      <c r="B146" s="1" t="s">
        <v>12</v>
      </c>
      <c r="C146">
        <v>1929</v>
      </c>
      <c r="D146" s="1" t="s">
        <v>96</v>
      </c>
      <c r="E146" s="1" t="s">
        <v>30</v>
      </c>
      <c r="F146">
        <v>18</v>
      </c>
      <c r="G146" s="1" t="s">
        <v>40</v>
      </c>
      <c r="H146">
        <v>18126</v>
      </c>
      <c r="I146">
        <v>85</v>
      </c>
      <c r="J146">
        <v>83</v>
      </c>
      <c r="K146">
        <v>62</v>
      </c>
      <c r="L146">
        <v>747</v>
      </c>
    </row>
    <row r="147" spans="1:12" hidden="1" x14ac:dyDescent="0.25">
      <c r="A147">
        <v>146</v>
      </c>
      <c r="B147" s="1" t="s">
        <v>12</v>
      </c>
      <c r="C147">
        <v>1929</v>
      </c>
      <c r="D147" s="1" t="s">
        <v>96</v>
      </c>
      <c r="E147" s="1" t="s">
        <v>30</v>
      </c>
      <c r="F147">
        <v>18</v>
      </c>
      <c r="G147" s="1" t="s">
        <v>44</v>
      </c>
      <c r="H147">
        <v>18168</v>
      </c>
      <c r="I147">
        <v>81</v>
      </c>
      <c r="J147">
        <v>81</v>
      </c>
      <c r="K147">
        <v>61</v>
      </c>
      <c r="L147">
        <v>753</v>
      </c>
    </row>
    <row r="148" spans="1:12" hidden="1" x14ac:dyDescent="0.25">
      <c r="A148">
        <v>147</v>
      </c>
      <c r="B148" s="1" t="s">
        <v>12</v>
      </c>
      <c r="C148">
        <v>1929</v>
      </c>
      <c r="D148" s="1" t="s">
        <v>96</v>
      </c>
      <c r="E148" s="1" t="s">
        <v>30</v>
      </c>
      <c r="F148">
        <v>18</v>
      </c>
      <c r="G148" s="1" t="s">
        <v>99</v>
      </c>
      <c r="H148">
        <v>18063</v>
      </c>
      <c r="I148">
        <v>76</v>
      </c>
      <c r="J148">
        <v>76</v>
      </c>
      <c r="K148">
        <v>60</v>
      </c>
      <c r="L148">
        <v>790</v>
      </c>
    </row>
    <row r="149" spans="1:12" hidden="1" x14ac:dyDescent="0.25">
      <c r="A149">
        <v>148</v>
      </c>
      <c r="B149" s="1" t="s">
        <v>12</v>
      </c>
      <c r="C149">
        <v>1929</v>
      </c>
      <c r="D149" s="1" t="s">
        <v>96</v>
      </c>
      <c r="E149" s="1" t="s">
        <v>30</v>
      </c>
      <c r="F149">
        <v>18</v>
      </c>
      <c r="G149" s="1" t="s">
        <v>63</v>
      </c>
      <c r="H149">
        <v>18028</v>
      </c>
      <c r="I149">
        <v>75</v>
      </c>
      <c r="J149">
        <v>75</v>
      </c>
      <c r="K149">
        <v>59</v>
      </c>
      <c r="L149">
        <v>787</v>
      </c>
    </row>
    <row r="150" spans="1:12" hidden="1" x14ac:dyDescent="0.25">
      <c r="A150">
        <v>149</v>
      </c>
      <c r="B150" s="1" t="s">
        <v>12</v>
      </c>
      <c r="C150">
        <v>1929</v>
      </c>
      <c r="D150" s="1" t="s">
        <v>96</v>
      </c>
      <c r="E150" s="1" t="s">
        <v>30</v>
      </c>
      <c r="F150">
        <v>18</v>
      </c>
      <c r="G150" s="1" t="s">
        <v>43</v>
      </c>
      <c r="H150">
        <v>18070</v>
      </c>
      <c r="I150">
        <v>65</v>
      </c>
      <c r="J150">
        <v>65</v>
      </c>
      <c r="K150">
        <v>52</v>
      </c>
      <c r="L150">
        <v>800</v>
      </c>
    </row>
    <row r="151" spans="1:12" hidden="1" x14ac:dyDescent="0.25">
      <c r="A151">
        <v>150</v>
      </c>
      <c r="B151" s="1" t="s">
        <v>12</v>
      </c>
      <c r="C151">
        <v>1929</v>
      </c>
      <c r="D151" s="1" t="s">
        <v>96</v>
      </c>
      <c r="E151" s="1" t="s">
        <v>30</v>
      </c>
      <c r="F151">
        <v>18</v>
      </c>
      <c r="G151" s="1" t="s">
        <v>37</v>
      </c>
      <c r="H151">
        <v>18147</v>
      </c>
      <c r="I151">
        <v>65</v>
      </c>
      <c r="J151">
        <v>61</v>
      </c>
      <c r="K151">
        <v>46</v>
      </c>
      <c r="L151">
        <v>754</v>
      </c>
    </row>
    <row r="152" spans="1:12" hidden="1" x14ac:dyDescent="0.25">
      <c r="A152">
        <v>151</v>
      </c>
      <c r="B152" s="1" t="s">
        <v>12</v>
      </c>
      <c r="C152">
        <v>1929</v>
      </c>
      <c r="D152" s="1" t="s">
        <v>96</v>
      </c>
      <c r="E152" s="1" t="s">
        <v>30</v>
      </c>
      <c r="F152">
        <v>18</v>
      </c>
      <c r="G152" s="1" t="s">
        <v>38</v>
      </c>
      <c r="H152">
        <v>18007</v>
      </c>
      <c r="I152">
        <v>62</v>
      </c>
      <c r="J152">
        <v>62</v>
      </c>
      <c r="K152">
        <v>48</v>
      </c>
      <c r="L152">
        <v>774</v>
      </c>
    </row>
    <row r="153" spans="1:12" hidden="1" x14ac:dyDescent="0.25">
      <c r="A153">
        <v>152</v>
      </c>
      <c r="B153" s="1" t="s">
        <v>12</v>
      </c>
      <c r="C153">
        <v>1929</v>
      </c>
      <c r="D153" s="1" t="s">
        <v>96</v>
      </c>
      <c r="E153" s="1" t="s">
        <v>30</v>
      </c>
      <c r="F153">
        <v>18</v>
      </c>
      <c r="G153" s="1" t="s">
        <v>100</v>
      </c>
      <c r="H153">
        <v>18077</v>
      </c>
      <c r="I153">
        <v>61</v>
      </c>
      <c r="J153">
        <v>61</v>
      </c>
      <c r="K153">
        <v>49</v>
      </c>
      <c r="L153">
        <v>803</v>
      </c>
    </row>
    <row r="154" spans="1:12" hidden="1" x14ac:dyDescent="0.25">
      <c r="A154">
        <v>153</v>
      </c>
      <c r="B154" s="1" t="s">
        <v>12</v>
      </c>
      <c r="C154">
        <v>1929</v>
      </c>
      <c r="D154" s="1" t="s">
        <v>96</v>
      </c>
      <c r="E154" s="1" t="s">
        <v>30</v>
      </c>
      <c r="F154">
        <v>18</v>
      </c>
      <c r="G154" s="1" t="s">
        <v>101</v>
      </c>
      <c r="H154">
        <v>18161</v>
      </c>
      <c r="I154">
        <v>50</v>
      </c>
      <c r="J154">
        <v>48</v>
      </c>
      <c r="K154">
        <v>38</v>
      </c>
      <c r="L154">
        <v>792</v>
      </c>
    </row>
    <row r="155" spans="1:12" hidden="1" x14ac:dyDescent="0.25">
      <c r="A155">
        <v>154</v>
      </c>
      <c r="B155" s="1" t="s">
        <v>12</v>
      </c>
      <c r="C155">
        <v>1929</v>
      </c>
      <c r="D155" s="1" t="s">
        <v>96</v>
      </c>
      <c r="E155" s="1" t="s">
        <v>30</v>
      </c>
      <c r="F155">
        <v>18</v>
      </c>
      <c r="G155" s="1" t="s">
        <v>102</v>
      </c>
      <c r="H155">
        <v>18014</v>
      </c>
      <c r="I155">
        <v>25</v>
      </c>
      <c r="J155">
        <v>25</v>
      </c>
      <c r="K155">
        <v>18</v>
      </c>
      <c r="L155">
        <v>720</v>
      </c>
    </row>
    <row r="156" spans="1:12" hidden="1" x14ac:dyDescent="0.25">
      <c r="A156">
        <v>155</v>
      </c>
      <c r="B156" s="1" t="s">
        <v>12</v>
      </c>
      <c r="C156">
        <v>1929</v>
      </c>
      <c r="D156" s="1" t="s">
        <v>96</v>
      </c>
      <c r="E156" s="1" t="s">
        <v>30</v>
      </c>
      <c r="F156">
        <v>18</v>
      </c>
      <c r="G156" s="1" t="s">
        <v>103</v>
      </c>
      <c r="H156">
        <v>18154</v>
      </c>
      <c r="I156">
        <v>23</v>
      </c>
      <c r="J156">
        <v>23</v>
      </c>
      <c r="K156">
        <v>18</v>
      </c>
      <c r="L156">
        <v>783</v>
      </c>
    </row>
    <row r="157" spans="1:12" hidden="1" x14ac:dyDescent="0.25">
      <c r="A157">
        <v>156</v>
      </c>
      <c r="B157" s="1" t="s">
        <v>12</v>
      </c>
      <c r="C157">
        <v>1929</v>
      </c>
      <c r="D157" s="1" t="s">
        <v>96</v>
      </c>
      <c r="E157" s="1" t="s">
        <v>30</v>
      </c>
      <c r="F157">
        <v>18</v>
      </c>
      <c r="G157" s="1" t="s">
        <v>42</v>
      </c>
      <c r="H157">
        <v>18035</v>
      </c>
      <c r="I157">
        <v>22</v>
      </c>
      <c r="J157">
        <v>22</v>
      </c>
      <c r="K157">
        <v>17</v>
      </c>
      <c r="L157">
        <v>772</v>
      </c>
    </row>
    <row r="158" spans="1:12" hidden="1" x14ac:dyDescent="0.25">
      <c r="A158">
        <v>157</v>
      </c>
      <c r="B158" s="1" t="s">
        <v>12</v>
      </c>
      <c r="C158">
        <v>1929</v>
      </c>
      <c r="D158" s="1" t="s">
        <v>96</v>
      </c>
      <c r="E158" s="1" t="s">
        <v>30</v>
      </c>
      <c r="F158">
        <v>18</v>
      </c>
      <c r="G158" s="1" t="s">
        <v>104</v>
      </c>
      <c r="H158">
        <v>18119</v>
      </c>
      <c r="I158">
        <v>21</v>
      </c>
      <c r="J158">
        <v>21</v>
      </c>
      <c r="K158">
        <v>17</v>
      </c>
      <c r="L158">
        <v>809</v>
      </c>
    </row>
    <row r="159" spans="1:12" hidden="1" x14ac:dyDescent="0.25">
      <c r="A159">
        <v>158</v>
      </c>
      <c r="B159" s="1" t="s">
        <v>12</v>
      </c>
      <c r="C159">
        <v>1929</v>
      </c>
      <c r="D159" s="1" t="s">
        <v>96</v>
      </c>
      <c r="E159" s="1" t="s">
        <v>30</v>
      </c>
      <c r="F159">
        <v>18</v>
      </c>
      <c r="G159" s="1" t="s">
        <v>86</v>
      </c>
      <c r="H159">
        <v>18175</v>
      </c>
      <c r="I159">
        <v>18</v>
      </c>
      <c r="J159">
        <v>17</v>
      </c>
      <c r="K159">
        <v>14</v>
      </c>
      <c r="L159">
        <v>823</v>
      </c>
    </row>
    <row r="160" spans="1:12" hidden="1" x14ac:dyDescent="0.25">
      <c r="A160">
        <v>159</v>
      </c>
      <c r="B160" s="1" t="s">
        <v>12</v>
      </c>
      <c r="C160">
        <v>1929</v>
      </c>
      <c r="D160" s="1" t="s">
        <v>96</v>
      </c>
      <c r="E160" s="1" t="s">
        <v>30</v>
      </c>
      <c r="F160">
        <v>18</v>
      </c>
      <c r="G160" s="1" t="s">
        <v>105</v>
      </c>
      <c r="H160">
        <v>18105</v>
      </c>
      <c r="I160">
        <v>5</v>
      </c>
      <c r="J160">
        <v>5</v>
      </c>
      <c r="K160">
        <v>4</v>
      </c>
      <c r="L160">
        <v>800</v>
      </c>
    </row>
    <row r="161" spans="1:12" hidden="1" x14ac:dyDescent="0.25">
      <c r="A161">
        <v>160</v>
      </c>
      <c r="B161" s="1" t="s">
        <v>12</v>
      </c>
      <c r="C161">
        <v>1929</v>
      </c>
      <c r="D161" s="1" t="s">
        <v>96</v>
      </c>
      <c r="E161" s="1" t="s">
        <v>45</v>
      </c>
      <c r="F161">
        <v>30</v>
      </c>
      <c r="G161" s="1" t="s">
        <v>46</v>
      </c>
      <c r="H161">
        <v>30028</v>
      </c>
      <c r="I161">
        <v>3200</v>
      </c>
      <c r="J161">
        <v>3000</v>
      </c>
      <c r="K161">
        <v>3000</v>
      </c>
      <c r="L161">
        <v>1000</v>
      </c>
    </row>
    <row r="162" spans="1:12" hidden="1" x14ac:dyDescent="0.25">
      <c r="A162">
        <v>161</v>
      </c>
      <c r="B162" s="1" t="s">
        <v>12</v>
      </c>
      <c r="C162">
        <v>1929</v>
      </c>
      <c r="D162" s="1" t="s">
        <v>96</v>
      </c>
      <c r="E162" s="1" t="s">
        <v>45</v>
      </c>
      <c r="F162">
        <v>30</v>
      </c>
      <c r="G162" s="1" t="s">
        <v>47</v>
      </c>
      <c r="H162">
        <v>30015</v>
      </c>
      <c r="I162">
        <v>1800</v>
      </c>
      <c r="J162">
        <v>1700</v>
      </c>
      <c r="K162">
        <v>1700</v>
      </c>
      <c r="L162">
        <v>1000</v>
      </c>
    </row>
    <row r="163" spans="1:12" hidden="1" x14ac:dyDescent="0.25">
      <c r="A163">
        <v>162</v>
      </c>
      <c r="B163" s="1" t="s">
        <v>12</v>
      </c>
      <c r="C163">
        <v>1929</v>
      </c>
      <c r="D163" s="1" t="s">
        <v>96</v>
      </c>
      <c r="E163" s="1" t="s">
        <v>45</v>
      </c>
      <c r="F163">
        <v>30</v>
      </c>
      <c r="G163" s="1" t="s">
        <v>27</v>
      </c>
      <c r="H163">
        <v>30008</v>
      </c>
      <c r="I163">
        <v>260</v>
      </c>
      <c r="J163">
        <v>220</v>
      </c>
      <c r="K163">
        <v>220</v>
      </c>
      <c r="L163">
        <v>1000</v>
      </c>
    </row>
    <row r="164" spans="1:12" hidden="1" x14ac:dyDescent="0.25">
      <c r="A164">
        <v>163</v>
      </c>
      <c r="B164" s="1" t="s">
        <v>12</v>
      </c>
      <c r="C164">
        <v>1929</v>
      </c>
      <c r="D164" s="1" t="s">
        <v>96</v>
      </c>
      <c r="E164" s="1" t="s">
        <v>45</v>
      </c>
      <c r="F164">
        <v>30</v>
      </c>
      <c r="G164" s="1" t="s">
        <v>106</v>
      </c>
      <c r="H164">
        <v>30098</v>
      </c>
      <c r="I164">
        <v>32</v>
      </c>
      <c r="J164">
        <v>32</v>
      </c>
      <c r="K164">
        <v>32</v>
      </c>
      <c r="L164">
        <v>1000</v>
      </c>
    </row>
    <row r="165" spans="1:12" hidden="1" x14ac:dyDescent="0.25">
      <c r="A165">
        <v>164</v>
      </c>
      <c r="B165" s="1" t="s">
        <v>12</v>
      </c>
      <c r="C165">
        <v>1929</v>
      </c>
      <c r="D165" s="1" t="s">
        <v>96</v>
      </c>
      <c r="E165" s="1" t="s">
        <v>45</v>
      </c>
      <c r="F165">
        <v>30</v>
      </c>
      <c r="G165" s="1" t="s">
        <v>107</v>
      </c>
      <c r="H165">
        <v>30056</v>
      </c>
      <c r="I165">
        <v>25</v>
      </c>
      <c r="J165">
        <v>25</v>
      </c>
      <c r="K165">
        <v>20</v>
      </c>
      <c r="L165">
        <v>800</v>
      </c>
    </row>
    <row r="166" spans="1:12" hidden="1" x14ac:dyDescent="0.25">
      <c r="A166">
        <v>165</v>
      </c>
      <c r="B166" s="1" t="s">
        <v>12</v>
      </c>
      <c r="C166">
        <v>1929</v>
      </c>
      <c r="D166" s="1" t="s">
        <v>96</v>
      </c>
      <c r="E166" s="1" t="s">
        <v>48</v>
      </c>
      <c r="F166">
        <v>34</v>
      </c>
      <c r="G166" s="1" t="s">
        <v>52</v>
      </c>
      <c r="H166">
        <v>34035</v>
      </c>
      <c r="I166">
        <v>22</v>
      </c>
      <c r="J166">
        <v>22</v>
      </c>
      <c r="K166">
        <v>11</v>
      </c>
      <c r="L166">
        <v>500</v>
      </c>
    </row>
    <row r="167" spans="1:12" hidden="1" x14ac:dyDescent="0.25">
      <c r="A167">
        <v>166</v>
      </c>
      <c r="B167" s="1" t="s">
        <v>12</v>
      </c>
      <c r="C167">
        <v>1929</v>
      </c>
      <c r="D167" s="1" t="s">
        <v>96</v>
      </c>
      <c r="E167" s="1" t="s">
        <v>48</v>
      </c>
      <c r="F167">
        <v>34</v>
      </c>
      <c r="G167" s="1" t="s">
        <v>49</v>
      </c>
      <c r="H167">
        <v>34049</v>
      </c>
      <c r="I167">
        <v>22</v>
      </c>
      <c r="J167">
        <v>22</v>
      </c>
      <c r="K167">
        <v>12</v>
      </c>
      <c r="L167">
        <v>545</v>
      </c>
    </row>
    <row r="168" spans="1:12" hidden="1" x14ac:dyDescent="0.25">
      <c r="A168">
        <v>167</v>
      </c>
      <c r="B168" s="1" t="s">
        <v>12</v>
      </c>
      <c r="C168">
        <v>1929</v>
      </c>
      <c r="D168" s="1" t="s">
        <v>96</v>
      </c>
      <c r="E168" s="1" t="s">
        <v>48</v>
      </c>
      <c r="F168">
        <v>34</v>
      </c>
      <c r="G168" s="1" t="s">
        <v>48</v>
      </c>
      <c r="H168">
        <v>34014</v>
      </c>
      <c r="I168">
        <v>20</v>
      </c>
      <c r="J168">
        <v>20</v>
      </c>
      <c r="K168">
        <v>10</v>
      </c>
      <c r="L168">
        <v>500</v>
      </c>
    </row>
    <row r="169" spans="1:12" hidden="1" x14ac:dyDescent="0.25">
      <c r="A169">
        <v>168</v>
      </c>
      <c r="B169" s="1" t="s">
        <v>12</v>
      </c>
      <c r="C169">
        <v>1929</v>
      </c>
      <c r="D169" s="1" t="s">
        <v>96</v>
      </c>
      <c r="E169" s="1" t="s">
        <v>48</v>
      </c>
      <c r="F169">
        <v>34</v>
      </c>
      <c r="G169" s="1" t="s">
        <v>108</v>
      </c>
      <c r="H169">
        <v>34042</v>
      </c>
      <c r="I169">
        <v>20</v>
      </c>
      <c r="J169">
        <v>20</v>
      </c>
      <c r="K169">
        <v>9</v>
      </c>
      <c r="L169">
        <v>450</v>
      </c>
    </row>
    <row r="170" spans="1:12" hidden="1" x14ac:dyDescent="0.25">
      <c r="A170">
        <v>169</v>
      </c>
      <c r="B170" s="1" t="s">
        <v>12</v>
      </c>
      <c r="C170">
        <v>1929</v>
      </c>
      <c r="D170" s="1" t="s">
        <v>96</v>
      </c>
      <c r="E170" s="1" t="s">
        <v>48</v>
      </c>
      <c r="F170">
        <v>34</v>
      </c>
      <c r="G170" s="1" t="s">
        <v>51</v>
      </c>
      <c r="H170">
        <v>34056</v>
      </c>
      <c r="I170">
        <v>10</v>
      </c>
      <c r="J170">
        <v>10</v>
      </c>
      <c r="K170">
        <v>5</v>
      </c>
      <c r="L170">
        <v>500</v>
      </c>
    </row>
    <row r="171" spans="1:12" hidden="1" x14ac:dyDescent="0.25">
      <c r="A171">
        <v>170</v>
      </c>
      <c r="B171" s="1" t="s">
        <v>12</v>
      </c>
      <c r="C171">
        <v>1929</v>
      </c>
      <c r="D171" s="1" t="s">
        <v>96</v>
      </c>
      <c r="E171" s="1" t="s">
        <v>48</v>
      </c>
      <c r="F171">
        <v>34</v>
      </c>
      <c r="G171" s="1" t="s">
        <v>50</v>
      </c>
      <c r="H171">
        <v>34021</v>
      </c>
      <c r="I171">
        <v>6</v>
      </c>
      <c r="J171">
        <v>6</v>
      </c>
      <c r="K171">
        <v>3</v>
      </c>
      <c r="L171">
        <v>500</v>
      </c>
    </row>
    <row r="172" spans="1:12" hidden="1" x14ac:dyDescent="0.25">
      <c r="A172">
        <v>171</v>
      </c>
      <c r="B172" s="1" t="s">
        <v>12</v>
      </c>
      <c r="C172">
        <v>1929</v>
      </c>
      <c r="D172" s="1" t="s">
        <v>96</v>
      </c>
      <c r="E172" s="1" t="s">
        <v>58</v>
      </c>
      <c r="F172">
        <v>54</v>
      </c>
      <c r="G172" s="1" t="s">
        <v>59</v>
      </c>
      <c r="H172">
        <v>54007</v>
      </c>
      <c r="I172">
        <v>205</v>
      </c>
      <c r="J172">
        <v>205</v>
      </c>
      <c r="K172">
        <v>217</v>
      </c>
      <c r="L172">
        <v>1059</v>
      </c>
    </row>
    <row r="173" spans="1:12" hidden="1" x14ac:dyDescent="0.25">
      <c r="A173">
        <v>172</v>
      </c>
      <c r="B173" s="1" t="s">
        <v>12</v>
      </c>
      <c r="C173">
        <v>1929</v>
      </c>
      <c r="D173" s="1" t="s">
        <v>96</v>
      </c>
      <c r="E173" s="1" t="s">
        <v>58</v>
      </c>
      <c r="F173">
        <v>54</v>
      </c>
      <c r="G173" s="1" t="s">
        <v>62</v>
      </c>
      <c r="H173">
        <v>54105</v>
      </c>
      <c r="I173">
        <v>131</v>
      </c>
      <c r="J173">
        <v>131</v>
      </c>
      <c r="K173">
        <v>181</v>
      </c>
      <c r="L173">
        <v>1382</v>
      </c>
    </row>
    <row r="174" spans="1:12" hidden="1" x14ac:dyDescent="0.25">
      <c r="A174">
        <v>173</v>
      </c>
      <c r="B174" s="1" t="s">
        <v>12</v>
      </c>
      <c r="C174">
        <v>1929</v>
      </c>
      <c r="D174" s="1" t="s">
        <v>96</v>
      </c>
      <c r="E174" s="1" t="s">
        <v>58</v>
      </c>
      <c r="F174">
        <v>54</v>
      </c>
      <c r="G174" s="1" t="s">
        <v>60</v>
      </c>
      <c r="H174">
        <v>54021</v>
      </c>
      <c r="I174">
        <v>84</v>
      </c>
      <c r="J174">
        <v>84</v>
      </c>
      <c r="K174">
        <v>102</v>
      </c>
      <c r="L174">
        <v>1214</v>
      </c>
    </row>
    <row r="175" spans="1:12" hidden="1" x14ac:dyDescent="0.25">
      <c r="A175">
        <v>174</v>
      </c>
      <c r="B175" s="1" t="s">
        <v>12</v>
      </c>
      <c r="C175">
        <v>1929</v>
      </c>
      <c r="D175" s="1" t="s">
        <v>96</v>
      </c>
      <c r="E175" s="1" t="s">
        <v>58</v>
      </c>
      <c r="F175">
        <v>54</v>
      </c>
      <c r="G175" s="1" t="s">
        <v>63</v>
      </c>
      <c r="H175">
        <v>54035</v>
      </c>
      <c r="I175">
        <v>42</v>
      </c>
      <c r="J175">
        <v>42</v>
      </c>
      <c r="K175">
        <v>55</v>
      </c>
      <c r="L175">
        <v>1310</v>
      </c>
    </row>
    <row r="176" spans="1:12" hidden="1" x14ac:dyDescent="0.25">
      <c r="A176">
        <v>175</v>
      </c>
      <c r="B176" s="1" t="s">
        <v>12</v>
      </c>
      <c r="C176">
        <v>1929</v>
      </c>
      <c r="D176" s="1" t="s">
        <v>96</v>
      </c>
      <c r="E176" s="1" t="s">
        <v>58</v>
      </c>
      <c r="F176">
        <v>54</v>
      </c>
      <c r="G176" s="1" t="s">
        <v>61</v>
      </c>
      <c r="H176">
        <v>54098</v>
      </c>
      <c r="I176">
        <v>34</v>
      </c>
      <c r="J176">
        <v>34</v>
      </c>
      <c r="K176">
        <v>41</v>
      </c>
      <c r="L176">
        <v>1206</v>
      </c>
    </row>
    <row r="177" spans="1:12" hidden="1" x14ac:dyDescent="0.25">
      <c r="A177">
        <v>176</v>
      </c>
      <c r="B177" s="1" t="s">
        <v>12</v>
      </c>
      <c r="C177">
        <v>1929</v>
      </c>
      <c r="D177" s="1" t="s">
        <v>96</v>
      </c>
      <c r="E177" s="1" t="s">
        <v>58</v>
      </c>
      <c r="F177">
        <v>54</v>
      </c>
      <c r="G177" s="1" t="s">
        <v>28</v>
      </c>
      <c r="H177">
        <v>54028</v>
      </c>
      <c r="I177">
        <v>4</v>
      </c>
      <c r="J177">
        <v>4</v>
      </c>
      <c r="K177">
        <v>4</v>
      </c>
      <c r="L177">
        <v>1000</v>
      </c>
    </row>
    <row r="178" spans="1:12" hidden="1" x14ac:dyDescent="0.25">
      <c r="A178">
        <v>177</v>
      </c>
      <c r="B178" s="1" t="s">
        <v>12</v>
      </c>
      <c r="C178">
        <v>1929</v>
      </c>
      <c r="D178" s="1" t="s">
        <v>96</v>
      </c>
      <c r="E178" s="1" t="s">
        <v>64</v>
      </c>
      <c r="F178">
        <v>82</v>
      </c>
      <c r="G178" s="1" t="s">
        <v>65</v>
      </c>
      <c r="H178">
        <v>82049</v>
      </c>
      <c r="I178">
        <v>5394</v>
      </c>
      <c r="J178">
        <v>5124</v>
      </c>
      <c r="K178">
        <v>6661</v>
      </c>
      <c r="L178">
        <v>1300</v>
      </c>
    </row>
    <row r="179" spans="1:12" hidden="1" x14ac:dyDescent="0.25">
      <c r="A179">
        <v>178</v>
      </c>
      <c r="B179" s="1" t="s">
        <v>12</v>
      </c>
      <c r="C179">
        <v>1929</v>
      </c>
      <c r="D179" s="1" t="s">
        <v>96</v>
      </c>
      <c r="E179" s="1" t="s">
        <v>64</v>
      </c>
      <c r="F179">
        <v>82</v>
      </c>
      <c r="G179" s="1" t="s">
        <v>66</v>
      </c>
      <c r="H179">
        <v>82035</v>
      </c>
      <c r="I179">
        <v>2783</v>
      </c>
      <c r="J179">
        <v>2783</v>
      </c>
      <c r="K179">
        <v>6401</v>
      </c>
      <c r="L179">
        <v>2300</v>
      </c>
    </row>
    <row r="180" spans="1:12" hidden="1" x14ac:dyDescent="0.25">
      <c r="A180">
        <v>179</v>
      </c>
      <c r="B180" s="1" t="s">
        <v>12</v>
      </c>
      <c r="C180">
        <v>1929</v>
      </c>
      <c r="D180" s="1" t="s">
        <v>96</v>
      </c>
      <c r="E180" s="1" t="s">
        <v>64</v>
      </c>
      <c r="F180">
        <v>82</v>
      </c>
      <c r="G180" s="1" t="s">
        <v>62</v>
      </c>
      <c r="H180">
        <v>82098</v>
      </c>
      <c r="I180">
        <v>237</v>
      </c>
      <c r="J180">
        <v>237</v>
      </c>
      <c r="K180">
        <v>284</v>
      </c>
      <c r="L180">
        <v>1200</v>
      </c>
    </row>
    <row r="181" spans="1:12" hidden="1" x14ac:dyDescent="0.25">
      <c r="A181">
        <v>180</v>
      </c>
      <c r="B181" s="1" t="s">
        <v>12</v>
      </c>
      <c r="C181">
        <v>1929</v>
      </c>
      <c r="D181" s="1" t="s">
        <v>96</v>
      </c>
      <c r="E181" s="1" t="s">
        <v>64</v>
      </c>
      <c r="F181">
        <v>82</v>
      </c>
      <c r="G181" s="1" t="s">
        <v>28</v>
      </c>
      <c r="H181">
        <v>82063</v>
      </c>
      <c r="I181">
        <v>50</v>
      </c>
      <c r="J181">
        <v>50</v>
      </c>
      <c r="K181">
        <v>75</v>
      </c>
      <c r="L181">
        <v>1500</v>
      </c>
    </row>
    <row r="182" spans="1:12" hidden="1" x14ac:dyDescent="0.25">
      <c r="A182">
        <v>181</v>
      </c>
      <c r="B182" s="1" t="s">
        <v>12</v>
      </c>
      <c r="C182">
        <v>1929</v>
      </c>
      <c r="D182" s="1" t="s">
        <v>96</v>
      </c>
      <c r="E182" s="1" t="s">
        <v>68</v>
      </c>
      <c r="F182">
        <v>86</v>
      </c>
      <c r="G182" s="1" t="s">
        <v>70</v>
      </c>
      <c r="H182">
        <v>86098</v>
      </c>
      <c r="I182">
        <v>24</v>
      </c>
      <c r="J182">
        <v>24</v>
      </c>
      <c r="K182">
        <v>24</v>
      </c>
      <c r="L182">
        <v>1000</v>
      </c>
    </row>
    <row r="183" spans="1:12" hidden="1" x14ac:dyDescent="0.25">
      <c r="A183">
        <v>182</v>
      </c>
      <c r="B183" s="1" t="s">
        <v>12</v>
      </c>
      <c r="C183">
        <v>1929</v>
      </c>
      <c r="D183" s="1" t="s">
        <v>96</v>
      </c>
      <c r="E183" s="1" t="s">
        <v>68</v>
      </c>
      <c r="F183">
        <v>86</v>
      </c>
      <c r="G183" s="1" t="s">
        <v>71</v>
      </c>
      <c r="H183">
        <v>86112</v>
      </c>
      <c r="I183">
        <v>12</v>
      </c>
      <c r="J183">
        <v>12</v>
      </c>
      <c r="K183">
        <v>12</v>
      </c>
      <c r="L183">
        <v>1000</v>
      </c>
    </row>
    <row r="184" spans="1:12" hidden="1" x14ac:dyDescent="0.25">
      <c r="A184">
        <v>183</v>
      </c>
      <c r="B184" s="1" t="s">
        <v>12</v>
      </c>
      <c r="C184">
        <v>1929</v>
      </c>
      <c r="D184" s="1" t="s">
        <v>96</v>
      </c>
      <c r="E184" s="1" t="s">
        <v>68</v>
      </c>
      <c r="F184">
        <v>86</v>
      </c>
      <c r="G184" s="1" t="s">
        <v>28</v>
      </c>
      <c r="H184">
        <v>86049</v>
      </c>
      <c r="I184">
        <v>5</v>
      </c>
      <c r="J184">
        <v>5</v>
      </c>
      <c r="K184">
        <v>5</v>
      </c>
      <c r="L184">
        <v>1000</v>
      </c>
    </row>
    <row r="185" spans="1:12" hidden="1" x14ac:dyDescent="0.25">
      <c r="A185">
        <v>184</v>
      </c>
      <c r="B185" s="1" t="s">
        <v>12</v>
      </c>
      <c r="C185">
        <v>1929</v>
      </c>
      <c r="D185" s="1" t="s">
        <v>96</v>
      </c>
      <c r="E185" s="1" t="s">
        <v>68</v>
      </c>
      <c r="F185">
        <v>86</v>
      </c>
      <c r="G185" s="1" t="s">
        <v>72</v>
      </c>
      <c r="H185">
        <v>86119</v>
      </c>
      <c r="I185">
        <v>5</v>
      </c>
      <c r="J185">
        <v>5</v>
      </c>
      <c r="K185">
        <v>5</v>
      </c>
      <c r="L185">
        <v>1000</v>
      </c>
    </row>
    <row r="186" spans="1:12" hidden="1" x14ac:dyDescent="0.25">
      <c r="A186">
        <v>185</v>
      </c>
      <c r="B186" s="1" t="s">
        <v>12</v>
      </c>
      <c r="C186">
        <v>1929</v>
      </c>
      <c r="D186" s="1" t="s">
        <v>96</v>
      </c>
      <c r="E186" s="1" t="s">
        <v>68</v>
      </c>
      <c r="F186">
        <v>86</v>
      </c>
      <c r="G186" s="1" t="s">
        <v>75</v>
      </c>
      <c r="H186">
        <v>86035</v>
      </c>
      <c r="I186">
        <v>2</v>
      </c>
      <c r="J186">
        <v>2</v>
      </c>
      <c r="K186">
        <v>2</v>
      </c>
      <c r="L186">
        <v>1000</v>
      </c>
    </row>
    <row r="187" spans="1:12" hidden="1" x14ac:dyDescent="0.25">
      <c r="A187">
        <v>186</v>
      </c>
      <c r="B187" s="1" t="s">
        <v>12</v>
      </c>
      <c r="C187">
        <v>1929</v>
      </c>
      <c r="D187" s="1" t="s">
        <v>96</v>
      </c>
      <c r="E187" s="1" t="s">
        <v>68</v>
      </c>
      <c r="F187">
        <v>86</v>
      </c>
      <c r="G187" s="1" t="s">
        <v>74</v>
      </c>
      <c r="H187">
        <v>86063</v>
      </c>
      <c r="I187">
        <v>1</v>
      </c>
      <c r="J187">
        <v>1</v>
      </c>
      <c r="K187">
        <v>1</v>
      </c>
      <c r="L187">
        <v>1000</v>
      </c>
    </row>
    <row r="188" spans="1:12" hidden="1" x14ac:dyDescent="0.25">
      <c r="A188">
        <v>187</v>
      </c>
      <c r="B188" s="1" t="s">
        <v>12</v>
      </c>
      <c r="C188">
        <v>1929</v>
      </c>
      <c r="D188" s="1" t="s">
        <v>96</v>
      </c>
      <c r="E188" s="1" t="s">
        <v>68</v>
      </c>
      <c r="F188">
        <v>86</v>
      </c>
      <c r="G188" s="1" t="s">
        <v>73</v>
      </c>
      <c r="H188">
        <v>86147</v>
      </c>
      <c r="I188">
        <v>1</v>
      </c>
      <c r="J188">
        <v>1</v>
      </c>
      <c r="K188">
        <v>1</v>
      </c>
      <c r="L188">
        <v>1000</v>
      </c>
    </row>
    <row r="189" spans="1:12" hidden="1" x14ac:dyDescent="0.25">
      <c r="A189">
        <v>188</v>
      </c>
      <c r="B189" s="1" t="s">
        <v>12</v>
      </c>
      <c r="C189">
        <v>1929</v>
      </c>
      <c r="D189" s="1" t="s">
        <v>96</v>
      </c>
      <c r="E189" s="1" t="s">
        <v>77</v>
      </c>
      <c r="F189">
        <v>90</v>
      </c>
      <c r="G189" s="1" t="s">
        <v>92</v>
      </c>
      <c r="H189">
        <v>90056</v>
      </c>
      <c r="I189">
        <v>26</v>
      </c>
      <c r="J189">
        <v>19</v>
      </c>
      <c r="K189">
        <v>15</v>
      </c>
      <c r="L189">
        <v>789</v>
      </c>
    </row>
    <row r="190" spans="1:12" hidden="1" x14ac:dyDescent="0.25">
      <c r="A190">
        <v>189</v>
      </c>
      <c r="B190" s="1" t="s">
        <v>12</v>
      </c>
      <c r="C190">
        <v>1929</v>
      </c>
      <c r="D190" s="1" t="s">
        <v>96</v>
      </c>
      <c r="E190" s="1" t="s">
        <v>77</v>
      </c>
      <c r="F190">
        <v>90</v>
      </c>
      <c r="G190" s="1" t="s">
        <v>95</v>
      </c>
      <c r="H190">
        <v>90035</v>
      </c>
      <c r="I190">
        <v>15</v>
      </c>
      <c r="J190">
        <v>12</v>
      </c>
      <c r="K190">
        <v>10</v>
      </c>
      <c r="L190">
        <v>833</v>
      </c>
    </row>
    <row r="191" spans="1:12" hidden="1" x14ac:dyDescent="0.25">
      <c r="A191">
        <v>190</v>
      </c>
      <c r="B191" s="1" t="s">
        <v>12</v>
      </c>
      <c r="C191">
        <v>1929</v>
      </c>
      <c r="D191" s="1" t="s">
        <v>96</v>
      </c>
      <c r="E191" s="1" t="s">
        <v>77</v>
      </c>
      <c r="F191">
        <v>90</v>
      </c>
      <c r="G191" s="1" t="s">
        <v>91</v>
      </c>
      <c r="H191">
        <v>90014</v>
      </c>
      <c r="I191">
        <v>7</v>
      </c>
      <c r="J191">
        <v>5</v>
      </c>
      <c r="K191">
        <v>4</v>
      </c>
      <c r="L191">
        <v>800</v>
      </c>
    </row>
    <row r="192" spans="1:12" hidden="1" x14ac:dyDescent="0.25">
      <c r="A192">
        <v>191</v>
      </c>
      <c r="B192" s="1" t="s">
        <v>12</v>
      </c>
      <c r="C192">
        <v>1929</v>
      </c>
      <c r="D192" s="1" t="s">
        <v>96</v>
      </c>
      <c r="E192" s="1" t="s">
        <v>77</v>
      </c>
      <c r="F192">
        <v>90</v>
      </c>
      <c r="G192" s="1" t="s">
        <v>109</v>
      </c>
      <c r="H192">
        <v>90077</v>
      </c>
      <c r="I192">
        <v>3</v>
      </c>
      <c r="J192">
        <v>2</v>
      </c>
      <c r="K192">
        <v>2</v>
      </c>
      <c r="L192">
        <v>1000</v>
      </c>
    </row>
    <row r="193" spans="1:12" hidden="1" x14ac:dyDescent="0.25">
      <c r="A193">
        <v>192</v>
      </c>
      <c r="B193" s="1" t="s">
        <v>12</v>
      </c>
      <c r="C193">
        <v>1929</v>
      </c>
      <c r="D193" s="1" t="s">
        <v>96</v>
      </c>
      <c r="E193" s="1" t="s">
        <v>77</v>
      </c>
      <c r="F193">
        <v>90</v>
      </c>
      <c r="G193" s="1" t="s">
        <v>110</v>
      </c>
      <c r="H193">
        <v>90021</v>
      </c>
      <c r="I193">
        <v>2</v>
      </c>
      <c r="J193">
        <v>2</v>
      </c>
      <c r="K193">
        <v>2</v>
      </c>
      <c r="L193">
        <v>1000</v>
      </c>
    </row>
    <row r="194" spans="1:12" hidden="1" x14ac:dyDescent="0.25">
      <c r="A194">
        <v>193</v>
      </c>
      <c r="B194" s="1" t="s">
        <v>12</v>
      </c>
      <c r="C194">
        <v>1930</v>
      </c>
      <c r="D194" s="1" t="s">
        <v>111</v>
      </c>
      <c r="E194" s="1" t="s">
        <v>14</v>
      </c>
      <c r="F194">
        <v>22</v>
      </c>
      <c r="G194" s="1" t="s">
        <v>15</v>
      </c>
      <c r="H194">
        <v>22105</v>
      </c>
      <c r="I194">
        <v>2058</v>
      </c>
      <c r="J194">
        <v>2058</v>
      </c>
      <c r="K194">
        <v>3499</v>
      </c>
      <c r="L194">
        <v>1700</v>
      </c>
    </row>
    <row r="195" spans="1:12" hidden="1" x14ac:dyDescent="0.25">
      <c r="A195">
        <v>194</v>
      </c>
      <c r="B195" s="1" t="s">
        <v>12</v>
      </c>
      <c r="C195">
        <v>1930</v>
      </c>
      <c r="D195" s="1" t="s">
        <v>111</v>
      </c>
      <c r="E195" s="1" t="s">
        <v>14</v>
      </c>
      <c r="F195">
        <v>22</v>
      </c>
      <c r="G195" s="1" t="s">
        <v>18</v>
      </c>
      <c r="H195">
        <v>22084</v>
      </c>
      <c r="I195">
        <v>25</v>
      </c>
      <c r="J195">
        <v>25</v>
      </c>
      <c r="K195">
        <v>45</v>
      </c>
      <c r="L195">
        <v>1800</v>
      </c>
    </row>
    <row r="196" spans="1:12" hidden="1" x14ac:dyDescent="0.25">
      <c r="A196">
        <v>195</v>
      </c>
      <c r="B196" s="1" t="s">
        <v>12</v>
      </c>
      <c r="C196">
        <v>1930</v>
      </c>
      <c r="D196" s="1" t="s">
        <v>111</v>
      </c>
      <c r="E196" s="1" t="s">
        <v>14</v>
      </c>
      <c r="F196">
        <v>22</v>
      </c>
      <c r="G196" s="1" t="s">
        <v>16</v>
      </c>
      <c r="H196">
        <v>22049</v>
      </c>
      <c r="I196">
        <v>17</v>
      </c>
      <c r="J196">
        <v>17</v>
      </c>
      <c r="K196">
        <v>26</v>
      </c>
      <c r="L196">
        <v>1530</v>
      </c>
    </row>
    <row r="197" spans="1:12" hidden="1" x14ac:dyDescent="0.25">
      <c r="A197">
        <v>196</v>
      </c>
      <c r="B197" s="1" t="s">
        <v>12</v>
      </c>
      <c r="C197">
        <v>1930</v>
      </c>
      <c r="D197" s="1" t="s">
        <v>111</v>
      </c>
      <c r="E197" s="1" t="s">
        <v>22</v>
      </c>
      <c r="F197">
        <v>14</v>
      </c>
      <c r="G197" s="1" t="s">
        <v>24</v>
      </c>
      <c r="H197">
        <v>14119</v>
      </c>
      <c r="I197">
        <v>10000</v>
      </c>
      <c r="J197">
        <v>10000</v>
      </c>
      <c r="K197">
        <v>15000</v>
      </c>
      <c r="L197">
        <v>1500</v>
      </c>
    </row>
    <row r="198" spans="1:12" hidden="1" x14ac:dyDescent="0.25">
      <c r="A198">
        <v>197</v>
      </c>
      <c r="B198" s="1" t="s">
        <v>12</v>
      </c>
      <c r="C198">
        <v>1930</v>
      </c>
      <c r="D198" s="1" t="s">
        <v>111</v>
      </c>
      <c r="E198" s="1" t="s">
        <v>22</v>
      </c>
      <c r="F198">
        <v>14</v>
      </c>
      <c r="G198" s="1" t="s">
        <v>23</v>
      </c>
      <c r="H198">
        <v>14147</v>
      </c>
      <c r="I198">
        <v>10000</v>
      </c>
      <c r="J198">
        <v>10000</v>
      </c>
      <c r="K198">
        <v>13500</v>
      </c>
      <c r="L198">
        <v>1350</v>
      </c>
    </row>
    <row r="199" spans="1:12" hidden="1" x14ac:dyDescent="0.25">
      <c r="A199">
        <v>198</v>
      </c>
      <c r="B199" s="1" t="s">
        <v>12</v>
      </c>
      <c r="C199">
        <v>1930</v>
      </c>
      <c r="D199" s="1" t="s">
        <v>111</v>
      </c>
      <c r="E199" s="1" t="s">
        <v>22</v>
      </c>
      <c r="F199">
        <v>14</v>
      </c>
      <c r="G199" s="1" t="s">
        <v>25</v>
      </c>
      <c r="H199">
        <v>14105</v>
      </c>
      <c r="I199">
        <v>1600</v>
      </c>
      <c r="J199">
        <v>1600</v>
      </c>
      <c r="K199">
        <v>2000</v>
      </c>
      <c r="L199">
        <v>1250</v>
      </c>
    </row>
    <row r="200" spans="1:12" hidden="1" x14ac:dyDescent="0.25">
      <c r="A200">
        <v>199</v>
      </c>
      <c r="B200" s="1" t="s">
        <v>12</v>
      </c>
      <c r="C200">
        <v>1930</v>
      </c>
      <c r="D200" s="1" t="s">
        <v>111</v>
      </c>
      <c r="E200" s="1" t="s">
        <v>22</v>
      </c>
      <c r="F200">
        <v>14</v>
      </c>
      <c r="G200" s="1" t="s">
        <v>26</v>
      </c>
      <c r="H200">
        <v>14161</v>
      </c>
      <c r="I200">
        <v>1300</v>
      </c>
      <c r="J200">
        <v>1300</v>
      </c>
      <c r="K200">
        <v>1690</v>
      </c>
      <c r="L200">
        <v>1300</v>
      </c>
    </row>
    <row r="201" spans="1:12" hidden="1" x14ac:dyDescent="0.25">
      <c r="A201">
        <v>200</v>
      </c>
      <c r="B201" s="1" t="s">
        <v>12</v>
      </c>
      <c r="C201">
        <v>1930</v>
      </c>
      <c r="D201" s="1" t="s">
        <v>111</v>
      </c>
      <c r="E201" s="1" t="s">
        <v>22</v>
      </c>
      <c r="F201">
        <v>14</v>
      </c>
      <c r="G201" s="1" t="s">
        <v>27</v>
      </c>
      <c r="H201">
        <v>14021</v>
      </c>
      <c r="I201">
        <v>1000</v>
      </c>
      <c r="J201">
        <v>1000</v>
      </c>
      <c r="K201">
        <v>1300</v>
      </c>
      <c r="L201">
        <v>1300</v>
      </c>
    </row>
    <row r="202" spans="1:12" hidden="1" x14ac:dyDescent="0.25">
      <c r="A202">
        <v>201</v>
      </c>
      <c r="B202" s="1" t="s">
        <v>12</v>
      </c>
      <c r="C202">
        <v>1930</v>
      </c>
      <c r="D202" s="1" t="s">
        <v>111</v>
      </c>
      <c r="E202" s="1" t="s">
        <v>22</v>
      </c>
      <c r="F202">
        <v>14</v>
      </c>
      <c r="G202" s="1" t="s">
        <v>28</v>
      </c>
      <c r="H202">
        <v>14014</v>
      </c>
      <c r="I202">
        <v>400</v>
      </c>
      <c r="J202">
        <v>400</v>
      </c>
      <c r="K202">
        <v>480</v>
      </c>
      <c r="L202">
        <v>1200</v>
      </c>
    </row>
    <row r="203" spans="1:12" hidden="1" x14ac:dyDescent="0.25">
      <c r="A203">
        <v>202</v>
      </c>
      <c r="B203" s="1" t="s">
        <v>12</v>
      </c>
      <c r="C203">
        <v>1930</v>
      </c>
      <c r="D203" s="1" t="s">
        <v>111</v>
      </c>
      <c r="E203" s="1" t="s">
        <v>22</v>
      </c>
      <c r="F203">
        <v>14</v>
      </c>
      <c r="G203" s="1" t="s">
        <v>97</v>
      </c>
      <c r="H203">
        <v>14007</v>
      </c>
      <c r="I203">
        <v>280</v>
      </c>
      <c r="J203">
        <v>280</v>
      </c>
      <c r="K203">
        <v>442</v>
      </c>
      <c r="L203">
        <v>1580</v>
      </c>
    </row>
    <row r="204" spans="1:12" hidden="1" x14ac:dyDescent="0.25">
      <c r="A204">
        <v>203</v>
      </c>
      <c r="B204" s="1" t="s">
        <v>12</v>
      </c>
      <c r="C204">
        <v>1930</v>
      </c>
      <c r="D204" s="1" t="s">
        <v>111</v>
      </c>
      <c r="E204" s="1" t="s">
        <v>30</v>
      </c>
      <c r="F204">
        <v>18</v>
      </c>
      <c r="G204" s="1" t="s">
        <v>28</v>
      </c>
      <c r="H204">
        <v>18021</v>
      </c>
      <c r="I204">
        <v>365</v>
      </c>
      <c r="J204">
        <v>365</v>
      </c>
      <c r="K204">
        <v>347</v>
      </c>
      <c r="L204">
        <v>950</v>
      </c>
    </row>
    <row r="205" spans="1:12" hidden="1" x14ac:dyDescent="0.25">
      <c r="A205">
        <v>204</v>
      </c>
      <c r="B205" s="1" t="s">
        <v>12</v>
      </c>
      <c r="C205">
        <v>1930</v>
      </c>
      <c r="D205" s="1" t="s">
        <v>111</v>
      </c>
      <c r="E205" s="1" t="s">
        <v>30</v>
      </c>
      <c r="F205">
        <v>18</v>
      </c>
      <c r="G205" s="1" t="s">
        <v>41</v>
      </c>
      <c r="H205">
        <v>18140</v>
      </c>
      <c r="I205">
        <v>365</v>
      </c>
      <c r="J205">
        <v>365</v>
      </c>
      <c r="K205">
        <v>347</v>
      </c>
      <c r="L205">
        <v>950</v>
      </c>
    </row>
    <row r="206" spans="1:12" hidden="1" x14ac:dyDescent="0.25">
      <c r="A206">
        <v>205</v>
      </c>
      <c r="B206" s="1" t="s">
        <v>12</v>
      </c>
      <c r="C206">
        <v>1930</v>
      </c>
      <c r="D206" s="1" t="s">
        <v>111</v>
      </c>
      <c r="E206" s="1" t="s">
        <v>30</v>
      </c>
      <c r="F206">
        <v>18</v>
      </c>
      <c r="G206" s="1" t="s">
        <v>33</v>
      </c>
      <c r="H206">
        <v>18091</v>
      </c>
      <c r="I206">
        <v>348</v>
      </c>
      <c r="J206">
        <v>348</v>
      </c>
      <c r="K206">
        <v>333</v>
      </c>
      <c r="L206">
        <v>957</v>
      </c>
    </row>
    <row r="207" spans="1:12" hidden="1" x14ac:dyDescent="0.25">
      <c r="A207">
        <v>206</v>
      </c>
      <c r="B207" s="1" t="s">
        <v>12</v>
      </c>
      <c r="C207">
        <v>1930</v>
      </c>
      <c r="D207" s="1" t="s">
        <v>111</v>
      </c>
      <c r="E207" s="1" t="s">
        <v>30</v>
      </c>
      <c r="F207">
        <v>18</v>
      </c>
      <c r="G207" s="1" t="s">
        <v>34</v>
      </c>
      <c r="H207">
        <v>18042</v>
      </c>
      <c r="I207">
        <v>265</v>
      </c>
      <c r="J207">
        <v>265</v>
      </c>
      <c r="K207">
        <v>252</v>
      </c>
      <c r="L207">
        <v>950</v>
      </c>
    </row>
    <row r="208" spans="1:12" hidden="1" x14ac:dyDescent="0.25">
      <c r="A208">
        <v>207</v>
      </c>
      <c r="B208" s="1" t="s">
        <v>12</v>
      </c>
      <c r="C208">
        <v>1930</v>
      </c>
      <c r="D208" s="1" t="s">
        <v>111</v>
      </c>
      <c r="E208" s="1" t="s">
        <v>30</v>
      </c>
      <c r="F208">
        <v>18</v>
      </c>
      <c r="G208" s="1" t="s">
        <v>98</v>
      </c>
      <c r="H208">
        <v>18098</v>
      </c>
      <c r="I208">
        <v>250</v>
      </c>
      <c r="J208">
        <v>250</v>
      </c>
      <c r="K208">
        <v>250</v>
      </c>
      <c r="L208">
        <v>1000</v>
      </c>
    </row>
    <row r="209" spans="1:12" hidden="1" x14ac:dyDescent="0.25">
      <c r="A209">
        <v>208</v>
      </c>
      <c r="B209" s="1" t="s">
        <v>12</v>
      </c>
      <c r="C209">
        <v>1930</v>
      </c>
      <c r="D209" s="1" t="s">
        <v>111</v>
      </c>
      <c r="E209" s="1" t="s">
        <v>30</v>
      </c>
      <c r="F209">
        <v>18</v>
      </c>
      <c r="G209" s="1" t="s">
        <v>36</v>
      </c>
      <c r="H209">
        <v>18133</v>
      </c>
      <c r="I209">
        <v>202</v>
      </c>
      <c r="J209">
        <v>202</v>
      </c>
      <c r="K209">
        <v>192</v>
      </c>
      <c r="L209">
        <v>950</v>
      </c>
    </row>
    <row r="210" spans="1:12" hidden="1" x14ac:dyDescent="0.25">
      <c r="A210">
        <v>209</v>
      </c>
      <c r="B210" s="1" t="s">
        <v>12</v>
      </c>
      <c r="C210">
        <v>1930</v>
      </c>
      <c r="D210" s="1" t="s">
        <v>111</v>
      </c>
      <c r="E210" s="1" t="s">
        <v>30</v>
      </c>
      <c r="F210">
        <v>18</v>
      </c>
      <c r="G210" s="1" t="s">
        <v>99</v>
      </c>
      <c r="H210">
        <v>18063</v>
      </c>
      <c r="I210">
        <v>158</v>
      </c>
      <c r="J210">
        <v>158</v>
      </c>
      <c r="K210">
        <v>158</v>
      </c>
      <c r="L210">
        <v>1000</v>
      </c>
    </row>
    <row r="211" spans="1:12" hidden="1" x14ac:dyDescent="0.25">
      <c r="A211">
        <v>210</v>
      </c>
      <c r="B211" s="1" t="s">
        <v>12</v>
      </c>
      <c r="C211">
        <v>1930</v>
      </c>
      <c r="D211" s="1" t="s">
        <v>111</v>
      </c>
      <c r="E211" s="1" t="s">
        <v>30</v>
      </c>
      <c r="F211">
        <v>18</v>
      </c>
      <c r="G211" s="1" t="s">
        <v>40</v>
      </c>
      <c r="H211">
        <v>18126</v>
      </c>
      <c r="I211">
        <v>158</v>
      </c>
      <c r="J211">
        <v>158</v>
      </c>
      <c r="K211">
        <v>142</v>
      </c>
      <c r="L211">
        <v>897</v>
      </c>
    </row>
    <row r="212" spans="1:12" hidden="1" x14ac:dyDescent="0.25">
      <c r="A212">
        <v>211</v>
      </c>
      <c r="B212" s="1" t="s">
        <v>12</v>
      </c>
      <c r="C212">
        <v>1930</v>
      </c>
      <c r="D212" s="1" t="s">
        <v>111</v>
      </c>
      <c r="E212" s="1" t="s">
        <v>30</v>
      </c>
      <c r="F212">
        <v>18</v>
      </c>
      <c r="G212" s="1" t="s">
        <v>43</v>
      </c>
      <c r="H212">
        <v>18070</v>
      </c>
      <c r="I212">
        <v>157</v>
      </c>
      <c r="J212">
        <v>157</v>
      </c>
      <c r="K212">
        <v>149</v>
      </c>
      <c r="L212">
        <v>950</v>
      </c>
    </row>
    <row r="213" spans="1:12" hidden="1" x14ac:dyDescent="0.25">
      <c r="A213">
        <v>212</v>
      </c>
      <c r="B213" s="1" t="s">
        <v>12</v>
      </c>
      <c r="C213">
        <v>1930</v>
      </c>
      <c r="D213" s="1" t="s">
        <v>111</v>
      </c>
      <c r="E213" s="1" t="s">
        <v>30</v>
      </c>
      <c r="F213">
        <v>18</v>
      </c>
      <c r="G213" s="1" t="s">
        <v>35</v>
      </c>
      <c r="H213">
        <v>18049</v>
      </c>
      <c r="I213">
        <v>145</v>
      </c>
      <c r="J213">
        <v>145</v>
      </c>
      <c r="K213">
        <v>138</v>
      </c>
      <c r="L213">
        <v>952</v>
      </c>
    </row>
    <row r="214" spans="1:12" hidden="1" x14ac:dyDescent="0.25">
      <c r="A214">
        <v>213</v>
      </c>
      <c r="B214" s="1" t="s">
        <v>12</v>
      </c>
      <c r="C214">
        <v>1930</v>
      </c>
      <c r="D214" s="1" t="s">
        <v>111</v>
      </c>
      <c r="E214" s="1" t="s">
        <v>30</v>
      </c>
      <c r="F214">
        <v>18</v>
      </c>
      <c r="G214" s="1" t="s">
        <v>63</v>
      </c>
      <c r="H214">
        <v>18028</v>
      </c>
      <c r="I214">
        <v>106</v>
      </c>
      <c r="J214">
        <v>106</v>
      </c>
      <c r="K214">
        <v>101</v>
      </c>
      <c r="L214">
        <v>953</v>
      </c>
    </row>
    <row r="215" spans="1:12" hidden="1" x14ac:dyDescent="0.25">
      <c r="A215">
        <v>214</v>
      </c>
      <c r="B215" s="1" t="s">
        <v>12</v>
      </c>
      <c r="C215">
        <v>1930</v>
      </c>
      <c r="D215" s="1" t="s">
        <v>111</v>
      </c>
      <c r="E215" s="1" t="s">
        <v>30</v>
      </c>
      <c r="F215">
        <v>18</v>
      </c>
      <c r="G215" s="1" t="s">
        <v>38</v>
      </c>
      <c r="H215">
        <v>18007</v>
      </c>
      <c r="I215">
        <v>88</v>
      </c>
      <c r="J215">
        <v>88</v>
      </c>
      <c r="K215">
        <v>79</v>
      </c>
      <c r="L215">
        <v>898</v>
      </c>
    </row>
    <row r="216" spans="1:12" hidden="1" x14ac:dyDescent="0.25">
      <c r="A216">
        <v>215</v>
      </c>
      <c r="B216" s="1" t="s">
        <v>12</v>
      </c>
      <c r="C216">
        <v>1930</v>
      </c>
      <c r="D216" s="1" t="s">
        <v>111</v>
      </c>
      <c r="E216" s="1" t="s">
        <v>30</v>
      </c>
      <c r="F216">
        <v>18</v>
      </c>
      <c r="G216" s="1" t="s">
        <v>101</v>
      </c>
      <c r="H216">
        <v>18161</v>
      </c>
      <c r="I216">
        <v>88</v>
      </c>
      <c r="J216">
        <v>88</v>
      </c>
      <c r="K216">
        <v>75</v>
      </c>
      <c r="L216">
        <v>852</v>
      </c>
    </row>
    <row r="217" spans="1:12" hidden="1" x14ac:dyDescent="0.25">
      <c r="A217">
        <v>216</v>
      </c>
      <c r="B217" s="1" t="s">
        <v>12</v>
      </c>
      <c r="C217">
        <v>1930</v>
      </c>
      <c r="D217" s="1" t="s">
        <v>111</v>
      </c>
      <c r="E217" s="1" t="s">
        <v>30</v>
      </c>
      <c r="F217">
        <v>18</v>
      </c>
      <c r="G217" s="1" t="s">
        <v>103</v>
      </c>
      <c r="H217">
        <v>18154</v>
      </c>
      <c r="I217">
        <v>53</v>
      </c>
      <c r="J217">
        <v>53</v>
      </c>
      <c r="K217">
        <v>50</v>
      </c>
      <c r="L217">
        <v>943</v>
      </c>
    </row>
    <row r="218" spans="1:12" hidden="1" x14ac:dyDescent="0.25">
      <c r="A218">
        <v>217</v>
      </c>
      <c r="B218" s="1" t="s">
        <v>12</v>
      </c>
      <c r="C218">
        <v>1930</v>
      </c>
      <c r="D218" s="1" t="s">
        <v>111</v>
      </c>
      <c r="E218" s="1" t="s">
        <v>30</v>
      </c>
      <c r="F218">
        <v>18</v>
      </c>
      <c r="G218" s="1" t="s">
        <v>100</v>
      </c>
      <c r="H218">
        <v>18077</v>
      </c>
      <c r="I218">
        <v>47</v>
      </c>
      <c r="J218">
        <v>47</v>
      </c>
      <c r="K218">
        <v>42</v>
      </c>
      <c r="L218">
        <v>893</v>
      </c>
    </row>
    <row r="219" spans="1:12" hidden="1" x14ac:dyDescent="0.25">
      <c r="A219">
        <v>218</v>
      </c>
      <c r="B219" s="1" t="s">
        <v>12</v>
      </c>
      <c r="C219">
        <v>1930</v>
      </c>
      <c r="D219" s="1" t="s">
        <v>111</v>
      </c>
      <c r="E219" s="1" t="s">
        <v>30</v>
      </c>
      <c r="F219">
        <v>18</v>
      </c>
      <c r="G219" s="1" t="s">
        <v>102</v>
      </c>
      <c r="H219">
        <v>18014</v>
      </c>
      <c r="I219">
        <v>5</v>
      </c>
      <c r="J219">
        <v>5</v>
      </c>
      <c r="K219">
        <v>5</v>
      </c>
      <c r="L219">
        <v>1000</v>
      </c>
    </row>
    <row r="220" spans="1:12" hidden="1" x14ac:dyDescent="0.25">
      <c r="A220">
        <v>219</v>
      </c>
      <c r="B220" s="1" t="s">
        <v>12</v>
      </c>
      <c r="C220">
        <v>1930</v>
      </c>
      <c r="D220" s="1" t="s">
        <v>111</v>
      </c>
      <c r="E220" s="1" t="s">
        <v>45</v>
      </c>
      <c r="F220">
        <v>30</v>
      </c>
      <c r="G220" s="1" t="s">
        <v>46</v>
      </c>
      <c r="H220">
        <v>30028</v>
      </c>
      <c r="I220">
        <v>4500</v>
      </c>
      <c r="J220">
        <v>4500</v>
      </c>
      <c r="K220">
        <v>4969</v>
      </c>
      <c r="L220">
        <v>1104</v>
      </c>
    </row>
    <row r="221" spans="1:12" hidden="1" x14ac:dyDescent="0.25">
      <c r="A221">
        <v>220</v>
      </c>
      <c r="B221" s="1" t="s">
        <v>12</v>
      </c>
      <c r="C221">
        <v>1930</v>
      </c>
      <c r="D221" s="1" t="s">
        <v>111</v>
      </c>
      <c r="E221" s="1" t="s">
        <v>45</v>
      </c>
      <c r="F221">
        <v>30</v>
      </c>
      <c r="G221" s="1" t="s">
        <v>47</v>
      </c>
      <c r="H221">
        <v>30015</v>
      </c>
      <c r="I221">
        <v>2000</v>
      </c>
      <c r="J221">
        <v>2000</v>
      </c>
      <c r="K221">
        <v>2000</v>
      </c>
      <c r="L221">
        <v>1000</v>
      </c>
    </row>
    <row r="222" spans="1:12" hidden="1" x14ac:dyDescent="0.25">
      <c r="A222">
        <v>221</v>
      </c>
      <c r="B222" s="1" t="s">
        <v>12</v>
      </c>
      <c r="C222">
        <v>1930</v>
      </c>
      <c r="D222" s="1" t="s">
        <v>111</v>
      </c>
      <c r="E222" s="1" t="s">
        <v>45</v>
      </c>
      <c r="F222">
        <v>30</v>
      </c>
      <c r="G222" s="1" t="s">
        <v>27</v>
      </c>
      <c r="H222">
        <v>30008</v>
      </c>
      <c r="I222">
        <v>200</v>
      </c>
      <c r="J222">
        <v>200</v>
      </c>
      <c r="K222">
        <v>200</v>
      </c>
      <c r="L222">
        <v>1000</v>
      </c>
    </row>
    <row r="223" spans="1:12" hidden="1" x14ac:dyDescent="0.25">
      <c r="A223">
        <v>222</v>
      </c>
      <c r="B223" s="1" t="s">
        <v>12</v>
      </c>
      <c r="C223">
        <v>1930</v>
      </c>
      <c r="D223" s="1" t="s">
        <v>111</v>
      </c>
      <c r="E223" s="1" t="s">
        <v>48</v>
      </c>
      <c r="F223">
        <v>34</v>
      </c>
      <c r="G223" s="1" t="s">
        <v>52</v>
      </c>
      <c r="H223">
        <v>34035</v>
      </c>
      <c r="I223">
        <v>12</v>
      </c>
      <c r="J223">
        <v>12</v>
      </c>
      <c r="K223">
        <v>6</v>
      </c>
      <c r="L223">
        <v>500</v>
      </c>
    </row>
    <row r="224" spans="1:12" hidden="1" x14ac:dyDescent="0.25">
      <c r="A224">
        <v>223</v>
      </c>
      <c r="B224" s="1" t="s">
        <v>12</v>
      </c>
      <c r="C224">
        <v>1930</v>
      </c>
      <c r="D224" s="1" t="s">
        <v>111</v>
      </c>
      <c r="E224" s="1" t="s">
        <v>48</v>
      </c>
      <c r="F224">
        <v>34</v>
      </c>
      <c r="G224" s="1" t="s">
        <v>48</v>
      </c>
      <c r="H224">
        <v>34014</v>
      </c>
      <c r="I224">
        <v>10</v>
      </c>
      <c r="J224">
        <v>10</v>
      </c>
      <c r="K224">
        <v>4</v>
      </c>
      <c r="L224">
        <v>400</v>
      </c>
    </row>
    <row r="225" spans="1:12" hidden="1" x14ac:dyDescent="0.25">
      <c r="A225">
        <v>224</v>
      </c>
      <c r="B225" s="1" t="s">
        <v>12</v>
      </c>
      <c r="C225">
        <v>1930</v>
      </c>
      <c r="D225" s="1" t="s">
        <v>111</v>
      </c>
      <c r="E225" s="1" t="s">
        <v>48</v>
      </c>
      <c r="F225">
        <v>34</v>
      </c>
      <c r="G225" s="1" t="s">
        <v>108</v>
      </c>
      <c r="H225">
        <v>34042</v>
      </c>
      <c r="I225">
        <v>10</v>
      </c>
      <c r="J225">
        <v>10</v>
      </c>
      <c r="K225">
        <v>5</v>
      </c>
      <c r="L225">
        <v>500</v>
      </c>
    </row>
    <row r="226" spans="1:12" hidden="1" x14ac:dyDescent="0.25">
      <c r="A226">
        <v>225</v>
      </c>
      <c r="B226" s="1" t="s">
        <v>12</v>
      </c>
      <c r="C226">
        <v>1930</v>
      </c>
      <c r="D226" s="1" t="s">
        <v>111</v>
      </c>
      <c r="E226" s="1" t="s">
        <v>48</v>
      </c>
      <c r="F226">
        <v>34</v>
      </c>
      <c r="G226" s="1" t="s">
        <v>49</v>
      </c>
      <c r="H226">
        <v>34049</v>
      </c>
      <c r="I226">
        <v>10</v>
      </c>
      <c r="J226">
        <v>10</v>
      </c>
      <c r="K226">
        <v>5</v>
      </c>
      <c r="L226">
        <v>500</v>
      </c>
    </row>
    <row r="227" spans="1:12" hidden="1" x14ac:dyDescent="0.25">
      <c r="A227">
        <v>226</v>
      </c>
      <c r="B227" s="1" t="s">
        <v>12</v>
      </c>
      <c r="C227">
        <v>1930</v>
      </c>
      <c r="D227" s="1" t="s">
        <v>111</v>
      </c>
      <c r="E227" s="1" t="s">
        <v>48</v>
      </c>
      <c r="F227">
        <v>34</v>
      </c>
      <c r="G227" s="1" t="s">
        <v>51</v>
      </c>
      <c r="H227">
        <v>34056</v>
      </c>
      <c r="I227">
        <v>5</v>
      </c>
      <c r="J227">
        <v>5</v>
      </c>
      <c r="K227">
        <v>3</v>
      </c>
      <c r="L227">
        <v>600</v>
      </c>
    </row>
    <row r="228" spans="1:12" hidden="1" x14ac:dyDescent="0.25">
      <c r="A228">
        <v>227</v>
      </c>
      <c r="B228" s="1" t="s">
        <v>12</v>
      </c>
      <c r="C228">
        <v>1930</v>
      </c>
      <c r="D228" s="1" t="s">
        <v>111</v>
      </c>
      <c r="E228" s="1" t="s">
        <v>48</v>
      </c>
      <c r="F228">
        <v>34</v>
      </c>
      <c r="G228" s="1" t="s">
        <v>50</v>
      </c>
      <c r="H228">
        <v>34021</v>
      </c>
      <c r="I228">
        <v>3</v>
      </c>
      <c r="J228">
        <v>3</v>
      </c>
      <c r="K228">
        <v>2</v>
      </c>
      <c r="L228">
        <v>500</v>
      </c>
    </row>
    <row r="229" spans="1:12" hidden="1" x14ac:dyDescent="0.25">
      <c r="A229">
        <v>228</v>
      </c>
      <c r="B229" s="1" t="s">
        <v>12</v>
      </c>
      <c r="C229">
        <v>1930</v>
      </c>
      <c r="D229" s="1" t="s">
        <v>111</v>
      </c>
      <c r="E229" s="1" t="s">
        <v>58</v>
      </c>
      <c r="F229">
        <v>54</v>
      </c>
      <c r="G229" s="1" t="s">
        <v>60</v>
      </c>
      <c r="H229">
        <v>54021</v>
      </c>
      <c r="I229">
        <v>385</v>
      </c>
      <c r="J229">
        <v>385</v>
      </c>
      <c r="K229">
        <v>373</v>
      </c>
      <c r="L229">
        <v>970</v>
      </c>
    </row>
    <row r="230" spans="1:12" hidden="1" x14ac:dyDescent="0.25">
      <c r="A230">
        <v>229</v>
      </c>
      <c r="B230" s="1" t="s">
        <v>12</v>
      </c>
      <c r="C230">
        <v>1930</v>
      </c>
      <c r="D230" s="1" t="s">
        <v>111</v>
      </c>
      <c r="E230" s="1" t="s">
        <v>58</v>
      </c>
      <c r="F230">
        <v>54</v>
      </c>
      <c r="G230" s="1" t="s">
        <v>59</v>
      </c>
      <c r="H230">
        <v>54007</v>
      </c>
      <c r="I230">
        <v>266</v>
      </c>
      <c r="J230">
        <v>266</v>
      </c>
      <c r="K230">
        <v>263</v>
      </c>
      <c r="L230">
        <v>990</v>
      </c>
    </row>
    <row r="231" spans="1:12" hidden="1" x14ac:dyDescent="0.25">
      <c r="A231">
        <v>230</v>
      </c>
      <c r="B231" s="1" t="s">
        <v>12</v>
      </c>
      <c r="C231">
        <v>1930</v>
      </c>
      <c r="D231" s="1" t="s">
        <v>111</v>
      </c>
      <c r="E231" s="1" t="s">
        <v>58</v>
      </c>
      <c r="F231">
        <v>54</v>
      </c>
      <c r="G231" s="1" t="s">
        <v>62</v>
      </c>
      <c r="H231">
        <v>54105</v>
      </c>
      <c r="I231">
        <v>120</v>
      </c>
      <c r="J231">
        <v>120</v>
      </c>
      <c r="K231">
        <v>135</v>
      </c>
      <c r="L231">
        <v>1125</v>
      </c>
    </row>
    <row r="232" spans="1:12" hidden="1" x14ac:dyDescent="0.25">
      <c r="A232">
        <v>231</v>
      </c>
      <c r="B232" s="1" t="s">
        <v>12</v>
      </c>
      <c r="C232">
        <v>1930</v>
      </c>
      <c r="D232" s="1" t="s">
        <v>111</v>
      </c>
      <c r="E232" s="1" t="s">
        <v>58</v>
      </c>
      <c r="F232">
        <v>54</v>
      </c>
      <c r="G232" s="1" t="s">
        <v>61</v>
      </c>
      <c r="H232">
        <v>54098</v>
      </c>
      <c r="I232">
        <v>49</v>
      </c>
      <c r="J232">
        <v>49</v>
      </c>
      <c r="K232">
        <v>49</v>
      </c>
      <c r="L232">
        <v>1000</v>
      </c>
    </row>
    <row r="233" spans="1:12" hidden="1" x14ac:dyDescent="0.25">
      <c r="A233">
        <v>232</v>
      </c>
      <c r="B233" s="1" t="s">
        <v>12</v>
      </c>
      <c r="C233">
        <v>1930</v>
      </c>
      <c r="D233" s="1" t="s">
        <v>111</v>
      </c>
      <c r="E233" s="1" t="s">
        <v>58</v>
      </c>
      <c r="F233">
        <v>54</v>
      </c>
      <c r="G233" s="1" t="s">
        <v>63</v>
      </c>
      <c r="H233">
        <v>54035</v>
      </c>
      <c r="I233">
        <v>40</v>
      </c>
      <c r="J233">
        <v>40</v>
      </c>
      <c r="K233">
        <v>40</v>
      </c>
      <c r="L233">
        <v>1000</v>
      </c>
    </row>
    <row r="234" spans="1:12" hidden="1" x14ac:dyDescent="0.25">
      <c r="A234">
        <v>233</v>
      </c>
      <c r="B234" s="1" t="s">
        <v>12</v>
      </c>
      <c r="C234">
        <v>1930</v>
      </c>
      <c r="D234" s="1" t="s">
        <v>111</v>
      </c>
      <c r="E234" s="1" t="s">
        <v>112</v>
      </c>
      <c r="F234">
        <v>70</v>
      </c>
      <c r="G234" s="1" t="s">
        <v>88</v>
      </c>
      <c r="I234">
        <v>2</v>
      </c>
      <c r="J234">
        <v>2</v>
      </c>
      <c r="K234">
        <v>2</v>
      </c>
      <c r="L234">
        <v>1000</v>
      </c>
    </row>
    <row r="235" spans="1:12" hidden="1" x14ac:dyDescent="0.25">
      <c r="A235">
        <v>234</v>
      </c>
      <c r="B235" s="1" t="s">
        <v>12</v>
      </c>
      <c r="C235">
        <v>1930</v>
      </c>
      <c r="D235" s="1" t="s">
        <v>111</v>
      </c>
      <c r="E235" s="1" t="s">
        <v>64</v>
      </c>
      <c r="F235">
        <v>82</v>
      </c>
      <c r="G235" s="1" t="s">
        <v>65</v>
      </c>
      <c r="H235">
        <v>82049</v>
      </c>
      <c r="I235">
        <v>10000</v>
      </c>
      <c r="J235">
        <v>9800</v>
      </c>
      <c r="K235">
        <v>13610</v>
      </c>
      <c r="L235">
        <v>1390</v>
      </c>
    </row>
    <row r="236" spans="1:12" hidden="1" x14ac:dyDescent="0.25">
      <c r="A236">
        <v>235</v>
      </c>
      <c r="B236" s="1" t="s">
        <v>12</v>
      </c>
      <c r="C236">
        <v>1930</v>
      </c>
      <c r="D236" s="1" t="s">
        <v>111</v>
      </c>
      <c r="E236" s="1" t="s">
        <v>64</v>
      </c>
      <c r="F236">
        <v>82</v>
      </c>
      <c r="G236" s="1" t="s">
        <v>66</v>
      </c>
      <c r="H236">
        <v>82035</v>
      </c>
      <c r="I236">
        <v>2400</v>
      </c>
      <c r="J236">
        <v>2352</v>
      </c>
      <c r="K236">
        <v>3410</v>
      </c>
      <c r="L236">
        <v>1450</v>
      </c>
    </row>
    <row r="237" spans="1:12" hidden="1" x14ac:dyDescent="0.25">
      <c r="A237">
        <v>236</v>
      </c>
      <c r="B237" s="1" t="s">
        <v>12</v>
      </c>
      <c r="C237">
        <v>1930</v>
      </c>
      <c r="D237" s="1" t="s">
        <v>111</v>
      </c>
      <c r="E237" s="1" t="s">
        <v>64</v>
      </c>
      <c r="F237">
        <v>82</v>
      </c>
      <c r="G237" s="1" t="s">
        <v>62</v>
      </c>
      <c r="H237">
        <v>82098</v>
      </c>
      <c r="I237">
        <v>150</v>
      </c>
      <c r="J237">
        <v>150</v>
      </c>
      <c r="K237">
        <v>196</v>
      </c>
      <c r="L237">
        <v>1307</v>
      </c>
    </row>
    <row r="238" spans="1:12" hidden="1" x14ac:dyDescent="0.25">
      <c r="A238">
        <v>237</v>
      </c>
      <c r="B238" s="1" t="s">
        <v>12</v>
      </c>
      <c r="C238">
        <v>1930</v>
      </c>
      <c r="D238" s="1" t="s">
        <v>111</v>
      </c>
      <c r="E238" s="1" t="s">
        <v>64</v>
      </c>
      <c r="F238">
        <v>82</v>
      </c>
      <c r="G238" s="1" t="s">
        <v>28</v>
      </c>
      <c r="H238">
        <v>82063</v>
      </c>
      <c r="I238">
        <v>70</v>
      </c>
      <c r="J238">
        <v>70</v>
      </c>
      <c r="K238">
        <v>105</v>
      </c>
      <c r="L238">
        <v>1500</v>
      </c>
    </row>
    <row r="239" spans="1:12" hidden="1" x14ac:dyDescent="0.25">
      <c r="A239">
        <v>238</v>
      </c>
      <c r="B239" s="1" t="s">
        <v>12</v>
      </c>
      <c r="C239">
        <v>1930</v>
      </c>
      <c r="D239" s="1" t="s">
        <v>111</v>
      </c>
      <c r="E239" s="1" t="s">
        <v>68</v>
      </c>
      <c r="F239">
        <v>86</v>
      </c>
      <c r="G239" s="1" t="s">
        <v>75</v>
      </c>
      <c r="H239">
        <v>86035</v>
      </c>
      <c r="I239">
        <v>13</v>
      </c>
      <c r="J239">
        <v>13</v>
      </c>
      <c r="K239">
        <v>17</v>
      </c>
      <c r="L239">
        <v>1308</v>
      </c>
    </row>
    <row r="240" spans="1:12" hidden="1" x14ac:dyDescent="0.25">
      <c r="A240">
        <v>239</v>
      </c>
      <c r="B240" s="1" t="s">
        <v>12</v>
      </c>
      <c r="C240">
        <v>1930</v>
      </c>
      <c r="D240" s="1" t="s">
        <v>111</v>
      </c>
      <c r="E240" s="1" t="s">
        <v>68</v>
      </c>
      <c r="F240">
        <v>86</v>
      </c>
      <c r="G240" s="1" t="s">
        <v>28</v>
      </c>
      <c r="H240">
        <v>86049</v>
      </c>
      <c r="I240">
        <v>11</v>
      </c>
      <c r="J240">
        <v>11</v>
      </c>
      <c r="K240">
        <v>13</v>
      </c>
      <c r="L240">
        <v>1182</v>
      </c>
    </row>
    <row r="241" spans="1:12" hidden="1" x14ac:dyDescent="0.25">
      <c r="A241">
        <v>240</v>
      </c>
      <c r="B241" s="1" t="s">
        <v>12</v>
      </c>
      <c r="C241">
        <v>1930</v>
      </c>
      <c r="D241" s="1" t="s">
        <v>111</v>
      </c>
      <c r="E241" s="1" t="s">
        <v>68</v>
      </c>
      <c r="F241">
        <v>86</v>
      </c>
      <c r="G241" s="1" t="s">
        <v>71</v>
      </c>
      <c r="H241">
        <v>86112</v>
      </c>
      <c r="I241">
        <v>5</v>
      </c>
      <c r="J241">
        <v>5</v>
      </c>
      <c r="K241">
        <v>5</v>
      </c>
      <c r="L241">
        <v>1000</v>
      </c>
    </row>
    <row r="242" spans="1:12" hidden="1" x14ac:dyDescent="0.25">
      <c r="A242">
        <v>241</v>
      </c>
      <c r="B242" s="1" t="s">
        <v>12</v>
      </c>
      <c r="C242">
        <v>1930</v>
      </c>
      <c r="D242" s="1" t="s">
        <v>111</v>
      </c>
      <c r="E242" s="1" t="s">
        <v>68</v>
      </c>
      <c r="F242">
        <v>86</v>
      </c>
      <c r="G242" s="1" t="s">
        <v>74</v>
      </c>
      <c r="H242">
        <v>86063</v>
      </c>
      <c r="I242">
        <v>1</v>
      </c>
      <c r="J242">
        <v>1</v>
      </c>
      <c r="K242">
        <v>1</v>
      </c>
      <c r="L242">
        <v>1000</v>
      </c>
    </row>
    <row r="243" spans="1:12" hidden="1" x14ac:dyDescent="0.25">
      <c r="A243">
        <v>242</v>
      </c>
      <c r="B243" s="1" t="s">
        <v>12</v>
      </c>
      <c r="C243">
        <v>1930</v>
      </c>
      <c r="D243" s="1" t="s">
        <v>111</v>
      </c>
      <c r="E243" s="1" t="s">
        <v>77</v>
      </c>
      <c r="F243">
        <v>90</v>
      </c>
      <c r="G243" s="1" t="s">
        <v>78</v>
      </c>
      <c r="H243">
        <v>90007</v>
      </c>
      <c r="I243">
        <v>422</v>
      </c>
      <c r="J243">
        <v>422</v>
      </c>
      <c r="K243">
        <v>303</v>
      </c>
      <c r="L243">
        <v>718</v>
      </c>
    </row>
    <row r="244" spans="1:12" hidden="1" x14ac:dyDescent="0.25">
      <c r="A244">
        <v>243</v>
      </c>
      <c r="B244" s="1" t="s">
        <v>12</v>
      </c>
      <c r="C244">
        <v>1930</v>
      </c>
      <c r="D244" s="1" t="s">
        <v>111</v>
      </c>
      <c r="E244" s="1" t="s">
        <v>77</v>
      </c>
      <c r="F244">
        <v>90</v>
      </c>
      <c r="G244" s="1" t="s">
        <v>89</v>
      </c>
      <c r="H244">
        <v>90028</v>
      </c>
      <c r="I244">
        <v>39</v>
      </c>
      <c r="J244">
        <v>39</v>
      </c>
      <c r="K244">
        <v>19</v>
      </c>
      <c r="L244">
        <v>487</v>
      </c>
    </row>
    <row r="245" spans="1:12" hidden="1" x14ac:dyDescent="0.25">
      <c r="A245">
        <v>244</v>
      </c>
      <c r="B245" s="1" t="s">
        <v>12</v>
      </c>
      <c r="C245">
        <v>1930</v>
      </c>
      <c r="D245" s="1" t="s">
        <v>111</v>
      </c>
      <c r="E245" s="1" t="s">
        <v>77</v>
      </c>
      <c r="F245">
        <v>90</v>
      </c>
      <c r="G245" s="1" t="s">
        <v>109</v>
      </c>
      <c r="H245">
        <v>90077</v>
      </c>
      <c r="I245">
        <v>35</v>
      </c>
      <c r="J245">
        <v>35</v>
      </c>
      <c r="K245">
        <v>21</v>
      </c>
      <c r="L245">
        <v>600</v>
      </c>
    </row>
    <row r="246" spans="1:12" hidden="1" x14ac:dyDescent="0.25">
      <c r="A246">
        <v>245</v>
      </c>
      <c r="B246" s="1" t="s">
        <v>12</v>
      </c>
      <c r="C246">
        <v>1930</v>
      </c>
      <c r="D246" s="1" t="s">
        <v>111</v>
      </c>
      <c r="E246" s="1" t="s">
        <v>77</v>
      </c>
      <c r="F246">
        <v>90</v>
      </c>
      <c r="G246" s="1" t="s">
        <v>90</v>
      </c>
      <c r="H246">
        <v>90112</v>
      </c>
      <c r="I246">
        <v>23</v>
      </c>
      <c r="J246">
        <v>23</v>
      </c>
      <c r="K246">
        <v>9</v>
      </c>
      <c r="L246">
        <v>391</v>
      </c>
    </row>
    <row r="247" spans="1:12" hidden="1" x14ac:dyDescent="0.25">
      <c r="A247">
        <v>246</v>
      </c>
      <c r="B247" s="1" t="s">
        <v>12</v>
      </c>
      <c r="C247">
        <v>1930</v>
      </c>
      <c r="D247" s="1" t="s">
        <v>111</v>
      </c>
      <c r="E247" s="1" t="s">
        <v>77</v>
      </c>
      <c r="F247">
        <v>90</v>
      </c>
      <c r="G247" s="1" t="s">
        <v>28</v>
      </c>
      <c r="H247">
        <v>90084</v>
      </c>
      <c r="I247">
        <v>18</v>
      </c>
      <c r="J247">
        <v>18</v>
      </c>
      <c r="K247">
        <v>11</v>
      </c>
      <c r="L247">
        <v>611</v>
      </c>
    </row>
    <row r="248" spans="1:12" hidden="1" x14ac:dyDescent="0.25">
      <c r="A248">
        <v>247</v>
      </c>
      <c r="B248" s="1" t="s">
        <v>12</v>
      </c>
      <c r="C248">
        <v>1930</v>
      </c>
      <c r="D248" s="1" t="s">
        <v>111</v>
      </c>
      <c r="E248" s="1" t="s">
        <v>77</v>
      </c>
      <c r="F248">
        <v>90</v>
      </c>
      <c r="G248" s="1" t="s">
        <v>91</v>
      </c>
      <c r="H248">
        <v>90014</v>
      </c>
      <c r="I248">
        <v>16</v>
      </c>
      <c r="J248">
        <v>16</v>
      </c>
      <c r="K248">
        <v>8</v>
      </c>
      <c r="L248">
        <v>500</v>
      </c>
    </row>
    <row r="249" spans="1:12" hidden="1" x14ac:dyDescent="0.25">
      <c r="A249">
        <v>248</v>
      </c>
      <c r="B249" s="1" t="s">
        <v>12</v>
      </c>
      <c r="C249">
        <v>1930</v>
      </c>
      <c r="D249" s="1" t="s">
        <v>111</v>
      </c>
      <c r="E249" s="1" t="s">
        <v>77</v>
      </c>
      <c r="F249">
        <v>90</v>
      </c>
      <c r="G249" s="1" t="s">
        <v>92</v>
      </c>
      <c r="H249">
        <v>90056</v>
      </c>
      <c r="I249">
        <v>12</v>
      </c>
      <c r="J249">
        <v>12</v>
      </c>
      <c r="K249">
        <v>5</v>
      </c>
      <c r="L249">
        <v>417</v>
      </c>
    </row>
    <row r="250" spans="1:12" hidden="1" x14ac:dyDescent="0.25">
      <c r="A250">
        <v>249</v>
      </c>
      <c r="B250" s="1" t="s">
        <v>12</v>
      </c>
      <c r="C250">
        <v>1930</v>
      </c>
      <c r="D250" s="1" t="s">
        <v>111</v>
      </c>
      <c r="E250" s="1" t="s">
        <v>77</v>
      </c>
      <c r="F250">
        <v>90</v>
      </c>
      <c r="G250" s="1" t="s">
        <v>93</v>
      </c>
      <c r="H250">
        <v>90070</v>
      </c>
      <c r="I250">
        <v>8</v>
      </c>
      <c r="J250">
        <v>8</v>
      </c>
      <c r="K250">
        <v>5</v>
      </c>
      <c r="L250">
        <v>625</v>
      </c>
    </row>
    <row r="251" spans="1:12" hidden="1" x14ac:dyDescent="0.25">
      <c r="A251">
        <v>250</v>
      </c>
      <c r="B251" s="1" t="s">
        <v>12</v>
      </c>
      <c r="C251">
        <v>1930</v>
      </c>
      <c r="D251" s="1" t="s">
        <v>111</v>
      </c>
      <c r="E251" s="1" t="s">
        <v>77</v>
      </c>
      <c r="F251">
        <v>90</v>
      </c>
      <c r="G251" s="1" t="s">
        <v>94</v>
      </c>
      <c r="H251">
        <v>90105</v>
      </c>
      <c r="I251">
        <v>8</v>
      </c>
      <c r="J251">
        <v>8</v>
      </c>
      <c r="K251">
        <v>5</v>
      </c>
      <c r="L251">
        <v>625</v>
      </c>
    </row>
    <row r="252" spans="1:12" hidden="1" x14ac:dyDescent="0.25">
      <c r="A252">
        <v>251</v>
      </c>
      <c r="B252" s="1" t="s">
        <v>12</v>
      </c>
      <c r="C252">
        <v>1930</v>
      </c>
      <c r="D252" s="1" t="s">
        <v>111</v>
      </c>
      <c r="E252" s="1" t="s">
        <v>77</v>
      </c>
      <c r="F252">
        <v>90</v>
      </c>
      <c r="G252" s="1" t="s">
        <v>95</v>
      </c>
      <c r="H252">
        <v>90035</v>
      </c>
      <c r="I252">
        <v>5</v>
      </c>
      <c r="J252">
        <v>5</v>
      </c>
      <c r="K252">
        <v>2</v>
      </c>
      <c r="L252">
        <v>400</v>
      </c>
    </row>
    <row r="253" spans="1:12" hidden="1" x14ac:dyDescent="0.25">
      <c r="A253">
        <v>252</v>
      </c>
      <c r="B253" s="1" t="s">
        <v>12</v>
      </c>
      <c r="C253">
        <v>1930</v>
      </c>
      <c r="D253" s="1" t="s">
        <v>111</v>
      </c>
      <c r="E253" s="1" t="s">
        <v>77</v>
      </c>
      <c r="F253">
        <v>90</v>
      </c>
      <c r="G253" s="1" t="s">
        <v>110</v>
      </c>
      <c r="H253">
        <v>90021</v>
      </c>
      <c r="I253">
        <v>4</v>
      </c>
      <c r="J253">
        <v>4</v>
      </c>
      <c r="K253">
        <v>2</v>
      </c>
      <c r="L253">
        <v>500</v>
      </c>
    </row>
    <row r="254" spans="1:12" hidden="1" x14ac:dyDescent="0.25">
      <c r="A254">
        <v>253</v>
      </c>
      <c r="B254" s="1" t="s">
        <v>12</v>
      </c>
      <c r="C254">
        <v>1931</v>
      </c>
      <c r="D254" s="1" t="s">
        <v>113</v>
      </c>
      <c r="E254" s="1" t="s">
        <v>14</v>
      </c>
      <c r="F254">
        <v>22</v>
      </c>
      <c r="G254" s="1" t="s">
        <v>15</v>
      </c>
      <c r="H254">
        <v>22105</v>
      </c>
      <c r="I254">
        <v>500</v>
      </c>
      <c r="J254">
        <v>500</v>
      </c>
      <c r="K254">
        <v>500</v>
      </c>
      <c r="L254">
        <v>1000</v>
      </c>
    </row>
    <row r="255" spans="1:12" hidden="1" x14ac:dyDescent="0.25">
      <c r="A255">
        <v>254</v>
      </c>
      <c r="B255" s="1" t="s">
        <v>12</v>
      </c>
      <c r="C255">
        <v>1931</v>
      </c>
      <c r="D255" s="1" t="s">
        <v>113</v>
      </c>
      <c r="E255" s="1" t="s">
        <v>14</v>
      </c>
      <c r="F255">
        <v>22</v>
      </c>
      <c r="G255" s="1" t="s">
        <v>16</v>
      </c>
      <c r="H255">
        <v>22049</v>
      </c>
      <c r="I255">
        <v>13</v>
      </c>
      <c r="J255">
        <v>13</v>
      </c>
      <c r="K255">
        <v>13</v>
      </c>
      <c r="L255">
        <v>1000</v>
      </c>
    </row>
    <row r="256" spans="1:12" hidden="1" x14ac:dyDescent="0.25">
      <c r="A256">
        <v>255</v>
      </c>
      <c r="B256" s="1" t="s">
        <v>12</v>
      </c>
      <c r="C256">
        <v>1931</v>
      </c>
      <c r="D256" s="1" t="s">
        <v>113</v>
      </c>
      <c r="E256" s="1" t="s">
        <v>14</v>
      </c>
      <c r="F256">
        <v>22</v>
      </c>
      <c r="G256" s="1" t="s">
        <v>18</v>
      </c>
      <c r="H256">
        <v>22084</v>
      </c>
      <c r="I256">
        <v>5</v>
      </c>
      <c r="J256">
        <v>5</v>
      </c>
      <c r="K256">
        <v>5</v>
      </c>
      <c r="L256">
        <v>1000</v>
      </c>
    </row>
    <row r="257" spans="1:12" hidden="1" x14ac:dyDescent="0.25">
      <c r="A257">
        <v>256</v>
      </c>
      <c r="B257" s="1" t="s">
        <v>12</v>
      </c>
      <c r="C257">
        <v>1931</v>
      </c>
      <c r="D257" s="1" t="s">
        <v>113</v>
      </c>
      <c r="E257" s="1" t="s">
        <v>14</v>
      </c>
      <c r="F257">
        <v>22</v>
      </c>
      <c r="G257" s="1" t="s">
        <v>17</v>
      </c>
      <c r="H257">
        <v>22140</v>
      </c>
      <c r="I257">
        <v>2</v>
      </c>
      <c r="J257">
        <v>2</v>
      </c>
      <c r="K257">
        <v>2</v>
      </c>
      <c r="L257">
        <v>1000</v>
      </c>
    </row>
    <row r="258" spans="1:12" hidden="1" x14ac:dyDescent="0.25">
      <c r="A258">
        <v>257</v>
      </c>
      <c r="B258" s="1" t="s">
        <v>12</v>
      </c>
      <c r="C258">
        <v>1931</v>
      </c>
      <c r="D258" s="1" t="s">
        <v>113</v>
      </c>
      <c r="E258" s="1" t="s">
        <v>22</v>
      </c>
      <c r="F258">
        <v>14</v>
      </c>
      <c r="G258" s="1" t="s">
        <v>23</v>
      </c>
      <c r="H258">
        <v>14147</v>
      </c>
      <c r="I258">
        <v>13500</v>
      </c>
      <c r="J258">
        <v>13500</v>
      </c>
      <c r="K258">
        <v>17550</v>
      </c>
      <c r="L258">
        <v>1300</v>
      </c>
    </row>
    <row r="259" spans="1:12" hidden="1" x14ac:dyDescent="0.25">
      <c r="A259">
        <v>258</v>
      </c>
      <c r="B259" s="1" t="s">
        <v>12</v>
      </c>
      <c r="C259">
        <v>1931</v>
      </c>
      <c r="D259" s="1" t="s">
        <v>113</v>
      </c>
      <c r="E259" s="1" t="s">
        <v>22</v>
      </c>
      <c r="F259">
        <v>14</v>
      </c>
      <c r="G259" s="1" t="s">
        <v>24</v>
      </c>
      <c r="H259">
        <v>14119</v>
      </c>
      <c r="I259">
        <v>11000</v>
      </c>
      <c r="J259">
        <v>11000</v>
      </c>
      <c r="K259">
        <v>16500</v>
      </c>
      <c r="L259">
        <v>1500</v>
      </c>
    </row>
    <row r="260" spans="1:12" hidden="1" x14ac:dyDescent="0.25">
      <c r="A260">
        <v>259</v>
      </c>
      <c r="B260" s="1" t="s">
        <v>12</v>
      </c>
      <c r="C260">
        <v>1931</v>
      </c>
      <c r="D260" s="1" t="s">
        <v>113</v>
      </c>
      <c r="E260" s="1" t="s">
        <v>22</v>
      </c>
      <c r="F260">
        <v>14</v>
      </c>
      <c r="G260" s="1" t="s">
        <v>26</v>
      </c>
      <c r="H260">
        <v>14161</v>
      </c>
      <c r="I260">
        <v>2000</v>
      </c>
      <c r="J260">
        <v>2000</v>
      </c>
      <c r="K260">
        <v>3800</v>
      </c>
      <c r="L260">
        <v>1900</v>
      </c>
    </row>
    <row r="261" spans="1:12" hidden="1" x14ac:dyDescent="0.25">
      <c r="A261">
        <v>260</v>
      </c>
      <c r="B261" s="1" t="s">
        <v>12</v>
      </c>
      <c r="C261">
        <v>1931</v>
      </c>
      <c r="D261" s="1" t="s">
        <v>113</v>
      </c>
      <c r="E261" s="1" t="s">
        <v>22</v>
      </c>
      <c r="F261">
        <v>14</v>
      </c>
      <c r="G261" s="1" t="s">
        <v>25</v>
      </c>
      <c r="H261">
        <v>14105</v>
      </c>
      <c r="I261">
        <v>1900</v>
      </c>
      <c r="J261">
        <v>1900</v>
      </c>
      <c r="K261">
        <v>2660</v>
      </c>
      <c r="L261">
        <v>1400</v>
      </c>
    </row>
    <row r="262" spans="1:12" hidden="1" x14ac:dyDescent="0.25">
      <c r="A262">
        <v>261</v>
      </c>
      <c r="B262" s="1" t="s">
        <v>12</v>
      </c>
      <c r="C262">
        <v>1931</v>
      </c>
      <c r="D262" s="1" t="s">
        <v>113</v>
      </c>
      <c r="E262" s="1" t="s">
        <v>22</v>
      </c>
      <c r="F262">
        <v>14</v>
      </c>
      <c r="G262" s="1" t="s">
        <v>27</v>
      </c>
      <c r="H262">
        <v>14021</v>
      </c>
      <c r="I262">
        <v>1200</v>
      </c>
      <c r="J262">
        <v>1200</v>
      </c>
      <c r="K262">
        <v>1704</v>
      </c>
      <c r="L262">
        <v>1420</v>
      </c>
    </row>
    <row r="263" spans="1:12" hidden="1" x14ac:dyDescent="0.25">
      <c r="A263">
        <v>262</v>
      </c>
      <c r="B263" s="1" t="s">
        <v>12</v>
      </c>
      <c r="C263">
        <v>1931</v>
      </c>
      <c r="D263" s="1" t="s">
        <v>113</v>
      </c>
      <c r="E263" s="1" t="s">
        <v>22</v>
      </c>
      <c r="F263">
        <v>14</v>
      </c>
      <c r="G263" s="1" t="s">
        <v>28</v>
      </c>
      <c r="H263">
        <v>14014</v>
      </c>
      <c r="I263">
        <v>500</v>
      </c>
      <c r="J263">
        <v>500</v>
      </c>
      <c r="K263">
        <v>700</v>
      </c>
      <c r="L263">
        <v>1400</v>
      </c>
    </row>
    <row r="264" spans="1:12" hidden="1" x14ac:dyDescent="0.25">
      <c r="A264">
        <v>263</v>
      </c>
      <c r="B264" s="1" t="s">
        <v>12</v>
      </c>
      <c r="C264">
        <v>1931</v>
      </c>
      <c r="D264" s="1" t="s">
        <v>113</v>
      </c>
      <c r="E264" s="1" t="s">
        <v>22</v>
      </c>
      <c r="F264">
        <v>14</v>
      </c>
      <c r="G264" s="1" t="s">
        <v>97</v>
      </c>
      <c r="H264">
        <v>14007</v>
      </c>
      <c r="I264">
        <v>350</v>
      </c>
      <c r="J264">
        <v>350</v>
      </c>
      <c r="K264">
        <v>630</v>
      </c>
      <c r="L264">
        <v>1800</v>
      </c>
    </row>
    <row r="265" spans="1:12" hidden="1" x14ac:dyDescent="0.25">
      <c r="A265">
        <v>264</v>
      </c>
      <c r="B265" s="1" t="s">
        <v>12</v>
      </c>
      <c r="C265">
        <v>1931</v>
      </c>
      <c r="D265" s="1" t="s">
        <v>113</v>
      </c>
      <c r="E265" s="1" t="s">
        <v>22</v>
      </c>
      <c r="F265">
        <v>14</v>
      </c>
      <c r="G265" s="1" t="s">
        <v>114</v>
      </c>
      <c r="H265">
        <v>14168</v>
      </c>
      <c r="I265">
        <v>50</v>
      </c>
      <c r="J265">
        <v>50</v>
      </c>
      <c r="K265">
        <v>71</v>
      </c>
      <c r="L265">
        <v>1420</v>
      </c>
    </row>
    <row r="266" spans="1:12" hidden="1" x14ac:dyDescent="0.25">
      <c r="A266">
        <v>265</v>
      </c>
      <c r="B266" s="1" t="s">
        <v>12</v>
      </c>
      <c r="C266">
        <v>1931</v>
      </c>
      <c r="D266" s="1" t="s">
        <v>113</v>
      </c>
      <c r="E266" s="1" t="s">
        <v>30</v>
      </c>
      <c r="F266">
        <v>18</v>
      </c>
      <c r="G266" s="1" t="s">
        <v>28</v>
      </c>
      <c r="H266">
        <v>18021</v>
      </c>
      <c r="I266">
        <v>958</v>
      </c>
      <c r="J266">
        <v>920</v>
      </c>
      <c r="K266">
        <v>607</v>
      </c>
      <c r="L266">
        <v>660</v>
      </c>
    </row>
    <row r="267" spans="1:12" hidden="1" x14ac:dyDescent="0.25">
      <c r="A267">
        <v>266</v>
      </c>
      <c r="B267" s="1" t="s">
        <v>12</v>
      </c>
      <c r="C267">
        <v>1931</v>
      </c>
      <c r="D267" s="1" t="s">
        <v>113</v>
      </c>
      <c r="E267" s="1" t="s">
        <v>30</v>
      </c>
      <c r="F267">
        <v>18</v>
      </c>
      <c r="G267" s="1" t="s">
        <v>32</v>
      </c>
      <c r="H267">
        <v>18112</v>
      </c>
      <c r="I267">
        <v>738</v>
      </c>
      <c r="J267">
        <v>720</v>
      </c>
      <c r="K267">
        <v>490</v>
      </c>
      <c r="L267">
        <v>680</v>
      </c>
    </row>
    <row r="268" spans="1:12" hidden="1" x14ac:dyDescent="0.25">
      <c r="A268">
        <v>267</v>
      </c>
      <c r="B268" s="1" t="s">
        <v>12</v>
      </c>
      <c r="C268">
        <v>1931</v>
      </c>
      <c r="D268" s="1" t="s">
        <v>113</v>
      </c>
      <c r="E268" s="1" t="s">
        <v>30</v>
      </c>
      <c r="F268">
        <v>18</v>
      </c>
      <c r="G268" s="1" t="s">
        <v>35</v>
      </c>
      <c r="H268">
        <v>18049</v>
      </c>
      <c r="I268">
        <v>592</v>
      </c>
      <c r="J268">
        <v>559</v>
      </c>
      <c r="K268">
        <v>442</v>
      </c>
      <c r="L268">
        <v>790</v>
      </c>
    </row>
    <row r="269" spans="1:12" hidden="1" x14ac:dyDescent="0.25">
      <c r="A269">
        <v>268</v>
      </c>
      <c r="B269" s="1" t="s">
        <v>12</v>
      </c>
      <c r="C269">
        <v>1931</v>
      </c>
      <c r="D269" s="1" t="s">
        <v>113</v>
      </c>
      <c r="E269" s="1" t="s">
        <v>30</v>
      </c>
      <c r="F269">
        <v>18</v>
      </c>
      <c r="G269" s="1" t="s">
        <v>43</v>
      </c>
      <c r="H269">
        <v>18070</v>
      </c>
      <c r="I269">
        <v>567</v>
      </c>
      <c r="J269">
        <v>540</v>
      </c>
      <c r="K269">
        <v>378</v>
      </c>
      <c r="L269">
        <v>700</v>
      </c>
    </row>
    <row r="270" spans="1:12" hidden="1" x14ac:dyDescent="0.25">
      <c r="A270">
        <v>269</v>
      </c>
      <c r="B270" s="1" t="s">
        <v>12</v>
      </c>
      <c r="C270">
        <v>1931</v>
      </c>
      <c r="D270" s="1" t="s">
        <v>113</v>
      </c>
      <c r="E270" s="1" t="s">
        <v>30</v>
      </c>
      <c r="F270">
        <v>18</v>
      </c>
      <c r="G270" s="1" t="s">
        <v>33</v>
      </c>
      <c r="H270">
        <v>18091</v>
      </c>
      <c r="I270">
        <v>537</v>
      </c>
      <c r="J270">
        <v>530</v>
      </c>
      <c r="K270">
        <v>509</v>
      </c>
      <c r="L270">
        <v>960</v>
      </c>
    </row>
    <row r="271" spans="1:12" hidden="1" x14ac:dyDescent="0.25">
      <c r="A271">
        <v>270</v>
      </c>
      <c r="B271" s="1" t="s">
        <v>12</v>
      </c>
      <c r="C271">
        <v>1931</v>
      </c>
      <c r="D271" s="1" t="s">
        <v>113</v>
      </c>
      <c r="E271" s="1" t="s">
        <v>30</v>
      </c>
      <c r="F271">
        <v>18</v>
      </c>
      <c r="G271" s="1" t="s">
        <v>101</v>
      </c>
      <c r="H271">
        <v>18161</v>
      </c>
      <c r="I271">
        <v>203</v>
      </c>
      <c r="J271">
        <v>190</v>
      </c>
      <c r="K271">
        <v>133</v>
      </c>
      <c r="L271">
        <v>700</v>
      </c>
    </row>
    <row r="272" spans="1:12" hidden="1" x14ac:dyDescent="0.25">
      <c r="A272">
        <v>271</v>
      </c>
      <c r="B272" s="1" t="s">
        <v>12</v>
      </c>
      <c r="C272">
        <v>1931</v>
      </c>
      <c r="D272" s="1" t="s">
        <v>113</v>
      </c>
      <c r="E272" s="1" t="s">
        <v>30</v>
      </c>
      <c r="F272">
        <v>18</v>
      </c>
      <c r="G272" s="1" t="s">
        <v>34</v>
      </c>
      <c r="H272">
        <v>18042</v>
      </c>
      <c r="I272">
        <v>132</v>
      </c>
      <c r="J272">
        <v>125</v>
      </c>
      <c r="K272">
        <v>106</v>
      </c>
      <c r="L272">
        <v>848</v>
      </c>
    </row>
    <row r="273" spans="1:12" hidden="1" x14ac:dyDescent="0.25">
      <c r="A273">
        <v>272</v>
      </c>
      <c r="B273" s="1" t="s">
        <v>12</v>
      </c>
      <c r="C273">
        <v>1931</v>
      </c>
      <c r="D273" s="1" t="s">
        <v>113</v>
      </c>
      <c r="E273" s="1" t="s">
        <v>30</v>
      </c>
      <c r="F273">
        <v>18</v>
      </c>
      <c r="G273" s="1" t="s">
        <v>40</v>
      </c>
      <c r="H273">
        <v>18126</v>
      </c>
      <c r="I273">
        <v>132</v>
      </c>
      <c r="J273">
        <v>120</v>
      </c>
      <c r="K273">
        <v>84</v>
      </c>
      <c r="L273">
        <v>700</v>
      </c>
    </row>
    <row r="274" spans="1:12" hidden="1" x14ac:dyDescent="0.25">
      <c r="A274">
        <v>273</v>
      </c>
      <c r="B274" s="1" t="s">
        <v>12</v>
      </c>
      <c r="C274">
        <v>1931</v>
      </c>
      <c r="D274" s="1" t="s">
        <v>113</v>
      </c>
      <c r="E274" s="1" t="s">
        <v>30</v>
      </c>
      <c r="F274">
        <v>18</v>
      </c>
      <c r="G274" s="1" t="s">
        <v>63</v>
      </c>
      <c r="H274">
        <v>18028</v>
      </c>
      <c r="I274">
        <v>130</v>
      </c>
      <c r="J274">
        <v>130</v>
      </c>
      <c r="K274">
        <v>130</v>
      </c>
      <c r="L274">
        <v>1000</v>
      </c>
    </row>
    <row r="275" spans="1:12" hidden="1" x14ac:dyDescent="0.25">
      <c r="A275">
        <v>274</v>
      </c>
      <c r="B275" s="1" t="s">
        <v>12</v>
      </c>
      <c r="C275">
        <v>1931</v>
      </c>
      <c r="D275" s="1" t="s">
        <v>113</v>
      </c>
      <c r="E275" s="1" t="s">
        <v>30</v>
      </c>
      <c r="F275">
        <v>18</v>
      </c>
      <c r="G275" s="1" t="s">
        <v>98</v>
      </c>
      <c r="H275">
        <v>18098</v>
      </c>
      <c r="I275">
        <v>97</v>
      </c>
      <c r="J275">
        <v>90</v>
      </c>
      <c r="K275">
        <v>67</v>
      </c>
      <c r="L275">
        <v>744</v>
      </c>
    </row>
    <row r="276" spans="1:12" hidden="1" x14ac:dyDescent="0.25">
      <c r="A276">
        <v>275</v>
      </c>
      <c r="B276" s="1" t="s">
        <v>12</v>
      </c>
      <c r="C276">
        <v>1931</v>
      </c>
      <c r="D276" s="1" t="s">
        <v>113</v>
      </c>
      <c r="E276" s="1" t="s">
        <v>30</v>
      </c>
      <c r="F276">
        <v>18</v>
      </c>
      <c r="G276" s="1" t="s">
        <v>103</v>
      </c>
      <c r="H276">
        <v>18154</v>
      </c>
      <c r="I276">
        <v>75</v>
      </c>
      <c r="J276">
        <v>75</v>
      </c>
      <c r="K276">
        <v>75</v>
      </c>
      <c r="L276">
        <v>1000</v>
      </c>
    </row>
    <row r="277" spans="1:12" hidden="1" x14ac:dyDescent="0.25">
      <c r="A277">
        <v>276</v>
      </c>
      <c r="B277" s="1" t="s">
        <v>12</v>
      </c>
      <c r="C277">
        <v>1931</v>
      </c>
      <c r="D277" s="1" t="s">
        <v>113</v>
      </c>
      <c r="E277" s="1" t="s">
        <v>30</v>
      </c>
      <c r="F277">
        <v>18</v>
      </c>
      <c r="G277" s="1" t="s">
        <v>100</v>
      </c>
      <c r="H277">
        <v>18077</v>
      </c>
      <c r="I277">
        <v>65</v>
      </c>
      <c r="J277">
        <v>65</v>
      </c>
      <c r="K277">
        <v>65</v>
      </c>
      <c r="L277">
        <v>1000</v>
      </c>
    </row>
    <row r="278" spans="1:12" hidden="1" x14ac:dyDescent="0.25">
      <c r="A278">
        <v>277</v>
      </c>
      <c r="B278" s="1" t="s">
        <v>12</v>
      </c>
      <c r="C278">
        <v>1931</v>
      </c>
      <c r="D278" s="1" t="s">
        <v>113</v>
      </c>
      <c r="E278" s="1" t="s">
        <v>30</v>
      </c>
      <c r="F278">
        <v>18</v>
      </c>
      <c r="G278" s="1" t="s">
        <v>38</v>
      </c>
      <c r="H278">
        <v>18007</v>
      </c>
      <c r="I278">
        <v>29</v>
      </c>
      <c r="J278">
        <v>25</v>
      </c>
      <c r="K278">
        <v>20</v>
      </c>
      <c r="L278">
        <v>800</v>
      </c>
    </row>
    <row r="279" spans="1:12" hidden="1" x14ac:dyDescent="0.25">
      <c r="A279">
        <v>278</v>
      </c>
      <c r="B279" s="1" t="s">
        <v>12</v>
      </c>
      <c r="C279">
        <v>1931</v>
      </c>
      <c r="D279" s="1" t="s">
        <v>113</v>
      </c>
      <c r="E279" s="1" t="s">
        <v>30</v>
      </c>
      <c r="F279">
        <v>18</v>
      </c>
      <c r="G279" s="1" t="s">
        <v>99</v>
      </c>
      <c r="H279">
        <v>18063</v>
      </c>
      <c r="I279">
        <v>28</v>
      </c>
      <c r="J279">
        <v>20</v>
      </c>
      <c r="K279">
        <v>16</v>
      </c>
      <c r="L279">
        <v>800</v>
      </c>
    </row>
    <row r="280" spans="1:12" hidden="1" x14ac:dyDescent="0.25">
      <c r="A280">
        <v>279</v>
      </c>
      <c r="B280" s="1" t="s">
        <v>12</v>
      </c>
      <c r="C280">
        <v>1931</v>
      </c>
      <c r="D280" s="1" t="s">
        <v>113</v>
      </c>
      <c r="E280" s="1" t="s">
        <v>30</v>
      </c>
      <c r="F280">
        <v>18</v>
      </c>
      <c r="G280" s="1" t="s">
        <v>41</v>
      </c>
      <c r="H280">
        <v>18140</v>
      </c>
      <c r="I280">
        <v>21</v>
      </c>
      <c r="J280">
        <v>20</v>
      </c>
      <c r="K280">
        <v>15</v>
      </c>
      <c r="L280">
        <v>750</v>
      </c>
    </row>
    <row r="281" spans="1:12" hidden="1" x14ac:dyDescent="0.25">
      <c r="A281">
        <v>280</v>
      </c>
      <c r="B281" s="1" t="s">
        <v>12</v>
      </c>
      <c r="C281">
        <v>1931</v>
      </c>
      <c r="D281" s="1" t="s">
        <v>113</v>
      </c>
      <c r="E281" s="1" t="s">
        <v>30</v>
      </c>
      <c r="F281">
        <v>18</v>
      </c>
      <c r="G281" s="1" t="s">
        <v>36</v>
      </c>
      <c r="H281">
        <v>18133</v>
      </c>
      <c r="I281">
        <v>6</v>
      </c>
      <c r="J281">
        <v>6</v>
      </c>
      <c r="K281">
        <v>5</v>
      </c>
      <c r="L281">
        <v>833</v>
      </c>
    </row>
    <row r="282" spans="1:12" hidden="1" x14ac:dyDescent="0.25">
      <c r="A282">
        <v>281</v>
      </c>
      <c r="B282" s="1" t="s">
        <v>12</v>
      </c>
      <c r="C282">
        <v>1931</v>
      </c>
      <c r="D282" s="1" t="s">
        <v>113</v>
      </c>
      <c r="E282" s="1" t="s">
        <v>45</v>
      </c>
      <c r="F282">
        <v>30</v>
      </c>
      <c r="G282" s="1" t="s">
        <v>46</v>
      </c>
      <c r="H282">
        <v>30028</v>
      </c>
      <c r="I282">
        <v>3000</v>
      </c>
      <c r="J282">
        <v>2700</v>
      </c>
      <c r="K282">
        <v>2295</v>
      </c>
      <c r="L282">
        <v>850</v>
      </c>
    </row>
    <row r="283" spans="1:12" hidden="1" x14ac:dyDescent="0.25">
      <c r="A283">
        <v>282</v>
      </c>
      <c r="B283" s="1" t="s">
        <v>12</v>
      </c>
      <c r="C283">
        <v>1931</v>
      </c>
      <c r="D283" s="1" t="s">
        <v>113</v>
      </c>
      <c r="E283" s="1" t="s">
        <v>45</v>
      </c>
      <c r="F283">
        <v>30</v>
      </c>
      <c r="G283" s="1" t="s">
        <v>47</v>
      </c>
      <c r="H283">
        <v>30015</v>
      </c>
      <c r="I283">
        <v>1000</v>
      </c>
      <c r="J283">
        <v>900</v>
      </c>
      <c r="K283">
        <v>733</v>
      </c>
      <c r="L283">
        <v>815</v>
      </c>
    </row>
    <row r="284" spans="1:12" hidden="1" x14ac:dyDescent="0.25">
      <c r="A284">
        <v>283</v>
      </c>
      <c r="B284" s="1" t="s">
        <v>12</v>
      </c>
      <c r="C284">
        <v>1931</v>
      </c>
      <c r="D284" s="1" t="s">
        <v>113</v>
      </c>
      <c r="E284" s="1" t="s">
        <v>45</v>
      </c>
      <c r="F284">
        <v>30</v>
      </c>
      <c r="G284" s="1" t="s">
        <v>27</v>
      </c>
      <c r="H284">
        <v>30008</v>
      </c>
      <c r="I284">
        <v>30</v>
      </c>
      <c r="J284">
        <v>30</v>
      </c>
      <c r="K284">
        <v>21</v>
      </c>
      <c r="L284">
        <v>700</v>
      </c>
    </row>
    <row r="285" spans="1:12" hidden="1" x14ac:dyDescent="0.25">
      <c r="A285">
        <v>284</v>
      </c>
      <c r="B285" s="1" t="s">
        <v>12</v>
      </c>
      <c r="C285">
        <v>1931</v>
      </c>
      <c r="D285" s="1" t="s">
        <v>113</v>
      </c>
      <c r="E285" s="1" t="s">
        <v>48</v>
      </c>
      <c r="F285">
        <v>34</v>
      </c>
      <c r="G285" s="1" t="s">
        <v>108</v>
      </c>
      <c r="H285">
        <v>34042</v>
      </c>
      <c r="I285">
        <v>10</v>
      </c>
      <c r="J285">
        <v>10</v>
      </c>
      <c r="K285">
        <v>7</v>
      </c>
      <c r="L285">
        <v>700</v>
      </c>
    </row>
    <row r="286" spans="1:12" hidden="1" x14ac:dyDescent="0.25">
      <c r="A286">
        <v>285</v>
      </c>
      <c r="B286" s="1" t="s">
        <v>12</v>
      </c>
      <c r="C286">
        <v>1931</v>
      </c>
      <c r="D286" s="1" t="s">
        <v>113</v>
      </c>
      <c r="E286" s="1" t="s">
        <v>48</v>
      </c>
      <c r="F286">
        <v>34</v>
      </c>
      <c r="G286" s="1" t="s">
        <v>49</v>
      </c>
      <c r="H286">
        <v>34049</v>
      </c>
      <c r="I286">
        <v>7</v>
      </c>
      <c r="J286">
        <v>7</v>
      </c>
      <c r="K286">
        <v>4</v>
      </c>
      <c r="L286">
        <v>571</v>
      </c>
    </row>
    <row r="287" spans="1:12" hidden="1" x14ac:dyDescent="0.25">
      <c r="A287">
        <v>286</v>
      </c>
      <c r="B287" s="1" t="s">
        <v>12</v>
      </c>
      <c r="C287">
        <v>1931</v>
      </c>
      <c r="D287" s="1" t="s">
        <v>113</v>
      </c>
      <c r="E287" s="1" t="s">
        <v>48</v>
      </c>
      <c r="F287">
        <v>34</v>
      </c>
      <c r="G287" s="1" t="s">
        <v>52</v>
      </c>
      <c r="H287">
        <v>34035</v>
      </c>
      <c r="I287">
        <v>6</v>
      </c>
      <c r="J287">
        <v>6</v>
      </c>
      <c r="K287">
        <v>3</v>
      </c>
      <c r="L287">
        <v>500</v>
      </c>
    </row>
    <row r="288" spans="1:12" hidden="1" x14ac:dyDescent="0.25">
      <c r="A288">
        <v>287</v>
      </c>
      <c r="B288" s="1" t="s">
        <v>12</v>
      </c>
      <c r="C288">
        <v>1931</v>
      </c>
      <c r="D288" s="1" t="s">
        <v>113</v>
      </c>
      <c r="E288" s="1" t="s">
        <v>48</v>
      </c>
      <c r="F288">
        <v>34</v>
      </c>
      <c r="G288" s="1" t="s">
        <v>48</v>
      </c>
      <c r="H288">
        <v>34014</v>
      </c>
      <c r="I288">
        <v>3</v>
      </c>
      <c r="J288">
        <v>3</v>
      </c>
      <c r="K288">
        <v>2</v>
      </c>
      <c r="L288">
        <v>667</v>
      </c>
    </row>
    <row r="289" spans="1:12" hidden="1" x14ac:dyDescent="0.25">
      <c r="A289">
        <v>288</v>
      </c>
      <c r="B289" s="1" t="s">
        <v>12</v>
      </c>
      <c r="C289">
        <v>1931</v>
      </c>
      <c r="D289" s="1" t="s">
        <v>113</v>
      </c>
      <c r="E289" s="1" t="s">
        <v>48</v>
      </c>
      <c r="F289">
        <v>34</v>
      </c>
      <c r="G289" s="1" t="s">
        <v>50</v>
      </c>
      <c r="H289">
        <v>34021</v>
      </c>
      <c r="I289">
        <v>2</v>
      </c>
      <c r="J289">
        <v>2</v>
      </c>
      <c r="K289">
        <v>1</v>
      </c>
      <c r="L289">
        <v>500</v>
      </c>
    </row>
    <row r="290" spans="1:12" hidden="1" x14ac:dyDescent="0.25">
      <c r="A290">
        <v>289</v>
      </c>
      <c r="B290" s="1" t="s">
        <v>12</v>
      </c>
      <c r="C290">
        <v>1931</v>
      </c>
      <c r="D290" s="1" t="s">
        <v>113</v>
      </c>
      <c r="E290" s="1" t="s">
        <v>48</v>
      </c>
      <c r="F290">
        <v>34</v>
      </c>
      <c r="G290" s="1" t="s">
        <v>51</v>
      </c>
      <c r="H290">
        <v>34056</v>
      </c>
      <c r="I290">
        <v>2</v>
      </c>
      <c r="J290">
        <v>2</v>
      </c>
      <c r="K290">
        <v>1</v>
      </c>
      <c r="L290">
        <v>500</v>
      </c>
    </row>
    <row r="291" spans="1:12" hidden="1" x14ac:dyDescent="0.25">
      <c r="A291">
        <v>290</v>
      </c>
      <c r="B291" s="1" t="s">
        <v>12</v>
      </c>
      <c r="C291">
        <v>1931</v>
      </c>
      <c r="D291" s="1" t="s">
        <v>113</v>
      </c>
      <c r="E291" s="1" t="s">
        <v>58</v>
      </c>
      <c r="F291">
        <v>54</v>
      </c>
      <c r="G291" s="1" t="s">
        <v>60</v>
      </c>
      <c r="H291">
        <v>54021</v>
      </c>
      <c r="I291">
        <v>324</v>
      </c>
      <c r="J291">
        <v>311</v>
      </c>
      <c r="K291">
        <v>559</v>
      </c>
      <c r="L291">
        <v>1797</v>
      </c>
    </row>
    <row r="292" spans="1:12" hidden="1" x14ac:dyDescent="0.25">
      <c r="A292">
        <v>291</v>
      </c>
      <c r="B292" s="1" t="s">
        <v>12</v>
      </c>
      <c r="C292">
        <v>1931</v>
      </c>
      <c r="D292" s="1" t="s">
        <v>113</v>
      </c>
      <c r="E292" s="1" t="s">
        <v>58</v>
      </c>
      <c r="F292">
        <v>54</v>
      </c>
      <c r="G292" s="1" t="s">
        <v>59</v>
      </c>
      <c r="H292">
        <v>54007</v>
      </c>
      <c r="I292">
        <v>305</v>
      </c>
      <c r="J292">
        <v>271</v>
      </c>
      <c r="K292">
        <v>525</v>
      </c>
      <c r="L292">
        <v>1937</v>
      </c>
    </row>
    <row r="293" spans="1:12" hidden="1" x14ac:dyDescent="0.25">
      <c r="A293">
        <v>292</v>
      </c>
      <c r="B293" s="1" t="s">
        <v>12</v>
      </c>
      <c r="C293">
        <v>1931</v>
      </c>
      <c r="D293" s="1" t="s">
        <v>113</v>
      </c>
      <c r="E293" s="1" t="s">
        <v>58</v>
      </c>
      <c r="F293">
        <v>54</v>
      </c>
      <c r="G293" s="1" t="s">
        <v>62</v>
      </c>
      <c r="H293">
        <v>54105</v>
      </c>
      <c r="I293">
        <v>112</v>
      </c>
      <c r="J293">
        <v>104</v>
      </c>
      <c r="K293">
        <v>251</v>
      </c>
      <c r="L293">
        <v>2413</v>
      </c>
    </row>
    <row r="294" spans="1:12" hidden="1" x14ac:dyDescent="0.25">
      <c r="A294">
        <v>293</v>
      </c>
      <c r="B294" s="1" t="s">
        <v>12</v>
      </c>
      <c r="C294">
        <v>1931</v>
      </c>
      <c r="D294" s="1" t="s">
        <v>113</v>
      </c>
      <c r="E294" s="1" t="s">
        <v>58</v>
      </c>
      <c r="F294">
        <v>54</v>
      </c>
      <c r="G294" s="1" t="s">
        <v>63</v>
      </c>
      <c r="H294">
        <v>54035</v>
      </c>
      <c r="I294">
        <v>45</v>
      </c>
      <c r="J294">
        <v>40</v>
      </c>
      <c r="K294">
        <v>78</v>
      </c>
      <c r="L294">
        <v>1950</v>
      </c>
    </row>
    <row r="295" spans="1:12" hidden="1" x14ac:dyDescent="0.25">
      <c r="A295">
        <v>294</v>
      </c>
      <c r="B295" s="1" t="s">
        <v>12</v>
      </c>
      <c r="C295">
        <v>1931</v>
      </c>
      <c r="D295" s="1" t="s">
        <v>113</v>
      </c>
      <c r="E295" s="1" t="s">
        <v>58</v>
      </c>
      <c r="F295">
        <v>54</v>
      </c>
      <c r="G295" s="1" t="s">
        <v>61</v>
      </c>
      <c r="H295">
        <v>54098</v>
      </c>
      <c r="I295">
        <v>44</v>
      </c>
      <c r="J295">
        <v>39</v>
      </c>
      <c r="K295">
        <v>79</v>
      </c>
      <c r="L295">
        <v>2026</v>
      </c>
    </row>
    <row r="296" spans="1:12" hidden="1" x14ac:dyDescent="0.25">
      <c r="A296">
        <v>295</v>
      </c>
      <c r="B296" s="1" t="s">
        <v>12</v>
      </c>
      <c r="C296">
        <v>1931</v>
      </c>
      <c r="D296" s="1" t="s">
        <v>113</v>
      </c>
      <c r="E296" s="1" t="s">
        <v>112</v>
      </c>
      <c r="F296">
        <v>70</v>
      </c>
      <c r="G296" s="1" t="s">
        <v>115</v>
      </c>
      <c r="H296">
        <v>70070</v>
      </c>
      <c r="I296">
        <v>2</v>
      </c>
      <c r="J296">
        <v>2</v>
      </c>
      <c r="K296">
        <v>3</v>
      </c>
      <c r="L296">
        <v>1300</v>
      </c>
    </row>
    <row r="297" spans="1:12" hidden="1" x14ac:dyDescent="0.25">
      <c r="A297">
        <v>296</v>
      </c>
      <c r="B297" s="1" t="s">
        <v>12</v>
      </c>
      <c r="C297">
        <v>1931</v>
      </c>
      <c r="D297" s="1" t="s">
        <v>113</v>
      </c>
      <c r="E297" s="1" t="s">
        <v>112</v>
      </c>
      <c r="F297">
        <v>70</v>
      </c>
      <c r="G297" s="1" t="s">
        <v>28</v>
      </c>
      <c r="H297">
        <v>70028</v>
      </c>
      <c r="I297">
        <v>1</v>
      </c>
      <c r="J297">
        <v>1</v>
      </c>
      <c r="K297">
        <v>1</v>
      </c>
      <c r="L297">
        <v>1200</v>
      </c>
    </row>
    <row r="298" spans="1:12" hidden="1" x14ac:dyDescent="0.25">
      <c r="A298">
        <v>297</v>
      </c>
      <c r="B298" s="1" t="s">
        <v>12</v>
      </c>
      <c r="C298">
        <v>1931</v>
      </c>
      <c r="D298" s="1" t="s">
        <v>113</v>
      </c>
      <c r="E298" s="1" t="s">
        <v>116</v>
      </c>
      <c r="F298">
        <v>74</v>
      </c>
      <c r="G298" s="1" t="s">
        <v>28</v>
      </c>
      <c r="H298">
        <v>74056</v>
      </c>
      <c r="I298">
        <v>20</v>
      </c>
      <c r="J298">
        <v>12</v>
      </c>
      <c r="K298">
        <v>8</v>
      </c>
      <c r="L298">
        <v>667</v>
      </c>
    </row>
    <row r="299" spans="1:12" hidden="1" x14ac:dyDescent="0.25">
      <c r="A299">
        <v>298</v>
      </c>
      <c r="B299" s="1" t="s">
        <v>12</v>
      </c>
      <c r="C299">
        <v>1931</v>
      </c>
      <c r="D299" s="1" t="s">
        <v>113</v>
      </c>
      <c r="E299" s="1" t="s">
        <v>116</v>
      </c>
      <c r="F299">
        <v>74</v>
      </c>
      <c r="G299" s="1" t="s">
        <v>117</v>
      </c>
      <c r="H299">
        <v>74021</v>
      </c>
      <c r="I299">
        <v>15</v>
      </c>
      <c r="J299">
        <v>9</v>
      </c>
      <c r="K299">
        <v>5</v>
      </c>
      <c r="L299">
        <v>556</v>
      </c>
    </row>
    <row r="300" spans="1:12" hidden="1" x14ac:dyDescent="0.25">
      <c r="A300">
        <v>299</v>
      </c>
      <c r="B300" s="1" t="s">
        <v>12</v>
      </c>
      <c r="C300">
        <v>1931</v>
      </c>
      <c r="D300" s="1" t="s">
        <v>113</v>
      </c>
      <c r="E300" s="1" t="s">
        <v>116</v>
      </c>
      <c r="F300">
        <v>74</v>
      </c>
      <c r="G300" s="1" t="s">
        <v>118</v>
      </c>
      <c r="H300">
        <v>74028</v>
      </c>
      <c r="I300">
        <v>5</v>
      </c>
      <c r="J300">
        <v>5</v>
      </c>
      <c r="K300">
        <v>4</v>
      </c>
      <c r="L300">
        <v>800</v>
      </c>
    </row>
    <row r="301" spans="1:12" hidden="1" x14ac:dyDescent="0.25">
      <c r="A301">
        <v>300</v>
      </c>
      <c r="B301" s="1" t="s">
        <v>12</v>
      </c>
      <c r="C301">
        <v>1931</v>
      </c>
      <c r="D301" s="1" t="s">
        <v>113</v>
      </c>
      <c r="E301" s="1" t="s">
        <v>116</v>
      </c>
      <c r="F301">
        <v>74</v>
      </c>
      <c r="G301" s="1" t="s">
        <v>31</v>
      </c>
      <c r="I301">
        <v>5</v>
      </c>
      <c r="J301">
        <v>4</v>
      </c>
      <c r="K301">
        <v>3</v>
      </c>
      <c r="L301">
        <v>750</v>
      </c>
    </row>
    <row r="302" spans="1:12" hidden="1" x14ac:dyDescent="0.25">
      <c r="A302">
        <v>301</v>
      </c>
      <c r="B302" s="1" t="s">
        <v>12</v>
      </c>
      <c r="C302">
        <v>1931</v>
      </c>
      <c r="D302" s="1" t="s">
        <v>113</v>
      </c>
      <c r="E302" s="1" t="s">
        <v>116</v>
      </c>
      <c r="F302">
        <v>74</v>
      </c>
      <c r="G302" s="1" t="s">
        <v>119</v>
      </c>
      <c r="H302">
        <v>74063</v>
      </c>
      <c r="I302">
        <v>5</v>
      </c>
      <c r="J302">
        <v>5</v>
      </c>
      <c r="K302">
        <v>4</v>
      </c>
      <c r="L302">
        <v>800</v>
      </c>
    </row>
    <row r="303" spans="1:12" hidden="1" x14ac:dyDescent="0.25">
      <c r="A303">
        <v>302</v>
      </c>
      <c r="B303" s="1" t="s">
        <v>12</v>
      </c>
      <c r="C303">
        <v>1931</v>
      </c>
      <c r="D303" s="1" t="s">
        <v>113</v>
      </c>
      <c r="E303" s="1" t="s">
        <v>64</v>
      </c>
      <c r="F303">
        <v>82</v>
      </c>
      <c r="G303" s="1" t="s">
        <v>65</v>
      </c>
      <c r="H303">
        <v>82049</v>
      </c>
      <c r="I303">
        <v>7500</v>
      </c>
      <c r="J303">
        <v>4500</v>
      </c>
      <c r="K303">
        <v>3375</v>
      </c>
      <c r="L303">
        <v>750</v>
      </c>
    </row>
    <row r="304" spans="1:12" hidden="1" x14ac:dyDescent="0.25">
      <c r="A304">
        <v>303</v>
      </c>
      <c r="B304" s="1" t="s">
        <v>12</v>
      </c>
      <c r="C304">
        <v>1931</v>
      </c>
      <c r="D304" s="1" t="s">
        <v>113</v>
      </c>
      <c r="E304" s="1" t="s">
        <v>64</v>
      </c>
      <c r="F304">
        <v>82</v>
      </c>
      <c r="G304" s="1" t="s">
        <v>66</v>
      </c>
      <c r="H304">
        <v>82035</v>
      </c>
      <c r="I304">
        <v>2115</v>
      </c>
      <c r="J304">
        <v>1700</v>
      </c>
      <c r="K304">
        <v>2023</v>
      </c>
      <c r="L304">
        <v>1190</v>
      </c>
    </row>
    <row r="305" spans="1:12" hidden="1" x14ac:dyDescent="0.25">
      <c r="A305">
        <v>304</v>
      </c>
      <c r="B305" s="1" t="s">
        <v>12</v>
      </c>
      <c r="C305">
        <v>1931</v>
      </c>
      <c r="D305" s="1" t="s">
        <v>113</v>
      </c>
      <c r="E305" s="1" t="s">
        <v>64</v>
      </c>
      <c r="F305">
        <v>82</v>
      </c>
      <c r="G305" s="1" t="s">
        <v>62</v>
      </c>
      <c r="H305">
        <v>82098</v>
      </c>
      <c r="I305">
        <v>130</v>
      </c>
      <c r="J305">
        <v>115</v>
      </c>
      <c r="K305">
        <v>92</v>
      </c>
      <c r="L305">
        <v>800</v>
      </c>
    </row>
    <row r="306" spans="1:12" hidden="1" x14ac:dyDescent="0.25">
      <c r="A306">
        <v>305</v>
      </c>
      <c r="B306" s="1" t="s">
        <v>12</v>
      </c>
      <c r="C306">
        <v>1931</v>
      </c>
      <c r="D306" s="1" t="s">
        <v>113</v>
      </c>
      <c r="E306" s="1" t="s">
        <v>64</v>
      </c>
      <c r="F306">
        <v>82</v>
      </c>
      <c r="G306" s="1" t="s">
        <v>28</v>
      </c>
      <c r="H306">
        <v>82063</v>
      </c>
      <c r="I306">
        <v>25</v>
      </c>
      <c r="J306">
        <v>20</v>
      </c>
      <c r="K306">
        <v>21</v>
      </c>
      <c r="L306">
        <v>1050</v>
      </c>
    </row>
    <row r="307" spans="1:12" hidden="1" x14ac:dyDescent="0.25">
      <c r="A307">
        <v>306</v>
      </c>
      <c r="B307" s="1" t="s">
        <v>12</v>
      </c>
      <c r="C307">
        <v>1931</v>
      </c>
      <c r="D307" s="1" t="s">
        <v>113</v>
      </c>
      <c r="E307" s="1" t="s">
        <v>68</v>
      </c>
      <c r="F307">
        <v>86</v>
      </c>
      <c r="G307" s="1" t="s">
        <v>88</v>
      </c>
      <c r="I307">
        <v>27</v>
      </c>
      <c r="J307">
        <v>27</v>
      </c>
      <c r="K307">
        <v>38</v>
      </c>
      <c r="L307">
        <v>1407</v>
      </c>
    </row>
    <row r="308" spans="1:12" hidden="1" x14ac:dyDescent="0.25">
      <c r="A308">
        <v>307</v>
      </c>
      <c r="B308" s="1" t="s">
        <v>12</v>
      </c>
      <c r="C308">
        <v>1931</v>
      </c>
      <c r="D308" s="1" t="s">
        <v>113</v>
      </c>
      <c r="E308" s="1" t="s">
        <v>77</v>
      </c>
      <c r="F308">
        <v>90</v>
      </c>
      <c r="G308" s="1" t="s">
        <v>78</v>
      </c>
      <c r="H308">
        <v>90007</v>
      </c>
      <c r="I308">
        <v>800</v>
      </c>
      <c r="J308">
        <v>650</v>
      </c>
      <c r="K308">
        <v>880</v>
      </c>
      <c r="L308">
        <v>1354</v>
      </c>
    </row>
    <row r="309" spans="1:12" hidden="1" x14ac:dyDescent="0.25">
      <c r="A309">
        <v>308</v>
      </c>
      <c r="B309" s="1" t="s">
        <v>12</v>
      </c>
      <c r="C309">
        <v>1931</v>
      </c>
      <c r="D309" s="1" t="s">
        <v>113</v>
      </c>
      <c r="E309" s="1" t="s">
        <v>77</v>
      </c>
      <c r="F309">
        <v>90</v>
      </c>
      <c r="G309" s="1" t="s">
        <v>31</v>
      </c>
      <c r="I309">
        <v>350</v>
      </c>
      <c r="J309">
        <v>250</v>
      </c>
      <c r="K309">
        <v>250</v>
      </c>
      <c r="L309">
        <v>1000</v>
      </c>
    </row>
    <row r="310" spans="1:12" hidden="1" x14ac:dyDescent="0.25">
      <c r="A310">
        <v>309</v>
      </c>
      <c r="B310" s="1" t="s">
        <v>12</v>
      </c>
      <c r="C310">
        <v>1931</v>
      </c>
      <c r="D310" s="1" t="s">
        <v>113</v>
      </c>
      <c r="E310" s="1" t="s">
        <v>77</v>
      </c>
      <c r="F310">
        <v>90</v>
      </c>
      <c r="G310" s="1" t="s">
        <v>91</v>
      </c>
      <c r="H310">
        <v>90014</v>
      </c>
      <c r="I310">
        <v>150</v>
      </c>
      <c r="J310">
        <v>100</v>
      </c>
      <c r="K310">
        <v>120</v>
      </c>
      <c r="L310">
        <v>1200</v>
      </c>
    </row>
    <row r="311" spans="1:12" hidden="1" x14ac:dyDescent="0.25">
      <c r="A311">
        <v>310</v>
      </c>
      <c r="B311" s="1" t="s">
        <v>12</v>
      </c>
      <c r="C311">
        <v>1932</v>
      </c>
      <c r="D311" s="1" t="s">
        <v>120</v>
      </c>
      <c r="E311" s="1" t="s">
        <v>14</v>
      </c>
      <c r="F311">
        <v>22</v>
      </c>
      <c r="G311" s="1" t="s">
        <v>15</v>
      </c>
      <c r="H311">
        <v>22105</v>
      </c>
      <c r="I311">
        <v>2100</v>
      </c>
      <c r="J311">
        <v>2100</v>
      </c>
      <c r="K311">
        <v>3427</v>
      </c>
      <c r="L311">
        <v>1632</v>
      </c>
    </row>
    <row r="312" spans="1:12" hidden="1" x14ac:dyDescent="0.25">
      <c r="A312">
        <v>311</v>
      </c>
      <c r="B312" s="1" t="s">
        <v>12</v>
      </c>
      <c r="C312">
        <v>1932</v>
      </c>
      <c r="D312" s="1" t="s">
        <v>120</v>
      </c>
      <c r="E312" s="1" t="s">
        <v>14</v>
      </c>
      <c r="F312">
        <v>22</v>
      </c>
      <c r="G312" s="1" t="s">
        <v>18</v>
      </c>
      <c r="H312">
        <v>22084</v>
      </c>
      <c r="I312">
        <v>40</v>
      </c>
      <c r="J312">
        <v>40</v>
      </c>
      <c r="K312">
        <v>76</v>
      </c>
      <c r="L312">
        <v>1900</v>
      </c>
    </row>
    <row r="313" spans="1:12" hidden="1" x14ac:dyDescent="0.25">
      <c r="A313">
        <v>312</v>
      </c>
      <c r="B313" s="1" t="s">
        <v>12</v>
      </c>
      <c r="C313">
        <v>1932</v>
      </c>
      <c r="D313" s="1" t="s">
        <v>120</v>
      </c>
      <c r="E313" s="1" t="s">
        <v>14</v>
      </c>
      <c r="F313">
        <v>22</v>
      </c>
      <c r="G313" s="1" t="s">
        <v>16</v>
      </c>
      <c r="H313">
        <v>22049</v>
      </c>
      <c r="I313">
        <v>40</v>
      </c>
      <c r="J313">
        <v>40</v>
      </c>
      <c r="K313">
        <v>72</v>
      </c>
      <c r="L313">
        <v>1800</v>
      </c>
    </row>
    <row r="314" spans="1:12" hidden="1" x14ac:dyDescent="0.25">
      <c r="A314">
        <v>313</v>
      </c>
      <c r="B314" s="1" t="s">
        <v>12</v>
      </c>
      <c r="C314">
        <v>1932</v>
      </c>
      <c r="D314" s="1" t="s">
        <v>120</v>
      </c>
      <c r="E314" s="1" t="s">
        <v>22</v>
      </c>
      <c r="F314">
        <v>14</v>
      </c>
      <c r="G314" s="1" t="s">
        <v>23</v>
      </c>
      <c r="H314">
        <v>14147</v>
      </c>
      <c r="I314">
        <v>18000</v>
      </c>
      <c r="J314">
        <v>18000</v>
      </c>
      <c r="K314">
        <v>16200</v>
      </c>
      <c r="L314">
        <v>900</v>
      </c>
    </row>
    <row r="315" spans="1:12" hidden="1" x14ac:dyDescent="0.25">
      <c r="A315">
        <v>314</v>
      </c>
      <c r="B315" s="1" t="s">
        <v>12</v>
      </c>
      <c r="C315">
        <v>1932</v>
      </c>
      <c r="D315" s="1" t="s">
        <v>120</v>
      </c>
      <c r="E315" s="1" t="s">
        <v>22</v>
      </c>
      <c r="F315">
        <v>14</v>
      </c>
      <c r="G315" s="1" t="s">
        <v>24</v>
      </c>
      <c r="H315">
        <v>14119</v>
      </c>
      <c r="I315">
        <v>16000</v>
      </c>
      <c r="J315">
        <v>16000</v>
      </c>
      <c r="K315">
        <v>16000</v>
      </c>
      <c r="L315">
        <v>1000</v>
      </c>
    </row>
    <row r="316" spans="1:12" hidden="1" x14ac:dyDescent="0.25">
      <c r="A316">
        <v>315</v>
      </c>
      <c r="B316" s="1" t="s">
        <v>12</v>
      </c>
      <c r="C316">
        <v>1932</v>
      </c>
      <c r="D316" s="1" t="s">
        <v>120</v>
      </c>
      <c r="E316" s="1" t="s">
        <v>22</v>
      </c>
      <c r="F316">
        <v>14</v>
      </c>
      <c r="G316" s="1" t="s">
        <v>26</v>
      </c>
      <c r="H316">
        <v>14161</v>
      </c>
      <c r="I316">
        <v>6000</v>
      </c>
      <c r="J316">
        <v>5000</v>
      </c>
      <c r="K316">
        <v>3282</v>
      </c>
      <c r="L316">
        <v>656</v>
      </c>
    </row>
    <row r="317" spans="1:12" hidden="1" x14ac:dyDescent="0.25">
      <c r="A317">
        <v>316</v>
      </c>
      <c r="B317" s="1" t="s">
        <v>12</v>
      </c>
      <c r="C317">
        <v>1932</v>
      </c>
      <c r="D317" s="1" t="s">
        <v>120</v>
      </c>
      <c r="E317" s="1" t="s">
        <v>22</v>
      </c>
      <c r="F317">
        <v>14</v>
      </c>
      <c r="G317" s="1" t="s">
        <v>25</v>
      </c>
      <c r="H317">
        <v>14105</v>
      </c>
      <c r="I317">
        <v>4000</v>
      </c>
      <c r="J317">
        <v>4000</v>
      </c>
      <c r="K317">
        <v>4000</v>
      </c>
      <c r="L317">
        <v>1000</v>
      </c>
    </row>
    <row r="318" spans="1:12" hidden="1" x14ac:dyDescent="0.25">
      <c r="A318">
        <v>317</v>
      </c>
      <c r="B318" s="1" t="s">
        <v>12</v>
      </c>
      <c r="C318">
        <v>1932</v>
      </c>
      <c r="D318" s="1" t="s">
        <v>120</v>
      </c>
      <c r="E318" s="1" t="s">
        <v>22</v>
      </c>
      <c r="F318">
        <v>14</v>
      </c>
      <c r="G318" s="1" t="s">
        <v>27</v>
      </c>
      <c r="H318">
        <v>14021</v>
      </c>
      <c r="I318">
        <v>3500</v>
      </c>
      <c r="J318">
        <v>3500</v>
      </c>
      <c r="K318">
        <v>3150</v>
      </c>
      <c r="L318">
        <v>900</v>
      </c>
    </row>
    <row r="319" spans="1:12" hidden="1" x14ac:dyDescent="0.25">
      <c r="A319">
        <v>318</v>
      </c>
      <c r="B319" s="1" t="s">
        <v>12</v>
      </c>
      <c r="C319">
        <v>1932</v>
      </c>
      <c r="D319" s="1" t="s">
        <v>120</v>
      </c>
      <c r="E319" s="1" t="s">
        <v>22</v>
      </c>
      <c r="F319">
        <v>14</v>
      </c>
      <c r="G319" s="1" t="s">
        <v>28</v>
      </c>
      <c r="H319">
        <v>14014</v>
      </c>
      <c r="I319">
        <v>700</v>
      </c>
      <c r="J319">
        <v>700</v>
      </c>
      <c r="K319">
        <v>700</v>
      </c>
      <c r="L319">
        <v>1000</v>
      </c>
    </row>
    <row r="320" spans="1:12" hidden="1" x14ac:dyDescent="0.25">
      <c r="A320">
        <v>319</v>
      </c>
      <c r="B320" s="1" t="s">
        <v>12</v>
      </c>
      <c r="C320">
        <v>1932</v>
      </c>
      <c r="D320" s="1" t="s">
        <v>120</v>
      </c>
      <c r="E320" s="1" t="s">
        <v>22</v>
      </c>
      <c r="F320">
        <v>14</v>
      </c>
      <c r="G320" s="1" t="s">
        <v>121</v>
      </c>
      <c r="H320">
        <v>14042</v>
      </c>
      <c r="I320">
        <v>300</v>
      </c>
      <c r="J320">
        <v>300</v>
      </c>
      <c r="K320">
        <v>360</v>
      </c>
      <c r="L320">
        <v>1200</v>
      </c>
    </row>
    <row r="321" spans="1:12" hidden="1" x14ac:dyDescent="0.25">
      <c r="A321">
        <v>320</v>
      </c>
      <c r="B321" s="1" t="s">
        <v>12</v>
      </c>
      <c r="C321">
        <v>1932</v>
      </c>
      <c r="D321" s="1" t="s">
        <v>120</v>
      </c>
      <c r="E321" s="1" t="s">
        <v>22</v>
      </c>
      <c r="F321">
        <v>14</v>
      </c>
      <c r="G321" s="1" t="s">
        <v>114</v>
      </c>
      <c r="H321">
        <v>14168</v>
      </c>
      <c r="I321">
        <v>300</v>
      </c>
      <c r="J321">
        <v>300</v>
      </c>
      <c r="K321">
        <v>270</v>
      </c>
      <c r="L321">
        <v>900</v>
      </c>
    </row>
    <row r="322" spans="1:12" hidden="1" x14ac:dyDescent="0.25">
      <c r="A322">
        <v>321</v>
      </c>
      <c r="B322" s="1" t="s">
        <v>12</v>
      </c>
      <c r="C322">
        <v>1932</v>
      </c>
      <c r="D322" s="1" t="s">
        <v>120</v>
      </c>
      <c r="E322" s="1" t="s">
        <v>22</v>
      </c>
      <c r="F322">
        <v>14</v>
      </c>
      <c r="G322" s="1" t="s">
        <v>122</v>
      </c>
      <c r="H322">
        <v>14182</v>
      </c>
      <c r="I322">
        <v>50</v>
      </c>
      <c r="J322">
        <v>50</v>
      </c>
      <c r="K322">
        <v>60</v>
      </c>
      <c r="L322">
        <v>1200</v>
      </c>
    </row>
    <row r="323" spans="1:12" hidden="1" x14ac:dyDescent="0.25">
      <c r="A323">
        <v>322</v>
      </c>
      <c r="B323" s="1" t="s">
        <v>12</v>
      </c>
      <c r="C323">
        <v>1932</v>
      </c>
      <c r="D323" s="1" t="s">
        <v>120</v>
      </c>
      <c r="E323" s="1" t="s">
        <v>30</v>
      </c>
      <c r="F323">
        <v>18</v>
      </c>
      <c r="G323" s="1" t="s">
        <v>28</v>
      </c>
      <c r="H323">
        <v>18021</v>
      </c>
      <c r="I323">
        <v>570</v>
      </c>
      <c r="J323">
        <v>570</v>
      </c>
      <c r="K323">
        <v>559</v>
      </c>
      <c r="L323">
        <v>980</v>
      </c>
    </row>
    <row r="324" spans="1:12" hidden="1" x14ac:dyDescent="0.25">
      <c r="A324">
        <v>323</v>
      </c>
      <c r="B324" s="1" t="s">
        <v>12</v>
      </c>
      <c r="C324">
        <v>1932</v>
      </c>
      <c r="D324" s="1" t="s">
        <v>120</v>
      </c>
      <c r="E324" s="1" t="s">
        <v>30</v>
      </c>
      <c r="F324">
        <v>18</v>
      </c>
      <c r="G324" s="1" t="s">
        <v>32</v>
      </c>
      <c r="H324">
        <v>18112</v>
      </c>
      <c r="I324">
        <v>484</v>
      </c>
      <c r="J324">
        <v>484</v>
      </c>
      <c r="K324">
        <v>474</v>
      </c>
      <c r="L324">
        <v>979</v>
      </c>
    </row>
    <row r="325" spans="1:12" hidden="1" x14ac:dyDescent="0.25">
      <c r="A325">
        <v>324</v>
      </c>
      <c r="B325" s="1" t="s">
        <v>12</v>
      </c>
      <c r="C325">
        <v>1932</v>
      </c>
      <c r="D325" s="1" t="s">
        <v>120</v>
      </c>
      <c r="E325" s="1" t="s">
        <v>30</v>
      </c>
      <c r="F325">
        <v>18</v>
      </c>
      <c r="G325" s="1" t="s">
        <v>33</v>
      </c>
      <c r="H325">
        <v>18091</v>
      </c>
      <c r="I325">
        <v>402</v>
      </c>
      <c r="J325">
        <v>402</v>
      </c>
      <c r="K325">
        <v>386</v>
      </c>
      <c r="L325">
        <v>960</v>
      </c>
    </row>
    <row r="326" spans="1:12" hidden="1" x14ac:dyDescent="0.25">
      <c r="A326">
        <v>325</v>
      </c>
      <c r="B326" s="1" t="s">
        <v>12</v>
      </c>
      <c r="C326">
        <v>1932</v>
      </c>
      <c r="D326" s="1" t="s">
        <v>120</v>
      </c>
      <c r="E326" s="1" t="s">
        <v>30</v>
      </c>
      <c r="F326">
        <v>18</v>
      </c>
      <c r="G326" s="1" t="s">
        <v>34</v>
      </c>
      <c r="H326">
        <v>18042</v>
      </c>
      <c r="I326">
        <v>355</v>
      </c>
      <c r="J326">
        <v>355</v>
      </c>
      <c r="K326">
        <v>336</v>
      </c>
      <c r="L326">
        <v>946</v>
      </c>
    </row>
    <row r="327" spans="1:12" hidden="1" x14ac:dyDescent="0.25">
      <c r="A327">
        <v>326</v>
      </c>
      <c r="B327" s="1" t="s">
        <v>12</v>
      </c>
      <c r="C327">
        <v>1932</v>
      </c>
      <c r="D327" s="1" t="s">
        <v>120</v>
      </c>
      <c r="E327" s="1" t="s">
        <v>30</v>
      </c>
      <c r="F327">
        <v>18</v>
      </c>
      <c r="G327" s="1" t="s">
        <v>98</v>
      </c>
      <c r="H327">
        <v>18098</v>
      </c>
      <c r="I327">
        <v>350</v>
      </c>
      <c r="J327">
        <v>350</v>
      </c>
      <c r="K327">
        <v>343</v>
      </c>
      <c r="L327">
        <v>980</v>
      </c>
    </row>
    <row r="328" spans="1:12" hidden="1" x14ac:dyDescent="0.25">
      <c r="A328">
        <v>327</v>
      </c>
      <c r="B328" s="1" t="s">
        <v>12</v>
      </c>
      <c r="C328">
        <v>1932</v>
      </c>
      <c r="D328" s="1" t="s">
        <v>120</v>
      </c>
      <c r="E328" s="1" t="s">
        <v>30</v>
      </c>
      <c r="F328">
        <v>18</v>
      </c>
      <c r="G328" s="1" t="s">
        <v>39</v>
      </c>
      <c r="H328">
        <v>18084</v>
      </c>
      <c r="I328">
        <v>300</v>
      </c>
      <c r="J328">
        <v>300</v>
      </c>
      <c r="K328">
        <v>297</v>
      </c>
      <c r="L328">
        <v>990</v>
      </c>
    </row>
    <row r="329" spans="1:12" hidden="1" x14ac:dyDescent="0.25">
      <c r="A329">
        <v>328</v>
      </c>
      <c r="B329" s="1" t="s">
        <v>12</v>
      </c>
      <c r="C329">
        <v>1932</v>
      </c>
      <c r="D329" s="1" t="s">
        <v>120</v>
      </c>
      <c r="E329" s="1" t="s">
        <v>30</v>
      </c>
      <c r="F329">
        <v>18</v>
      </c>
      <c r="G329" s="1" t="s">
        <v>36</v>
      </c>
      <c r="H329">
        <v>18133</v>
      </c>
      <c r="I329">
        <v>237</v>
      </c>
      <c r="J329">
        <v>237</v>
      </c>
      <c r="K329">
        <v>225</v>
      </c>
      <c r="L329">
        <v>949</v>
      </c>
    </row>
    <row r="330" spans="1:12" hidden="1" x14ac:dyDescent="0.25">
      <c r="A330">
        <v>329</v>
      </c>
      <c r="B330" s="1" t="s">
        <v>12</v>
      </c>
      <c r="C330">
        <v>1932</v>
      </c>
      <c r="D330" s="1" t="s">
        <v>120</v>
      </c>
      <c r="E330" s="1" t="s">
        <v>30</v>
      </c>
      <c r="F330">
        <v>18</v>
      </c>
      <c r="G330" s="1" t="s">
        <v>43</v>
      </c>
      <c r="H330">
        <v>18070</v>
      </c>
      <c r="I330">
        <v>230</v>
      </c>
      <c r="J330">
        <v>230</v>
      </c>
      <c r="K330">
        <v>219</v>
      </c>
      <c r="L330">
        <v>952</v>
      </c>
    </row>
    <row r="331" spans="1:12" hidden="1" x14ac:dyDescent="0.25">
      <c r="A331">
        <v>330</v>
      </c>
      <c r="B331" s="1" t="s">
        <v>12</v>
      </c>
      <c r="C331">
        <v>1932</v>
      </c>
      <c r="D331" s="1" t="s">
        <v>120</v>
      </c>
      <c r="E331" s="1" t="s">
        <v>30</v>
      </c>
      <c r="F331">
        <v>18</v>
      </c>
      <c r="G331" s="1" t="s">
        <v>99</v>
      </c>
      <c r="H331">
        <v>18063</v>
      </c>
      <c r="I331">
        <v>205</v>
      </c>
      <c r="J331">
        <v>205</v>
      </c>
      <c r="K331">
        <v>195</v>
      </c>
      <c r="L331">
        <v>951</v>
      </c>
    </row>
    <row r="332" spans="1:12" hidden="1" x14ac:dyDescent="0.25">
      <c r="A332">
        <v>331</v>
      </c>
      <c r="B332" s="1" t="s">
        <v>12</v>
      </c>
      <c r="C332">
        <v>1932</v>
      </c>
      <c r="D332" s="1" t="s">
        <v>120</v>
      </c>
      <c r="E332" s="1" t="s">
        <v>30</v>
      </c>
      <c r="F332">
        <v>18</v>
      </c>
      <c r="G332" s="1" t="s">
        <v>101</v>
      </c>
      <c r="H332">
        <v>18161</v>
      </c>
      <c r="I332">
        <v>179</v>
      </c>
      <c r="J332">
        <v>179</v>
      </c>
      <c r="K332">
        <v>174</v>
      </c>
      <c r="L332">
        <v>972</v>
      </c>
    </row>
    <row r="333" spans="1:12" hidden="1" x14ac:dyDescent="0.25">
      <c r="A333">
        <v>332</v>
      </c>
      <c r="B333" s="1" t="s">
        <v>12</v>
      </c>
      <c r="C333">
        <v>1932</v>
      </c>
      <c r="D333" s="1" t="s">
        <v>120</v>
      </c>
      <c r="E333" s="1" t="s">
        <v>30</v>
      </c>
      <c r="F333">
        <v>18</v>
      </c>
      <c r="G333" s="1" t="s">
        <v>40</v>
      </c>
      <c r="H333">
        <v>18126</v>
      </c>
      <c r="I333">
        <v>143</v>
      </c>
      <c r="J333">
        <v>143</v>
      </c>
      <c r="K333">
        <v>131</v>
      </c>
      <c r="L333">
        <v>916</v>
      </c>
    </row>
    <row r="334" spans="1:12" hidden="1" x14ac:dyDescent="0.25">
      <c r="A334">
        <v>333</v>
      </c>
      <c r="B334" s="1" t="s">
        <v>12</v>
      </c>
      <c r="C334">
        <v>1932</v>
      </c>
      <c r="D334" s="1" t="s">
        <v>120</v>
      </c>
      <c r="E334" s="1" t="s">
        <v>30</v>
      </c>
      <c r="F334">
        <v>18</v>
      </c>
      <c r="G334" s="1" t="s">
        <v>35</v>
      </c>
      <c r="H334">
        <v>18049</v>
      </c>
      <c r="I334">
        <v>140</v>
      </c>
      <c r="J334">
        <v>140</v>
      </c>
      <c r="K334">
        <v>135</v>
      </c>
      <c r="L334">
        <v>964</v>
      </c>
    </row>
    <row r="335" spans="1:12" hidden="1" x14ac:dyDescent="0.25">
      <c r="A335">
        <v>334</v>
      </c>
      <c r="B335" s="1" t="s">
        <v>12</v>
      </c>
      <c r="C335">
        <v>1932</v>
      </c>
      <c r="D335" s="1" t="s">
        <v>120</v>
      </c>
      <c r="E335" s="1" t="s">
        <v>30</v>
      </c>
      <c r="F335">
        <v>18</v>
      </c>
      <c r="G335" s="1" t="s">
        <v>105</v>
      </c>
      <c r="H335">
        <v>18105</v>
      </c>
      <c r="I335">
        <v>127</v>
      </c>
      <c r="J335">
        <v>127</v>
      </c>
      <c r="K335">
        <v>121</v>
      </c>
      <c r="L335">
        <v>953</v>
      </c>
    </row>
    <row r="336" spans="1:12" hidden="1" x14ac:dyDescent="0.25">
      <c r="A336">
        <v>335</v>
      </c>
      <c r="B336" s="1" t="s">
        <v>12</v>
      </c>
      <c r="C336">
        <v>1932</v>
      </c>
      <c r="D336" s="1" t="s">
        <v>120</v>
      </c>
      <c r="E336" s="1" t="s">
        <v>30</v>
      </c>
      <c r="F336">
        <v>18</v>
      </c>
      <c r="G336" s="1" t="s">
        <v>63</v>
      </c>
      <c r="H336">
        <v>18028</v>
      </c>
      <c r="I336">
        <v>125</v>
      </c>
      <c r="J336">
        <v>125</v>
      </c>
      <c r="K336">
        <v>132</v>
      </c>
      <c r="L336">
        <v>1056</v>
      </c>
    </row>
    <row r="337" spans="1:12" hidden="1" x14ac:dyDescent="0.25">
      <c r="A337">
        <v>336</v>
      </c>
      <c r="B337" s="1" t="s">
        <v>12</v>
      </c>
      <c r="C337">
        <v>1932</v>
      </c>
      <c r="D337" s="1" t="s">
        <v>120</v>
      </c>
      <c r="E337" s="1" t="s">
        <v>30</v>
      </c>
      <c r="F337">
        <v>18</v>
      </c>
      <c r="G337" s="1" t="s">
        <v>38</v>
      </c>
      <c r="H337">
        <v>18007</v>
      </c>
      <c r="I337">
        <v>100</v>
      </c>
      <c r="J337">
        <v>100</v>
      </c>
      <c r="K337">
        <v>85</v>
      </c>
      <c r="L337">
        <v>850</v>
      </c>
    </row>
    <row r="338" spans="1:12" hidden="1" x14ac:dyDescent="0.25">
      <c r="A338">
        <v>337</v>
      </c>
      <c r="B338" s="1" t="s">
        <v>12</v>
      </c>
      <c r="C338">
        <v>1932</v>
      </c>
      <c r="D338" s="1" t="s">
        <v>120</v>
      </c>
      <c r="E338" s="1" t="s">
        <v>30</v>
      </c>
      <c r="F338">
        <v>18</v>
      </c>
      <c r="G338" s="1" t="s">
        <v>100</v>
      </c>
      <c r="H338">
        <v>18077</v>
      </c>
      <c r="I338">
        <v>94</v>
      </c>
      <c r="J338">
        <v>94</v>
      </c>
      <c r="K338">
        <v>75</v>
      </c>
      <c r="L338">
        <v>798</v>
      </c>
    </row>
    <row r="339" spans="1:12" hidden="1" x14ac:dyDescent="0.25">
      <c r="A339">
        <v>338</v>
      </c>
      <c r="B339" s="1" t="s">
        <v>12</v>
      </c>
      <c r="C339">
        <v>1932</v>
      </c>
      <c r="D339" s="1" t="s">
        <v>120</v>
      </c>
      <c r="E339" s="1" t="s">
        <v>30</v>
      </c>
      <c r="F339">
        <v>18</v>
      </c>
      <c r="G339" s="1" t="s">
        <v>41</v>
      </c>
      <c r="H339">
        <v>18140</v>
      </c>
      <c r="I339">
        <v>27</v>
      </c>
      <c r="J339">
        <v>27</v>
      </c>
      <c r="K339">
        <v>23</v>
      </c>
      <c r="L339">
        <v>852</v>
      </c>
    </row>
    <row r="340" spans="1:12" hidden="1" x14ac:dyDescent="0.25">
      <c r="A340">
        <v>339</v>
      </c>
      <c r="B340" s="1" t="s">
        <v>12</v>
      </c>
      <c r="C340">
        <v>1932</v>
      </c>
      <c r="D340" s="1" t="s">
        <v>120</v>
      </c>
      <c r="E340" s="1" t="s">
        <v>30</v>
      </c>
      <c r="F340">
        <v>18</v>
      </c>
      <c r="G340" s="1" t="s">
        <v>102</v>
      </c>
      <c r="H340">
        <v>18014</v>
      </c>
      <c r="I340">
        <v>16</v>
      </c>
      <c r="J340">
        <v>16</v>
      </c>
      <c r="K340">
        <v>13</v>
      </c>
      <c r="L340">
        <v>812</v>
      </c>
    </row>
    <row r="341" spans="1:12" hidden="1" x14ac:dyDescent="0.25">
      <c r="A341">
        <v>340</v>
      </c>
      <c r="B341" s="1" t="s">
        <v>12</v>
      </c>
      <c r="C341">
        <v>1932</v>
      </c>
      <c r="D341" s="1" t="s">
        <v>120</v>
      </c>
      <c r="E341" s="1" t="s">
        <v>30</v>
      </c>
      <c r="F341">
        <v>18</v>
      </c>
      <c r="G341" s="1" t="s">
        <v>42</v>
      </c>
      <c r="H341">
        <v>18035</v>
      </c>
      <c r="I341">
        <v>16</v>
      </c>
      <c r="J341">
        <v>16</v>
      </c>
      <c r="K341">
        <v>13</v>
      </c>
      <c r="L341">
        <v>812</v>
      </c>
    </row>
    <row r="342" spans="1:12" hidden="1" x14ac:dyDescent="0.25">
      <c r="A342">
        <v>341</v>
      </c>
      <c r="B342" s="1" t="s">
        <v>12</v>
      </c>
      <c r="C342">
        <v>1932</v>
      </c>
      <c r="D342" s="1" t="s">
        <v>120</v>
      </c>
      <c r="E342" s="1" t="s">
        <v>45</v>
      </c>
      <c r="F342">
        <v>30</v>
      </c>
      <c r="G342" s="1" t="s">
        <v>46</v>
      </c>
      <c r="H342">
        <v>30028</v>
      </c>
      <c r="I342">
        <v>4500</v>
      </c>
      <c r="J342">
        <v>4400</v>
      </c>
      <c r="K342">
        <v>4400</v>
      </c>
      <c r="L342">
        <v>1000</v>
      </c>
    </row>
    <row r="343" spans="1:12" hidden="1" x14ac:dyDescent="0.25">
      <c r="A343">
        <v>342</v>
      </c>
      <c r="B343" s="1" t="s">
        <v>12</v>
      </c>
      <c r="C343">
        <v>1932</v>
      </c>
      <c r="D343" s="1" t="s">
        <v>120</v>
      </c>
      <c r="E343" s="1" t="s">
        <v>45</v>
      </c>
      <c r="F343">
        <v>30</v>
      </c>
      <c r="G343" s="1" t="s">
        <v>47</v>
      </c>
      <c r="H343">
        <v>30015</v>
      </c>
      <c r="I343">
        <v>1500</v>
      </c>
      <c r="J343">
        <v>1350</v>
      </c>
      <c r="K343">
        <v>1376</v>
      </c>
      <c r="L343">
        <v>1019</v>
      </c>
    </row>
    <row r="344" spans="1:12" hidden="1" x14ac:dyDescent="0.25">
      <c r="A344">
        <v>343</v>
      </c>
      <c r="B344" s="1" t="s">
        <v>12</v>
      </c>
      <c r="C344">
        <v>1932</v>
      </c>
      <c r="D344" s="1" t="s">
        <v>120</v>
      </c>
      <c r="E344" s="1" t="s">
        <v>45</v>
      </c>
      <c r="F344">
        <v>30</v>
      </c>
      <c r="G344" s="1" t="s">
        <v>123</v>
      </c>
      <c r="H344">
        <v>30084</v>
      </c>
      <c r="I344">
        <v>123</v>
      </c>
      <c r="J344">
        <v>116</v>
      </c>
      <c r="K344">
        <v>83</v>
      </c>
      <c r="L344">
        <v>715</v>
      </c>
    </row>
    <row r="345" spans="1:12" hidden="1" x14ac:dyDescent="0.25">
      <c r="A345">
        <v>344</v>
      </c>
      <c r="B345" s="1" t="s">
        <v>12</v>
      </c>
      <c r="C345">
        <v>1932</v>
      </c>
      <c r="D345" s="1" t="s">
        <v>120</v>
      </c>
      <c r="E345" s="1" t="s">
        <v>45</v>
      </c>
      <c r="F345">
        <v>30</v>
      </c>
      <c r="G345" s="1" t="s">
        <v>27</v>
      </c>
      <c r="H345">
        <v>30008</v>
      </c>
      <c r="I345">
        <v>20</v>
      </c>
      <c r="J345">
        <v>18</v>
      </c>
      <c r="K345">
        <v>16</v>
      </c>
      <c r="L345">
        <v>889</v>
      </c>
    </row>
    <row r="346" spans="1:12" hidden="1" x14ac:dyDescent="0.25">
      <c r="A346">
        <v>345</v>
      </c>
      <c r="B346" s="1" t="s">
        <v>12</v>
      </c>
      <c r="C346">
        <v>1932</v>
      </c>
      <c r="D346" s="1" t="s">
        <v>120</v>
      </c>
      <c r="E346" s="1" t="s">
        <v>45</v>
      </c>
      <c r="F346">
        <v>30</v>
      </c>
      <c r="G346" s="1" t="s">
        <v>124</v>
      </c>
      <c r="H346">
        <v>30070</v>
      </c>
      <c r="I346">
        <v>7</v>
      </c>
      <c r="J346">
        <v>6</v>
      </c>
      <c r="K346">
        <v>15</v>
      </c>
      <c r="L346">
        <v>2500</v>
      </c>
    </row>
    <row r="347" spans="1:12" hidden="1" x14ac:dyDescent="0.25">
      <c r="A347">
        <v>346</v>
      </c>
      <c r="B347" s="1" t="s">
        <v>12</v>
      </c>
      <c r="C347">
        <v>1932</v>
      </c>
      <c r="D347" s="1" t="s">
        <v>120</v>
      </c>
      <c r="E347" s="1" t="s">
        <v>48</v>
      </c>
      <c r="F347">
        <v>34</v>
      </c>
      <c r="G347" s="1" t="s">
        <v>49</v>
      </c>
      <c r="H347">
        <v>34049</v>
      </c>
      <c r="I347">
        <v>16</v>
      </c>
      <c r="J347">
        <v>10</v>
      </c>
      <c r="K347">
        <v>4</v>
      </c>
      <c r="L347">
        <v>400</v>
      </c>
    </row>
    <row r="348" spans="1:12" hidden="1" x14ac:dyDescent="0.25">
      <c r="A348">
        <v>347</v>
      </c>
      <c r="B348" s="1" t="s">
        <v>12</v>
      </c>
      <c r="C348">
        <v>1932</v>
      </c>
      <c r="D348" s="1" t="s">
        <v>120</v>
      </c>
      <c r="E348" s="1" t="s">
        <v>48</v>
      </c>
      <c r="F348">
        <v>34</v>
      </c>
      <c r="G348" s="1" t="s">
        <v>52</v>
      </c>
      <c r="H348">
        <v>34035</v>
      </c>
      <c r="I348">
        <v>14</v>
      </c>
      <c r="J348">
        <v>6</v>
      </c>
      <c r="K348">
        <v>3</v>
      </c>
      <c r="L348">
        <v>500</v>
      </c>
    </row>
    <row r="349" spans="1:12" hidden="1" x14ac:dyDescent="0.25">
      <c r="A349">
        <v>348</v>
      </c>
      <c r="B349" s="1" t="s">
        <v>12</v>
      </c>
      <c r="C349">
        <v>1932</v>
      </c>
      <c r="D349" s="1" t="s">
        <v>120</v>
      </c>
      <c r="E349" s="1" t="s">
        <v>48</v>
      </c>
      <c r="F349">
        <v>34</v>
      </c>
      <c r="G349" s="1" t="s">
        <v>48</v>
      </c>
      <c r="H349">
        <v>34014</v>
      </c>
      <c r="I349">
        <v>12</v>
      </c>
      <c r="J349">
        <v>12</v>
      </c>
      <c r="K349">
        <v>5</v>
      </c>
      <c r="L349">
        <v>417</v>
      </c>
    </row>
    <row r="350" spans="1:12" hidden="1" x14ac:dyDescent="0.25">
      <c r="A350">
        <v>349</v>
      </c>
      <c r="B350" s="1" t="s">
        <v>12</v>
      </c>
      <c r="C350">
        <v>1932</v>
      </c>
      <c r="D350" s="1" t="s">
        <v>120</v>
      </c>
      <c r="E350" s="1" t="s">
        <v>48</v>
      </c>
      <c r="F350">
        <v>34</v>
      </c>
      <c r="G350" s="1" t="s">
        <v>108</v>
      </c>
      <c r="H350">
        <v>34042</v>
      </c>
      <c r="I350">
        <v>12</v>
      </c>
      <c r="J350">
        <v>8</v>
      </c>
      <c r="K350">
        <v>3</v>
      </c>
      <c r="L350">
        <v>375</v>
      </c>
    </row>
    <row r="351" spans="1:12" hidden="1" x14ac:dyDescent="0.25">
      <c r="A351">
        <v>350</v>
      </c>
      <c r="B351" s="1" t="s">
        <v>12</v>
      </c>
      <c r="C351">
        <v>1932</v>
      </c>
      <c r="D351" s="1" t="s">
        <v>120</v>
      </c>
      <c r="E351" s="1" t="s">
        <v>48</v>
      </c>
      <c r="F351">
        <v>34</v>
      </c>
      <c r="G351" s="1" t="s">
        <v>51</v>
      </c>
      <c r="H351">
        <v>34056</v>
      </c>
      <c r="I351">
        <v>8</v>
      </c>
      <c r="J351">
        <v>6</v>
      </c>
      <c r="K351">
        <v>3</v>
      </c>
      <c r="L351">
        <v>500</v>
      </c>
    </row>
    <row r="352" spans="1:12" hidden="1" x14ac:dyDescent="0.25">
      <c r="A352">
        <v>351</v>
      </c>
      <c r="B352" s="1" t="s">
        <v>12</v>
      </c>
      <c r="C352">
        <v>1932</v>
      </c>
      <c r="D352" s="1" t="s">
        <v>120</v>
      </c>
      <c r="E352" s="1" t="s">
        <v>48</v>
      </c>
      <c r="F352">
        <v>34</v>
      </c>
      <c r="G352" s="1" t="s">
        <v>50</v>
      </c>
      <c r="H352">
        <v>34021</v>
      </c>
      <c r="I352">
        <v>3</v>
      </c>
      <c r="J352">
        <v>2</v>
      </c>
      <c r="K352">
        <v>1</v>
      </c>
      <c r="L352">
        <v>500</v>
      </c>
    </row>
    <row r="353" spans="1:12" hidden="1" x14ac:dyDescent="0.25">
      <c r="A353">
        <v>352</v>
      </c>
      <c r="B353" s="1" t="s">
        <v>12</v>
      </c>
      <c r="C353">
        <v>1932</v>
      </c>
      <c r="D353" s="1" t="s">
        <v>120</v>
      </c>
      <c r="E353" s="1" t="s">
        <v>53</v>
      </c>
      <c r="F353">
        <v>38</v>
      </c>
      <c r="G353" s="1" t="s">
        <v>54</v>
      </c>
      <c r="H353">
        <v>38014</v>
      </c>
      <c r="I353">
        <v>19</v>
      </c>
      <c r="J353">
        <v>16</v>
      </c>
      <c r="K353">
        <v>16</v>
      </c>
      <c r="L353">
        <v>1000</v>
      </c>
    </row>
    <row r="354" spans="1:12" hidden="1" x14ac:dyDescent="0.25">
      <c r="A354">
        <v>353</v>
      </c>
      <c r="B354" s="1" t="s">
        <v>12</v>
      </c>
      <c r="C354">
        <v>1932</v>
      </c>
      <c r="D354" s="1" t="s">
        <v>120</v>
      </c>
      <c r="E354" s="1" t="s">
        <v>58</v>
      </c>
      <c r="F354">
        <v>54</v>
      </c>
      <c r="G354" s="1" t="s">
        <v>60</v>
      </c>
      <c r="H354">
        <v>54021</v>
      </c>
      <c r="I354">
        <v>411</v>
      </c>
      <c r="J354">
        <v>411</v>
      </c>
      <c r="K354">
        <v>358</v>
      </c>
      <c r="L354">
        <v>871</v>
      </c>
    </row>
    <row r="355" spans="1:12" hidden="1" x14ac:dyDescent="0.25">
      <c r="A355">
        <v>354</v>
      </c>
      <c r="B355" s="1" t="s">
        <v>12</v>
      </c>
      <c r="C355">
        <v>1932</v>
      </c>
      <c r="D355" s="1" t="s">
        <v>120</v>
      </c>
      <c r="E355" s="1" t="s">
        <v>58</v>
      </c>
      <c r="F355">
        <v>54</v>
      </c>
      <c r="G355" s="1" t="s">
        <v>59</v>
      </c>
      <c r="H355">
        <v>54007</v>
      </c>
      <c r="I355">
        <v>372</v>
      </c>
      <c r="J355">
        <v>372</v>
      </c>
      <c r="K355">
        <v>335</v>
      </c>
      <c r="L355">
        <v>900</v>
      </c>
    </row>
    <row r="356" spans="1:12" hidden="1" x14ac:dyDescent="0.25">
      <c r="A356">
        <v>355</v>
      </c>
      <c r="B356" s="1" t="s">
        <v>12</v>
      </c>
      <c r="C356">
        <v>1932</v>
      </c>
      <c r="D356" s="1" t="s">
        <v>120</v>
      </c>
      <c r="E356" s="1" t="s">
        <v>58</v>
      </c>
      <c r="F356">
        <v>54</v>
      </c>
      <c r="G356" s="1" t="s">
        <v>62</v>
      </c>
      <c r="H356">
        <v>54105</v>
      </c>
      <c r="I356">
        <v>194</v>
      </c>
      <c r="J356">
        <v>194</v>
      </c>
      <c r="K356">
        <v>167</v>
      </c>
      <c r="L356">
        <v>860</v>
      </c>
    </row>
    <row r="357" spans="1:12" hidden="1" x14ac:dyDescent="0.25">
      <c r="A357">
        <v>356</v>
      </c>
      <c r="B357" s="1" t="s">
        <v>12</v>
      </c>
      <c r="C357">
        <v>1932</v>
      </c>
      <c r="D357" s="1" t="s">
        <v>120</v>
      </c>
      <c r="E357" s="1" t="s">
        <v>58</v>
      </c>
      <c r="F357">
        <v>54</v>
      </c>
      <c r="G357" s="1" t="s">
        <v>61</v>
      </c>
      <c r="H357">
        <v>54098</v>
      </c>
      <c r="I357">
        <v>69</v>
      </c>
      <c r="J357">
        <v>69</v>
      </c>
      <c r="K357">
        <v>55</v>
      </c>
      <c r="L357">
        <v>797</v>
      </c>
    </row>
    <row r="358" spans="1:12" hidden="1" x14ac:dyDescent="0.25">
      <c r="A358">
        <v>357</v>
      </c>
      <c r="B358" s="1" t="s">
        <v>12</v>
      </c>
      <c r="C358">
        <v>1932</v>
      </c>
      <c r="D358" s="1" t="s">
        <v>120</v>
      </c>
      <c r="E358" s="1" t="s">
        <v>58</v>
      </c>
      <c r="F358">
        <v>54</v>
      </c>
      <c r="G358" s="1" t="s">
        <v>63</v>
      </c>
      <c r="H358">
        <v>54035</v>
      </c>
      <c r="I358">
        <v>54</v>
      </c>
      <c r="J358">
        <v>54</v>
      </c>
      <c r="K358">
        <v>53</v>
      </c>
      <c r="L358">
        <v>981</v>
      </c>
    </row>
    <row r="359" spans="1:12" hidden="1" x14ac:dyDescent="0.25">
      <c r="A359">
        <v>358</v>
      </c>
      <c r="B359" s="1" t="s">
        <v>12</v>
      </c>
      <c r="C359">
        <v>1932</v>
      </c>
      <c r="D359" s="1" t="s">
        <v>120</v>
      </c>
      <c r="E359" s="1" t="s">
        <v>87</v>
      </c>
      <c r="F359">
        <v>66</v>
      </c>
      <c r="G359" s="1" t="s">
        <v>125</v>
      </c>
      <c r="H359">
        <v>66035</v>
      </c>
      <c r="I359">
        <v>2</v>
      </c>
      <c r="J359">
        <v>2</v>
      </c>
      <c r="K359">
        <v>2</v>
      </c>
      <c r="L359">
        <v>1000</v>
      </c>
    </row>
    <row r="360" spans="1:12" hidden="1" x14ac:dyDescent="0.25">
      <c r="A360">
        <v>359</v>
      </c>
      <c r="B360" s="1" t="s">
        <v>12</v>
      </c>
      <c r="C360">
        <v>1932</v>
      </c>
      <c r="D360" s="1" t="s">
        <v>120</v>
      </c>
      <c r="E360" s="1" t="s">
        <v>116</v>
      </c>
      <c r="F360">
        <v>74</v>
      </c>
      <c r="G360" s="1" t="s">
        <v>126</v>
      </c>
      <c r="H360">
        <v>74035</v>
      </c>
      <c r="I360">
        <v>34</v>
      </c>
      <c r="J360">
        <v>26</v>
      </c>
      <c r="K360">
        <v>18</v>
      </c>
      <c r="L360">
        <v>692</v>
      </c>
    </row>
    <row r="361" spans="1:12" hidden="1" x14ac:dyDescent="0.25">
      <c r="A361">
        <v>360</v>
      </c>
      <c r="B361" s="1" t="s">
        <v>12</v>
      </c>
      <c r="C361">
        <v>1932</v>
      </c>
      <c r="D361" s="1" t="s">
        <v>120</v>
      </c>
      <c r="E361" s="1" t="s">
        <v>116</v>
      </c>
      <c r="F361">
        <v>74</v>
      </c>
      <c r="G361" s="1" t="s">
        <v>127</v>
      </c>
      <c r="H361">
        <v>74049</v>
      </c>
      <c r="I361">
        <v>7</v>
      </c>
      <c r="J361">
        <v>4</v>
      </c>
      <c r="K361">
        <v>3</v>
      </c>
      <c r="L361">
        <v>750</v>
      </c>
    </row>
    <row r="362" spans="1:12" hidden="1" x14ac:dyDescent="0.25">
      <c r="A362">
        <v>361</v>
      </c>
      <c r="B362" s="1" t="s">
        <v>12</v>
      </c>
      <c r="C362">
        <v>1932</v>
      </c>
      <c r="D362" s="1" t="s">
        <v>120</v>
      </c>
      <c r="E362" s="1" t="s">
        <v>116</v>
      </c>
      <c r="F362">
        <v>74</v>
      </c>
      <c r="G362" s="1" t="s">
        <v>117</v>
      </c>
      <c r="H362">
        <v>74021</v>
      </c>
      <c r="I362">
        <v>6</v>
      </c>
    </row>
    <row r="363" spans="1:12" hidden="1" x14ac:dyDescent="0.25">
      <c r="A363">
        <v>362</v>
      </c>
      <c r="B363" s="1" t="s">
        <v>12</v>
      </c>
      <c r="C363">
        <v>1932</v>
      </c>
      <c r="D363" s="1" t="s">
        <v>120</v>
      </c>
      <c r="E363" s="1" t="s">
        <v>116</v>
      </c>
      <c r="F363">
        <v>74</v>
      </c>
      <c r="G363" s="1" t="s">
        <v>28</v>
      </c>
      <c r="H363">
        <v>74056</v>
      </c>
      <c r="I363">
        <v>3</v>
      </c>
    </row>
    <row r="364" spans="1:12" hidden="1" x14ac:dyDescent="0.25">
      <c r="A364">
        <v>363</v>
      </c>
      <c r="B364" s="1" t="s">
        <v>12</v>
      </c>
      <c r="C364">
        <v>1932</v>
      </c>
      <c r="D364" s="1" t="s">
        <v>120</v>
      </c>
      <c r="E364" s="1" t="s">
        <v>64</v>
      </c>
      <c r="F364">
        <v>82</v>
      </c>
      <c r="G364" s="1" t="s">
        <v>65</v>
      </c>
      <c r="H364">
        <v>82049</v>
      </c>
      <c r="I364">
        <v>14670</v>
      </c>
      <c r="J364">
        <v>10269</v>
      </c>
      <c r="K364">
        <v>11361</v>
      </c>
      <c r="L364">
        <v>1106</v>
      </c>
    </row>
    <row r="365" spans="1:12" hidden="1" x14ac:dyDescent="0.25">
      <c r="A365">
        <v>364</v>
      </c>
      <c r="B365" s="1" t="s">
        <v>12</v>
      </c>
      <c r="C365">
        <v>1932</v>
      </c>
      <c r="D365" s="1" t="s">
        <v>120</v>
      </c>
      <c r="E365" s="1" t="s">
        <v>64</v>
      </c>
      <c r="F365">
        <v>82</v>
      </c>
      <c r="G365" s="1" t="s">
        <v>66</v>
      </c>
      <c r="H365">
        <v>82035</v>
      </c>
      <c r="I365">
        <v>5520</v>
      </c>
      <c r="J365">
        <v>4968</v>
      </c>
      <c r="K365">
        <v>6210</v>
      </c>
      <c r="L365">
        <v>1250</v>
      </c>
    </row>
    <row r="366" spans="1:12" hidden="1" x14ac:dyDescent="0.25">
      <c r="A366">
        <v>365</v>
      </c>
      <c r="B366" s="1" t="s">
        <v>12</v>
      </c>
      <c r="C366">
        <v>1932</v>
      </c>
      <c r="D366" s="1" t="s">
        <v>120</v>
      </c>
      <c r="E366" s="1" t="s">
        <v>64</v>
      </c>
      <c r="F366">
        <v>82</v>
      </c>
      <c r="G366" s="1" t="s">
        <v>62</v>
      </c>
      <c r="H366">
        <v>82098</v>
      </c>
      <c r="I366">
        <v>430</v>
      </c>
      <c r="J366">
        <v>323</v>
      </c>
      <c r="K366">
        <v>323</v>
      </c>
      <c r="L366">
        <v>1000</v>
      </c>
    </row>
    <row r="367" spans="1:12" hidden="1" x14ac:dyDescent="0.25">
      <c r="A367">
        <v>366</v>
      </c>
      <c r="B367" s="1" t="s">
        <v>12</v>
      </c>
      <c r="C367">
        <v>1932</v>
      </c>
      <c r="D367" s="1" t="s">
        <v>120</v>
      </c>
      <c r="E367" s="1" t="s">
        <v>68</v>
      </c>
      <c r="F367">
        <v>86</v>
      </c>
      <c r="G367" s="1" t="s">
        <v>75</v>
      </c>
      <c r="H367">
        <v>86035</v>
      </c>
      <c r="I367">
        <v>75</v>
      </c>
      <c r="J367">
        <v>75</v>
      </c>
      <c r="K367">
        <v>86</v>
      </c>
      <c r="L367">
        <v>1147</v>
      </c>
    </row>
    <row r="368" spans="1:12" hidden="1" x14ac:dyDescent="0.25">
      <c r="A368">
        <v>367</v>
      </c>
      <c r="B368" s="1" t="s">
        <v>12</v>
      </c>
      <c r="C368">
        <v>1932</v>
      </c>
      <c r="D368" s="1" t="s">
        <v>120</v>
      </c>
      <c r="E368" s="1" t="s">
        <v>68</v>
      </c>
      <c r="F368">
        <v>86</v>
      </c>
      <c r="G368" s="1" t="s">
        <v>28</v>
      </c>
      <c r="H368">
        <v>86049</v>
      </c>
      <c r="I368">
        <v>15</v>
      </c>
      <c r="J368">
        <v>15</v>
      </c>
      <c r="K368">
        <v>21</v>
      </c>
      <c r="L368">
        <v>1400</v>
      </c>
    </row>
    <row r="369" spans="1:12" hidden="1" x14ac:dyDescent="0.25">
      <c r="A369">
        <v>368</v>
      </c>
      <c r="B369" s="1" t="s">
        <v>12</v>
      </c>
      <c r="C369">
        <v>1932</v>
      </c>
      <c r="D369" s="1" t="s">
        <v>120</v>
      </c>
      <c r="E369" s="1" t="s">
        <v>68</v>
      </c>
      <c r="F369">
        <v>86</v>
      </c>
      <c r="G369" s="1" t="s">
        <v>76</v>
      </c>
      <c r="H369">
        <v>86161</v>
      </c>
      <c r="I369">
        <v>3</v>
      </c>
      <c r="J369">
        <v>3</v>
      </c>
      <c r="K369">
        <v>3</v>
      </c>
      <c r="L369">
        <v>1100</v>
      </c>
    </row>
    <row r="370" spans="1:12" hidden="1" x14ac:dyDescent="0.25">
      <c r="A370">
        <v>369</v>
      </c>
      <c r="B370" s="1" t="s">
        <v>12</v>
      </c>
      <c r="C370">
        <v>1932</v>
      </c>
      <c r="D370" s="1" t="s">
        <v>120</v>
      </c>
      <c r="E370" s="1" t="s">
        <v>77</v>
      </c>
      <c r="F370">
        <v>90</v>
      </c>
      <c r="G370" s="1" t="s">
        <v>78</v>
      </c>
      <c r="H370">
        <v>90007</v>
      </c>
      <c r="I370">
        <v>1000</v>
      </c>
      <c r="J370">
        <v>700</v>
      </c>
      <c r="K370">
        <v>1050</v>
      </c>
      <c r="L370">
        <v>1500</v>
      </c>
    </row>
    <row r="371" spans="1:12" hidden="1" x14ac:dyDescent="0.25">
      <c r="A371">
        <v>370</v>
      </c>
      <c r="B371" s="1" t="s">
        <v>12</v>
      </c>
      <c r="C371">
        <v>1932</v>
      </c>
      <c r="D371" s="1" t="s">
        <v>120</v>
      </c>
      <c r="E371" s="1" t="s">
        <v>77</v>
      </c>
      <c r="F371">
        <v>90</v>
      </c>
      <c r="G371" s="1" t="s">
        <v>31</v>
      </c>
      <c r="I371">
        <v>900</v>
      </c>
      <c r="J371">
        <v>300</v>
      </c>
      <c r="K371">
        <v>300</v>
      </c>
      <c r="L371">
        <v>1000</v>
      </c>
    </row>
    <row r="372" spans="1:12" hidden="1" x14ac:dyDescent="0.25">
      <c r="A372">
        <v>371</v>
      </c>
      <c r="B372" s="1" t="s">
        <v>12</v>
      </c>
      <c r="C372">
        <v>1932</v>
      </c>
      <c r="D372" s="1" t="s">
        <v>120</v>
      </c>
      <c r="E372" s="1" t="s">
        <v>77</v>
      </c>
      <c r="F372">
        <v>90</v>
      </c>
      <c r="G372" s="1" t="s">
        <v>91</v>
      </c>
      <c r="H372">
        <v>90014</v>
      </c>
      <c r="I372">
        <v>600</v>
      </c>
      <c r="J372">
        <v>400</v>
      </c>
      <c r="K372">
        <v>484</v>
      </c>
      <c r="L372">
        <v>1210</v>
      </c>
    </row>
    <row r="373" spans="1:12" hidden="1" x14ac:dyDescent="0.25">
      <c r="A373">
        <v>372</v>
      </c>
      <c r="B373" s="1" t="s">
        <v>12</v>
      </c>
      <c r="C373">
        <v>1933</v>
      </c>
      <c r="D373" s="1" t="s">
        <v>128</v>
      </c>
      <c r="E373" s="1" t="s">
        <v>14</v>
      </c>
      <c r="F373">
        <v>22</v>
      </c>
      <c r="G373" s="1" t="s">
        <v>16</v>
      </c>
      <c r="H373">
        <v>22049</v>
      </c>
      <c r="I373">
        <v>158</v>
      </c>
      <c r="J373">
        <v>150</v>
      </c>
      <c r="K373">
        <v>135</v>
      </c>
      <c r="L373">
        <v>900</v>
      </c>
    </row>
    <row r="374" spans="1:12" hidden="1" x14ac:dyDescent="0.25">
      <c r="A374">
        <v>373</v>
      </c>
      <c r="B374" s="1" t="s">
        <v>12</v>
      </c>
      <c r="C374">
        <v>1933</v>
      </c>
      <c r="D374" s="1" t="s">
        <v>128</v>
      </c>
      <c r="E374" s="1" t="s">
        <v>14</v>
      </c>
      <c r="F374">
        <v>22</v>
      </c>
      <c r="G374" s="1" t="s">
        <v>17</v>
      </c>
      <c r="H374">
        <v>22140</v>
      </c>
      <c r="I374">
        <v>64</v>
      </c>
      <c r="J374">
        <v>53</v>
      </c>
      <c r="K374">
        <v>53</v>
      </c>
      <c r="L374">
        <v>1000</v>
      </c>
    </row>
    <row r="375" spans="1:12" hidden="1" x14ac:dyDescent="0.25">
      <c r="A375">
        <v>374</v>
      </c>
      <c r="B375" s="1" t="s">
        <v>12</v>
      </c>
      <c r="C375">
        <v>1933</v>
      </c>
      <c r="D375" s="1" t="s">
        <v>128</v>
      </c>
      <c r="E375" s="1" t="s">
        <v>14</v>
      </c>
      <c r="F375">
        <v>22</v>
      </c>
      <c r="G375" s="1" t="s">
        <v>18</v>
      </c>
      <c r="H375">
        <v>22084</v>
      </c>
      <c r="I375">
        <v>46</v>
      </c>
      <c r="J375">
        <v>40</v>
      </c>
      <c r="K375">
        <v>36</v>
      </c>
      <c r="L375">
        <v>900</v>
      </c>
    </row>
    <row r="376" spans="1:12" hidden="1" x14ac:dyDescent="0.25">
      <c r="A376">
        <v>375</v>
      </c>
      <c r="B376" s="1" t="s">
        <v>12</v>
      </c>
      <c r="C376">
        <v>1933</v>
      </c>
      <c r="D376" s="1" t="s">
        <v>128</v>
      </c>
      <c r="E376" s="1" t="s">
        <v>14</v>
      </c>
      <c r="F376">
        <v>22</v>
      </c>
      <c r="G376" s="1" t="s">
        <v>19</v>
      </c>
      <c r="H376">
        <v>22014</v>
      </c>
      <c r="I376">
        <v>12</v>
      </c>
      <c r="J376">
        <v>9</v>
      </c>
      <c r="K376">
        <v>8</v>
      </c>
      <c r="L376">
        <v>889</v>
      </c>
    </row>
    <row r="377" spans="1:12" hidden="1" x14ac:dyDescent="0.25">
      <c r="A377">
        <v>376</v>
      </c>
      <c r="B377" s="1" t="s">
        <v>12</v>
      </c>
      <c r="C377">
        <v>1933</v>
      </c>
      <c r="D377" s="1" t="s">
        <v>128</v>
      </c>
      <c r="E377" s="1" t="s">
        <v>14</v>
      </c>
      <c r="F377">
        <v>22</v>
      </c>
      <c r="G377" s="1" t="s">
        <v>20</v>
      </c>
      <c r="H377">
        <v>22091</v>
      </c>
      <c r="I377">
        <v>12</v>
      </c>
      <c r="J377">
        <v>10</v>
      </c>
      <c r="K377">
        <v>9</v>
      </c>
      <c r="L377">
        <v>900</v>
      </c>
    </row>
    <row r="378" spans="1:12" hidden="1" x14ac:dyDescent="0.25">
      <c r="A378">
        <v>377</v>
      </c>
      <c r="B378" s="1" t="s">
        <v>12</v>
      </c>
      <c r="C378">
        <v>1933</v>
      </c>
      <c r="D378" s="1" t="s">
        <v>128</v>
      </c>
      <c r="E378" s="1" t="s">
        <v>14</v>
      </c>
      <c r="F378">
        <v>22</v>
      </c>
      <c r="G378" s="1" t="s">
        <v>15</v>
      </c>
      <c r="H378">
        <v>22105</v>
      </c>
      <c r="I378">
        <v>8</v>
      </c>
      <c r="J378">
        <v>8</v>
      </c>
      <c r="K378">
        <v>8</v>
      </c>
      <c r="L378">
        <v>1000</v>
      </c>
    </row>
    <row r="379" spans="1:12" hidden="1" x14ac:dyDescent="0.25">
      <c r="A379">
        <v>378</v>
      </c>
      <c r="B379" s="1" t="s">
        <v>12</v>
      </c>
      <c r="C379">
        <v>1933</v>
      </c>
      <c r="D379" s="1" t="s">
        <v>128</v>
      </c>
      <c r="E379" s="1" t="s">
        <v>22</v>
      </c>
      <c r="F379">
        <v>14</v>
      </c>
      <c r="G379" s="1" t="s">
        <v>24</v>
      </c>
      <c r="H379">
        <v>14119</v>
      </c>
      <c r="I379">
        <v>18000</v>
      </c>
      <c r="J379">
        <v>18000</v>
      </c>
      <c r="K379">
        <v>32400</v>
      </c>
      <c r="L379">
        <v>1800</v>
      </c>
    </row>
    <row r="380" spans="1:12" hidden="1" x14ac:dyDescent="0.25">
      <c r="A380">
        <v>379</v>
      </c>
      <c r="B380" s="1" t="s">
        <v>12</v>
      </c>
      <c r="C380">
        <v>1933</v>
      </c>
      <c r="D380" s="1" t="s">
        <v>128</v>
      </c>
      <c r="E380" s="1" t="s">
        <v>22</v>
      </c>
      <c r="F380">
        <v>14</v>
      </c>
      <c r="G380" s="1" t="s">
        <v>23</v>
      </c>
      <c r="H380">
        <v>14147</v>
      </c>
      <c r="I380">
        <v>11000</v>
      </c>
      <c r="J380">
        <v>11000</v>
      </c>
      <c r="K380">
        <v>16500</v>
      </c>
      <c r="L380">
        <v>1500</v>
      </c>
    </row>
    <row r="381" spans="1:12" hidden="1" x14ac:dyDescent="0.25">
      <c r="A381">
        <v>380</v>
      </c>
      <c r="B381" s="1" t="s">
        <v>12</v>
      </c>
      <c r="C381">
        <v>1933</v>
      </c>
      <c r="D381" s="1" t="s">
        <v>128</v>
      </c>
      <c r="E381" s="1" t="s">
        <v>22</v>
      </c>
      <c r="F381">
        <v>14</v>
      </c>
      <c r="G381" s="1" t="s">
        <v>26</v>
      </c>
      <c r="H381">
        <v>14161</v>
      </c>
      <c r="I381">
        <v>9500</v>
      </c>
      <c r="J381">
        <v>9500</v>
      </c>
      <c r="K381">
        <v>9500</v>
      </c>
      <c r="L381">
        <v>1000</v>
      </c>
    </row>
    <row r="382" spans="1:12" hidden="1" x14ac:dyDescent="0.25">
      <c r="A382">
        <v>381</v>
      </c>
      <c r="B382" s="1" t="s">
        <v>12</v>
      </c>
      <c r="C382">
        <v>1933</v>
      </c>
      <c r="D382" s="1" t="s">
        <v>128</v>
      </c>
      <c r="E382" s="1" t="s">
        <v>22</v>
      </c>
      <c r="F382">
        <v>14</v>
      </c>
      <c r="G382" s="1" t="s">
        <v>28</v>
      </c>
      <c r="H382">
        <v>14014</v>
      </c>
      <c r="I382">
        <v>4000</v>
      </c>
      <c r="J382">
        <v>4000</v>
      </c>
      <c r="K382">
        <v>8000</v>
      </c>
      <c r="L382">
        <v>2000</v>
      </c>
    </row>
    <row r="383" spans="1:12" hidden="1" x14ac:dyDescent="0.25">
      <c r="A383">
        <v>382</v>
      </c>
      <c r="B383" s="1" t="s">
        <v>12</v>
      </c>
      <c r="C383">
        <v>1933</v>
      </c>
      <c r="D383" s="1" t="s">
        <v>128</v>
      </c>
      <c r="E383" s="1" t="s">
        <v>22</v>
      </c>
      <c r="F383">
        <v>14</v>
      </c>
      <c r="G383" s="1" t="s">
        <v>27</v>
      </c>
      <c r="H383">
        <v>14021</v>
      </c>
      <c r="I383">
        <v>3000</v>
      </c>
      <c r="J383">
        <v>3000</v>
      </c>
      <c r="K383">
        <v>4800</v>
      </c>
      <c r="L383">
        <v>1600</v>
      </c>
    </row>
    <row r="384" spans="1:12" hidden="1" x14ac:dyDescent="0.25">
      <c r="A384">
        <v>383</v>
      </c>
      <c r="B384" s="1" t="s">
        <v>12</v>
      </c>
      <c r="C384">
        <v>1933</v>
      </c>
      <c r="D384" s="1" t="s">
        <v>128</v>
      </c>
      <c r="E384" s="1" t="s">
        <v>22</v>
      </c>
      <c r="F384">
        <v>14</v>
      </c>
      <c r="G384" s="1" t="s">
        <v>25</v>
      </c>
      <c r="H384">
        <v>14105</v>
      </c>
      <c r="I384">
        <v>3000</v>
      </c>
      <c r="J384">
        <v>3000</v>
      </c>
      <c r="K384">
        <v>4800</v>
      </c>
      <c r="L384">
        <v>1600</v>
      </c>
    </row>
    <row r="385" spans="1:12" hidden="1" x14ac:dyDescent="0.25">
      <c r="A385">
        <v>384</v>
      </c>
      <c r="B385" s="1" t="s">
        <v>12</v>
      </c>
      <c r="C385">
        <v>1933</v>
      </c>
      <c r="D385" s="1" t="s">
        <v>128</v>
      </c>
      <c r="E385" s="1" t="s">
        <v>22</v>
      </c>
      <c r="F385">
        <v>14</v>
      </c>
      <c r="G385" s="1" t="s">
        <v>114</v>
      </c>
      <c r="H385">
        <v>14168</v>
      </c>
      <c r="I385">
        <v>500</v>
      </c>
      <c r="J385">
        <v>500</v>
      </c>
      <c r="K385">
        <v>800</v>
      </c>
      <c r="L385">
        <v>1600</v>
      </c>
    </row>
    <row r="386" spans="1:12" hidden="1" x14ac:dyDescent="0.25">
      <c r="A386">
        <v>385</v>
      </c>
      <c r="B386" s="1" t="s">
        <v>12</v>
      </c>
      <c r="C386">
        <v>1933</v>
      </c>
      <c r="D386" s="1" t="s">
        <v>128</v>
      </c>
      <c r="E386" s="1" t="s">
        <v>22</v>
      </c>
      <c r="F386">
        <v>14</v>
      </c>
      <c r="G386" s="1" t="s">
        <v>97</v>
      </c>
      <c r="H386">
        <v>14007</v>
      </c>
      <c r="I386">
        <v>400</v>
      </c>
      <c r="J386">
        <v>300</v>
      </c>
      <c r="K386">
        <v>300</v>
      </c>
      <c r="L386">
        <v>1000</v>
      </c>
    </row>
    <row r="387" spans="1:12" hidden="1" x14ac:dyDescent="0.25">
      <c r="A387">
        <v>386</v>
      </c>
      <c r="B387" s="1" t="s">
        <v>12</v>
      </c>
      <c r="C387">
        <v>1933</v>
      </c>
      <c r="D387" s="1" t="s">
        <v>128</v>
      </c>
      <c r="E387" s="1" t="s">
        <v>22</v>
      </c>
      <c r="F387">
        <v>14</v>
      </c>
      <c r="G387" s="1" t="s">
        <v>29</v>
      </c>
      <c r="H387">
        <v>14098</v>
      </c>
      <c r="I387">
        <v>350</v>
      </c>
      <c r="J387">
        <v>173</v>
      </c>
      <c r="K387">
        <v>149</v>
      </c>
      <c r="L387">
        <v>861</v>
      </c>
    </row>
    <row r="388" spans="1:12" hidden="1" x14ac:dyDescent="0.25">
      <c r="A388">
        <v>387</v>
      </c>
      <c r="B388" s="1" t="s">
        <v>12</v>
      </c>
      <c r="C388">
        <v>1933</v>
      </c>
      <c r="D388" s="1" t="s">
        <v>128</v>
      </c>
      <c r="E388" s="1" t="s">
        <v>22</v>
      </c>
      <c r="F388">
        <v>14</v>
      </c>
      <c r="G388" s="1" t="s">
        <v>62</v>
      </c>
      <c r="H388">
        <v>14133</v>
      </c>
      <c r="I388">
        <v>100</v>
      </c>
      <c r="J388">
        <v>77</v>
      </c>
      <c r="K388">
        <v>69</v>
      </c>
      <c r="L388">
        <v>896</v>
      </c>
    </row>
    <row r="389" spans="1:12" hidden="1" x14ac:dyDescent="0.25">
      <c r="A389">
        <v>388</v>
      </c>
      <c r="B389" s="1" t="s">
        <v>12</v>
      </c>
      <c r="C389">
        <v>1933</v>
      </c>
      <c r="D389" s="1" t="s">
        <v>128</v>
      </c>
      <c r="E389" s="1" t="s">
        <v>22</v>
      </c>
      <c r="F389">
        <v>14</v>
      </c>
      <c r="G389" s="1" t="s">
        <v>129</v>
      </c>
      <c r="H389">
        <v>14035</v>
      </c>
      <c r="I389">
        <v>50</v>
      </c>
      <c r="J389">
        <v>10</v>
      </c>
      <c r="K389">
        <v>7</v>
      </c>
      <c r="L389">
        <v>700</v>
      </c>
    </row>
    <row r="390" spans="1:12" hidden="1" x14ac:dyDescent="0.25">
      <c r="A390">
        <v>389</v>
      </c>
      <c r="B390" s="1" t="s">
        <v>12</v>
      </c>
      <c r="C390">
        <v>1933</v>
      </c>
      <c r="D390" s="1" t="s">
        <v>128</v>
      </c>
      <c r="E390" s="1" t="s">
        <v>30</v>
      </c>
      <c r="F390">
        <v>18</v>
      </c>
      <c r="G390" s="1" t="s">
        <v>28</v>
      </c>
      <c r="H390">
        <v>18021</v>
      </c>
      <c r="I390">
        <v>600</v>
      </c>
      <c r="J390">
        <v>530</v>
      </c>
      <c r="K390">
        <v>451</v>
      </c>
      <c r="L390">
        <v>850</v>
      </c>
    </row>
    <row r="391" spans="1:12" hidden="1" x14ac:dyDescent="0.25">
      <c r="A391">
        <v>390</v>
      </c>
      <c r="B391" s="1" t="s">
        <v>12</v>
      </c>
      <c r="C391">
        <v>1933</v>
      </c>
      <c r="D391" s="1" t="s">
        <v>128</v>
      </c>
      <c r="E391" s="1" t="s">
        <v>30</v>
      </c>
      <c r="F391">
        <v>18</v>
      </c>
      <c r="G391" s="1" t="s">
        <v>32</v>
      </c>
      <c r="H391">
        <v>18112</v>
      </c>
      <c r="I391">
        <v>521</v>
      </c>
      <c r="J391">
        <v>470</v>
      </c>
      <c r="K391">
        <v>400</v>
      </c>
      <c r="L391">
        <v>850</v>
      </c>
    </row>
    <row r="392" spans="1:12" hidden="1" x14ac:dyDescent="0.25">
      <c r="A392">
        <v>391</v>
      </c>
      <c r="B392" s="1" t="s">
        <v>12</v>
      </c>
      <c r="C392">
        <v>1933</v>
      </c>
      <c r="D392" s="1" t="s">
        <v>128</v>
      </c>
      <c r="E392" s="1" t="s">
        <v>30</v>
      </c>
      <c r="F392">
        <v>18</v>
      </c>
      <c r="G392" s="1" t="s">
        <v>33</v>
      </c>
      <c r="H392">
        <v>18091</v>
      </c>
      <c r="I392">
        <v>407</v>
      </c>
      <c r="J392">
        <v>365</v>
      </c>
      <c r="K392">
        <v>329</v>
      </c>
      <c r="L392">
        <v>900</v>
      </c>
    </row>
    <row r="393" spans="1:12" hidden="1" x14ac:dyDescent="0.25">
      <c r="A393">
        <v>392</v>
      </c>
      <c r="B393" s="1" t="s">
        <v>12</v>
      </c>
      <c r="C393">
        <v>1933</v>
      </c>
      <c r="D393" s="1" t="s">
        <v>128</v>
      </c>
      <c r="E393" s="1" t="s">
        <v>30</v>
      </c>
      <c r="F393">
        <v>18</v>
      </c>
      <c r="G393" s="1" t="s">
        <v>34</v>
      </c>
      <c r="H393">
        <v>18042</v>
      </c>
      <c r="I393">
        <v>385</v>
      </c>
      <c r="J393">
        <v>345</v>
      </c>
      <c r="K393">
        <v>276</v>
      </c>
      <c r="L393">
        <v>800</v>
      </c>
    </row>
    <row r="394" spans="1:12" hidden="1" x14ac:dyDescent="0.25">
      <c r="A394">
        <v>393</v>
      </c>
      <c r="B394" s="1" t="s">
        <v>12</v>
      </c>
      <c r="C394">
        <v>1933</v>
      </c>
      <c r="D394" s="1" t="s">
        <v>128</v>
      </c>
      <c r="E394" s="1" t="s">
        <v>30</v>
      </c>
      <c r="F394">
        <v>18</v>
      </c>
      <c r="G394" s="1" t="s">
        <v>98</v>
      </c>
      <c r="H394">
        <v>18098</v>
      </c>
      <c r="I394">
        <v>358</v>
      </c>
      <c r="J394">
        <v>318</v>
      </c>
      <c r="K394">
        <v>286</v>
      </c>
      <c r="L394">
        <v>900</v>
      </c>
    </row>
    <row r="395" spans="1:12" hidden="1" x14ac:dyDescent="0.25">
      <c r="A395">
        <v>394</v>
      </c>
      <c r="B395" s="1" t="s">
        <v>12</v>
      </c>
      <c r="C395">
        <v>1933</v>
      </c>
      <c r="D395" s="1" t="s">
        <v>128</v>
      </c>
      <c r="E395" s="1" t="s">
        <v>30</v>
      </c>
      <c r="F395">
        <v>18</v>
      </c>
      <c r="G395" s="1" t="s">
        <v>39</v>
      </c>
      <c r="H395">
        <v>18084</v>
      </c>
      <c r="I395">
        <v>301</v>
      </c>
      <c r="J395">
        <v>270</v>
      </c>
      <c r="K395">
        <v>230</v>
      </c>
      <c r="L395">
        <v>852</v>
      </c>
    </row>
    <row r="396" spans="1:12" hidden="1" x14ac:dyDescent="0.25">
      <c r="A396">
        <v>395</v>
      </c>
      <c r="B396" s="1" t="s">
        <v>12</v>
      </c>
      <c r="C396">
        <v>1933</v>
      </c>
      <c r="D396" s="1" t="s">
        <v>128</v>
      </c>
      <c r="E396" s="1" t="s">
        <v>30</v>
      </c>
      <c r="F396">
        <v>18</v>
      </c>
      <c r="G396" s="1" t="s">
        <v>43</v>
      </c>
      <c r="H396">
        <v>18070</v>
      </c>
      <c r="I396">
        <v>250</v>
      </c>
      <c r="J396">
        <v>225</v>
      </c>
      <c r="K396">
        <v>191</v>
      </c>
      <c r="L396">
        <v>849</v>
      </c>
    </row>
    <row r="397" spans="1:12" hidden="1" x14ac:dyDescent="0.25">
      <c r="A397">
        <v>396</v>
      </c>
      <c r="B397" s="1" t="s">
        <v>12</v>
      </c>
      <c r="C397">
        <v>1933</v>
      </c>
      <c r="D397" s="1" t="s">
        <v>128</v>
      </c>
      <c r="E397" s="1" t="s">
        <v>30</v>
      </c>
      <c r="F397">
        <v>18</v>
      </c>
      <c r="G397" s="1" t="s">
        <v>36</v>
      </c>
      <c r="H397">
        <v>18133</v>
      </c>
      <c r="I397">
        <v>237</v>
      </c>
      <c r="J397">
        <v>210</v>
      </c>
      <c r="K397">
        <v>168</v>
      </c>
      <c r="L397">
        <v>800</v>
      </c>
    </row>
    <row r="398" spans="1:12" hidden="1" x14ac:dyDescent="0.25">
      <c r="A398">
        <v>397</v>
      </c>
      <c r="B398" s="1" t="s">
        <v>12</v>
      </c>
      <c r="C398">
        <v>1933</v>
      </c>
      <c r="D398" s="1" t="s">
        <v>128</v>
      </c>
      <c r="E398" s="1" t="s">
        <v>30</v>
      </c>
      <c r="F398">
        <v>18</v>
      </c>
      <c r="G398" s="1" t="s">
        <v>99</v>
      </c>
      <c r="H398">
        <v>18063</v>
      </c>
      <c r="I398">
        <v>209</v>
      </c>
      <c r="J398">
        <v>187</v>
      </c>
      <c r="K398">
        <v>159</v>
      </c>
      <c r="L398">
        <v>850</v>
      </c>
    </row>
    <row r="399" spans="1:12" hidden="1" x14ac:dyDescent="0.25">
      <c r="A399">
        <v>398</v>
      </c>
      <c r="B399" s="1" t="s">
        <v>12</v>
      </c>
      <c r="C399">
        <v>1933</v>
      </c>
      <c r="D399" s="1" t="s">
        <v>128</v>
      </c>
      <c r="E399" s="1" t="s">
        <v>30</v>
      </c>
      <c r="F399">
        <v>18</v>
      </c>
      <c r="G399" s="1" t="s">
        <v>101</v>
      </c>
      <c r="H399">
        <v>18161</v>
      </c>
      <c r="I399">
        <v>179</v>
      </c>
      <c r="J399">
        <v>160</v>
      </c>
      <c r="K399">
        <v>128</v>
      </c>
      <c r="L399">
        <v>800</v>
      </c>
    </row>
    <row r="400" spans="1:12" hidden="1" x14ac:dyDescent="0.25">
      <c r="A400">
        <v>399</v>
      </c>
      <c r="B400" s="1" t="s">
        <v>12</v>
      </c>
      <c r="C400">
        <v>1933</v>
      </c>
      <c r="D400" s="1" t="s">
        <v>128</v>
      </c>
      <c r="E400" s="1" t="s">
        <v>30</v>
      </c>
      <c r="F400">
        <v>18</v>
      </c>
      <c r="G400" s="1" t="s">
        <v>40</v>
      </c>
      <c r="H400">
        <v>18126</v>
      </c>
      <c r="I400">
        <v>143</v>
      </c>
      <c r="J400">
        <v>130</v>
      </c>
      <c r="K400">
        <v>110</v>
      </c>
      <c r="L400">
        <v>846</v>
      </c>
    </row>
    <row r="401" spans="1:12" hidden="1" x14ac:dyDescent="0.25">
      <c r="A401">
        <v>400</v>
      </c>
      <c r="B401" s="1" t="s">
        <v>12</v>
      </c>
      <c r="C401">
        <v>1933</v>
      </c>
      <c r="D401" s="1" t="s">
        <v>128</v>
      </c>
      <c r="E401" s="1" t="s">
        <v>30</v>
      </c>
      <c r="F401">
        <v>18</v>
      </c>
      <c r="G401" s="1" t="s">
        <v>35</v>
      </c>
      <c r="H401">
        <v>18049</v>
      </c>
      <c r="I401">
        <v>140</v>
      </c>
      <c r="J401">
        <v>125</v>
      </c>
      <c r="K401">
        <v>106</v>
      </c>
      <c r="L401">
        <v>848</v>
      </c>
    </row>
    <row r="402" spans="1:12" hidden="1" x14ac:dyDescent="0.25">
      <c r="A402">
        <v>401</v>
      </c>
      <c r="B402" s="1" t="s">
        <v>12</v>
      </c>
      <c r="C402">
        <v>1933</v>
      </c>
      <c r="D402" s="1" t="s">
        <v>128</v>
      </c>
      <c r="E402" s="1" t="s">
        <v>30</v>
      </c>
      <c r="F402">
        <v>18</v>
      </c>
      <c r="G402" s="1" t="s">
        <v>63</v>
      </c>
      <c r="H402">
        <v>18028</v>
      </c>
      <c r="I402">
        <v>135</v>
      </c>
      <c r="J402">
        <v>120</v>
      </c>
      <c r="K402">
        <v>108</v>
      </c>
      <c r="L402">
        <v>900</v>
      </c>
    </row>
    <row r="403" spans="1:12" hidden="1" x14ac:dyDescent="0.25">
      <c r="A403">
        <v>402</v>
      </c>
      <c r="B403" s="1" t="s">
        <v>12</v>
      </c>
      <c r="C403">
        <v>1933</v>
      </c>
      <c r="D403" s="1" t="s">
        <v>128</v>
      </c>
      <c r="E403" s="1" t="s">
        <v>30</v>
      </c>
      <c r="F403">
        <v>18</v>
      </c>
      <c r="G403" s="1" t="s">
        <v>105</v>
      </c>
      <c r="H403">
        <v>18105</v>
      </c>
      <c r="I403">
        <v>127</v>
      </c>
      <c r="J403">
        <v>114</v>
      </c>
      <c r="K403">
        <v>97</v>
      </c>
      <c r="L403">
        <v>850</v>
      </c>
    </row>
    <row r="404" spans="1:12" hidden="1" x14ac:dyDescent="0.25">
      <c r="A404">
        <v>403</v>
      </c>
      <c r="B404" s="1" t="s">
        <v>12</v>
      </c>
      <c r="C404">
        <v>1933</v>
      </c>
      <c r="D404" s="1" t="s">
        <v>128</v>
      </c>
      <c r="E404" s="1" t="s">
        <v>30</v>
      </c>
      <c r="F404">
        <v>18</v>
      </c>
      <c r="G404" s="1" t="s">
        <v>38</v>
      </c>
      <c r="H404">
        <v>18007</v>
      </c>
      <c r="I404">
        <v>105</v>
      </c>
      <c r="J404">
        <v>95</v>
      </c>
      <c r="K404">
        <v>81</v>
      </c>
      <c r="L404">
        <v>853</v>
      </c>
    </row>
    <row r="405" spans="1:12" hidden="1" x14ac:dyDescent="0.25">
      <c r="A405">
        <v>404</v>
      </c>
      <c r="B405" s="1" t="s">
        <v>12</v>
      </c>
      <c r="C405">
        <v>1933</v>
      </c>
      <c r="D405" s="1" t="s">
        <v>128</v>
      </c>
      <c r="E405" s="1" t="s">
        <v>30</v>
      </c>
      <c r="F405">
        <v>18</v>
      </c>
      <c r="G405" s="1" t="s">
        <v>100</v>
      </c>
      <c r="H405">
        <v>18077</v>
      </c>
      <c r="I405">
        <v>94</v>
      </c>
      <c r="J405">
        <v>84</v>
      </c>
      <c r="K405">
        <v>67</v>
      </c>
      <c r="L405">
        <v>798</v>
      </c>
    </row>
    <row r="406" spans="1:12" hidden="1" x14ac:dyDescent="0.25">
      <c r="A406">
        <v>405</v>
      </c>
      <c r="B406" s="1" t="s">
        <v>12</v>
      </c>
      <c r="C406">
        <v>1933</v>
      </c>
      <c r="D406" s="1" t="s">
        <v>128</v>
      </c>
      <c r="E406" s="1" t="s">
        <v>30</v>
      </c>
      <c r="F406">
        <v>18</v>
      </c>
      <c r="G406" s="1" t="s">
        <v>41</v>
      </c>
      <c r="H406">
        <v>18140</v>
      </c>
      <c r="I406">
        <v>27</v>
      </c>
      <c r="J406">
        <v>24</v>
      </c>
      <c r="K406">
        <v>19</v>
      </c>
      <c r="L406">
        <v>791</v>
      </c>
    </row>
    <row r="407" spans="1:12" hidden="1" x14ac:dyDescent="0.25">
      <c r="A407">
        <v>406</v>
      </c>
      <c r="B407" s="1" t="s">
        <v>12</v>
      </c>
      <c r="C407">
        <v>1933</v>
      </c>
      <c r="D407" s="1" t="s">
        <v>128</v>
      </c>
      <c r="E407" s="1" t="s">
        <v>30</v>
      </c>
      <c r="F407">
        <v>18</v>
      </c>
      <c r="G407" s="1" t="s">
        <v>102</v>
      </c>
      <c r="H407">
        <v>18014</v>
      </c>
      <c r="I407">
        <v>16</v>
      </c>
      <c r="J407">
        <v>14</v>
      </c>
      <c r="K407">
        <v>12</v>
      </c>
      <c r="L407">
        <v>857</v>
      </c>
    </row>
    <row r="408" spans="1:12" hidden="1" x14ac:dyDescent="0.25">
      <c r="A408">
        <v>407</v>
      </c>
      <c r="B408" s="1" t="s">
        <v>12</v>
      </c>
      <c r="C408">
        <v>1933</v>
      </c>
      <c r="D408" s="1" t="s">
        <v>128</v>
      </c>
      <c r="E408" s="1" t="s">
        <v>30</v>
      </c>
      <c r="F408">
        <v>18</v>
      </c>
      <c r="G408" s="1" t="s">
        <v>42</v>
      </c>
      <c r="H408">
        <v>18035</v>
      </c>
      <c r="I408">
        <v>16</v>
      </c>
      <c r="J408">
        <v>14</v>
      </c>
      <c r="K408">
        <v>12</v>
      </c>
      <c r="L408">
        <v>857</v>
      </c>
    </row>
    <row r="409" spans="1:12" hidden="1" x14ac:dyDescent="0.25">
      <c r="A409">
        <v>408</v>
      </c>
      <c r="B409" s="1" t="s">
        <v>12</v>
      </c>
      <c r="C409">
        <v>1933</v>
      </c>
      <c r="D409" s="1" t="s">
        <v>128</v>
      </c>
      <c r="E409" s="1" t="s">
        <v>45</v>
      </c>
      <c r="F409">
        <v>30</v>
      </c>
      <c r="G409" s="1" t="s">
        <v>46</v>
      </c>
      <c r="H409">
        <v>30028</v>
      </c>
      <c r="I409">
        <v>8500</v>
      </c>
      <c r="J409">
        <v>8500</v>
      </c>
      <c r="K409">
        <v>6800</v>
      </c>
      <c r="L409">
        <v>800</v>
      </c>
    </row>
    <row r="410" spans="1:12" hidden="1" x14ac:dyDescent="0.25">
      <c r="A410">
        <v>409</v>
      </c>
      <c r="B410" s="1" t="s">
        <v>12</v>
      </c>
      <c r="C410">
        <v>1933</v>
      </c>
      <c r="D410" s="1" t="s">
        <v>128</v>
      </c>
      <c r="E410" s="1" t="s">
        <v>45</v>
      </c>
      <c r="F410">
        <v>30</v>
      </c>
      <c r="G410" s="1" t="s">
        <v>47</v>
      </c>
      <c r="H410">
        <v>30015</v>
      </c>
      <c r="I410">
        <v>2000</v>
      </c>
      <c r="J410">
        <v>2000</v>
      </c>
      <c r="K410">
        <v>1600</v>
      </c>
      <c r="L410">
        <v>800</v>
      </c>
    </row>
    <row r="411" spans="1:12" hidden="1" x14ac:dyDescent="0.25">
      <c r="A411">
        <v>410</v>
      </c>
      <c r="B411" s="1" t="s">
        <v>12</v>
      </c>
      <c r="C411">
        <v>1933</v>
      </c>
      <c r="D411" s="1" t="s">
        <v>128</v>
      </c>
      <c r="E411" s="1" t="s">
        <v>45</v>
      </c>
      <c r="F411">
        <v>30</v>
      </c>
      <c r="G411" s="1" t="s">
        <v>123</v>
      </c>
      <c r="H411">
        <v>30084</v>
      </c>
      <c r="I411">
        <v>120</v>
      </c>
      <c r="J411">
        <v>120</v>
      </c>
      <c r="K411">
        <v>84</v>
      </c>
      <c r="L411">
        <v>700</v>
      </c>
    </row>
    <row r="412" spans="1:12" hidden="1" x14ac:dyDescent="0.25">
      <c r="A412">
        <v>411</v>
      </c>
      <c r="B412" s="1" t="s">
        <v>12</v>
      </c>
      <c r="C412">
        <v>1933</v>
      </c>
      <c r="D412" s="1" t="s">
        <v>128</v>
      </c>
      <c r="E412" s="1" t="s">
        <v>45</v>
      </c>
      <c r="F412">
        <v>30</v>
      </c>
      <c r="G412" s="1" t="s">
        <v>27</v>
      </c>
      <c r="H412">
        <v>30008</v>
      </c>
      <c r="I412">
        <v>30</v>
      </c>
      <c r="J412">
        <v>30</v>
      </c>
      <c r="K412">
        <v>24</v>
      </c>
      <c r="L412">
        <v>800</v>
      </c>
    </row>
    <row r="413" spans="1:12" hidden="1" x14ac:dyDescent="0.25">
      <c r="A413">
        <v>412</v>
      </c>
      <c r="B413" s="1" t="s">
        <v>12</v>
      </c>
      <c r="C413">
        <v>1933</v>
      </c>
      <c r="D413" s="1" t="s">
        <v>128</v>
      </c>
      <c r="E413" s="1" t="s">
        <v>48</v>
      </c>
      <c r="F413">
        <v>34</v>
      </c>
      <c r="G413" s="1" t="s">
        <v>108</v>
      </c>
      <c r="H413">
        <v>34042</v>
      </c>
      <c r="I413">
        <v>16</v>
      </c>
      <c r="J413">
        <v>14</v>
      </c>
      <c r="K413">
        <v>7</v>
      </c>
      <c r="L413">
        <v>500</v>
      </c>
    </row>
    <row r="414" spans="1:12" hidden="1" x14ac:dyDescent="0.25">
      <c r="A414">
        <v>413</v>
      </c>
      <c r="B414" s="1" t="s">
        <v>12</v>
      </c>
      <c r="C414">
        <v>1933</v>
      </c>
      <c r="D414" s="1" t="s">
        <v>128</v>
      </c>
      <c r="E414" s="1" t="s">
        <v>48</v>
      </c>
      <c r="F414">
        <v>34</v>
      </c>
      <c r="G414" s="1" t="s">
        <v>49</v>
      </c>
      <c r="H414">
        <v>34049</v>
      </c>
      <c r="I414">
        <v>14</v>
      </c>
      <c r="J414">
        <v>9</v>
      </c>
      <c r="K414">
        <v>4</v>
      </c>
      <c r="L414">
        <v>444</v>
      </c>
    </row>
    <row r="415" spans="1:12" hidden="1" x14ac:dyDescent="0.25">
      <c r="A415">
        <v>414</v>
      </c>
      <c r="B415" s="1" t="s">
        <v>12</v>
      </c>
      <c r="C415">
        <v>1933</v>
      </c>
      <c r="D415" s="1" t="s">
        <v>128</v>
      </c>
      <c r="E415" s="1" t="s">
        <v>48</v>
      </c>
      <c r="F415">
        <v>34</v>
      </c>
      <c r="G415" s="1" t="s">
        <v>52</v>
      </c>
      <c r="H415">
        <v>34035</v>
      </c>
      <c r="I415">
        <v>10</v>
      </c>
      <c r="J415">
        <v>8</v>
      </c>
      <c r="K415">
        <v>3</v>
      </c>
      <c r="L415">
        <v>375</v>
      </c>
    </row>
    <row r="416" spans="1:12" hidden="1" x14ac:dyDescent="0.25">
      <c r="A416">
        <v>415</v>
      </c>
      <c r="B416" s="1" t="s">
        <v>12</v>
      </c>
      <c r="C416">
        <v>1933</v>
      </c>
      <c r="D416" s="1" t="s">
        <v>128</v>
      </c>
      <c r="E416" s="1" t="s">
        <v>48</v>
      </c>
      <c r="F416">
        <v>34</v>
      </c>
      <c r="G416" s="1" t="s">
        <v>48</v>
      </c>
      <c r="H416">
        <v>34014</v>
      </c>
      <c r="I416">
        <v>8</v>
      </c>
      <c r="J416">
        <v>5</v>
      </c>
      <c r="K416">
        <v>2</v>
      </c>
      <c r="L416">
        <v>400</v>
      </c>
    </row>
    <row r="417" spans="1:12" hidden="1" x14ac:dyDescent="0.25">
      <c r="A417">
        <v>416</v>
      </c>
      <c r="B417" s="1" t="s">
        <v>12</v>
      </c>
      <c r="C417">
        <v>1933</v>
      </c>
      <c r="D417" s="1" t="s">
        <v>128</v>
      </c>
      <c r="E417" s="1" t="s">
        <v>48</v>
      </c>
      <c r="F417">
        <v>34</v>
      </c>
      <c r="G417" s="1" t="s">
        <v>51</v>
      </c>
      <c r="H417">
        <v>34056</v>
      </c>
      <c r="I417">
        <v>4</v>
      </c>
      <c r="J417">
        <v>2</v>
      </c>
      <c r="K417">
        <v>1</v>
      </c>
      <c r="L417">
        <v>500</v>
      </c>
    </row>
    <row r="418" spans="1:12" hidden="1" x14ac:dyDescent="0.25">
      <c r="A418">
        <v>417</v>
      </c>
      <c r="B418" s="1" t="s">
        <v>12</v>
      </c>
      <c r="C418">
        <v>1933</v>
      </c>
      <c r="D418" s="1" t="s">
        <v>128</v>
      </c>
      <c r="E418" s="1" t="s">
        <v>48</v>
      </c>
      <c r="F418">
        <v>34</v>
      </c>
      <c r="G418" s="1" t="s">
        <v>50</v>
      </c>
      <c r="H418">
        <v>34021</v>
      </c>
      <c r="I418">
        <v>3</v>
      </c>
      <c r="J418">
        <v>2</v>
      </c>
      <c r="K418">
        <v>1</v>
      </c>
      <c r="L418">
        <v>500</v>
      </c>
    </row>
    <row r="419" spans="1:12" hidden="1" x14ac:dyDescent="0.25">
      <c r="A419">
        <v>418</v>
      </c>
      <c r="B419" s="1" t="s">
        <v>12</v>
      </c>
      <c r="C419">
        <v>1933</v>
      </c>
      <c r="D419" s="1" t="s">
        <v>128</v>
      </c>
      <c r="E419" s="1" t="s">
        <v>53</v>
      </c>
      <c r="F419">
        <v>38</v>
      </c>
      <c r="G419" s="1" t="s">
        <v>54</v>
      </c>
      <c r="H419">
        <v>38014</v>
      </c>
      <c r="I419">
        <v>5</v>
      </c>
      <c r="J419">
        <v>3</v>
      </c>
      <c r="K419">
        <v>4</v>
      </c>
      <c r="L419">
        <v>1333</v>
      </c>
    </row>
    <row r="420" spans="1:12" hidden="1" x14ac:dyDescent="0.25">
      <c r="A420">
        <v>419</v>
      </c>
      <c r="B420" s="1" t="s">
        <v>12</v>
      </c>
      <c r="C420">
        <v>1933</v>
      </c>
      <c r="D420" s="1" t="s">
        <v>128</v>
      </c>
      <c r="E420" s="1" t="s">
        <v>58</v>
      </c>
      <c r="F420">
        <v>54</v>
      </c>
      <c r="G420" s="1" t="s">
        <v>60</v>
      </c>
      <c r="H420">
        <v>54021</v>
      </c>
      <c r="I420">
        <v>351</v>
      </c>
      <c r="J420">
        <v>317</v>
      </c>
      <c r="K420">
        <v>513</v>
      </c>
      <c r="L420">
        <v>1618</v>
      </c>
    </row>
    <row r="421" spans="1:12" hidden="1" x14ac:dyDescent="0.25">
      <c r="A421">
        <v>420</v>
      </c>
      <c r="B421" s="1" t="s">
        <v>12</v>
      </c>
      <c r="C421">
        <v>1933</v>
      </c>
      <c r="D421" s="1" t="s">
        <v>128</v>
      </c>
      <c r="E421" s="1" t="s">
        <v>58</v>
      </c>
      <c r="F421">
        <v>54</v>
      </c>
      <c r="G421" s="1" t="s">
        <v>59</v>
      </c>
      <c r="H421">
        <v>54007</v>
      </c>
      <c r="I421">
        <v>312</v>
      </c>
      <c r="J421">
        <v>260</v>
      </c>
      <c r="K421">
        <v>407</v>
      </c>
      <c r="L421">
        <v>1565</v>
      </c>
    </row>
    <row r="422" spans="1:12" hidden="1" x14ac:dyDescent="0.25">
      <c r="A422">
        <v>421</v>
      </c>
      <c r="B422" s="1" t="s">
        <v>12</v>
      </c>
      <c r="C422">
        <v>1933</v>
      </c>
      <c r="D422" s="1" t="s">
        <v>128</v>
      </c>
      <c r="E422" s="1" t="s">
        <v>58</v>
      </c>
      <c r="F422">
        <v>54</v>
      </c>
      <c r="G422" s="1" t="s">
        <v>62</v>
      </c>
      <c r="H422">
        <v>54105</v>
      </c>
      <c r="I422">
        <v>134</v>
      </c>
      <c r="J422">
        <v>117</v>
      </c>
      <c r="K422">
        <v>224</v>
      </c>
      <c r="L422">
        <v>1915</v>
      </c>
    </row>
    <row r="423" spans="1:12" hidden="1" x14ac:dyDescent="0.25">
      <c r="A423">
        <v>422</v>
      </c>
      <c r="B423" s="1" t="s">
        <v>12</v>
      </c>
      <c r="C423">
        <v>1933</v>
      </c>
      <c r="D423" s="1" t="s">
        <v>128</v>
      </c>
      <c r="E423" s="1" t="s">
        <v>58</v>
      </c>
      <c r="F423">
        <v>54</v>
      </c>
      <c r="G423" s="1" t="s">
        <v>61</v>
      </c>
      <c r="H423">
        <v>54098</v>
      </c>
      <c r="I423">
        <v>59</v>
      </c>
      <c r="J423">
        <v>43</v>
      </c>
      <c r="K423">
        <v>68</v>
      </c>
      <c r="L423">
        <v>1581</v>
      </c>
    </row>
    <row r="424" spans="1:12" hidden="1" x14ac:dyDescent="0.25">
      <c r="A424">
        <v>423</v>
      </c>
      <c r="B424" s="1" t="s">
        <v>12</v>
      </c>
      <c r="C424">
        <v>1933</v>
      </c>
      <c r="D424" s="1" t="s">
        <v>128</v>
      </c>
      <c r="E424" s="1" t="s">
        <v>58</v>
      </c>
      <c r="F424">
        <v>54</v>
      </c>
      <c r="G424" s="1" t="s">
        <v>63</v>
      </c>
      <c r="H424">
        <v>54035</v>
      </c>
      <c r="I424">
        <v>44</v>
      </c>
      <c r="J424">
        <v>28</v>
      </c>
      <c r="K424">
        <v>53</v>
      </c>
      <c r="L424">
        <v>1893</v>
      </c>
    </row>
    <row r="425" spans="1:12" hidden="1" x14ac:dyDescent="0.25">
      <c r="A425">
        <v>424</v>
      </c>
      <c r="B425" s="1" t="s">
        <v>12</v>
      </c>
      <c r="C425">
        <v>1933</v>
      </c>
      <c r="D425" s="1" t="s">
        <v>128</v>
      </c>
      <c r="E425" s="1" t="s">
        <v>87</v>
      </c>
      <c r="F425">
        <v>66</v>
      </c>
      <c r="G425" s="1" t="s">
        <v>130</v>
      </c>
      <c r="H425">
        <v>66147</v>
      </c>
      <c r="I425">
        <v>18</v>
      </c>
      <c r="J425">
        <v>18</v>
      </c>
      <c r="K425">
        <v>27</v>
      </c>
      <c r="L425">
        <v>1500</v>
      </c>
    </row>
    <row r="426" spans="1:12" hidden="1" x14ac:dyDescent="0.25">
      <c r="A426">
        <v>425</v>
      </c>
      <c r="B426" s="1" t="s">
        <v>12</v>
      </c>
      <c r="C426">
        <v>1933</v>
      </c>
      <c r="D426" s="1" t="s">
        <v>128</v>
      </c>
      <c r="E426" s="1" t="s">
        <v>87</v>
      </c>
      <c r="F426">
        <v>66</v>
      </c>
      <c r="G426" s="1" t="s">
        <v>131</v>
      </c>
      <c r="H426">
        <v>66049</v>
      </c>
      <c r="I426">
        <v>10</v>
      </c>
      <c r="J426">
        <v>10</v>
      </c>
      <c r="K426">
        <v>16</v>
      </c>
      <c r="L426">
        <v>1600</v>
      </c>
    </row>
    <row r="427" spans="1:12" hidden="1" x14ac:dyDescent="0.25">
      <c r="A427">
        <v>426</v>
      </c>
      <c r="B427" s="1" t="s">
        <v>12</v>
      </c>
      <c r="C427">
        <v>1933</v>
      </c>
      <c r="D427" s="1" t="s">
        <v>128</v>
      </c>
      <c r="E427" s="1" t="s">
        <v>87</v>
      </c>
      <c r="F427">
        <v>66</v>
      </c>
      <c r="G427" s="1" t="s">
        <v>132</v>
      </c>
      <c r="H427">
        <v>66084</v>
      </c>
      <c r="I427">
        <v>7</v>
      </c>
      <c r="J427">
        <v>7</v>
      </c>
      <c r="K427">
        <v>11</v>
      </c>
      <c r="L427">
        <v>1571</v>
      </c>
    </row>
    <row r="428" spans="1:12" hidden="1" x14ac:dyDescent="0.25">
      <c r="A428">
        <v>427</v>
      </c>
      <c r="B428" s="1" t="s">
        <v>12</v>
      </c>
      <c r="C428">
        <v>1933</v>
      </c>
      <c r="D428" s="1" t="s">
        <v>128</v>
      </c>
      <c r="E428" s="1" t="s">
        <v>112</v>
      </c>
      <c r="F428">
        <v>70</v>
      </c>
      <c r="G428" s="1" t="s">
        <v>115</v>
      </c>
      <c r="H428">
        <v>70070</v>
      </c>
      <c r="I428">
        <v>7</v>
      </c>
      <c r="J428">
        <v>7</v>
      </c>
      <c r="K428">
        <v>8</v>
      </c>
      <c r="L428">
        <v>1200</v>
      </c>
    </row>
    <row r="429" spans="1:12" hidden="1" x14ac:dyDescent="0.25">
      <c r="A429">
        <v>428</v>
      </c>
      <c r="B429" s="1" t="s">
        <v>12</v>
      </c>
      <c r="C429">
        <v>1933</v>
      </c>
      <c r="D429" s="1" t="s">
        <v>128</v>
      </c>
      <c r="E429" s="1" t="s">
        <v>112</v>
      </c>
      <c r="F429">
        <v>70</v>
      </c>
      <c r="G429" s="1" t="s">
        <v>28</v>
      </c>
      <c r="H429">
        <v>70028</v>
      </c>
      <c r="I429">
        <v>3</v>
      </c>
      <c r="J429">
        <v>3</v>
      </c>
      <c r="K429">
        <v>4</v>
      </c>
      <c r="L429">
        <v>1200</v>
      </c>
    </row>
    <row r="430" spans="1:12" hidden="1" x14ac:dyDescent="0.25">
      <c r="A430">
        <v>429</v>
      </c>
      <c r="B430" s="1" t="s">
        <v>12</v>
      </c>
      <c r="C430">
        <v>1933</v>
      </c>
      <c r="D430" s="1" t="s">
        <v>128</v>
      </c>
      <c r="E430" s="1" t="s">
        <v>116</v>
      </c>
      <c r="F430">
        <v>74</v>
      </c>
      <c r="G430" s="1" t="s">
        <v>126</v>
      </c>
      <c r="H430">
        <v>74035</v>
      </c>
      <c r="I430">
        <v>39</v>
      </c>
      <c r="J430">
        <v>16</v>
      </c>
      <c r="K430">
        <v>11</v>
      </c>
      <c r="L430">
        <v>688</v>
      </c>
    </row>
    <row r="431" spans="1:12" hidden="1" x14ac:dyDescent="0.25">
      <c r="A431">
        <v>430</v>
      </c>
      <c r="B431" s="1" t="s">
        <v>12</v>
      </c>
      <c r="C431">
        <v>1933</v>
      </c>
      <c r="D431" s="1" t="s">
        <v>128</v>
      </c>
      <c r="E431" s="1" t="s">
        <v>116</v>
      </c>
      <c r="F431">
        <v>74</v>
      </c>
      <c r="G431" s="1" t="s">
        <v>127</v>
      </c>
      <c r="H431">
        <v>74049</v>
      </c>
      <c r="I431">
        <v>7</v>
      </c>
      <c r="J431">
        <v>4</v>
      </c>
      <c r="K431">
        <v>3</v>
      </c>
      <c r="L431">
        <v>750</v>
      </c>
    </row>
    <row r="432" spans="1:12" hidden="1" x14ac:dyDescent="0.25">
      <c r="A432">
        <v>431</v>
      </c>
      <c r="B432" s="1" t="s">
        <v>12</v>
      </c>
      <c r="C432">
        <v>1933</v>
      </c>
      <c r="D432" s="1" t="s">
        <v>128</v>
      </c>
      <c r="E432" s="1" t="s">
        <v>116</v>
      </c>
      <c r="F432">
        <v>74</v>
      </c>
      <c r="G432" s="1" t="s">
        <v>117</v>
      </c>
      <c r="H432">
        <v>74021</v>
      </c>
      <c r="I432">
        <v>6</v>
      </c>
    </row>
    <row r="433" spans="1:12" hidden="1" x14ac:dyDescent="0.25">
      <c r="A433">
        <v>432</v>
      </c>
      <c r="B433" s="1" t="s">
        <v>12</v>
      </c>
      <c r="C433">
        <v>1933</v>
      </c>
      <c r="D433" s="1" t="s">
        <v>128</v>
      </c>
      <c r="E433" s="1" t="s">
        <v>116</v>
      </c>
      <c r="F433">
        <v>74</v>
      </c>
      <c r="G433" s="1" t="s">
        <v>28</v>
      </c>
      <c r="H433">
        <v>74056</v>
      </c>
      <c r="I433">
        <v>3</v>
      </c>
    </row>
    <row r="434" spans="1:12" hidden="1" x14ac:dyDescent="0.25">
      <c r="A434">
        <v>433</v>
      </c>
      <c r="B434" s="1" t="s">
        <v>12</v>
      </c>
      <c r="C434">
        <v>1933</v>
      </c>
      <c r="D434" s="1" t="s">
        <v>128</v>
      </c>
      <c r="E434" s="1" t="s">
        <v>64</v>
      </c>
      <c r="F434">
        <v>82</v>
      </c>
      <c r="G434" s="1" t="s">
        <v>65</v>
      </c>
      <c r="H434">
        <v>82049</v>
      </c>
      <c r="I434">
        <v>13074</v>
      </c>
      <c r="J434">
        <v>9804</v>
      </c>
      <c r="K434">
        <v>5841</v>
      </c>
      <c r="L434">
        <v>596</v>
      </c>
    </row>
    <row r="435" spans="1:12" hidden="1" x14ac:dyDescent="0.25">
      <c r="A435">
        <v>434</v>
      </c>
      <c r="B435" s="1" t="s">
        <v>12</v>
      </c>
      <c r="C435">
        <v>1933</v>
      </c>
      <c r="D435" s="1" t="s">
        <v>128</v>
      </c>
      <c r="E435" s="1" t="s">
        <v>64</v>
      </c>
      <c r="F435">
        <v>82</v>
      </c>
      <c r="G435" s="1" t="s">
        <v>66</v>
      </c>
      <c r="H435">
        <v>82035</v>
      </c>
      <c r="I435">
        <v>5317</v>
      </c>
      <c r="J435">
        <v>4517</v>
      </c>
      <c r="K435">
        <v>3388</v>
      </c>
      <c r="L435">
        <v>750</v>
      </c>
    </row>
    <row r="436" spans="1:12" hidden="1" x14ac:dyDescent="0.25">
      <c r="A436">
        <v>435</v>
      </c>
      <c r="B436" s="1" t="s">
        <v>12</v>
      </c>
      <c r="C436">
        <v>1933</v>
      </c>
      <c r="D436" s="1" t="s">
        <v>128</v>
      </c>
      <c r="E436" s="1" t="s">
        <v>64</v>
      </c>
      <c r="F436">
        <v>82</v>
      </c>
      <c r="G436" s="1" t="s">
        <v>62</v>
      </c>
      <c r="H436">
        <v>82098</v>
      </c>
      <c r="I436">
        <v>430</v>
      </c>
      <c r="J436">
        <v>305</v>
      </c>
      <c r="K436">
        <v>267</v>
      </c>
      <c r="L436">
        <v>875</v>
      </c>
    </row>
    <row r="437" spans="1:12" hidden="1" x14ac:dyDescent="0.25">
      <c r="A437">
        <v>436</v>
      </c>
      <c r="B437" s="1" t="s">
        <v>12</v>
      </c>
      <c r="C437">
        <v>1933</v>
      </c>
      <c r="D437" s="1" t="s">
        <v>128</v>
      </c>
      <c r="E437" s="1" t="s">
        <v>64</v>
      </c>
      <c r="F437">
        <v>82</v>
      </c>
      <c r="G437" s="1" t="s">
        <v>28</v>
      </c>
      <c r="H437">
        <v>82063</v>
      </c>
      <c r="I437">
        <v>200</v>
      </c>
      <c r="J437">
        <v>160</v>
      </c>
      <c r="K437">
        <v>144</v>
      </c>
      <c r="L437">
        <v>900</v>
      </c>
    </row>
    <row r="438" spans="1:12" hidden="1" x14ac:dyDescent="0.25">
      <c r="A438">
        <v>437</v>
      </c>
      <c r="B438" s="1" t="s">
        <v>12</v>
      </c>
      <c r="C438">
        <v>1933</v>
      </c>
      <c r="D438" s="1" t="s">
        <v>128</v>
      </c>
      <c r="E438" s="1" t="s">
        <v>64</v>
      </c>
      <c r="F438">
        <v>82</v>
      </c>
      <c r="G438" s="1" t="s">
        <v>67</v>
      </c>
      <c r="H438">
        <v>82112</v>
      </c>
      <c r="I438">
        <v>159</v>
      </c>
      <c r="J438">
        <v>119</v>
      </c>
      <c r="K438">
        <v>100</v>
      </c>
      <c r="L438">
        <v>840</v>
      </c>
    </row>
    <row r="439" spans="1:12" hidden="1" x14ac:dyDescent="0.25">
      <c r="A439">
        <v>438</v>
      </c>
      <c r="B439" s="1" t="s">
        <v>12</v>
      </c>
      <c r="C439">
        <v>1933</v>
      </c>
      <c r="D439" s="1" t="s">
        <v>128</v>
      </c>
      <c r="E439" s="1" t="s">
        <v>64</v>
      </c>
      <c r="F439">
        <v>82</v>
      </c>
      <c r="G439" s="1" t="s">
        <v>133</v>
      </c>
      <c r="H439">
        <v>82133</v>
      </c>
      <c r="I439">
        <v>56</v>
      </c>
      <c r="J439">
        <v>45</v>
      </c>
      <c r="K439">
        <v>38</v>
      </c>
      <c r="L439">
        <v>844</v>
      </c>
    </row>
    <row r="440" spans="1:12" hidden="1" x14ac:dyDescent="0.25">
      <c r="A440">
        <v>439</v>
      </c>
      <c r="B440" s="1" t="s">
        <v>12</v>
      </c>
      <c r="C440">
        <v>1933</v>
      </c>
      <c r="D440" s="1" t="s">
        <v>128</v>
      </c>
      <c r="E440" s="1" t="s">
        <v>64</v>
      </c>
      <c r="F440">
        <v>82</v>
      </c>
      <c r="G440" s="1" t="s">
        <v>134</v>
      </c>
      <c r="H440">
        <v>82070</v>
      </c>
      <c r="I440">
        <v>14</v>
      </c>
      <c r="J440">
        <v>10</v>
      </c>
      <c r="K440">
        <v>9</v>
      </c>
      <c r="L440">
        <v>900</v>
      </c>
    </row>
    <row r="441" spans="1:12" hidden="1" x14ac:dyDescent="0.25">
      <c r="A441">
        <v>440</v>
      </c>
      <c r="B441" s="1" t="s">
        <v>12</v>
      </c>
      <c r="C441">
        <v>1933</v>
      </c>
      <c r="D441" s="1" t="s">
        <v>128</v>
      </c>
      <c r="E441" s="1" t="s">
        <v>68</v>
      </c>
      <c r="F441">
        <v>86</v>
      </c>
      <c r="G441" s="1" t="s">
        <v>75</v>
      </c>
      <c r="H441">
        <v>86035</v>
      </c>
      <c r="I441">
        <v>43</v>
      </c>
      <c r="J441">
        <v>36</v>
      </c>
      <c r="K441">
        <v>32</v>
      </c>
      <c r="L441">
        <v>889</v>
      </c>
    </row>
    <row r="442" spans="1:12" hidden="1" x14ac:dyDescent="0.25">
      <c r="A442">
        <v>441</v>
      </c>
      <c r="B442" s="1" t="s">
        <v>12</v>
      </c>
      <c r="C442">
        <v>1933</v>
      </c>
      <c r="D442" s="1" t="s">
        <v>128</v>
      </c>
      <c r="E442" s="1" t="s">
        <v>68</v>
      </c>
      <c r="F442">
        <v>86</v>
      </c>
      <c r="G442" s="1" t="s">
        <v>28</v>
      </c>
      <c r="H442">
        <v>86049</v>
      </c>
      <c r="I442">
        <v>15</v>
      </c>
      <c r="J442">
        <v>15</v>
      </c>
      <c r="K442">
        <v>15</v>
      </c>
      <c r="L442">
        <v>1000</v>
      </c>
    </row>
    <row r="443" spans="1:12" hidden="1" x14ac:dyDescent="0.25">
      <c r="A443">
        <v>442</v>
      </c>
      <c r="B443" s="1" t="s">
        <v>12</v>
      </c>
      <c r="C443">
        <v>1933</v>
      </c>
      <c r="D443" s="1" t="s">
        <v>128</v>
      </c>
      <c r="E443" s="1" t="s">
        <v>68</v>
      </c>
      <c r="F443">
        <v>86</v>
      </c>
      <c r="G443" s="1" t="s">
        <v>74</v>
      </c>
      <c r="H443">
        <v>86063</v>
      </c>
      <c r="I443">
        <v>10</v>
      </c>
      <c r="J443">
        <v>7</v>
      </c>
      <c r="K443">
        <v>8</v>
      </c>
      <c r="L443">
        <v>1142</v>
      </c>
    </row>
    <row r="444" spans="1:12" hidden="1" x14ac:dyDescent="0.25">
      <c r="A444">
        <v>443</v>
      </c>
      <c r="B444" s="1" t="s">
        <v>12</v>
      </c>
      <c r="C444">
        <v>1933</v>
      </c>
      <c r="D444" s="1" t="s">
        <v>128</v>
      </c>
      <c r="E444" s="1" t="s">
        <v>68</v>
      </c>
      <c r="F444">
        <v>86</v>
      </c>
      <c r="G444" s="1" t="s">
        <v>135</v>
      </c>
      <c r="H444">
        <v>86133</v>
      </c>
      <c r="I444">
        <v>4</v>
      </c>
      <c r="J444">
        <v>4</v>
      </c>
      <c r="K444">
        <v>4</v>
      </c>
      <c r="L444">
        <v>1000</v>
      </c>
    </row>
    <row r="445" spans="1:12" hidden="1" x14ac:dyDescent="0.25">
      <c r="A445">
        <v>444</v>
      </c>
      <c r="B445" s="1" t="s">
        <v>12</v>
      </c>
      <c r="C445">
        <v>1933</v>
      </c>
      <c r="D445" s="1" t="s">
        <v>128</v>
      </c>
      <c r="E445" s="1" t="s">
        <v>68</v>
      </c>
      <c r="F445">
        <v>86</v>
      </c>
      <c r="G445" s="1" t="s">
        <v>76</v>
      </c>
      <c r="H445">
        <v>86161</v>
      </c>
      <c r="I445">
        <v>4</v>
      </c>
      <c r="J445">
        <v>4</v>
      </c>
      <c r="K445">
        <v>4</v>
      </c>
      <c r="L445">
        <v>1000</v>
      </c>
    </row>
    <row r="446" spans="1:12" hidden="1" x14ac:dyDescent="0.25">
      <c r="A446">
        <v>445</v>
      </c>
      <c r="B446" s="1" t="s">
        <v>12</v>
      </c>
      <c r="C446">
        <v>1933</v>
      </c>
      <c r="D446" s="1" t="s">
        <v>128</v>
      </c>
      <c r="E446" s="1" t="s">
        <v>68</v>
      </c>
      <c r="F446">
        <v>86</v>
      </c>
      <c r="G446" s="1" t="s">
        <v>136</v>
      </c>
      <c r="H446">
        <v>86091</v>
      </c>
      <c r="I446">
        <v>3</v>
      </c>
      <c r="J446">
        <v>3</v>
      </c>
      <c r="K446">
        <v>3</v>
      </c>
      <c r="L446">
        <v>1000</v>
      </c>
    </row>
    <row r="447" spans="1:12" hidden="1" x14ac:dyDescent="0.25">
      <c r="A447">
        <v>446</v>
      </c>
      <c r="B447" s="1" t="s">
        <v>12</v>
      </c>
      <c r="C447">
        <v>1933</v>
      </c>
      <c r="D447" s="1" t="s">
        <v>128</v>
      </c>
      <c r="E447" s="1" t="s">
        <v>68</v>
      </c>
      <c r="F447">
        <v>86</v>
      </c>
      <c r="G447" s="1" t="s">
        <v>37</v>
      </c>
      <c r="H447">
        <v>86175</v>
      </c>
      <c r="I447">
        <v>1</v>
      </c>
      <c r="J447">
        <v>1</v>
      </c>
      <c r="K447">
        <v>1</v>
      </c>
      <c r="L447">
        <v>1000</v>
      </c>
    </row>
    <row r="448" spans="1:12" hidden="1" x14ac:dyDescent="0.25">
      <c r="A448">
        <v>447</v>
      </c>
      <c r="B448" s="1" t="s">
        <v>12</v>
      </c>
      <c r="C448">
        <v>1933</v>
      </c>
      <c r="D448" s="1" t="s">
        <v>128</v>
      </c>
      <c r="E448" s="1" t="s">
        <v>77</v>
      </c>
      <c r="F448">
        <v>90</v>
      </c>
      <c r="G448" s="1" t="s">
        <v>78</v>
      </c>
      <c r="H448">
        <v>90007</v>
      </c>
      <c r="I448">
        <v>1500</v>
      </c>
      <c r="J448">
        <v>1300</v>
      </c>
      <c r="K448">
        <v>1755</v>
      </c>
      <c r="L448">
        <v>1350</v>
      </c>
    </row>
    <row r="449" spans="1:12" hidden="1" x14ac:dyDescent="0.25">
      <c r="A449">
        <v>448</v>
      </c>
      <c r="B449" s="1" t="s">
        <v>12</v>
      </c>
      <c r="C449">
        <v>1933</v>
      </c>
      <c r="D449" s="1" t="s">
        <v>128</v>
      </c>
      <c r="E449" s="1" t="s">
        <v>77</v>
      </c>
      <c r="F449">
        <v>90</v>
      </c>
      <c r="G449" s="1" t="s">
        <v>91</v>
      </c>
      <c r="H449">
        <v>90014</v>
      </c>
      <c r="I449">
        <v>900</v>
      </c>
      <c r="J449">
        <v>650</v>
      </c>
      <c r="K449">
        <v>780</v>
      </c>
      <c r="L449">
        <v>1200</v>
      </c>
    </row>
    <row r="450" spans="1:12" hidden="1" x14ac:dyDescent="0.25">
      <c r="A450">
        <v>449</v>
      </c>
      <c r="B450" s="1" t="s">
        <v>12</v>
      </c>
      <c r="C450">
        <v>1933</v>
      </c>
      <c r="D450" s="1" t="s">
        <v>128</v>
      </c>
      <c r="E450" s="1" t="s">
        <v>77</v>
      </c>
      <c r="F450">
        <v>90</v>
      </c>
      <c r="G450" s="1" t="s">
        <v>92</v>
      </c>
      <c r="H450">
        <v>90056</v>
      </c>
      <c r="I450">
        <v>750</v>
      </c>
      <c r="J450">
        <v>600</v>
      </c>
      <c r="K450">
        <v>600</v>
      </c>
      <c r="L450">
        <v>1000</v>
      </c>
    </row>
    <row r="451" spans="1:12" hidden="1" x14ac:dyDescent="0.25">
      <c r="A451">
        <v>450</v>
      </c>
      <c r="B451" s="1" t="s">
        <v>12</v>
      </c>
      <c r="C451">
        <v>1933</v>
      </c>
      <c r="D451" s="1" t="s">
        <v>128</v>
      </c>
      <c r="E451" s="1" t="s">
        <v>77</v>
      </c>
      <c r="F451">
        <v>90</v>
      </c>
      <c r="G451" s="1" t="s">
        <v>31</v>
      </c>
      <c r="I451">
        <v>400</v>
      </c>
      <c r="J451">
        <v>150</v>
      </c>
      <c r="K451">
        <v>105</v>
      </c>
      <c r="L451">
        <v>700</v>
      </c>
    </row>
    <row r="452" spans="1:12" hidden="1" x14ac:dyDescent="0.25">
      <c r="A452">
        <v>451</v>
      </c>
      <c r="B452" s="1" t="s">
        <v>12</v>
      </c>
      <c r="C452">
        <v>1933</v>
      </c>
      <c r="D452" s="1" t="s">
        <v>128</v>
      </c>
      <c r="E452" s="1" t="s">
        <v>77</v>
      </c>
      <c r="F452">
        <v>90</v>
      </c>
      <c r="G452" s="1" t="s">
        <v>90</v>
      </c>
      <c r="H452">
        <v>90112</v>
      </c>
      <c r="I452">
        <v>250</v>
      </c>
      <c r="J452">
        <v>130</v>
      </c>
      <c r="K452">
        <v>114</v>
      </c>
      <c r="L452">
        <v>877</v>
      </c>
    </row>
    <row r="453" spans="1:12" hidden="1" x14ac:dyDescent="0.25">
      <c r="A453">
        <v>452</v>
      </c>
      <c r="B453" s="1" t="s">
        <v>12</v>
      </c>
      <c r="C453">
        <v>1933</v>
      </c>
      <c r="D453" s="1" t="s">
        <v>128</v>
      </c>
      <c r="E453" s="1" t="s">
        <v>77</v>
      </c>
      <c r="F453">
        <v>90</v>
      </c>
      <c r="G453" s="1" t="s">
        <v>109</v>
      </c>
      <c r="H453">
        <v>90077</v>
      </c>
      <c r="I453">
        <v>200</v>
      </c>
      <c r="J453">
        <v>100</v>
      </c>
      <c r="K453">
        <v>90</v>
      </c>
      <c r="L453">
        <v>900</v>
      </c>
    </row>
    <row r="454" spans="1:12" hidden="1" x14ac:dyDescent="0.25">
      <c r="A454">
        <v>453</v>
      </c>
      <c r="B454" s="1" t="s">
        <v>12</v>
      </c>
      <c r="C454">
        <v>1933</v>
      </c>
      <c r="D454" s="1" t="s">
        <v>128</v>
      </c>
      <c r="E454" s="1" t="s">
        <v>77</v>
      </c>
      <c r="F454">
        <v>90</v>
      </c>
      <c r="G454" s="1" t="s">
        <v>95</v>
      </c>
      <c r="H454">
        <v>90035</v>
      </c>
      <c r="I454">
        <v>100</v>
      </c>
      <c r="J454">
        <v>80</v>
      </c>
      <c r="K454">
        <v>80</v>
      </c>
      <c r="L454">
        <v>1000</v>
      </c>
    </row>
    <row r="455" spans="1:12" hidden="1" x14ac:dyDescent="0.25">
      <c r="A455">
        <v>454</v>
      </c>
      <c r="B455" s="1" t="s">
        <v>12</v>
      </c>
      <c r="C455">
        <v>1934</v>
      </c>
      <c r="D455" s="1" t="s">
        <v>137</v>
      </c>
      <c r="E455" s="1" t="s">
        <v>80</v>
      </c>
      <c r="F455">
        <v>10</v>
      </c>
      <c r="G455" s="1" t="s">
        <v>82</v>
      </c>
      <c r="H455">
        <v>10077</v>
      </c>
      <c r="I455">
        <v>2</v>
      </c>
      <c r="J455">
        <v>2</v>
      </c>
      <c r="K455">
        <v>2</v>
      </c>
      <c r="L455">
        <v>1000</v>
      </c>
    </row>
    <row r="456" spans="1:12" hidden="1" x14ac:dyDescent="0.25">
      <c r="A456">
        <v>455</v>
      </c>
      <c r="B456" s="1" t="s">
        <v>12</v>
      </c>
      <c r="C456">
        <v>1934</v>
      </c>
      <c r="D456" s="1" t="s">
        <v>137</v>
      </c>
      <c r="E456" s="1" t="s">
        <v>14</v>
      </c>
      <c r="F456">
        <v>22</v>
      </c>
      <c r="G456" s="1" t="s">
        <v>16</v>
      </c>
      <c r="H456">
        <v>22049</v>
      </c>
      <c r="I456">
        <v>166</v>
      </c>
      <c r="J456">
        <v>96</v>
      </c>
      <c r="K456">
        <v>96</v>
      </c>
      <c r="L456">
        <v>1000</v>
      </c>
    </row>
    <row r="457" spans="1:12" hidden="1" x14ac:dyDescent="0.25">
      <c r="A457">
        <v>456</v>
      </c>
      <c r="B457" s="1" t="s">
        <v>12</v>
      </c>
      <c r="C457">
        <v>1934</v>
      </c>
      <c r="D457" s="1" t="s">
        <v>137</v>
      </c>
      <c r="E457" s="1" t="s">
        <v>14</v>
      </c>
      <c r="F457">
        <v>22</v>
      </c>
      <c r="G457" s="1" t="s">
        <v>17</v>
      </c>
      <c r="H457">
        <v>22140</v>
      </c>
      <c r="I457">
        <v>52</v>
      </c>
      <c r="J457">
        <v>42</v>
      </c>
      <c r="K457">
        <v>42</v>
      </c>
      <c r="L457">
        <v>1000</v>
      </c>
    </row>
    <row r="458" spans="1:12" hidden="1" x14ac:dyDescent="0.25">
      <c r="A458">
        <v>457</v>
      </c>
      <c r="B458" s="1" t="s">
        <v>12</v>
      </c>
      <c r="C458">
        <v>1934</v>
      </c>
      <c r="D458" s="1" t="s">
        <v>137</v>
      </c>
      <c r="E458" s="1" t="s">
        <v>14</v>
      </c>
      <c r="F458">
        <v>22</v>
      </c>
      <c r="G458" s="1" t="s">
        <v>18</v>
      </c>
      <c r="H458">
        <v>22084</v>
      </c>
      <c r="I458">
        <v>46</v>
      </c>
      <c r="J458">
        <v>36</v>
      </c>
      <c r="K458">
        <v>36</v>
      </c>
      <c r="L458">
        <v>1000</v>
      </c>
    </row>
    <row r="459" spans="1:12" hidden="1" x14ac:dyDescent="0.25">
      <c r="A459">
        <v>458</v>
      </c>
      <c r="B459" s="1" t="s">
        <v>12</v>
      </c>
      <c r="C459">
        <v>1934</v>
      </c>
      <c r="D459" s="1" t="s">
        <v>137</v>
      </c>
      <c r="E459" s="1" t="s">
        <v>14</v>
      </c>
      <c r="F459">
        <v>22</v>
      </c>
      <c r="G459" s="1" t="s">
        <v>19</v>
      </c>
      <c r="H459">
        <v>22014</v>
      </c>
      <c r="I459">
        <v>12</v>
      </c>
      <c r="J459">
        <v>10</v>
      </c>
      <c r="K459">
        <v>10</v>
      </c>
      <c r="L459">
        <v>1000</v>
      </c>
    </row>
    <row r="460" spans="1:12" hidden="1" x14ac:dyDescent="0.25">
      <c r="A460">
        <v>459</v>
      </c>
      <c r="B460" s="1" t="s">
        <v>12</v>
      </c>
      <c r="C460">
        <v>1934</v>
      </c>
      <c r="D460" s="1" t="s">
        <v>137</v>
      </c>
      <c r="E460" s="1" t="s">
        <v>14</v>
      </c>
      <c r="F460">
        <v>22</v>
      </c>
      <c r="G460" s="1" t="s">
        <v>20</v>
      </c>
      <c r="H460">
        <v>22091</v>
      </c>
      <c r="I460">
        <v>12</v>
      </c>
      <c r="J460">
        <v>10</v>
      </c>
      <c r="K460">
        <v>10</v>
      </c>
      <c r="L460">
        <v>1000</v>
      </c>
    </row>
    <row r="461" spans="1:12" hidden="1" x14ac:dyDescent="0.25">
      <c r="A461">
        <v>460</v>
      </c>
      <c r="B461" s="1" t="s">
        <v>12</v>
      </c>
      <c r="C461">
        <v>1934</v>
      </c>
      <c r="D461" s="1" t="s">
        <v>137</v>
      </c>
      <c r="E461" s="1" t="s">
        <v>14</v>
      </c>
      <c r="F461">
        <v>22</v>
      </c>
      <c r="G461" s="1" t="s">
        <v>15</v>
      </c>
      <c r="H461">
        <v>22105</v>
      </c>
      <c r="I461">
        <v>6</v>
      </c>
      <c r="J461">
        <v>6</v>
      </c>
      <c r="K461">
        <v>6</v>
      </c>
      <c r="L461">
        <v>1000</v>
      </c>
    </row>
    <row r="462" spans="1:12" hidden="1" x14ac:dyDescent="0.25">
      <c r="A462">
        <v>461</v>
      </c>
      <c r="B462" s="1" t="s">
        <v>12</v>
      </c>
      <c r="C462">
        <v>1934</v>
      </c>
      <c r="D462" s="1" t="s">
        <v>137</v>
      </c>
      <c r="E462" s="1" t="s">
        <v>22</v>
      </c>
      <c r="F462">
        <v>14</v>
      </c>
      <c r="G462" s="1" t="s">
        <v>24</v>
      </c>
      <c r="H462">
        <v>14119</v>
      </c>
      <c r="I462">
        <v>18000</v>
      </c>
      <c r="J462">
        <v>18000</v>
      </c>
      <c r="K462">
        <v>25228</v>
      </c>
      <c r="L462">
        <v>1401</v>
      </c>
    </row>
    <row r="463" spans="1:12" hidden="1" x14ac:dyDescent="0.25">
      <c r="A463">
        <v>462</v>
      </c>
      <c r="B463" s="1" t="s">
        <v>12</v>
      </c>
      <c r="C463">
        <v>1934</v>
      </c>
      <c r="D463" s="1" t="s">
        <v>137</v>
      </c>
      <c r="E463" s="1" t="s">
        <v>22</v>
      </c>
      <c r="F463">
        <v>14</v>
      </c>
      <c r="G463" s="1" t="s">
        <v>23</v>
      </c>
      <c r="H463">
        <v>14147</v>
      </c>
      <c r="I463">
        <v>10000</v>
      </c>
      <c r="J463">
        <v>10000</v>
      </c>
      <c r="K463">
        <v>14500</v>
      </c>
      <c r="L463">
        <v>1450</v>
      </c>
    </row>
    <row r="464" spans="1:12" hidden="1" x14ac:dyDescent="0.25">
      <c r="A464">
        <v>463</v>
      </c>
      <c r="B464" s="1" t="s">
        <v>12</v>
      </c>
      <c r="C464">
        <v>1934</v>
      </c>
      <c r="D464" s="1" t="s">
        <v>137</v>
      </c>
      <c r="E464" s="1" t="s">
        <v>22</v>
      </c>
      <c r="F464">
        <v>14</v>
      </c>
      <c r="G464" s="1" t="s">
        <v>26</v>
      </c>
      <c r="H464">
        <v>14161</v>
      </c>
      <c r="I464">
        <v>6000</v>
      </c>
      <c r="J464">
        <v>6000</v>
      </c>
      <c r="K464">
        <v>4800</v>
      </c>
      <c r="L464">
        <v>800</v>
      </c>
    </row>
    <row r="465" spans="1:12" hidden="1" x14ac:dyDescent="0.25">
      <c r="A465">
        <v>464</v>
      </c>
      <c r="B465" s="1" t="s">
        <v>12</v>
      </c>
      <c r="C465">
        <v>1934</v>
      </c>
      <c r="D465" s="1" t="s">
        <v>137</v>
      </c>
      <c r="E465" s="1" t="s">
        <v>22</v>
      </c>
      <c r="F465">
        <v>14</v>
      </c>
      <c r="G465" s="1" t="s">
        <v>25</v>
      </c>
      <c r="H465">
        <v>14105</v>
      </c>
      <c r="I465">
        <v>3500</v>
      </c>
      <c r="J465">
        <v>3500</v>
      </c>
      <c r="K465">
        <v>3850</v>
      </c>
      <c r="L465">
        <v>1100</v>
      </c>
    </row>
    <row r="466" spans="1:12" hidden="1" x14ac:dyDescent="0.25">
      <c r="A466">
        <v>465</v>
      </c>
      <c r="B466" s="1" t="s">
        <v>12</v>
      </c>
      <c r="C466">
        <v>1934</v>
      </c>
      <c r="D466" s="1" t="s">
        <v>137</v>
      </c>
      <c r="E466" s="1" t="s">
        <v>22</v>
      </c>
      <c r="F466">
        <v>14</v>
      </c>
      <c r="G466" s="1" t="s">
        <v>28</v>
      </c>
      <c r="H466">
        <v>14014</v>
      </c>
      <c r="I466">
        <v>3400</v>
      </c>
      <c r="J466">
        <v>3400</v>
      </c>
      <c r="K466">
        <v>4760</v>
      </c>
      <c r="L466">
        <v>1400</v>
      </c>
    </row>
    <row r="467" spans="1:12" hidden="1" x14ac:dyDescent="0.25">
      <c r="A467">
        <v>466</v>
      </c>
      <c r="B467" s="1" t="s">
        <v>12</v>
      </c>
      <c r="C467">
        <v>1934</v>
      </c>
      <c r="D467" s="1" t="s">
        <v>137</v>
      </c>
      <c r="E467" s="1" t="s">
        <v>22</v>
      </c>
      <c r="F467">
        <v>14</v>
      </c>
      <c r="G467" s="1" t="s">
        <v>27</v>
      </c>
      <c r="H467">
        <v>14021</v>
      </c>
      <c r="I467">
        <v>3300</v>
      </c>
      <c r="J467">
        <v>3300</v>
      </c>
      <c r="K467">
        <v>4620</v>
      </c>
      <c r="L467">
        <v>1400</v>
      </c>
    </row>
    <row r="468" spans="1:12" hidden="1" x14ac:dyDescent="0.25">
      <c r="A468">
        <v>467</v>
      </c>
      <c r="B468" s="1" t="s">
        <v>12</v>
      </c>
      <c r="C468">
        <v>1934</v>
      </c>
      <c r="D468" s="1" t="s">
        <v>137</v>
      </c>
      <c r="E468" s="1" t="s">
        <v>22</v>
      </c>
      <c r="F468">
        <v>14</v>
      </c>
      <c r="G468" s="1" t="s">
        <v>29</v>
      </c>
      <c r="H468">
        <v>14098</v>
      </c>
      <c r="I468">
        <v>500</v>
      </c>
      <c r="J468">
        <v>450</v>
      </c>
      <c r="K468">
        <v>495</v>
      </c>
      <c r="L468">
        <v>1100</v>
      </c>
    </row>
    <row r="469" spans="1:12" hidden="1" x14ac:dyDescent="0.25">
      <c r="A469">
        <v>468</v>
      </c>
      <c r="B469" s="1" t="s">
        <v>12</v>
      </c>
      <c r="C469">
        <v>1934</v>
      </c>
      <c r="D469" s="1" t="s">
        <v>137</v>
      </c>
      <c r="E469" s="1" t="s">
        <v>22</v>
      </c>
      <c r="F469">
        <v>14</v>
      </c>
      <c r="G469" s="1" t="s">
        <v>97</v>
      </c>
      <c r="H469">
        <v>14007</v>
      </c>
      <c r="I469">
        <v>400</v>
      </c>
      <c r="J469">
        <v>350</v>
      </c>
      <c r="K469">
        <v>350</v>
      </c>
      <c r="L469">
        <v>1000</v>
      </c>
    </row>
    <row r="470" spans="1:12" hidden="1" x14ac:dyDescent="0.25">
      <c r="A470">
        <v>469</v>
      </c>
      <c r="B470" s="1" t="s">
        <v>12</v>
      </c>
      <c r="C470">
        <v>1934</v>
      </c>
      <c r="D470" s="1" t="s">
        <v>137</v>
      </c>
      <c r="E470" s="1" t="s">
        <v>22</v>
      </c>
      <c r="F470">
        <v>14</v>
      </c>
      <c r="G470" s="1" t="s">
        <v>114</v>
      </c>
      <c r="H470">
        <v>14168</v>
      </c>
      <c r="I470">
        <v>400</v>
      </c>
      <c r="J470">
        <v>400</v>
      </c>
      <c r="K470">
        <v>480</v>
      </c>
      <c r="L470">
        <v>1200</v>
      </c>
    </row>
    <row r="471" spans="1:12" hidden="1" x14ac:dyDescent="0.25">
      <c r="A471">
        <v>470</v>
      </c>
      <c r="B471" s="1" t="s">
        <v>12</v>
      </c>
      <c r="C471">
        <v>1934</v>
      </c>
      <c r="D471" s="1" t="s">
        <v>137</v>
      </c>
      <c r="E471" s="1" t="s">
        <v>22</v>
      </c>
      <c r="F471">
        <v>14</v>
      </c>
      <c r="G471" s="1" t="s">
        <v>129</v>
      </c>
      <c r="H471">
        <v>14035</v>
      </c>
      <c r="I471">
        <v>100</v>
      </c>
      <c r="J471">
        <v>90</v>
      </c>
      <c r="K471">
        <v>81</v>
      </c>
      <c r="L471">
        <v>900</v>
      </c>
    </row>
    <row r="472" spans="1:12" hidden="1" x14ac:dyDescent="0.25">
      <c r="A472">
        <v>471</v>
      </c>
      <c r="B472" s="1" t="s">
        <v>12</v>
      </c>
      <c r="C472">
        <v>1934</v>
      </c>
      <c r="D472" s="1" t="s">
        <v>137</v>
      </c>
      <c r="E472" s="1" t="s">
        <v>22</v>
      </c>
      <c r="F472">
        <v>14</v>
      </c>
      <c r="G472" s="1" t="s">
        <v>62</v>
      </c>
      <c r="H472">
        <v>14133</v>
      </c>
      <c r="I472">
        <v>100</v>
      </c>
      <c r="J472">
        <v>90</v>
      </c>
      <c r="K472">
        <v>90</v>
      </c>
      <c r="L472">
        <v>1000</v>
      </c>
    </row>
    <row r="473" spans="1:12" hidden="1" x14ac:dyDescent="0.25">
      <c r="A473">
        <v>472</v>
      </c>
      <c r="B473" s="1" t="s">
        <v>12</v>
      </c>
      <c r="C473">
        <v>1934</v>
      </c>
      <c r="D473" s="1" t="s">
        <v>137</v>
      </c>
      <c r="E473" s="1" t="s">
        <v>30</v>
      </c>
      <c r="F473">
        <v>18</v>
      </c>
      <c r="G473" s="1" t="s">
        <v>40</v>
      </c>
      <c r="H473">
        <v>18126</v>
      </c>
      <c r="I473">
        <v>366</v>
      </c>
      <c r="J473">
        <v>296</v>
      </c>
      <c r="K473">
        <v>296</v>
      </c>
      <c r="L473">
        <v>1000</v>
      </c>
    </row>
    <row r="474" spans="1:12" hidden="1" x14ac:dyDescent="0.25">
      <c r="A474">
        <v>473</v>
      </c>
      <c r="B474" s="1" t="s">
        <v>12</v>
      </c>
      <c r="C474">
        <v>1934</v>
      </c>
      <c r="D474" s="1" t="s">
        <v>137</v>
      </c>
      <c r="E474" s="1" t="s">
        <v>30</v>
      </c>
      <c r="F474">
        <v>18</v>
      </c>
      <c r="G474" s="1" t="s">
        <v>43</v>
      </c>
      <c r="H474">
        <v>18070</v>
      </c>
      <c r="I474">
        <v>300</v>
      </c>
      <c r="J474">
        <v>240</v>
      </c>
      <c r="K474">
        <v>264</v>
      </c>
      <c r="L474">
        <v>1100</v>
      </c>
    </row>
    <row r="475" spans="1:12" hidden="1" x14ac:dyDescent="0.25">
      <c r="A475">
        <v>474</v>
      </c>
      <c r="B475" s="1" t="s">
        <v>12</v>
      </c>
      <c r="C475">
        <v>1934</v>
      </c>
      <c r="D475" s="1" t="s">
        <v>137</v>
      </c>
      <c r="E475" s="1" t="s">
        <v>30</v>
      </c>
      <c r="F475">
        <v>18</v>
      </c>
      <c r="G475" s="1" t="s">
        <v>33</v>
      </c>
      <c r="H475">
        <v>18091</v>
      </c>
      <c r="I475">
        <v>242</v>
      </c>
      <c r="J475">
        <v>194</v>
      </c>
      <c r="K475">
        <v>194</v>
      </c>
      <c r="L475">
        <v>1000</v>
      </c>
    </row>
    <row r="476" spans="1:12" hidden="1" x14ac:dyDescent="0.25">
      <c r="A476">
        <v>475</v>
      </c>
      <c r="B476" s="1" t="s">
        <v>12</v>
      </c>
      <c r="C476">
        <v>1934</v>
      </c>
      <c r="D476" s="1" t="s">
        <v>137</v>
      </c>
      <c r="E476" s="1" t="s">
        <v>30</v>
      </c>
      <c r="F476">
        <v>18</v>
      </c>
      <c r="G476" s="1" t="s">
        <v>28</v>
      </c>
      <c r="H476">
        <v>18021</v>
      </c>
      <c r="I476">
        <v>232</v>
      </c>
      <c r="J476">
        <v>185</v>
      </c>
      <c r="K476">
        <v>173</v>
      </c>
      <c r="L476">
        <v>935</v>
      </c>
    </row>
    <row r="477" spans="1:12" hidden="1" x14ac:dyDescent="0.25">
      <c r="A477">
        <v>476</v>
      </c>
      <c r="B477" s="1" t="s">
        <v>12</v>
      </c>
      <c r="C477">
        <v>1934</v>
      </c>
      <c r="D477" s="1" t="s">
        <v>137</v>
      </c>
      <c r="E477" s="1" t="s">
        <v>30</v>
      </c>
      <c r="F477">
        <v>18</v>
      </c>
      <c r="G477" s="1" t="s">
        <v>34</v>
      </c>
      <c r="H477">
        <v>18042</v>
      </c>
      <c r="I477">
        <v>204</v>
      </c>
      <c r="J477">
        <v>163</v>
      </c>
      <c r="K477">
        <v>147</v>
      </c>
    </row>
    <row r="478" spans="1:12" hidden="1" x14ac:dyDescent="0.25">
      <c r="A478">
        <v>477</v>
      </c>
      <c r="B478" s="1" t="s">
        <v>12</v>
      </c>
      <c r="C478">
        <v>1934</v>
      </c>
      <c r="D478" s="1" t="s">
        <v>137</v>
      </c>
      <c r="E478" s="1" t="s">
        <v>30</v>
      </c>
      <c r="F478">
        <v>18</v>
      </c>
      <c r="G478" s="1" t="s">
        <v>39</v>
      </c>
      <c r="H478">
        <v>18084</v>
      </c>
      <c r="I478">
        <v>200</v>
      </c>
      <c r="J478">
        <v>160</v>
      </c>
      <c r="K478">
        <v>160</v>
      </c>
      <c r="L478">
        <v>1000</v>
      </c>
    </row>
    <row r="479" spans="1:12" hidden="1" x14ac:dyDescent="0.25">
      <c r="A479">
        <v>478</v>
      </c>
      <c r="B479" s="1" t="s">
        <v>12</v>
      </c>
      <c r="C479">
        <v>1934</v>
      </c>
      <c r="D479" s="1" t="s">
        <v>137</v>
      </c>
      <c r="E479" s="1" t="s">
        <v>30</v>
      </c>
      <c r="F479">
        <v>18</v>
      </c>
      <c r="G479" s="1" t="s">
        <v>63</v>
      </c>
      <c r="H479">
        <v>18028</v>
      </c>
      <c r="I479">
        <v>192</v>
      </c>
      <c r="J479">
        <v>152</v>
      </c>
      <c r="K479">
        <v>167</v>
      </c>
      <c r="L479">
        <v>1099</v>
      </c>
    </row>
    <row r="480" spans="1:12" hidden="1" x14ac:dyDescent="0.25">
      <c r="A480">
        <v>479</v>
      </c>
      <c r="B480" s="1" t="s">
        <v>12</v>
      </c>
      <c r="C480">
        <v>1934</v>
      </c>
      <c r="D480" s="1" t="s">
        <v>137</v>
      </c>
      <c r="E480" s="1" t="s">
        <v>30</v>
      </c>
      <c r="F480">
        <v>18</v>
      </c>
      <c r="G480" s="1" t="s">
        <v>41</v>
      </c>
      <c r="H480">
        <v>18140</v>
      </c>
      <c r="I480">
        <v>192</v>
      </c>
      <c r="J480">
        <v>152</v>
      </c>
      <c r="K480">
        <v>137</v>
      </c>
      <c r="L480">
        <v>901</v>
      </c>
    </row>
    <row r="481" spans="1:12" hidden="1" x14ac:dyDescent="0.25">
      <c r="A481">
        <v>480</v>
      </c>
      <c r="B481" s="1" t="s">
        <v>12</v>
      </c>
      <c r="C481">
        <v>1934</v>
      </c>
      <c r="D481" s="1" t="s">
        <v>137</v>
      </c>
      <c r="E481" s="1" t="s">
        <v>30</v>
      </c>
      <c r="F481">
        <v>18</v>
      </c>
      <c r="G481" s="1" t="s">
        <v>99</v>
      </c>
      <c r="H481">
        <v>18063</v>
      </c>
      <c r="I481">
        <v>188</v>
      </c>
      <c r="J481">
        <v>150</v>
      </c>
      <c r="K481">
        <v>165</v>
      </c>
      <c r="L481">
        <v>1100</v>
      </c>
    </row>
    <row r="482" spans="1:12" hidden="1" x14ac:dyDescent="0.25">
      <c r="A482">
        <v>481</v>
      </c>
      <c r="B482" s="1" t="s">
        <v>12</v>
      </c>
      <c r="C482">
        <v>1934</v>
      </c>
      <c r="D482" s="1" t="s">
        <v>137</v>
      </c>
      <c r="E482" s="1" t="s">
        <v>30</v>
      </c>
      <c r="F482">
        <v>18</v>
      </c>
      <c r="G482" s="1" t="s">
        <v>35</v>
      </c>
      <c r="H482">
        <v>18049</v>
      </c>
      <c r="I482">
        <v>184</v>
      </c>
      <c r="J482">
        <v>147</v>
      </c>
      <c r="K482">
        <v>147</v>
      </c>
      <c r="L482">
        <v>1000</v>
      </c>
    </row>
    <row r="483" spans="1:12" hidden="1" x14ac:dyDescent="0.25">
      <c r="A483">
        <v>482</v>
      </c>
      <c r="B483" s="1" t="s">
        <v>12</v>
      </c>
      <c r="C483">
        <v>1934</v>
      </c>
      <c r="D483" s="1" t="s">
        <v>137</v>
      </c>
      <c r="E483" s="1" t="s">
        <v>30</v>
      </c>
      <c r="F483">
        <v>18</v>
      </c>
      <c r="G483" s="1" t="s">
        <v>38</v>
      </c>
      <c r="H483">
        <v>18007</v>
      </c>
      <c r="I483">
        <v>144</v>
      </c>
      <c r="J483">
        <v>114</v>
      </c>
      <c r="K483">
        <v>114</v>
      </c>
      <c r="L483">
        <v>1000</v>
      </c>
    </row>
    <row r="484" spans="1:12" hidden="1" x14ac:dyDescent="0.25">
      <c r="A484">
        <v>483</v>
      </c>
      <c r="B484" s="1" t="s">
        <v>12</v>
      </c>
      <c r="C484">
        <v>1934</v>
      </c>
      <c r="D484" s="1" t="s">
        <v>137</v>
      </c>
      <c r="E484" s="1" t="s">
        <v>30</v>
      </c>
      <c r="F484">
        <v>18</v>
      </c>
      <c r="G484" s="1" t="s">
        <v>36</v>
      </c>
      <c r="H484">
        <v>18133</v>
      </c>
      <c r="I484">
        <v>144</v>
      </c>
      <c r="J484">
        <v>116</v>
      </c>
      <c r="K484">
        <v>104</v>
      </c>
      <c r="L484">
        <v>897</v>
      </c>
    </row>
    <row r="485" spans="1:12" hidden="1" x14ac:dyDescent="0.25">
      <c r="A485">
        <v>484</v>
      </c>
      <c r="B485" s="1" t="s">
        <v>12</v>
      </c>
      <c r="C485">
        <v>1934</v>
      </c>
      <c r="D485" s="1" t="s">
        <v>137</v>
      </c>
      <c r="E485" s="1" t="s">
        <v>30</v>
      </c>
      <c r="F485">
        <v>18</v>
      </c>
      <c r="G485" s="1" t="s">
        <v>98</v>
      </c>
      <c r="H485">
        <v>18098</v>
      </c>
      <c r="I485">
        <v>124</v>
      </c>
      <c r="J485">
        <v>100</v>
      </c>
      <c r="K485">
        <v>110</v>
      </c>
      <c r="L485">
        <v>1100</v>
      </c>
    </row>
    <row r="486" spans="1:12" hidden="1" x14ac:dyDescent="0.25">
      <c r="A486">
        <v>485</v>
      </c>
      <c r="B486" s="1" t="s">
        <v>12</v>
      </c>
      <c r="C486">
        <v>1934</v>
      </c>
      <c r="D486" s="1" t="s">
        <v>137</v>
      </c>
      <c r="E486" s="1" t="s">
        <v>30</v>
      </c>
      <c r="F486">
        <v>18</v>
      </c>
      <c r="G486" s="1" t="s">
        <v>100</v>
      </c>
      <c r="H486">
        <v>18077</v>
      </c>
      <c r="I486">
        <v>100</v>
      </c>
      <c r="J486">
        <v>80</v>
      </c>
      <c r="K486">
        <v>72</v>
      </c>
      <c r="L486">
        <v>900</v>
      </c>
    </row>
    <row r="487" spans="1:12" hidden="1" x14ac:dyDescent="0.25">
      <c r="A487">
        <v>486</v>
      </c>
      <c r="B487" s="1" t="s">
        <v>12</v>
      </c>
      <c r="C487">
        <v>1934</v>
      </c>
      <c r="D487" s="1" t="s">
        <v>137</v>
      </c>
      <c r="E487" s="1" t="s">
        <v>30</v>
      </c>
      <c r="F487">
        <v>18</v>
      </c>
      <c r="G487" s="1" t="s">
        <v>101</v>
      </c>
      <c r="H487">
        <v>18161</v>
      </c>
      <c r="I487">
        <v>86</v>
      </c>
      <c r="J487">
        <v>69</v>
      </c>
      <c r="K487">
        <v>62</v>
      </c>
      <c r="L487">
        <v>899</v>
      </c>
    </row>
    <row r="488" spans="1:12" hidden="1" x14ac:dyDescent="0.25">
      <c r="A488">
        <v>487</v>
      </c>
      <c r="B488" s="1" t="s">
        <v>12</v>
      </c>
      <c r="C488">
        <v>1934</v>
      </c>
      <c r="D488" s="1" t="s">
        <v>137</v>
      </c>
      <c r="E488" s="1" t="s">
        <v>30</v>
      </c>
      <c r="F488">
        <v>18</v>
      </c>
      <c r="G488" s="1" t="s">
        <v>103</v>
      </c>
      <c r="H488">
        <v>18154</v>
      </c>
      <c r="I488">
        <v>70</v>
      </c>
      <c r="J488">
        <v>56</v>
      </c>
      <c r="K488">
        <v>62</v>
      </c>
      <c r="L488">
        <v>1107</v>
      </c>
    </row>
    <row r="489" spans="1:12" hidden="1" x14ac:dyDescent="0.25">
      <c r="A489">
        <v>488</v>
      </c>
      <c r="B489" s="1" t="s">
        <v>12</v>
      </c>
      <c r="C489">
        <v>1934</v>
      </c>
      <c r="D489" s="1" t="s">
        <v>137</v>
      </c>
      <c r="E489" s="1" t="s">
        <v>30</v>
      </c>
      <c r="F489">
        <v>18</v>
      </c>
      <c r="G489" s="1" t="s">
        <v>102</v>
      </c>
      <c r="H489">
        <v>18014</v>
      </c>
      <c r="I489">
        <v>32</v>
      </c>
      <c r="J489">
        <v>26</v>
      </c>
      <c r="K489">
        <v>26</v>
      </c>
      <c r="L489">
        <v>1000</v>
      </c>
    </row>
    <row r="490" spans="1:12" hidden="1" x14ac:dyDescent="0.25">
      <c r="A490">
        <v>489</v>
      </c>
      <c r="B490" s="1" t="s">
        <v>12</v>
      </c>
      <c r="C490">
        <v>1934</v>
      </c>
      <c r="D490" s="1" t="s">
        <v>137</v>
      </c>
      <c r="E490" s="1" t="s">
        <v>45</v>
      </c>
      <c r="F490">
        <v>30</v>
      </c>
      <c r="G490" s="1" t="s">
        <v>46</v>
      </c>
      <c r="H490">
        <v>30028</v>
      </c>
      <c r="I490">
        <v>9000</v>
      </c>
      <c r="J490">
        <v>7000</v>
      </c>
      <c r="K490">
        <v>11200</v>
      </c>
      <c r="L490">
        <v>1600</v>
      </c>
    </row>
    <row r="491" spans="1:12" hidden="1" x14ac:dyDescent="0.25">
      <c r="A491">
        <v>490</v>
      </c>
      <c r="B491" s="1" t="s">
        <v>12</v>
      </c>
      <c r="C491">
        <v>1934</v>
      </c>
      <c r="D491" s="1" t="s">
        <v>137</v>
      </c>
      <c r="E491" s="1" t="s">
        <v>45</v>
      </c>
      <c r="F491">
        <v>30</v>
      </c>
      <c r="G491" s="1" t="s">
        <v>47</v>
      </c>
      <c r="H491">
        <v>30015</v>
      </c>
      <c r="I491">
        <v>2150</v>
      </c>
      <c r="J491">
        <v>2000</v>
      </c>
      <c r="K491">
        <v>3200</v>
      </c>
      <c r="L491">
        <v>1600</v>
      </c>
    </row>
    <row r="492" spans="1:12" hidden="1" x14ac:dyDescent="0.25">
      <c r="A492">
        <v>491</v>
      </c>
      <c r="B492" s="1" t="s">
        <v>12</v>
      </c>
      <c r="C492">
        <v>1934</v>
      </c>
      <c r="D492" s="1" t="s">
        <v>137</v>
      </c>
      <c r="E492" s="1" t="s">
        <v>45</v>
      </c>
      <c r="F492">
        <v>30</v>
      </c>
      <c r="G492" s="1" t="s">
        <v>27</v>
      </c>
      <c r="H492">
        <v>30008</v>
      </c>
      <c r="I492">
        <v>50</v>
      </c>
      <c r="J492">
        <v>40</v>
      </c>
      <c r="K492">
        <v>64</v>
      </c>
      <c r="L492">
        <v>1600</v>
      </c>
    </row>
    <row r="493" spans="1:12" hidden="1" x14ac:dyDescent="0.25">
      <c r="A493">
        <v>492</v>
      </c>
      <c r="B493" s="1" t="s">
        <v>12</v>
      </c>
      <c r="C493">
        <v>1934</v>
      </c>
      <c r="D493" s="1" t="s">
        <v>137</v>
      </c>
      <c r="E493" s="1" t="s">
        <v>48</v>
      </c>
      <c r="F493">
        <v>34</v>
      </c>
      <c r="G493" s="1" t="s">
        <v>108</v>
      </c>
      <c r="H493">
        <v>34042</v>
      </c>
      <c r="I493">
        <v>30</v>
      </c>
      <c r="J493">
        <v>27</v>
      </c>
      <c r="K493">
        <v>19</v>
      </c>
      <c r="L493">
        <v>704</v>
      </c>
    </row>
    <row r="494" spans="1:12" hidden="1" x14ac:dyDescent="0.25">
      <c r="A494">
        <v>493</v>
      </c>
      <c r="B494" s="1" t="s">
        <v>12</v>
      </c>
      <c r="C494">
        <v>1934</v>
      </c>
      <c r="D494" s="1" t="s">
        <v>137</v>
      </c>
      <c r="E494" s="1" t="s">
        <v>48</v>
      </c>
      <c r="F494">
        <v>34</v>
      </c>
      <c r="G494" s="1" t="s">
        <v>49</v>
      </c>
      <c r="H494">
        <v>34049</v>
      </c>
      <c r="I494">
        <v>22</v>
      </c>
      <c r="J494">
        <v>20</v>
      </c>
      <c r="K494">
        <v>14</v>
      </c>
      <c r="L494">
        <v>700</v>
      </c>
    </row>
    <row r="495" spans="1:12" hidden="1" x14ac:dyDescent="0.25">
      <c r="A495">
        <v>494</v>
      </c>
      <c r="B495" s="1" t="s">
        <v>12</v>
      </c>
      <c r="C495">
        <v>1934</v>
      </c>
      <c r="D495" s="1" t="s">
        <v>137</v>
      </c>
      <c r="E495" s="1" t="s">
        <v>48</v>
      </c>
      <c r="F495">
        <v>34</v>
      </c>
      <c r="G495" s="1" t="s">
        <v>52</v>
      </c>
      <c r="H495">
        <v>34035</v>
      </c>
      <c r="I495">
        <v>19</v>
      </c>
      <c r="J495">
        <v>17</v>
      </c>
      <c r="K495">
        <v>12</v>
      </c>
      <c r="L495">
        <v>706</v>
      </c>
    </row>
    <row r="496" spans="1:12" hidden="1" x14ac:dyDescent="0.25">
      <c r="A496">
        <v>495</v>
      </c>
      <c r="B496" s="1" t="s">
        <v>12</v>
      </c>
      <c r="C496">
        <v>1934</v>
      </c>
      <c r="D496" s="1" t="s">
        <v>137</v>
      </c>
      <c r="E496" s="1" t="s">
        <v>48</v>
      </c>
      <c r="F496">
        <v>34</v>
      </c>
      <c r="G496" s="1" t="s">
        <v>48</v>
      </c>
      <c r="H496">
        <v>34014</v>
      </c>
      <c r="I496">
        <v>15</v>
      </c>
      <c r="J496">
        <v>13</v>
      </c>
      <c r="K496">
        <v>9</v>
      </c>
      <c r="L496">
        <v>692</v>
      </c>
    </row>
    <row r="497" spans="1:12" hidden="1" x14ac:dyDescent="0.25">
      <c r="A497">
        <v>496</v>
      </c>
      <c r="B497" s="1" t="s">
        <v>12</v>
      </c>
      <c r="C497">
        <v>1934</v>
      </c>
      <c r="D497" s="1" t="s">
        <v>137</v>
      </c>
      <c r="E497" s="1" t="s">
        <v>48</v>
      </c>
      <c r="F497">
        <v>34</v>
      </c>
      <c r="G497" s="1" t="s">
        <v>51</v>
      </c>
      <c r="H497">
        <v>34056</v>
      </c>
      <c r="I497">
        <v>8</v>
      </c>
      <c r="J497">
        <v>7</v>
      </c>
      <c r="K497">
        <v>5</v>
      </c>
      <c r="L497">
        <v>714</v>
      </c>
    </row>
    <row r="498" spans="1:12" hidden="1" x14ac:dyDescent="0.25">
      <c r="A498">
        <v>497</v>
      </c>
      <c r="B498" s="1" t="s">
        <v>12</v>
      </c>
      <c r="C498">
        <v>1934</v>
      </c>
      <c r="D498" s="1" t="s">
        <v>137</v>
      </c>
      <c r="E498" s="1" t="s">
        <v>48</v>
      </c>
      <c r="F498">
        <v>34</v>
      </c>
      <c r="G498" s="1" t="s">
        <v>50</v>
      </c>
      <c r="H498">
        <v>34021</v>
      </c>
      <c r="I498">
        <v>6</v>
      </c>
      <c r="J498">
        <v>6</v>
      </c>
      <c r="K498">
        <v>4</v>
      </c>
      <c r="L498">
        <v>667</v>
      </c>
    </row>
    <row r="499" spans="1:12" hidden="1" x14ac:dyDescent="0.25">
      <c r="A499">
        <v>498</v>
      </c>
      <c r="B499" s="1" t="s">
        <v>12</v>
      </c>
      <c r="C499">
        <v>1934</v>
      </c>
      <c r="D499" s="1" t="s">
        <v>137</v>
      </c>
      <c r="E499" s="1" t="s">
        <v>138</v>
      </c>
      <c r="F499">
        <v>50</v>
      </c>
      <c r="G499" s="1" t="s">
        <v>139</v>
      </c>
      <c r="H499">
        <v>50105</v>
      </c>
      <c r="I499">
        <v>165</v>
      </c>
      <c r="J499">
        <v>97</v>
      </c>
      <c r="K499">
        <v>97</v>
      </c>
      <c r="L499">
        <v>1000</v>
      </c>
    </row>
    <row r="500" spans="1:12" hidden="1" x14ac:dyDescent="0.25">
      <c r="A500">
        <v>499</v>
      </c>
      <c r="B500" s="1" t="s">
        <v>12</v>
      </c>
      <c r="C500">
        <v>1934</v>
      </c>
      <c r="D500" s="1" t="s">
        <v>137</v>
      </c>
      <c r="E500" s="1" t="s">
        <v>138</v>
      </c>
      <c r="F500">
        <v>50</v>
      </c>
      <c r="G500" s="1" t="s">
        <v>140</v>
      </c>
      <c r="H500">
        <v>50014</v>
      </c>
      <c r="I500">
        <v>15</v>
      </c>
      <c r="J500">
        <v>15</v>
      </c>
      <c r="K500">
        <v>15</v>
      </c>
      <c r="L500">
        <v>1000</v>
      </c>
    </row>
    <row r="501" spans="1:12" hidden="1" x14ac:dyDescent="0.25">
      <c r="A501">
        <v>500</v>
      </c>
      <c r="B501" s="1" t="s">
        <v>12</v>
      </c>
      <c r="C501">
        <v>1934</v>
      </c>
      <c r="D501" s="1" t="s">
        <v>137</v>
      </c>
      <c r="E501" s="1" t="s">
        <v>58</v>
      </c>
      <c r="F501">
        <v>54</v>
      </c>
      <c r="G501" s="1" t="s">
        <v>60</v>
      </c>
      <c r="H501">
        <v>54021</v>
      </c>
      <c r="I501">
        <v>441</v>
      </c>
      <c r="J501">
        <v>395</v>
      </c>
      <c r="K501">
        <v>350</v>
      </c>
      <c r="L501">
        <v>886</v>
      </c>
    </row>
    <row r="502" spans="1:12" hidden="1" x14ac:dyDescent="0.25">
      <c r="A502">
        <v>501</v>
      </c>
      <c r="B502" s="1" t="s">
        <v>12</v>
      </c>
      <c r="C502">
        <v>1934</v>
      </c>
      <c r="D502" s="1" t="s">
        <v>137</v>
      </c>
      <c r="E502" s="1" t="s">
        <v>58</v>
      </c>
      <c r="F502">
        <v>54</v>
      </c>
      <c r="G502" s="1" t="s">
        <v>59</v>
      </c>
      <c r="H502">
        <v>54007</v>
      </c>
      <c r="I502">
        <v>333</v>
      </c>
      <c r="J502">
        <v>288</v>
      </c>
      <c r="K502">
        <v>261</v>
      </c>
      <c r="L502">
        <v>905</v>
      </c>
    </row>
    <row r="503" spans="1:12" hidden="1" x14ac:dyDescent="0.25">
      <c r="A503">
        <v>502</v>
      </c>
      <c r="B503" s="1" t="s">
        <v>12</v>
      </c>
      <c r="C503">
        <v>1934</v>
      </c>
      <c r="D503" s="1" t="s">
        <v>137</v>
      </c>
      <c r="E503" s="1" t="s">
        <v>58</v>
      </c>
      <c r="F503">
        <v>54</v>
      </c>
      <c r="G503" s="1" t="s">
        <v>62</v>
      </c>
      <c r="H503">
        <v>54105</v>
      </c>
      <c r="I503">
        <v>186</v>
      </c>
      <c r="J503">
        <v>154</v>
      </c>
      <c r="K503">
        <v>148</v>
      </c>
      <c r="L503">
        <v>961</v>
      </c>
    </row>
    <row r="504" spans="1:12" hidden="1" x14ac:dyDescent="0.25">
      <c r="A504">
        <v>503</v>
      </c>
      <c r="B504" s="1" t="s">
        <v>12</v>
      </c>
      <c r="C504">
        <v>1934</v>
      </c>
      <c r="D504" s="1" t="s">
        <v>137</v>
      </c>
      <c r="E504" s="1" t="s">
        <v>58</v>
      </c>
      <c r="F504">
        <v>54</v>
      </c>
      <c r="G504" s="1" t="s">
        <v>61</v>
      </c>
      <c r="H504">
        <v>54098</v>
      </c>
      <c r="I504">
        <v>75</v>
      </c>
      <c r="J504">
        <v>53</v>
      </c>
      <c r="K504">
        <v>42</v>
      </c>
      <c r="L504">
        <v>792</v>
      </c>
    </row>
    <row r="505" spans="1:12" hidden="1" x14ac:dyDescent="0.25">
      <c r="A505">
        <v>504</v>
      </c>
      <c r="B505" s="1" t="s">
        <v>12</v>
      </c>
      <c r="C505">
        <v>1934</v>
      </c>
      <c r="D505" s="1" t="s">
        <v>137</v>
      </c>
      <c r="E505" s="1" t="s">
        <v>58</v>
      </c>
      <c r="F505">
        <v>54</v>
      </c>
      <c r="G505" s="1" t="s">
        <v>63</v>
      </c>
      <c r="H505">
        <v>54035</v>
      </c>
      <c r="I505">
        <v>65</v>
      </c>
      <c r="J505">
        <v>60</v>
      </c>
      <c r="K505">
        <v>54</v>
      </c>
      <c r="L505">
        <v>900</v>
      </c>
    </row>
    <row r="506" spans="1:12" hidden="1" x14ac:dyDescent="0.25">
      <c r="A506">
        <v>505</v>
      </c>
      <c r="B506" s="1" t="s">
        <v>12</v>
      </c>
      <c r="C506">
        <v>1934</v>
      </c>
      <c r="D506" s="1" t="s">
        <v>137</v>
      </c>
      <c r="E506" s="1" t="s">
        <v>87</v>
      </c>
      <c r="F506">
        <v>66</v>
      </c>
      <c r="G506" s="1" t="s">
        <v>28</v>
      </c>
      <c r="H506">
        <v>66028</v>
      </c>
      <c r="I506">
        <v>20</v>
      </c>
      <c r="J506">
        <v>19</v>
      </c>
      <c r="K506">
        <v>16</v>
      </c>
      <c r="L506">
        <v>842</v>
      </c>
    </row>
    <row r="507" spans="1:12" hidden="1" x14ac:dyDescent="0.25">
      <c r="A507">
        <v>506</v>
      </c>
      <c r="B507" s="1" t="s">
        <v>12</v>
      </c>
      <c r="C507">
        <v>1934</v>
      </c>
      <c r="D507" s="1" t="s">
        <v>137</v>
      </c>
      <c r="E507" s="1" t="s">
        <v>87</v>
      </c>
      <c r="F507">
        <v>66</v>
      </c>
      <c r="G507" s="1" t="s">
        <v>125</v>
      </c>
      <c r="H507">
        <v>66035</v>
      </c>
      <c r="I507">
        <v>15</v>
      </c>
      <c r="J507">
        <v>13</v>
      </c>
      <c r="K507">
        <v>9</v>
      </c>
      <c r="L507">
        <v>692</v>
      </c>
    </row>
    <row r="508" spans="1:12" hidden="1" x14ac:dyDescent="0.25">
      <c r="A508">
        <v>507</v>
      </c>
      <c r="B508" s="1" t="s">
        <v>12</v>
      </c>
      <c r="C508">
        <v>1934</v>
      </c>
      <c r="D508" s="1" t="s">
        <v>137</v>
      </c>
      <c r="E508" s="1" t="s">
        <v>87</v>
      </c>
      <c r="F508">
        <v>66</v>
      </c>
      <c r="G508" s="1" t="s">
        <v>141</v>
      </c>
      <c r="H508">
        <v>66112</v>
      </c>
      <c r="I508">
        <v>9</v>
      </c>
      <c r="J508">
        <v>8</v>
      </c>
      <c r="K508">
        <v>8</v>
      </c>
      <c r="L508">
        <v>1000</v>
      </c>
    </row>
    <row r="509" spans="1:12" hidden="1" x14ac:dyDescent="0.25">
      <c r="A509">
        <v>508</v>
      </c>
      <c r="B509" s="1" t="s">
        <v>12</v>
      </c>
      <c r="C509">
        <v>1934</v>
      </c>
      <c r="D509" s="1" t="s">
        <v>137</v>
      </c>
      <c r="E509" s="1" t="s">
        <v>87</v>
      </c>
      <c r="F509">
        <v>66</v>
      </c>
      <c r="G509" s="1" t="s">
        <v>130</v>
      </c>
      <c r="H509">
        <v>66147</v>
      </c>
      <c r="I509">
        <v>3</v>
      </c>
      <c r="J509">
        <v>3</v>
      </c>
      <c r="K509">
        <v>2</v>
      </c>
      <c r="L509">
        <v>667</v>
      </c>
    </row>
    <row r="510" spans="1:12" hidden="1" x14ac:dyDescent="0.25">
      <c r="A510">
        <v>509</v>
      </c>
      <c r="B510" s="1" t="s">
        <v>12</v>
      </c>
      <c r="C510">
        <v>1934</v>
      </c>
      <c r="D510" s="1" t="s">
        <v>137</v>
      </c>
      <c r="E510" s="1" t="s">
        <v>112</v>
      </c>
      <c r="F510">
        <v>70</v>
      </c>
      <c r="G510" s="1" t="s">
        <v>115</v>
      </c>
      <c r="H510">
        <v>70070</v>
      </c>
      <c r="I510">
        <v>9</v>
      </c>
      <c r="J510">
        <v>6</v>
      </c>
      <c r="K510">
        <v>7</v>
      </c>
      <c r="L510">
        <v>1167</v>
      </c>
    </row>
    <row r="511" spans="1:12" hidden="1" x14ac:dyDescent="0.25">
      <c r="A511">
        <v>510</v>
      </c>
      <c r="B511" s="1" t="s">
        <v>12</v>
      </c>
      <c r="C511">
        <v>1934</v>
      </c>
      <c r="D511" s="1" t="s">
        <v>137</v>
      </c>
      <c r="E511" s="1" t="s">
        <v>112</v>
      </c>
      <c r="F511">
        <v>70</v>
      </c>
      <c r="G511" s="1" t="s">
        <v>28</v>
      </c>
      <c r="H511">
        <v>70028</v>
      </c>
      <c r="I511">
        <v>6</v>
      </c>
      <c r="J511">
        <v>4</v>
      </c>
      <c r="K511">
        <v>5</v>
      </c>
      <c r="L511">
        <v>1250</v>
      </c>
    </row>
    <row r="512" spans="1:12" hidden="1" x14ac:dyDescent="0.25">
      <c r="A512">
        <v>511</v>
      </c>
      <c r="B512" s="1" t="s">
        <v>12</v>
      </c>
      <c r="C512">
        <v>1934</v>
      </c>
      <c r="D512" s="1" t="s">
        <v>137</v>
      </c>
      <c r="E512" s="1" t="s">
        <v>64</v>
      </c>
      <c r="F512">
        <v>82</v>
      </c>
      <c r="G512" s="1" t="s">
        <v>65</v>
      </c>
      <c r="H512">
        <v>82049</v>
      </c>
      <c r="I512">
        <v>9000</v>
      </c>
      <c r="J512">
        <v>8042</v>
      </c>
      <c r="K512">
        <v>7840</v>
      </c>
      <c r="L512">
        <v>975</v>
      </c>
    </row>
    <row r="513" spans="1:12" hidden="1" x14ac:dyDescent="0.25">
      <c r="A513">
        <v>512</v>
      </c>
      <c r="B513" s="1" t="s">
        <v>12</v>
      </c>
      <c r="C513">
        <v>1934</v>
      </c>
      <c r="D513" s="1" t="s">
        <v>137</v>
      </c>
      <c r="E513" s="1" t="s">
        <v>64</v>
      </c>
      <c r="F513">
        <v>82</v>
      </c>
      <c r="G513" s="1" t="s">
        <v>66</v>
      </c>
      <c r="H513">
        <v>82035</v>
      </c>
      <c r="I513">
        <v>4000</v>
      </c>
      <c r="J513">
        <v>3800</v>
      </c>
      <c r="K513">
        <v>4685</v>
      </c>
      <c r="L513">
        <v>1233</v>
      </c>
    </row>
    <row r="514" spans="1:12" hidden="1" x14ac:dyDescent="0.25">
      <c r="A514">
        <v>513</v>
      </c>
      <c r="B514" s="1" t="s">
        <v>12</v>
      </c>
      <c r="C514">
        <v>1934</v>
      </c>
      <c r="D514" s="1" t="s">
        <v>137</v>
      </c>
      <c r="E514" s="1" t="s">
        <v>64</v>
      </c>
      <c r="F514">
        <v>82</v>
      </c>
      <c r="G514" s="1" t="s">
        <v>62</v>
      </c>
      <c r="H514">
        <v>82098</v>
      </c>
      <c r="I514">
        <v>1050</v>
      </c>
      <c r="J514">
        <v>893</v>
      </c>
      <c r="K514">
        <v>893</v>
      </c>
      <c r="L514">
        <v>1000</v>
      </c>
    </row>
    <row r="515" spans="1:12" hidden="1" x14ac:dyDescent="0.25">
      <c r="A515">
        <v>514</v>
      </c>
      <c r="B515" s="1" t="s">
        <v>12</v>
      </c>
      <c r="C515">
        <v>1934</v>
      </c>
      <c r="D515" s="1" t="s">
        <v>137</v>
      </c>
      <c r="E515" s="1" t="s">
        <v>64</v>
      </c>
      <c r="F515">
        <v>82</v>
      </c>
      <c r="G515" s="1" t="s">
        <v>28</v>
      </c>
      <c r="H515">
        <v>82063</v>
      </c>
      <c r="I515">
        <v>545</v>
      </c>
      <c r="J515">
        <v>485</v>
      </c>
      <c r="K515">
        <v>485</v>
      </c>
      <c r="L515">
        <v>1000</v>
      </c>
    </row>
    <row r="516" spans="1:12" hidden="1" x14ac:dyDescent="0.25">
      <c r="A516">
        <v>515</v>
      </c>
      <c r="B516" s="1" t="s">
        <v>12</v>
      </c>
      <c r="C516">
        <v>1934</v>
      </c>
      <c r="D516" s="1" t="s">
        <v>137</v>
      </c>
      <c r="E516" s="1" t="s">
        <v>64</v>
      </c>
      <c r="F516">
        <v>82</v>
      </c>
      <c r="G516" s="1" t="s">
        <v>133</v>
      </c>
      <c r="H516">
        <v>82133</v>
      </c>
      <c r="I516">
        <v>250</v>
      </c>
      <c r="J516">
        <v>225</v>
      </c>
      <c r="K516">
        <v>225</v>
      </c>
      <c r="L516">
        <v>1000</v>
      </c>
    </row>
    <row r="517" spans="1:12" hidden="1" x14ac:dyDescent="0.25">
      <c r="A517">
        <v>516</v>
      </c>
      <c r="B517" s="1" t="s">
        <v>12</v>
      </c>
      <c r="C517">
        <v>1934</v>
      </c>
      <c r="D517" s="1" t="s">
        <v>137</v>
      </c>
      <c r="E517" s="1" t="s">
        <v>64</v>
      </c>
      <c r="F517">
        <v>82</v>
      </c>
      <c r="G517" s="1" t="s">
        <v>67</v>
      </c>
      <c r="H517">
        <v>82112</v>
      </c>
      <c r="I517">
        <v>55</v>
      </c>
      <c r="J517">
        <v>55</v>
      </c>
      <c r="K517">
        <v>47</v>
      </c>
      <c r="L517">
        <v>854</v>
      </c>
    </row>
    <row r="518" spans="1:12" hidden="1" x14ac:dyDescent="0.25">
      <c r="A518">
        <v>517</v>
      </c>
      <c r="B518" s="1" t="s">
        <v>12</v>
      </c>
      <c r="C518">
        <v>1934</v>
      </c>
      <c r="D518" s="1" t="s">
        <v>137</v>
      </c>
      <c r="E518" s="1" t="s">
        <v>77</v>
      </c>
      <c r="F518">
        <v>90</v>
      </c>
      <c r="G518" s="1" t="s">
        <v>91</v>
      </c>
      <c r="H518">
        <v>90014</v>
      </c>
      <c r="I518">
        <v>1050</v>
      </c>
      <c r="J518">
        <v>750</v>
      </c>
      <c r="K518">
        <v>620</v>
      </c>
      <c r="L518">
        <v>827</v>
      </c>
    </row>
    <row r="519" spans="1:12" hidden="1" x14ac:dyDescent="0.25">
      <c r="A519">
        <v>518</v>
      </c>
      <c r="B519" s="1" t="s">
        <v>12</v>
      </c>
      <c r="C519">
        <v>1934</v>
      </c>
      <c r="D519" s="1" t="s">
        <v>137</v>
      </c>
      <c r="E519" s="1" t="s">
        <v>77</v>
      </c>
      <c r="F519">
        <v>90</v>
      </c>
      <c r="G519" s="1" t="s">
        <v>92</v>
      </c>
      <c r="H519">
        <v>90056</v>
      </c>
      <c r="I519">
        <v>1000</v>
      </c>
      <c r="J519">
        <v>100</v>
      </c>
      <c r="K519">
        <v>75</v>
      </c>
      <c r="L519">
        <v>750</v>
      </c>
    </row>
    <row r="520" spans="1:12" hidden="1" x14ac:dyDescent="0.25">
      <c r="A520">
        <v>519</v>
      </c>
      <c r="B520" s="1" t="s">
        <v>12</v>
      </c>
      <c r="C520">
        <v>1934</v>
      </c>
      <c r="D520" s="1" t="s">
        <v>137</v>
      </c>
      <c r="E520" s="1" t="s">
        <v>77</v>
      </c>
      <c r="F520">
        <v>90</v>
      </c>
      <c r="G520" s="1" t="s">
        <v>78</v>
      </c>
      <c r="H520">
        <v>90007</v>
      </c>
      <c r="I520">
        <v>850</v>
      </c>
      <c r="J520">
        <v>400</v>
      </c>
      <c r="K520">
        <v>300</v>
      </c>
      <c r="L520">
        <v>750</v>
      </c>
    </row>
    <row r="521" spans="1:12" hidden="1" x14ac:dyDescent="0.25">
      <c r="A521">
        <v>520</v>
      </c>
      <c r="B521" s="1" t="s">
        <v>12</v>
      </c>
      <c r="C521">
        <v>1934</v>
      </c>
      <c r="D521" s="1" t="s">
        <v>137</v>
      </c>
      <c r="E521" s="1" t="s">
        <v>77</v>
      </c>
      <c r="F521">
        <v>90</v>
      </c>
      <c r="G521" s="1" t="s">
        <v>109</v>
      </c>
      <c r="H521">
        <v>90077</v>
      </c>
      <c r="I521">
        <v>250</v>
      </c>
      <c r="J521">
        <v>50</v>
      </c>
      <c r="K521">
        <v>42</v>
      </c>
      <c r="L521">
        <v>840</v>
      </c>
    </row>
    <row r="522" spans="1:12" hidden="1" x14ac:dyDescent="0.25">
      <c r="A522">
        <v>521</v>
      </c>
      <c r="B522" s="1" t="s">
        <v>12</v>
      </c>
      <c r="C522">
        <v>1934</v>
      </c>
      <c r="D522" s="1" t="s">
        <v>137</v>
      </c>
      <c r="E522" s="1" t="s">
        <v>77</v>
      </c>
      <c r="F522">
        <v>90</v>
      </c>
      <c r="G522" s="1" t="s">
        <v>90</v>
      </c>
      <c r="H522">
        <v>90112</v>
      </c>
      <c r="I522">
        <v>200</v>
      </c>
      <c r="J522">
        <v>100</v>
      </c>
      <c r="K522">
        <v>85</v>
      </c>
      <c r="L522">
        <v>850</v>
      </c>
    </row>
    <row r="523" spans="1:12" hidden="1" x14ac:dyDescent="0.25">
      <c r="A523">
        <v>522</v>
      </c>
      <c r="B523" s="1" t="s">
        <v>12</v>
      </c>
      <c r="C523">
        <v>1934</v>
      </c>
      <c r="D523" s="1" t="s">
        <v>137</v>
      </c>
      <c r="E523" s="1" t="s">
        <v>77</v>
      </c>
      <c r="F523">
        <v>90</v>
      </c>
      <c r="G523" s="1" t="s">
        <v>95</v>
      </c>
      <c r="H523">
        <v>90035</v>
      </c>
      <c r="I523">
        <v>100</v>
      </c>
      <c r="J523">
        <v>50</v>
      </c>
      <c r="K523">
        <v>43</v>
      </c>
      <c r="L523">
        <v>860</v>
      </c>
    </row>
    <row r="524" spans="1:12" hidden="1" x14ac:dyDescent="0.25">
      <c r="A524">
        <v>523</v>
      </c>
      <c r="B524" s="1" t="s">
        <v>12</v>
      </c>
      <c r="C524">
        <v>1934</v>
      </c>
      <c r="D524" s="1" t="s">
        <v>137</v>
      </c>
      <c r="E524" s="1" t="s">
        <v>77</v>
      </c>
      <c r="F524">
        <v>90</v>
      </c>
      <c r="G524" s="1" t="s">
        <v>93</v>
      </c>
      <c r="H524">
        <v>90070</v>
      </c>
      <c r="I524">
        <v>50</v>
      </c>
      <c r="J524">
        <v>50</v>
      </c>
      <c r="K524">
        <v>35</v>
      </c>
      <c r="L524">
        <v>700</v>
      </c>
    </row>
    <row r="525" spans="1:12" hidden="1" x14ac:dyDescent="0.25">
      <c r="A525">
        <v>524</v>
      </c>
      <c r="B525" s="1" t="s">
        <v>12</v>
      </c>
      <c r="C525">
        <v>1935</v>
      </c>
      <c r="D525" s="1" t="s">
        <v>142</v>
      </c>
      <c r="E525" s="1" t="s">
        <v>80</v>
      </c>
      <c r="F525">
        <v>10</v>
      </c>
      <c r="G525" s="1" t="s">
        <v>82</v>
      </c>
      <c r="H525">
        <v>10077</v>
      </c>
      <c r="I525">
        <v>4</v>
      </c>
      <c r="J525">
        <v>4</v>
      </c>
      <c r="K525">
        <v>4</v>
      </c>
      <c r="L525">
        <v>1000</v>
      </c>
    </row>
    <row r="526" spans="1:12" hidden="1" x14ac:dyDescent="0.25">
      <c r="A526">
        <v>525</v>
      </c>
      <c r="B526" s="1" t="s">
        <v>12</v>
      </c>
      <c r="C526">
        <v>1935</v>
      </c>
      <c r="D526" s="1" t="s">
        <v>142</v>
      </c>
      <c r="E526" s="1" t="s">
        <v>14</v>
      </c>
      <c r="F526">
        <v>22</v>
      </c>
      <c r="G526" s="1" t="s">
        <v>16</v>
      </c>
      <c r="H526">
        <v>22049</v>
      </c>
      <c r="I526">
        <v>190</v>
      </c>
      <c r="J526">
        <v>190</v>
      </c>
      <c r="K526">
        <v>161</v>
      </c>
      <c r="L526">
        <v>848</v>
      </c>
    </row>
    <row r="527" spans="1:12" hidden="1" x14ac:dyDescent="0.25">
      <c r="A527">
        <v>526</v>
      </c>
      <c r="B527" s="1" t="s">
        <v>12</v>
      </c>
      <c r="C527">
        <v>1935</v>
      </c>
      <c r="D527" s="1" t="s">
        <v>142</v>
      </c>
      <c r="E527" s="1" t="s">
        <v>14</v>
      </c>
      <c r="F527">
        <v>22</v>
      </c>
      <c r="G527" s="1" t="s">
        <v>17</v>
      </c>
      <c r="H527">
        <v>22140</v>
      </c>
      <c r="I527">
        <v>52</v>
      </c>
      <c r="J527">
        <v>52</v>
      </c>
      <c r="K527">
        <v>42</v>
      </c>
      <c r="L527">
        <v>810</v>
      </c>
    </row>
    <row r="528" spans="1:12" hidden="1" x14ac:dyDescent="0.25">
      <c r="A528">
        <v>527</v>
      </c>
      <c r="B528" s="1" t="s">
        <v>12</v>
      </c>
      <c r="C528">
        <v>1935</v>
      </c>
      <c r="D528" s="1" t="s">
        <v>142</v>
      </c>
      <c r="E528" s="1" t="s">
        <v>14</v>
      </c>
      <c r="F528">
        <v>22</v>
      </c>
      <c r="G528" s="1" t="s">
        <v>18</v>
      </c>
      <c r="H528">
        <v>22084</v>
      </c>
      <c r="I528">
        <v>48</v>
      </c>
      <c r="J528">
        <v>48</v>
      </c>
      <c r="K528">
        <v>37</v>
      </c>
      <c r="L528">
        <v>800</v>
      </c>
    </row>
    <row r="529" spans="1:12" hidden="1" x14ac:dyDescent="0.25">
      <c r="A529">
        <v>528</v>
      </c>
      <c r="B529" s="1" t="s">
        <v>12</v>
      </c>
      <c r="C529">
        <v>1935</v>
      </c>
      <c r="D529" s="1" t="s">
        <v>142</v>
      </c>
      <c r="E529" s="1" t="s">
        <v>14</v>
      </c>
      <c r="F529">
        <v>22</v>
      </c>
      <c r="G529" s="1" t="s">
        <v>15</v>
      </c>
      <c r="H529">
        <v>22105</v>
      </c>
      <c r="I529">
        <v>20</v>
      </c>
      <c r="J529">
        <v>20</v>
      </c>
      <c r="K529">
        <v>18</v>
      </c>
      <c r="L529">
        <v>900</v>
      </c>
    </row>
    <row r="530" spans="1:12" hidden="1" x14ac:dyDescent="0.25">
      <c r="A530">
        <v>529</v>
      </c>
      <c r="B530" s="1" t="s">
        <v>12</v>
      </c>
      <c r="C530">
        <v>1935</v>
      </c>
      <c r="D530" s="1" t="s">
        <v>142</v>
      </c>
      <c r="E530" s="1" t="s">
        <v>14</v>
      </c>
      <c r="F530">
        <v>22</v>
      </c>
      <c r="G530" s="1" t="s">
        <v>19</v>
      </c>
      <c r="H530">
        <v>22014</v>
      </c>
      <c r="I530">
        <v>20</v>
      </c>
      <c r="J530">
        <v>20</v>
      </c>
      <c r="K530">
        <v>16</v>
      </c>
      <c r="L530">
        <v>800</v>
      </c>
    </row>
    <row r="531" spans="1:12" hidden="1" x14ac:dyDescent="0.25">
      <c r="A531">
        <v>530</v>
      </c>
      <c r="B531" s="1" t="s">
        <v>12</v>
      </c>
      <c r="C531">
        <v>1935</v>
      </c>
      <c r="D531" s="1" t="s">
        <v>142</v>
      </c>
      <c r="E531" s="1" t="s">
        <v>14</v>
      </c>
      <c r="F531">
        <v>22</v>
      </c>
      <c r="G531" s="1" t="s">
        <v>20</v>
      </c>
      <c r="H531">
        <v>22091</v>
      </c>
      <c r="I531">
        <v>20</v>
      </c>
      <c r="J531">
        <v>20</v>
      </c>
      <c r="K531">
        <v>16</v>
      </c>
      <c r="L531">
        <v>800</v>
      </c>
    </row>
    <row r="532" spans="1:12" hidden="1" x14ac:dyDescent="0.25">
      <c r="A532">
        <v>531</v>
      </c>
      <c r="B532" s="1" t="s">
        <v>12</v>
      </c>
      <c r="C532">
        <v>1935</v>
      </c>
      <c r="D532" s="1" t="s">
        <v>142</v>
      </c>
      <c r="E532" s="1" t="s">
        <v>22</v>
      </c>
      <c r="F532">
        <v>14</v>
      </c>
      <c r="G532" s="1" t="s">
        <v>24</v>
      </c>
      <c r="H532">
        <v>14119</v>
      </c>
      <c r="I532">
        <v>22000</v>
      </c>
      <c r="J532">
        <v>22000</v>
      </c>
      <c r="K532">
        <v>35200</v>
      </c>
      <c r="L532">
        <v>1600</v>
      </c>
    </row>
    <row r="533" spans="1:12" hidden="1" x14ac:dyDescent="0.25">
      <c r="A533">
        <v>532</v>
      </c>
      <c r="B533" s="1" t="s">
        <v>12</v>
      </c>
      <c r="C533">
        <v>1935</v>
      </c>
      <c r="D533" s="1" t="s">
        <v>142</v>
      </c>
      <c r="E533" s="1" t="s">
        <v>22</v>
      </c>
      <c r="F533">
        <v>14</v>
      </c>
      <c r="G533" s="1" t="s">
        <v>23</v>
      </c>
      <c r="H533">
        <v>14147</v>
      </c>
      <c r="I533">
        <v>14000</v>
      </c>
      <c r="J533">
        <v>14000</v>
      </c>
      <c r="K533">
        <v>15400</v>
      </c>
      <c r="L533">
        <v>1100</v>
      </c>
    </row>
    <row r="534" spans="1:12" hidden="1" x14ac:dyDescent="0.25">
      <c r="A534">
        <v>533</v>
      </c>
      <c r="B534" s="1" t="s">
        <v>12</v>
      </c>
      <c r="C534">
        <v>1935</v>
      </c>
      <c r="D534" s="1" t="s">
        <v>142</v>
      </c>
      <c r="E534" s="1" t="s">
        <v>22</v>
      </c>
      <c r="F534">
        <v>14</v>
      </c>
      <c r="G534" s="1" t="s">
        <v>27</v>
      </c>
      <c r="H534">
        <v>14021</v>
      </c>
      <c r="I534">
        <v>12000</v>
      </c>
      <c r="J534">
        <v>12000</v>
      </c>
      <c r="K534">
        <v>15600</v>
      </c>
      <c r="L534">
        <v>1300</v>
      </c>
    </row>
    <row r="535" spans="1:12" hidden="1" x14ac:dyDescent="0.25">
      <c r="A535">
        <v>534</v>
      </c>
      <c r="B535" s="1" t="s">
        <v>12</v>
      </c>
      <c r="C535">
        <v>1935</v>
      </c>
      <c r="D535" s="1" t="s">
        <v>142</v>
      </c>
      <c r="E535" s="1" t="s">
        <v>22</v>
      </c>
      <c r="F535">
        <v>14</v>
      </c>
      <c r="G535" s="1" t="s">
        <v>26</v>
      </c>
      <c r="H535">
        <v>14161</v>
      </c>
      <c r="I535">
        <v>9300</v>
      </c>
      <c r="J535">
        <v>8100</v>
      </c>
      <c r="K535">
        <v>10518</v>
      </c>
      <c r="L535">
        <v>1298</v>
      </c>
    </row>
    <row r="536" spans="1:12" hidden="1" x14ac:dyDescent="0.25">
      <c r="A536">
        <v>535</v>
      </c>
      <c r="B536" s="1" t="s">
        <v>12</v>
      </c>
      <c r="C536">
        <v>1935</v>
      </c>
      <c r="D536" s="1" t="s">
        <v>142</v>
      </c>
      <c r="E536" s="1" t="s">
        <v>22</v>
      </c>
      <c r="F536">
        <v>14</v>
      </c>
      <c r="G536" s="1" t="s">
        <v>25</v>
      </c>
      <c r="H536">
        <v>14105</v>
      </c>
      <c r="I536">
        <v>4500</v>
      </c>
      <c r="J536">
        <v>4500</v>
      </c>
      <c r="K536">
        <v>5850</v>
      </c>
      <c r="L536">
        <v>1300</v>
      </c>
    </row>
    <row r="537" spans="1:12" hidden="1" x14ac:dyDescent="0.25">
      <c r="A537">
        <v>536</v>
      </c>
      <c r="B537" s="1" t="s">
        <v>12</v>
      </c>
      <c r="C537">
        <v>1935</v>
      </c>
      <c r="D537" s="1" t="s">
        <v>142</v>
      </c>
      <c r="E537" s="1" t="s">
        <v>22</v>
      </c>
      <c r="F537">
        <v>14</v>
      </c>
      <c r="G537" s="1" t="s">
        <v>28</v>
      </c>
      <c r="H537">
        <v>14014</v>
      </c>
      <c r="I537">
        <v>4000</v>
      </c>
      <c r="J537">
        <v>4000</v>
      </c>
      <c r="K537">
        <v>5200</v>
      </c>
      <c r="L537">
        <v>1300</v>
      </c>
    </row>
    <row r="538" spans="1:12" hidden="1" x14ac:dyDescent="0.25">
      <c r="A538">
        <v>537</v>
      </c>
      <c r="B538" s="1" t="s">
        <v>12</v>
      </c>
      <c r="C538">
        <v>1935</v>
      </c>
      <c r="D538" s="1" t="s">
        <v>142</v>
      </c>
      <c r="E538" s="1" t="s">
        <v>22</v>
      </c>
      <c r="F538">
        <v>14</v>
      </c>
      <c r="G538" s="1" t="s">
        <v>29</v>
      </c>
      <c r="H538">
        <v>14098</v>
      </c>
      <c r="I538">
        <v>1000</v>
      </c>
      <c r="J538">
        <v>500</v>
      </c>
      <c r="K538">
        <v>425</v>
      </c>
      <c r="L538">
        <v>850</v>
      </c>
    </row>
    <row r="539" spans="1:12" hidden="1" x14ac:dyDescent="0.25">
      <c r="A539">
        <v>538</v>
      </c>
      <c r="B539" s="1" t="s">
        <v>12</v>
      </c>
      <c r="C539">
        <v>1935</v>
      </c>
      <c r="D539" s="1" t="s">
        <v>142</v>
      </c>
      <c r="E539" s="1" t="s">
        <v>22</v>
      </c>
      <c r="F539">
        <v>14</v>
      </c>
      <c r="G539" s="1" t="s">
        <v>97</v>
      </c>
      <c r="H539">
        <v>14007</v>
      </c>
      <c r="I539">
        <v>800</v>
      </c>
      <c r="J539">
        <v>400</v>
      </c>
      <c r="K539">
        <v>360</v>
      </c>
      <c r="L539">
        <v>900</v>
      </c>
    </row>
    <row r="540" spans="1:12" hidden="1" x14ac:dyDescent="0.25">
      <c r="A540">
        <v>539</v>
      </c>
      <c r="B540" s="1" t="s">
        <v>12</v>
      </c>
      <c r="C540">
        <v>1935</v>
      </c>
      <c r="D540" s="1" t="s">
        <v>142</v>
      </c>
      <c r="E540" s="1" t="s">
        <v>22</v>
      </c>
      <c r="F540">
        <v>14</v>
      </c>
      <c r="G540" s="1" t="s">
        <v>114</v>
      </c>
      <c r="H540">
        <v>14168</v>
      </c>
      <c r="I540">
        <v>500</v>
      </c>
      <c r="J540">
        <v>500</v>
      </c>
      <c r="K540">
        <v>650</v>
      </c>
      <c r="L540">
        <v>1300</v>
      </c>
    </row>
    <row r="541" spans="1:12" hidden="1" x14ac:dyDescent="0.25">
      <c r="A541">
        <v>540</v>
      </c>
      <c r="B541" s="1" t="s">
        <v>12</v>
      </c>
      <c r="C541">
        <v>1935</v>
      </c>
      <c r="D541" s="1" t="s">
        <v>142</v>
      </c>
      <c r="E541" s="1" t="s">
        <v>22</v>
      </c>
      <c r="F541">
        <v>14</v>
      </c>
      <c r="G541" s="1" t="s">
        <v>129</v>
      </c>
      <c r="H541">
        <v>14035</v>
      </c>
      <c r="I541">
        <v>200</v>
      </c>
      <c r="J541">
        <v>150</v>
      </c>
      <c r="K541">
        <v>127</v>
      </c>
      <c r="L541">
        <v>850</v>
      </c>
    </row>
    <row r="542" spans="1:12" hidden="1" x14ac:dyDescent="0.25">
      <c r="A542">
        <v>541</v>
      </c>
      <c r="B542" s="1" t="s">
        <v>12</v>
      </c>
      <c r="C542">
        <v>1935</v>
      </c>
      <c r="D542" s="1" t="s">
        <v>142</v>
      </c>
      <c r="E542" s="1" t="s">
        <v>22</v>
      </c>
      <c r="F542">
        <v>14</v>
      </c>
      <c r="G542" s="1" t="s">
        <v>143</v>
      </c>
      <c r="H542">
        <v>14056</v>
      </c>
      <c r="I542">
        <v>100</v>
      </c>
    </row>
    <row r="543" spans="1:12" hidden="1" x14ac:dyDescent="0.25">
      <c r="A543">
        <v>542</v>
      </c>
      <c r="B543" s="1" t="s">
        <v>12</v>
      </c>
      <c r="C543">
        <v>1935</v>
      </c>
      <c r="D543" s="1" t="s">
        <v>142</v>
      </c>
      <c r="E543" s="1" t="s">
        <v>22</v>
      </c>
      <c r="F543">
        <v>14</v>
      </c>
      <c r="G543" s="1" t="s">
        <v>62</v>
      </c>
      <c r="H543">
        <v>14133</v>
      </c>
      <c r="I543">
        <v>100</v>
      </c>
      <c r="J543">
        <v>50</v>
      </c>
      <c r="K543">
        <v>40</v>
      </c>
      <c r="L543">
        <v>800</v>
      </c>
    </row>
    <row r="544" spans="1:12" hidden="1" x14ac:dyDescent="0.25">
      <c r="A544">
        <v>543</v>
      </c>
      <c r="B544" s="1" t="s">
        <v>12</v>
      </c>
      <c r="C544">
        <v>1935</v>
      </c>
      <c r="D544" s="1" t="s">
        <v>142</v>
      </c>
      <c r="E544" s="1" t="s">
        <v>30</v>
      </c>
      <c r="F544">
        <v>18</v>
      </c>
      <c r="G544" s="1" t="s">
        <v>32</v>
      </c>
      <c r="H544">
        <v>18112</v>
      </c>
      <c r="I544">
        <v>300</v>
      </c>
      <c r="J544">
        <v>260</v>
      </c>
      <c r="K544">
        <v>197</v>
      </c>
      <c r="L544">
        <v>758</v>
      </c>
    </row>
    <row r="545" spans="1:12" hidden="1" x14ac:dyDescent="0.25">
      <c r="A545">
        <v>544</v>
      </c>
      <c r="B545" s="1" t="s">
        <v>12</v>
      </c>
      <c r="C545">
        <v>1935</v>
      </c>
      <c r="D545" s="1" t="s">
        <v>142</v>
      </c>
      <c r="E545" s="1" t="s">
        <v>30</v>
      </c>
      <c r="F545">
        <v>18</v>
      </c>
      <c r="G545" s="1" t="s">
        <v>43</v>
      </c>
      <c r="H545">
        <v>18070</v>
      </c>
      <c r="I545">
        <v>180</v>
      </c>
      <c r="J545">
        <v>150</v>
      </c>
      <c r="K545">
        <v>120</v>
      </c>
      <c r="L545">
        <v>800</v>
      </c>
    </row>
    <row r="546" spans="1:12" hidden="1" x14ac:dyDescent="0.25">
      <c r="A546">
        <v>545</v>
      </c>
      <c r="B546" s="1" t="s">
        <v>12</v>
      </c>
      <c r="C546">
        <v>1935</v>
      </c>
      <c r="D546" s="1" t="s">
        <v>142</v>
      </c>
      <c r="E546" s="1" t="s">
        <v>30</v>
      </c>
      <c r="F546">
        <v>18</v>
      </c>
      <c r="G546" s="1" t="s">
        <v>40</v>
      </c>
      <c r="H546">
        <v>18126</v>
      </c>
      <c r="I546">
        <v>170</v>
      </c>
      <c r="J546">
        <v>155</v>
      </c>
      <c r="K546">
        <v>155</v>
      </c>
      <c r="L546">
        <v>1000</v>
      </c>
    </row>
    <row r="547" spans="1:12" hidden="1" x14ac:dyDescent="0.25">
      <c r="A547">
        <v>546</v>
      </c>
      <c r="B547" s="1" t="s">
        <v>12</v>
      </c>
      <c r="C547">
        <v>1935</v>
      </c>
      <c r="D547" s="1" t="s">
        <v>142</v>
      </c>
      <c r="E547" s="1" t="s">
        <v>30</v>
      </c>
      <c r="F547">
        <v>18</v>
      </c>
      <c r="G547" s="1" t="s">
        <v>33</v>
      </c>
      <c r="H547">
        <v>18091</v>
      </c>
      <c r="I547">
        <v>110</v>
      </c>
      <c r="J547">
        <v>95</v>
      </c>
      <c r="K547">
        <v>95</v>
      </c>
      <c r="L547">
        <v>1000</v>
      </c>
    </row>
    <row r="548" spans="1:12" hidden="1" x14ac:dyDescent="0.25">
      <c r="A548">
        <v>547</v>
      </c>
      <c r="B548" s="1" t="s">
        <v>12</v>
      </c>
      <c r="C548">
        <v>1935</v>
      </c>
      <c r="D548" s="1" t="s">
        <v>142</v>
      </c>
      <c r="E548" s="1" t="s">
        <v>30</v>
      </c>
      <c r="F548">
        <v>18</v>
      </c>
      <c r="G548" s="1" t="s">
        <v>37</v>
      </c>
      <c r="H548">
        <v>18147</v>
      </c>
      <c r="I548">
        <v>110</v>
      </c>
      <c r="J548">
        <v>90</v>
      </c>
      <c r="K548">
        <v>67</v>
      </c>
      <c r="L548">
        <v>744</v>
      </c>
    </row>
    <row r="549" spans="1:12" hidden="1" x14ac:dyDescent="0.25">
      <c r="A549">
        <v>548</v>
      </c>
      <c r="B549" s="1" t="s">
        <v>12</v>
      </c>
      <c r="C549">
        <v>1935</v>
      </c>
      <c r="D549" s="1" t="s">
        <v>142</v>
      </c>
      <c r="E549" s="1" t="s">
        <v>30</v>
      </c>
      <c r="F549">
        <v>18</v>
      </c>
      <c r="G549" s="1" t="s">
        <v>28</v>
      </c>
      <c r="H549">
        <v>18021</v>
      </c>
      <c r="I549">
        <v>105</v>
      </c>
      <c r="J549">
        <v>95</v>
      </c>
      <c r="K549">
        <v>81</v>
      </c>
      <c r="L549">
        <v>850</v>
      </c>
    </row>
    <row r="550" spans="1:12" hidden="1" x14ac:dyDescent="0.25">
      <c r="A550">
        <v>549</v>
      </c>
      <c r="B550" s="1" t="s">
        <v>12</v>
      </c>
      <c r="C550">
        <v>1935</v>
      </c>
      <c r="D550" s="1" t="s">
        <v>142</v>
      </c>
      <c r="E550" s="1" t="s">
        <v>30</v>
      </c>
      <c r="F550">
        <v>18</v>
      </c>
      <c r="G550" s="1" t="s">
        <v>99</v>
      </c>
      <c r="H550">
        <v>18063</v>
      </c>
      <c r="I550">
        <v>100</v>
      </c>
      <c r="J550">
        <v>90</v>
      </c>
      <c r="K550">
        <v>108</v>
      </c>
      <c r="L550">
        <v>1200</v>
      </c>
    </row>
    <row r="551" spans="1:12" hidden="1" x14ac:dyDescent="0.25">
      <c r="A551">
        <v>550</v>
      </c>
      <c r="B551" s="1" t="s">
        <v>12</v>
      </c>
      <c r="C551">
        <v>1935</v>
      </c>
      <c r="D551" s="1" t="s">
        <v>142</v>
      </c>
      <c r="E551" s="1" t="s">
        <v>30</v>
      </c>
      <c r="F551">
        <v>18</v>
      </c>
      <c r="G551" s="1" t="s">
        <v>63</v>
      </c>
      <c r="H551">
        <v>18028</v>
      </c>
      <c r="I551">
        <v>90</v>
      </c>
      <c r="J551">
        <v>81</v>
      </c>
      <c r="K551">
        <v>72</v>
      </c>
      <c r="L551">
        <v>888</v>
      </c>
    </row>
    <row r="552" spans="1:12" hidden="1" x14ac:dyDescent="0.25">
      <c r="A552">
        <v>551</v>
      </c>
      <c r="B552" s="1" t="s">
        <v>12</v>
      </c>
      <c r="C552">
        <v>1935</v>
      </c>
      <c r="D552" s="1" t="s">
        <v>142</v>
      </c>
      <c r="E552" s="1" t="s">
        <v>30</v>
      </c>
      <c r="F552">
        <v>18</v>
      </c>
      <c r="G552" s="1" t="s">
        <v>34</v>
      </c>
      <c r="H552">
        <v>18042</v>
      </c>
      <c r="I552">
        <v>90</v>
      </c>
      <c r="J552">
        <v>80</v>
      </c>
      <c r="K552">
        <v>72</v>
      </c>
      <c r="L552">
        <v>900</v>
      </c>
    </row>
    <row r="553" spans="1:12" hidden="1" x14ac:dyDescent="0.25">
      <c r="A553">
        <v>552</v>
      </c>
      <c r="B553" s="1" t="s">
        <v>12</v>
      </c>
      <c r="C553">
        <v>1935</v>
      </c>
      <c r="D553" s="1" t="s">
        <v>142</v>
      </c>
      <c r="E553" s="1" t="s">
        <v>30</v>
      </c>
      <c r="F553">
        <v>18</v>
      </c>
      <c r="G553" s="1" t="s">
        <v>39</v>
      </c>
      <c r="H553">
        <v>18084</v>
      </c>
      <c r="I553">
        <v>90</v>
      </c>
      <c r="J553">
        <v>80</v>
      </c>
      <c r="K553">
        <v>68</v>
      </c>
      <c r="L553">
        <v>850</v>
      </c>
    </row>
    <row r="554" spans="1:12" hidden="1" x14ac:dyDescent="0.25">
      <c r="A554">
        <v>553</v>
      </c>
      <c r="B554" s="1" t="s">
        <v>12</v>
      </c>
      <c r="C554">
        <v>1935</v>
      </c>
      <c r="D554" s="1" t="s">
        <v>142</v>
      </c>
      <c r="E554" s="1" t="s">
        <v>30</v>
      </c>
      <c r="F554">
        <v>18</v>
      </c>
      <c r="G554" s="1" t="s">
        <v>41</v>
      </c>
      <c r="H554">
        <v>18140</v>
      </c>
      <c r="I554">
        <v>80</v>
      </c>
      <c r="J554">
        <v>72</v>
      </c>
      <c r="K554">
        <v>65</v>
      </c>
      <c r="L554">
        <v>900</v>
      </c>
    </row>
    <row r="555" spans="1:12" hidden="1" x14ac:dyDescent="0.25">
      <c r="A555">
        <v>554</v>
      </c>
      <c r="B555" s="1" t="s">
        <v>12</v>
      </c>
      <c r="C555">
        <v>1935</v>
      </c>
      <c r="D555" s="1" t="s">
        <v>142</v>
      </c>
      <c r="E555" s="1" t="s">
        <v>30</v>
      </c>
      <c r="F555">
        <v>18</v>
      </c>
      <c r="G555" s="1" t="s">
        <v>105</v>
      </c>
      <c r="H555">
        <v>18105</v>
      </c>
      <c r="I555">
        <v>75</v>
      </c>
      <c r="J555">
        <v>70</v>
      </c>
      <c r="K555">
        <v>49</v>
      </c>
      <c r="L555">
        <v>700</v>
      </c>
    </row>
    <row r="556" spans="1:12" hidden="1" x14ac:dyDescent="0.25">
      <c r="A556">
        <v>555</v>
      </c>
      <c r="B556" s="1" t="s">
        <v>12</v>
      </c>
      <c r="C556">
        <v>1935</v>
      </c>
      <c r="D556" s="1" t="s">
        <v>142</v>
      </c>
      <c r="E556" s="1" t="s">
        <v>30</v>
      </c>
      <c r="F556">
        <v>18</v>
      </c>
      <c r="G556" s="1" t="s">
        <v>44</v>
      </c>
      <c r="H556">
        <v>18168</v>
      </c>
      <c r="I556">
        <v>75</v>
      </c>
      <c r="J556">
        <v>70</v>
      </c>
      <c r="K556">
        <v>49</v>
      </c>
      <c r="L556">
        <v>700</v>
      </c>
    </row>
    <row r="557" spans="1:12" hidden="1" x14ac:dyDescent="0.25">
      <c r="A557">
        <v>556</v>
      </c>
      <c r="B557" s="1" t="s">
        <v>12</v>
      </c>
      <c r="C557">
        <v>1935</v>
      </c>
      <c r="D557" s="1" t="s">
        <v>142</v>
      </c>
      <c r="E557" s="1" t="s">
        <v>30</v>
      </c>
      <c r="F557">
        <v>18</v>
      </c>
      <c r="G557" s="1" t="s">
        <v>38</v>
      </c>
      <c r="H557">
        <v>18007</v>
      </c>
      <c r="I557">
        <v>70</v>
      </c>
      <c r="J557">
        <v>70</v>
      </c>
      <c r="K557">
        <v>70</v>
      </c>
      <c r="L557">
        <v>1000</v>
      </c>
    </row>
    <row r="558" spans="1:12" hidden="1" x14ac:dyDescent="0.25">
      <c r="A558">
        <v>557</v>
      </c>
      <c r="B558" s="1" t="s">
        <v>12</v>
      </c>
      <c r="C558">
        <v>1935</v>
      </c>
      <c r="D558" s="1" t="s">
        <v>142</v>
      </c>
      <c r="E558" s="1" t="s">
        <v>30</v>
      </c>
      <c r="F558">
        <v>18</v>
      </c>
      <c r="G558" s="1" t="s">
        <v>36</v>
      </c>
      <c r="H558">
        <v>18133</v>
      </c>
      <c r="I558">
        <v>60</v>
      </c>
      <c r="J558">
        <v>57</v>
      </c>
      <c r="K558">
        <v>48</v>
      </c>
      <c r="L558">
        <v>850</v>
      </c>
    </row>
    <row r="559" spans="1:12" hidden="1" x14ac:dyDescent="0.25">
      <c r="A559">
        <v>558</v>
      </c>
      <c r="B559" s="1" t="s">
        <v>12</v>
      </c>
      <c r="C559">
        <v>1935</v>
      </c>
      <c r="D559" s="1" t="s">
        <v>142</v>
      </c>
      <c r="E559" s="1" t="s">
        <v>30</v>
      </c>
      <c r="F559">
        <v>18</v>
      </c>
      <c r="G559" s="1" t="s">
        <v>100</v>
      </c>
      <c r="H559">
        <v>18077</v>
      </c>
      <c r="I559">
        <v>50</v>
      </c>
      <c r="J559">
        <v>45</v>
      </c>
      <c r="K559">
        <v>38</v>
      </c>
      <c r="L559">
        <v>850</v>
      </c>
    </row>
    <row r="560" spans="1:12" hidden="1" x14ac:dyDescent="0.25">
      <c r="A560">
        <v>559</v>
      </c>
      <c r="B560" s="1" t="s">
        <v>12</v>
      </c>
      <c r="C560">
        <v>1935</v>
      </c>
      <c r="D560" s="1" t="s">
        <v>142</v>
      </c>
      <c r="E560" s="1" t="s">
        <v>30</v>
      </c>
      <c r="F560">
        <v>18</v>
      </c>
      <c r="G560" s="1" t="s">
        <v>98</v>
      </c>
      <c r="H560">
        <v>18098</v>
      </c>
      <c r="I560">
        <v>50</v>
      </c>
      <c r="J560">
        <v>50</v>
      </c>
      <c r="K560">
        <v>50</v>
      </c>
      <c r="L560">
        <v>1000</v>
      </c>
    </row>
    <row r="561" spans="1:12" hidden="1" x14ac:dyDescent="0.25">
      <c r="A561">
        <v>560</v>
      </c>
      <c r="B561" s="1" t="s">
        <v>12</v>
      </c>
      <c r="C561">
        <v>1935</v>
      </c>
      <c r="D561" s="1" t="s">
        <v>142</v>
      </c>
      <c r="E561" s="1" t="s">
        <v>30</v>
      </c>
      <c r="F561">
        <v>18</v>
      </c>
      <c r="G561" s="1" t="s">
        <v>101</v>
      </c>
      <c r="H561">
        <v>18161</v>
      </c>
      <c r="I561">
        <v>45</v>
      </c>
      <c r="J561">
        <v>40</v>
      </c>
      <c r="K561">
        <v>34</v>
      </c>
      <c r="L561">
        <v>850</v>
      </c>
    </row>
    <row r="562" spans="1:12" hidden="1" x14ac:dyDescent="0.25">
      <c r="A562">
        <v>561</v>
      </c>
      <c r="B562" s="1" t="s">
        <v>12</v>
      </c>
      <c r="C562">
        <v>1935</v>
      </c>
      <c r="D562" s="1" t="s">
        <v>142</v>
      </c>
      <c r="E562" s="1" t="s">
        <v>30</v>
      </c>
      <c r="F562">
        <v>18</v>
      </c>
      <c r="G562" s="1" t="s">
        <v>42</v>
      </c>
      <c r="H562">
        <v>18035</v>
      </c>
      <c r="I562">
        <v>40</v>
      </c>
      <c r="J562">
        <v>40</v>
      </c>
      <c r="K562">
        <v>28</v>
      </c>
      <c r="L562">
        <v>700</v>
      </c>
    </row>
    <row r="563" spans="1:12" hidden="1" x14ac:dyDescent="0.25">
      <c r="A563">
        <v>562</v>
      </c>
      <c r="B563" s="1" t="s">
        <v>12</v>
      </c>
      <c r="C563">
        <v>1935</v>
      </c>
      <c r="D563" s="1" t="s">
        <v>142</v>
      </c>
      <c r="E563" s="1" t="s">
        <v>30</v>
      </c>
      <c r="F563">
        <v>18</v>
      </c>
      <c r="G563" s="1" t="s">
        <v>104</v>
      </c>
      <c r="H563">
        <v>18119</v>
      </c>
      <c r="I563">
        <v>40</v>
      </c>
      <c r="J563">
        <v>40</v>
      </c>
      <c r="K563">
        <v>28</v>
      </c>
      <c r="L563">
        <v>700</v>
      </c>
    </row>
    <row r="564" spans="1:12" hidden="1" x14ac:dyDescent="0.25">
      <c r="A564">
        <v>563</v>
      </c>
      <c r="B564" s="1" t="s">
        <v>12</v>
      </c>
      <c r="C564">
        <v>1935</v>
      </c>
      <c r="D564" s="1" t="s">
        <v>142</v>
      </c>
      <c r="E564" s="1" t="s">
        <v>30</v>
      </c>
      <c r="F564">
        <v>18</v>
      </c>
      <c r="G564" s="1" t="s">
        <v>103</v>
      </c>
      <c r="H564">
        <v>18154</v>
      </c>
      <c r="I564">
        <v>35</v>
      </c>
      <c r="J564">
        <v>35</v>
      </c>
      <c r="K564">
        <v>42</v>
      </c>
      <c r="L564">
        <v>1200</v>
      </c>
    </row>
    <row r="565" spans="1:12" hidden="1" x14ac:dyDescent="0.25">
      <c r="A565">
        <v>564</v>
      </c>
      <c r="B565" s="1" t="s">
        <v>12</v>
      </c>
      <c r="C565">
        <v>1935</v>
      </c>
      <c r="D565" s="1" t="s">
        <v>142</v>
      </c>
      <c r="E565" s="1" t="s">
        <v>30</v>
      </c>
      <c r="F565">
        <v>18</v>
      </c>
      <c r="G565" s="1" t="s">
        <v>86</v>
      </c>
      <c r="H565">
        <v>18175</v>
      </c>
      <c r="I565">
        <v>30</v>
      </c>
      <c r="J565">
        <v>30</v>
      </c>
      <c r="K565">
        <v>24</v>
      </c>
      <c r="L565">
        <v>800</v>
      </c>
    </row>
    <row r="566" spans="1:12" hidden="1" x14ac:dyDescent="0.25">
      <c r="A566">
        <v>565</v>
      </c>
      <c r="B566" s="1" t="s">
        <v>12</v>
      </c>
      <c r="C566">
        <v>1935</v>
      </c>
      <c r="D566" s="1" t="s">
        <v>142</v>
      </c>
      <c r="E566" s="1" t="s">
        <v>30</v>
      </c>
      <c r="F566">
        <v>18</v>
      </c>
      <c r="G566" s="1" t="s">
        <v>102</v>
      </c>
      <c r="H566">
        <v>18014</v>
      </c>
      <c r="I566">
        <v>5</v>
      </c>
      <c r="J566">
        <v>5</v>
      </c>
      <c r="K566">
        <v>6</v>
      </c>
      <c r="L566">
        <v>1200</v>
      </c>
    </row>
    <row r="567" spans="1:12" hidden="1" x14ac:dyDescent="0.25">
      <c r="A567">
        <v>566</v>
      </c>
      <c r="B567" s="1" t="s">
        <v>12</v>
      </c>
      <c r="C567">
        <v>1935</v>
      </c>
      <c r="D567" s="1" t="s">
        <v>142</v>
      </c>
      <c r="E567" s="1" t="s">
        <v>45</v>
      </c>
      <c r="F567">
        <v>30</v>
      </c>
      <c r="G567" s="1" t="s">
        <v>46</v>
      </c>
      <c r="H567">
        <v>30028</v>
      </c>
      <c r="I567">
        <v>5000</v>
      </c>
      <c r="J567">
        <v>3000</v>
      </c>
      <c r="K567">
        <v>2100</v>
      </c>
      <c r="L567">
        <v>700</v>
      </c>
    </row>
    <row r="568" spans="1:12" hidden="1" x14ac:dyDescent="0.25">
      <c r="A568">
        <v>567</v>
      </c>
      <c r="B568" s="1" t="s">
        <v>12</v>
      </c>
      <c r="C568">
        <v>1935</v>
      </c>
      <c r="D568" s="1" t="s">
        <v>142</v>
      </c>
      <c r="E568" s="1" t="s">
        <v>45</v>
      </c>
      <c r="F568">
        <v>30</v>
      </c>
      <c r="G568" s="1" t="s">
        <v>47</v>
      </c>
      <c r="H568">
        <v>30015</v>
      </c>
      <c r="I568">
        <v>2000</v>
      </c>
      <c r="J568">
        <v>1200</v>
      </c>
      <c r="K568">
        <v>720</v>
      </c>
      <c r="L568">
        <v>600</v>
      </c>
    </row>
    <row r="569" spans="1:12" hidden="1" x14ac:dyDescent="0.25">
      <c r="A569">
        <v>568</v>
      </c>
      <c r="B569" s="1" t="s">
        <v>12</v>
      </c>
      <c r="C569">
        <v>1935</v>
      </c>
      <c r="D569" s="1" t="s">
        <v>142</v>
      </c>
      <c r="E569" s="1" t="s">
        <v>45</v>
      </c>
      <c r="F569">
        <v>30</v>
      </c>
      <c r="G569" s="1" t="s">
        <v>144</v>
      </c>
      <c r="H569">
        <v>30077</v>
      </c>
      <c r="I569">
        <v>100</v>
      </c>
    </row>
    <row r="570" spans="1:12" hidden="1" x14ac:dyDescent="0.25">
      <c r="A570">
        <v>569</v>
      </c>
      <c r="B570" s="1" t="s">
        <v>12</v>
      </c>
      <c r="C570">
        <v>1935</v>
      </c>
      <c r="D570" s="1" t="s">
        <v>142</v>
      </c>
      <c r="E570" s="1" t="s">
        <v>45</v>
      </c>
      <c r="F570">
        <v>30</v>
      </c>
      <c r="G570" s="1" t="s">
        <v>124</v>
      </c>
      <c r="H570">
        <v>30070</v>
      </c>
      <c r="I570">
        <v>64</v>
      </c>
      <c r="J570">
        <v>16</v>
      </c>
      <c r="K570">
        <v>8</v>
      </c>
      <c r="L570">
        <v>500</v>
      </c>
    </row>
    <row r="571" spans="1:12" hidden="1" x14ac:dyDescent="0.25">
      <c r="A571">
        <v>570</v>
      </c>
      <c r="B571" s="1" t="s">
        <v>12</v>
      </c>
      <c r="C571">
        <v>1935</v>
      </c>
      <c r="D571" s="1" t="s">
        <v>142</v>
      </c>
      <c r="E571" s="1" t="s">
        <v>45</v>
      </c>
      <c r="F571">
        <v>30</v>
      </c>
      <c r="G571" s="1" t="s">
        <v>145</v>
      </c>
      <c r="H571">
        <v>30105</v>
      </c>
      <c r="I571">
        <v>50</v>
      </c>
    </row>
    <row r="572" spans="1:12" hidden="1" x14ac:dyDescent="0.25">
      <c r="A572">
        <v>571</v>
      </c>
      <c r="B572" s="1" t="s">
        <v>12</v>
      </c>
      <c r="C572">
        <v>1935</v>
      </c>
      <c r="D572" s="1" t="s">
        <v>142</v>
      </c>
      <c r="E572" s="1" t="s">
        <v>45</v>
      </c>
      <c r="F572">
        <v>30</v>
      </c>
      <c r="G572" s="1" t="s">
        <v>107</v>
      </c>
      <c r="H572">
        <v>30056</v>
      </c>
      <c r="I572">
        <v>28</v>
      </c>
    </row>
    <row r="573" spans="1:12" hidden="1" x14ac:dyDescent="0.25">
      <c r="A573">
        <v>572</v>
      </c>
      <c r="B573" s="1" t="s">
        <v>12</v>
      </c>
      <c r="C573">
        <v>1935</v>
      </c>
      <c r="D573" s="1" t="s">
        <v>142</v>
      </c>
      <c r="E573" s="1" t="s">
        <v>45</v>
      </c>
      <c r="F573">
        <v>30</v>
      </c>
      <c r="G573" s="1" t="s">
        <v>27</v>
      </c>
      <c r="H573">
        <v>30008</v>
      </c>
      <c r="I573">
        <v>25</v>
      </c>
      <c r="J573">
        <v>12</v>
      </c>
      <c r="K573">
        <v>7</v>
      </c>
      <c r="L573">
        <v>600</v>
      </c>
    </row>
    <row r="574" spans="1:12" hidden="1" x14ac:dyDescent="0.25">
      <c r="A574">
        <v>573</v>
      </c>
      <c r="B574" s="1" t="s">
        <v>12</v>
      </c>
      <c r="C574">
        <v>1935</v>
      </c>
      <c r="D574" s="1" t="s">
        <v>142</v>
      </c>
      <c r="E574" s="1" t="s">
        <v>45</v>
      </c>
      <c r="F574">
        <v>30</v>
      </c>
      <c r="G574" s="1" t="s">
        <v>146</v>
      </c>
      <c r="H574">
        <v>30042</v>
      </c>
      <c r="I574">
        <v>25</v>
      </c>
      <c r="J574">
        <v>12</v>
      </c>
      <c r="K574">
        <v>6</v>
      </c>
      <c r="L574">
        <v>500</v>
      </c>
    </row>
    <row r="575" spans="1:12" hidden="1" x14ac:dyDescent="0.25">
      <c r="A575">
        <v>574</v>
      </c>
      <c r="B575" s="1" t="s">
        <v>12</v>
      </c>
      <c r="C575">
        <v>1935</v>
      </c>
      <c r="D575" s="1" t="s">
        <v>142</v>
      </c>
      <c r="E575" s="1" t="s">
        <v>45</v>
      </c>
      <c r="F575">
        <v>30</v>
      </c>
      <c r="G575" s="1" t="s">
        <v>147</v>
      </c>
      <c r="H575">
        <v>30049</v>
      </c>
      <c r="I575">
        <v>7</v>
      </c>
    </row>
    <row r="576" spans="1:12" hidden="1" x14ac:dyDescent="0.25">
      <c r="A576">
        <v>575</v>
      </c>
      <c r="B576" s="1" t="s">
        <v>12</v>
      </c>
      <c r="C576">
        <v>1935</v>
      </c>
      <c r="D576" s="1" t="s">
        <v>142</v>
      </c>
      <c r="E576" s="1" t="s">
        <v>45</v>
      </c>
      <c r="F576">
        <v>30</v>
      </c>
      <c r="G576" s="1" t="s">
        <v>148</v>
      </c>
      <c r="H576">
        <v>30113</v>
      </c>
      <c r="I576">
        <v>5</v>
      </c>
    </row>
    <row r="577" spans="1:12" hidden="1" x14ac:dyDescent="0.25">
      <c r="A577">
        <v>576</v>
      </c>
      <c r="B577" s="1" t="s">
        <v>12</v>
      </c>
      <c r="C577">
        <v>1935</v>
      </c>
      <c r="D577" s="1" t="s">
        <v>142</v>
      </c>
      <c r="E577" s="1" t="s">
        <v>45</v>
      </c>
      <c r="F577">
        <v>30</v>
      </c>
      <c r="G577" s="1" t="s">
        <v>123</v>
      </c>
      <c r="H577">
        <v>30084</v>
      </c>
      <c r="I577">
        <v>3</v>
      </c>
    </row>
    <row r="578" spans="1:12" hidden="1" x14ac:dyDescent="0.25">
      <c r="A578">
        <v>577</v>
      </c>
      <c r="B578" s="1" t="s">
        <v>12</v>
      </c>
      <c r="C578">
        <v>1935</v>
      </c>
      <c r="D578" s="1" t="s">
        <v>142</v>
      </c>
      <c r="E578" s="1" t="s">
        <v>45</v>
      </c>
      <c r="F578">
        <v>30</v>
      </c>
      <c r="G578" s="1" t="s">
        <v>106</v>
      </c>
      <c r="H578">
        <v>30098</v>
      </c>
      <c r="I578">
        <v>2</v>
      </c>
    </row>
    <row r="579" spans="1:12" hidden="1" x14ac:dyDescent="0.25">
      <c r="A579">
        <v>578</v>
      </c>
      <c r="B579" s="1" t="s">
        <v>12</v>
      </c>
      <c r="C579">
        <v>1935</v>
      </c>
      <c r="D579" s="1" t="s">
        <v>142</v>
      </c>
      <c r="E579" s="1" t="s">
        <v>45</v>
      </c>
      <c r="F579">
        <v>30</v>
      </c>
      <c r="G579" s="1" t="s">
        <v>149</v>
      </c>
      <c r="H579">
        <v>30091</v>
      </c>
      <c r="I579">
        <v>1</v>
      </c>
    </row>
    <row r="580" spans="1:12" hidden="1" x14ac:dyDescent="0.25">
      <c r="A580">
        <v>579</v>
      </c>
      <c r="B580" s="1" t="s">
        <v>12</v>
      </c>
      <c r="C580">
        <v>1935</v>
      </c>
      <c r="D580" s="1" t="s">
        <v>142</v>
      </c>
      <c r="E580" s="1" t="s">
        <v>48</v>
      </c>
      <c r="F580">
        <v>34</v>
      </c>
      <c r="G580" s="1" t="s">
        <v>108</v>
      </c>
      <c r="H580">
        <v>34042</v>
      </c>
      <c r="I580">
        <v>11</v>
      </c>
      <c r="J580">
        <v>11</v>
      </c>
      <c r="K580">
        <v>8</v>
      </c>
      <c r="L580">
        <v>727</v>
      </c>
    </row>
    <row r="581" spans="1:12" hidden="1" x14ac:dyDescent="0.25">
      <c r="A581">
        <v>580</v>
      </c>
      <c r="B581" s="1" t="s">
        <v>12</v>
      </c>
      <c r="C581">
        <v>1935</v>
      </c>
      <c r="D581" s="1" t="s">
        <v>142</v>
      </c>
      <c r="E581" s="1" t="s">
        <v>48</v>
      </c>
      <c r="F581">
        <v>34</v>
      </c>
      <c r="G581" s="1" t="s">
        <v>50</v>
      </c>
      <c r="H581">
        <v>34021</v>
      </c>
      <c r="I581">
        <v>10</v>
      </c>
      <c r="J581">
        <v>10</v>
      </c>
      <c r="K581">
        <v>7</v>
      </c>
      <c r="L581">
        <v>700</v>
      </c>
    </row>
    <row r="582" spans="1:12" hidden="1" x14ac:dyDescent="0.25">
      <c r="A582">
        <v>581</v>
      </c>
      <c r="B582" s="1" t="s">
        <v>12</v>
      </c>
      <c r="C582">
        <v>1935</v>
      </c>
      <c r="D582" s="1" t="s">
        <v>142</v>
      </c>
      <c r="E582" s="1" t="s">
        <v>48</v>
      </c>
      <c r="F582">
        <v>34</v>
      </c>
      <c r="G582" s="1" t="s">
        <v>52</v>
      </c>
      <c r="H582">
        <v>34035</v>
      </c>
      <c r="I582">
        <v>6</v>
      </c>
      <c r="J582">
        <v>6</v>
      </c>
      <c r="K582">
        <v>4</v>
      </c>
      <c r="L582">
        <v>667</v>
      </c>
    </row>
    <row r="583" spans="1:12" hidden="1" x14ac:dyDescent="0.25">
      <c r="A583">
        <v>582</v>
      </c>
      <c r="B583" s="1" t="s">
        <v>12</v>
      </c>
      <c r="C583">
        <v>1935</v>
      </c>
      <c r="D583" s="1" t="s">
        <v>142</v>
      </c>
      <c r="E583" s="1" t="s">
        <v>48</v>
      </c>
      <c r="F583">
        <v>34</v>
      </c>
      <c r="G583" s="1" t="s">
        <v>49</v>
      </c>
      <c r="H583">
        <v>34049</v>
      </c>
      <c r="I583">
        <v>6</v>
      </c>
      <c r="J583">
        <v>6</v>
      </c>
      <c r="K583">
        <v>4</v>
      </c>
      <c r="L583">
        <v>667</v>
      </c>
    </row>
    <row r="584" spans="1:12" hidden="1" x14ac:dyDescent="0.25">
      <c r="A584">
        <v>583</v>
      </c>
      <c r="B584" s="1" t="s">
        <v>12</v>
      </c>
      <c r="C584">
        <v>1935</v>
      </c>
      <c r="D584" s="1" t="s">
        <v>142</v>
      </c>
      <c r="E584" s="1" t="s">
        <v>53</v>
      </c>
      <c r="F584">
        <v>38</v>
      </c>
      <c r="G584" s="1" t="s">
        <v>54</v>
      </c>
      <c r="H584">
        <v>38014</v>
      </c>
      <c r="I584">
        <v>3</v>
      </c>
      <c r="J584">
        <v>3</v>
      </c>
      <c r="K584">
        <v>3</v>
      </c>
      <c r="L584">
        <v>900</v>
      </c>
    </row>
    <row r="585" spans="1:12" hidden="1" x14ac:dyDescent="0.25">
      <c r="A585">
        <v>584</v>
      </c>
      <c r="B585" s="1" t="s">
        <v>12</v>
      </c>
      <c r="C585">
        <v>1935</v>
      </c>
      <c r="D585" s="1" t="s">
        <v>142</v>
      </c>
      <c r="E585" s="1" t="s">
        <v>138</v>
      </c>
      <c r="F585">
        <v>50</v>
      </c>
      <c r="G585" s="1" t="s">
        <v>139</v>
      </c>
      <c r="H585">
        <v>50105</v>
      </c>
      <c r="I585">
        <v>225</v>
      </c>
      <c r="J585">
        <v>185</v>
      </c>
      <c r="K585">
        <v>148</v>
      </c>
      <c r="L585">
        <v>800</v>
      </c>
    </row>
    <row r="586" spans="1:12" hidden="1" x14ac:dyDescent="0.25">
      <c r="A586">
        <v>585</v>
      </c>
      <c r="B586" s="1" t="s">
        <v>12</v>
      </c>
      <c r="C586">
        <v>1935</v>
      </c>
      <c r="D586" s="1" t="s">
        <v>142</v>
      </c>
      <c r="E586" s="1" t="s">
        <v>138</v>
      </c>
      <c r="F586">
        <v>50</v>
      </c>
      <c r="G586" s="1" t="s">
        <v>140</v>
      </c>
      <c r="H586">
        <v>50014</v>
      </c>
      <c r="I586">
        <v>75</v>
      </c>
      <c r="J586">
        <v>45</v>
      </c>
      <c r="K586">
        <v>36</v>
      </c>
      <c r="L586">
        <v>800</v>
      </c>
    </row>
    <row r="587" spans="1:12" hidden="1" x14ac:dyDescent="0.25">
      <c r="A587">
        <v>586</v>
      </c>
      <c r="B587" s="1" t="s">
        <v>12</v>
      </c>
      <c r="C587">
        <v>1935</v>
      </c>
      <c r="D587" s="1" t="s">
        <v>142</v>
      </c>
      <c r="E587" s="1" t="s">
        <v>58</v>
      </c>
      <c r="F587">
        <v>54</v>
      </c>
      <c r="G587" s="1" t="s">
        <v>60</v>
      </c>
      <c r="H587">
        <v>54021</v>
      </c>
      <c r="I587">
        <v>299</v>
      </c>
      <c r="J587">
        <v>273</v>
      </c>
      <c r="K587">
        <v>397</v>
      </c>
      <c r="L587">
        <v>1454</v>
      </c>
    </row>
    <row r="588" spans="1:12" hidden="1" x14ac:dyDescent="0.25">
      <c r="A588">
        <v>587</v>
      </c>
      <c r="B588" s="1" t="s">
        <v>12</v>
      </c>
      <c r="C588">
        <v>1935</v>
      </c>
      <c r="D588" s="1" t="s">
        <v>142</v>
      </c>
      <c r="E588" s="1" t="s">
        <v>58</v>
      </c>
      <c r="F588">
        <v>54</v>
      </c>
      <c r="G588" s="1" t="s">
        <v>150</v>
      </c>
      <c r="H588">
        <v>54014</v>
      </c>
      <c r="I588">
        <v>194</v>
      </c>
      <c r="J588">
        <v>180</v>
      </c>
      <c r="K588">
        <v>324</v>
      </c>
      <c r="L588">
        <v>1800</v>
      </c>
    </row>
    <row r="589" spans="1:12" hidden="1" x14ac:dyDescent="0.25">
      <c r="A589">
        <v>588</v>
      </c>
      <c r="B589" s="1" t="s">
        <v>12</v>
      </c>
      <c r="C589">
        <v>1935</v>
      </c>
      <c r="D589" s="1" t="s">
        <v>142</v>
      </c>
      <c r="E589" s="1" t="s">
        <v>58</v>
      </c>
      <c r="F589">
        <v>54</v>
      </c>
      <c r="G589" s="1" t="s">
        <v>61</v>
      </c>
      <c r="H589">
        <v>54098</v>
      </c>
      <c r="I589">
        <v>108</v>
      </c>
      <c r="J589">
        <v>78</v>
      </c>
      <c r="K589">
        <v>109</v>
      </c>
      <c r="L589">
        <v>1400</v>
      </c>
    </row>
    <row r="590" spans="1:12" hidden="1" x14ac:dyDescent="0.25">
      <c r="A590">
        <v>589</v>
      </c>
      <c r="B590" s="1" t="s">
        <v>12</v>
      </c>
      <c r="C590">
        <v>1935</v>
      </c>
      <c r="D590" s="1" t="s">
        <v>142</v>
      </c>
      <c r="E590" s="1" t="s">
        <v>58</v>
      </c>
      <c r="F590">
        <v>54</v>
      </c>
      <c r="G590" s="1" t="s">
        <v>59</v>
      </c>
      <c r="H590">
        <v>54007</v>
      </c>
      <c r="I590">
        <v>94</v>
      </c>
      <c r="J590">
        <v>94</v>
      </c>
      <c r="K590">
        <v>169</v>
      </c>
      <c r="L590">
        <v>1800</v>
      </c>
    </row>
    <row r="591" spans="1:12" hidden="1" x14ac:dyDescent="0.25">
      <c r="A591">
        <v>590</v>
      </c>
      <c r="B591" s="1" t="s">
        <v>12</v>
      </c>
      <c r="C591">
        <v>1935</v>
      </c>
      <c r="D591" s="1" t="s">
        <v>142</v>
      </c>
      <c r="E591" s="1" t="s">
        <v>58</v>
      </c>
      <c r="F591">
        <v>54</v>
      </c>
      <c r="G591" s="1" t="s">
        <v>62</v>
      </c>
      <c r="H591">
        <v>54105</v>
      </c>
      <c r="I591">
        <v>48</v>
      </c>
      <c r="J591">
        <v>40</v>
      </c>
      <c r="K591">
        <v>56</v>
      </c>
      <c r="L591">
        <v>1400</v>
      </c>
    </row>
    <row r="592" spans="1:12" hidden="1" x14ac:dyDescent="0.25">
      <c r="A592">
        <v>591</v>
      </c>
      <c r="B592" s="1" t="s">
        <v>12</v>
      </c>
      <c r="C592">
        <v>1935</v>
      </c>
      <c r="D592" s="1" t="s">
        <v>142</v>
      </c>
      <c r="E592" s="1" t="s">
        <v>58</v>
      </c>
      <c r="F592">
        <v>54</v>
      </c>
      <c r="G592" s="1" t="s">
        <v>151</v>
      </c>
      <c r="H592">
        <v>54056</v>
      </c>
      <c r="I592">
        <v>27</v>
      </c>
      <c r="J592">
        <v>27</v>
      </c>
      <c r="K592">
        <v>40</v>
      </c>
      <c r="L592">
        <v>1500</v>
      </c>
    </row>
    <row r="593" spans="1:12" x14ac:dyDescent="0.25">
      <c r="A593">
        <v>592</v>
      </c>
      <c r="B593" s="1" t="s">
        <v>12</v>
      </c>
      <c r="C593">
        <v>1935</v>
      </c>
      <c r="D593" s="1" t="s">
        <v>142</v>
      </c>
      <c r="E593" s="1" t="s">
        <v>58</v>
      </c>
      <c r="F593">
        <v>54</v>
      </c>
      <c r="G593" s="1" t="s">
        <v>56</v>
      </c>
      <c r="H593">
        <v>54112</v>
      </c>
      <c r="I593">
        <v>21</v>
      </c>
      <c r="J593">
        <v>21</v>
      </c>
      <c r="K593">
        <v>40</v>
      </c>
      <c r="L593">
        <v>1900</v>
      </c>
    </row>
    <row r="594" spans="1:12" hidden="1" x14ac:dyDescent="0.25">
      <c r="A594">
        <v>593</v>
      </c>
      <c r="B594" s="1" t="s">
        <v>12</v>
      </c>
      <c r="C594">
        <v>1935</v>
      </c>
      <c r="D594" s="1" t="s">
        <v>142</v>
      </c>
      <c r="E594" s="1" t="s">
        <v>58</v>
      </c>
      <c r="F594">
        <v>54</v>
      </c>
      <c r="G594" s="1" t="s">
        <v>63</v>
      </c>
      <c r="H594">
        <v>54035</v>
      </c>
      <c r="I594">
        <v>18</v>
      </c>
      <c r="J594">
        <v>16</v>
      </c>
      <c r="K594">
        <v>29</v>
      </c>
      <c r="L594">
        <v>1800</v>
      </c>
    </row>
    <row r="595" spans="1:12" hidden="1" x14ac:dyDescent="0.25">
      <c r="A595">
        <v>594</v>
      </c>
      <c r="B595" s="1" t="s">
        <v>12</v>
      </c>
      <c r="C595">
        <v>1935</v>
      </c>
      <c r="D595" s="1" t="s">
        <v>142</v>
      </c>
      <c r="E595" s="1" t="s">
        <v>58</v>
      </c>
      <c r="F595">
        <v>54</v>
      </c>
      <c r="G595" s="1" t="s">
        <v>152</v>
      </c>
      <c r="H595">
        <v>54063</v>
      </c>
      <c r="I595">
        <v>15</v>
      </c>
      <c r="J595">
        <v>15</v>
      </c>
      <c r="K595">
        <v>27</v>
      </c>
      <c r="L595">
        <v>1800</v>
      </c>
    </row>
    <row r="596" spans="1:12" hidden="1" x14ac:dyDescent="0.25">
      <c r="A596">
        <v>595</v>
      </c>
      <c r="B596" s="1" t="s">
        <v>12</v>
      </c>
      <c r="C596">
        <v>1935</v>
      </c>
      <c r="D596" s="1" t="s">
        <v>142</v>
      </c>
      <c r="E596" s="1" t="s">
        <v>58</v>
      </c>
      <c r="F596">
        <v>54</v>
      </c>
      <c r="G596" s="1" t="s">
        <v>28</v>
      </c>
      <c r="H596">
        <v>54028</v>
      </c>
      <c r="I596">
        <v>6</v>
      </c>
      <c r="J596">
        <v>6</v>
      </c>
      <c r="K596">
        <v>9</v>
      </c>
      <c r="L596">
        <v>1500</v>
      </c>
    </row>
    <row r="597" spans="1:12" hidden="1" x14ac:dyDescent="0.25">
      <c r="A597">
        <v>596</v>
      </c>
      <c r="B597" s="1" t="s">
        <v>12</v>
      </c>
      <c r="C597">
        <v>1935</v>
      </c>
      <c r="D597" s="1" t="s">
        <v>142</v>
      </c>
      <c r="E597" s="1" t="s">
        <v>87</v>
      </c>
      <c r="F597">
        <v>66</v>
      </c>
      <c r="G597" s="1" t="s">
        <v>28</v>
      </c>
      <c r="H597">
        <v>66028</v>
      </c>
      <c r="I597">
        <v>25</v>
      </c>
      <c r="J597">
        <v>23</v>
      </c>
      <c r="K597">
        <v>21</v>
      </c>
      <c r="L597">
        <v>913</v>
      </c>
    </row>
    <row r="598" spans="1:12" hidden="1" x14ac:dyDescent="0.25">
      <c r="A598">
        <v>597</v>
      </c>
      <c r="B598" s="1" t="s">
        <v>12</v>
      </c>
      <c r="C598">
        <v>1935</v>
      </c>
      <c r="D598" s="1" t="s">
        <v>142</v>
      </c>
      <c r="E598" s="1" t="s">
        <v>87</v>
      </c>
      <c r="F598">
        <v>66</v>
      </c>
      <c r="G598" s="1" t="s">
        <v>125</v>
      </c>
      <c r="H598">
        <v>66035</v>
      </c>
      <c r="I598">
        <v>10</v>
      </c>
      <c r="J598">
        <v>9</v>
      </c>
      <c r="K598">
        <v>7</v>
      </c>
      <c r="L598">
        <v>800</v>
      </c>
    </row>
    <row r="599" spans="1:12" hidden="1" x14ac:dyDescent="0.25">
      <c r="A599">
        <v>598</v>
      </c>
      <c r="B599" s="1" t="s">
        <v>12</v>
      </c>
      <c r="C599">
        <v>1935</v>
      </c>
      <c r="D599" s="1" t="s">
        <v>142</v>
      </c>
      <c r="E599" s="1" t="s">
        <v>87</v>
      </c>
      <c r="F599">
        <v>66</v>
      </c>
      <c r="G599" s="1" t="s">
        <v>141</v>
      </c>
      <c r="H599">
        <v>66112</v>
      </c>
      <c r="I599">
        <v>10</v>
      </c>
      <c r="J599">
        <v>10</v>
      </c>
      <c r="K599">
        <v>10</v>
      </c>
      <c r="L599">
        <v>1000</v>
      </c>
    </row>
    <row r="600" spans="1:12" hidden="1" x14ac:dyDescent="0.25">
      <c r="A600">
        <v>599</v>
      </c>
      <c r="B600" s="1" t="s">
        <v>12</v>
      </c>
      <c r="C600">
        <v>1935</v>
      </c>
      <c r="D600" s="1" t="s">
        <v>142</v>
      </c>
      <c r="E600" s="1" t="s">
        <v>87</v>
      </c>
      <c r="F600">
        <v>66</v>
      </c>
      <c r="G600" s="1" t="s">
        <v>130</v>
      </c>
      <c r="H600">
        <v>66147</v>
      </c>
      <c r="I600">
        <v>5</v>
      </c>
      <c r="J600">
        <v>5</v>
      </c>
      <c r="K600">
        <v>4</v>
      </c>
      <c r="L600">
        <v>900</v>
      </c>
    </row>
    <row r="601" spans="1:12" hidden="1" x14ac:dyDescent="0.25">
      <c r="A601">
        <v>600</v>
      </c>
      <c r="B601" s="1" t="s">
        <v>12</v>
      </c>
      <c r="C601">
        <v>1935</v>
      </c>
      <c r="D601" s="1" t="s">
        <v>142</v>
      </c>
      <c r="E601" s="1" t="s">
        <v>87</v>
      </c>
      <c r="F601">
        <v>66</v>
      </c>
      <c r="G601" s="1" t="s">
        <v>131</v>
      </c>
      <c r="H601">
        <v>66049</v>
      </c>
      <c r="I601">
        <v>2</v>
      </c>
      <c r="J601">
        <v>2</v>
      </c>
      <c r="K601">
        <v>2</v>
      </c>
      <c r="L601">
        <v>1000</v>
      </c>
    </row>
    <row r="602" spans="1:12" hidden="1" x14ac:dyDescent="0.25">
      <c r="A602">
        <v>601</v>
      </c>
      <c r="B602" s="1" t="s">
        <v>12</v>
      </c>
      <c r="C602">
        <v>1935</v>
      </c>
      <c r="D602" s="1" t="s">
        <v>142</v>
      </c>
      <c r="E602" s="1" t="s">
        <v>87</v>
      </c>
      <c r="F602">
        <v>66</v>
      </c>
      <c r="G602" s="1" t="s">
        <v>153</v>
      </c>
      <c r="H602">
        <v>66007</v>
      </c>
      <c r="I602">
        <v>1</v>
      </c>
      <c r="J602">
        <v>1</v>
      </c>
      <c r="K602">
        <v>1</v>
      </c>
      <c r="L602">
        <v>1000</v>
      </c>
    </row>
    <row r="603" spans="1:12" hidden="1" x14ac:dyDescent="0.25">
      <c r="A603">
        <v>602</v>
      </c>
      <c r="B603" s="1" t="s">
        <v>12</v>
      </c>
      <c r="C603">
        <v>1935</v>
      </c>
      <c r="D603" s="1" t="s">
        <v>142</v>
      </c>
      <c r="E603" s="1" t="s">
        <v>112</v>
      </c>
      <c r="F603">
        <v>70</v>
      </c>
      <c r="G603" s="1" t="s">
        <v>115</v>
      </c>
      <c r="H603">
        <v>70070</v>
      </c>
      <c r="I603">
        <v>7</v>
      </c>
      <c r="J603">
        <v>7</v>
      </c>
      <c r="K603">
        <v>6</v>
      </c>
      <c r="L603">
        <v>900</v>
      </c>
    </row>
    <row r="604" spans="1:12" hidden="1" x14ac:dyDescent="0.25">
      <c r="A604">
        <v>603</v>
      </c>
      <c r="B604" s="1" t="s">
        <v>12</v>
      </c>
      <c r="C604">
        <v>1935</v>
      </c>
      <c r="D604" s="1" t="s">
        <v>142</v>
      </c>
      <c r="E604" s="1" t="s">
        <v>116</v>
      </c>
      <c r="F604">
        <v>74</v>
      </c>
      <c r="G604" s="1" t="s">
        <v>126</v>
      </c>
      <c r="H604">
        <v>74035</v>
      </c>
      <c r="I604">
        <v>32</v>
      </c>
    </row>
    <row r="605" spans="1:12" hidden="1" x14ac:dyDescent="0.25">
      <c r="A605">
        <v>604</v>
      </c>
      <c r="B605" s="1" t="s">
        <v>12</v>
      </c>
      <c r="C605">
        <v>1935</v>
      </c>
      <c r="D605" s="1" t="s">
        <v>142</v>
      </c>
      <c r="E605" s="1" t="s">
        <v>116</v>
      </c>
      <c r="F605">
        <v>74</v>
      </c>
      <c r="G605" s="1" t="s">
        <v>118</v>
      </c>
      <c r="H605">
        <v>74028</v>
      </c>
      <c r="I605">
        <v>28</v>
      </c>
    </row>
    <row r="606" spans="1:12" hidden="1" x14ac:dyDescent="0.25">
      <c r="A606">
        <v>605</v>
      </c>
      <c r="B606" s="1" t="s">
        <v>12</v>
      </c>
      <c r="C606">
        <v>1935</v>
      </c>
      <c r="D606" s="1" t="s">
        <v>142</v>
      </c>
      <c r="E606" s="1" t="s">
        <v>116</v>
      </c>
      <c r="F606">
        <v>74</v>
      </c>
      <c r="G606" s="1" t="s">
        <v>117</v>
      </c>
      <c r="H606">
        <v>74021</v>
      </c>
      <c r="I606">
        <v>15</v>
      </c>
    </row>
    <row r="607" spans="1:12" hidden="1" x14ac:dyDescent="0.25">
      <c r="A607">
        <v>606</v>
      </c>
      <c r="B607" s="1" t="s">
        <v>12</v>
      </c>
      <c r="C607">
        <v>1935</v>
      </c>
      <c r="D607" s="1" t="s">
        <v>142</v>
      </c>
      <c r="E607" s="1" t="s">
        <v>116</v>
      </c>
      <c r="F607">
        <v>74</v>
      </c>
      <c r="G607" s="1" t="s">
        <v>127</v>
      </c>
      <c r="H607">
        <v>74049</v>
      </c>
      <c r="I607">
        <v>10</v>
      </c>
    </row>
    <row r="608" spans="1:12" hidden="1" x14ac:dyDescent="0.25">
      <c r="A608">
        <v>607</v>
      </c>
      <c r="B608" s="1" t="s">
        <v>12</v>
      </c>
      <c r="C608">
        <v>1935</v>
      </c>
      <c r="D608" s="1" t="s">
        <v>142</v>
      </c>
      <c r="E608" s="1" t="s">
        <v>116</v>
      </c>
      <c r="F608">
        <v>74</v>
      </c>
      <c r="G608" s="1" t="s">
        <v>119</v>
      </c>
      <c r="H608">
        <v>74063</v>
      </c>
      <c r="I608">
        <v>5</v>
      </c>
    </row>
    <row r="609" spans="1:12" hidden="1" x14ac:dyDescent="0.25">
      <c r="A609">
        <v>608</v>
      </c>
      <c r="B609" s="1" t="s">
        <v>12</v>
      </c>
      <c r="C609">
        <v>1935</v>
      </c>
      <c r="D609" s="1" t="s">
        <v>142</v>
      </c>
      <c r="E609" s="1" t="s">
        <v>64</v>
      </c>
      <c r="F609">
        <v>82</v>
      </c>
      <c r="G609" s="1" t="s">
        <v>65</v>
      </c>
      <c r="H609">
        <v>82049</v>
      </c>
      <c r="I609">
        <v>9450</v>
      </c>
      <c r="J609">
        <v>8029</v>
      </c>
      <c r="K609">
        <v>9173</v>
      </c>
      <c r="L609">
        <v>1142</v>
      </c>
    </row>
    <row r="610" spans="1:12" hidden="1" x14ac:dyDescent="0.25">
      <c r="A610">
        <v>609</v>
      </c>
      <c r="B610" s="1" t="s">
        <v>12</v>
      </c>
      <c r="C610">
        <v>1935</v>
      </c>
      <c r="D610" s="1" t="s">
        <v>142</v>
      </c>
      <c r="E610" s="1" t="s">
        <v>64</v>
      </c>
      <c r="F610">
        <v>82</v>
      </c>
      <c r="G610" s="1" t="s">
        <v>66</v>
      </c>
      <c r="H610">
        <v>82035</v>
      </c>
      <c r="I610">
        <v>5500</v>
      </c>
      <c r="J610">
        <v>4400</v>
      </c>
      <c r="K610">
        <v>5500</v>
      </c>
      <c r="L610">
        <v>1250</v>
      </c>
    </row>
    <row r="611" spans="1:12" hidden="1" x14ac:dyDescent="0.25">
      <c r="A611">
        <v>610</v>
      </c>
      <c r="B611" s="1" t="s">
        <v>12</v>
      </c>
      <c r="C611">
        <v>1935</v>
      </c>
      <c r="D611" s="1" t="s">
        <v>142</v>
      </c>
      <c r="E611" s="1" t="s">
        <v>64</v>
      </c>
      <c r="F611">
        <v>82</v>
      </c>
      <c r="G611" s="1" t="s">
        <v>62</v>
      </c>
      <c r="H611">
        <v>82098</v>
      </c>
      <c r="I611">
        <v>496</v>
      </c>
      <c r="J611">
        <v>440</v>
      </c>
      <c r="K611">
        <v>484</v>
      </c>
      <c r="L611">
        <v>1100</v>
      </c>
    </row>
    <row r="612" spans="1:12" hidden="1" x14ac:dyDescent="0.25">
      <c r="A612">
        <v>611</v>
      </c>
      <c r="B612" s="1" t="s">
        <v>12</v>
      </c>
      <c r="C612">
        <v>1935</v>
      </c>
      <c r="D612" s="1" t="s">
        <v>142</v>
      </c>
      <c r="E612" s="1" t="s">
        <v>64</v>
      </c>
      <c r="F612">
        <v>82</v>
      </c>
      <c r="G612" s="1" t="s">
        <v>133</v>
      </c>
      <c r="H612">
        <v>82133</v>
      </c>
      <c r="I612">
        <v>450</v>
      </c>
      <c r="J612">
        <v>400</v>
      </c>
      <c r="K612">
        <v>400</v>
      </c>
      <c r="L612">
        <v>1000</v>
      </c>
    </row>
    <row r="613" spans="1:12" hidden="1" x14ac:dyDescent="0.25">
      <c r="A613">
        <v>612</v>
      </c>
      <c r="B613" s="1" t="s">
        <v>12</v>
      </c>
      <c r="C613">
        <v>1935</v>
      </c>
      <c r="D613" s="1" t="s">
        <v>142</v>
      </c>
      <c r="E613" s="1" t="s">
        <v>64</v>
      </c>
      <c r="F613">
        <v>82</v>
      </c>
      <c r="G613" s="1" t="s">
        <v>28</v>
      </c>
      <c r="H613">
        <v>82063</v>
      </c>
      <c r="I613">
        <v>108</v>
      </c>
      <c r="J613">
        <v>90</v>
      </c>
      <c r="K613">
        <v>90</v>
      </c>
      <c r="L613">
        <v>1000</v>
      </c>
    </row>
    <row r="614" spans="1:12" hidden="1" x14ac:dyDescent="0.25">
      <c r="A614">
        <v>613</v>
      </c>
      <c r="B614" s="1" t="s">
        <v>12</v>
      </c>
      <c r="C614">
        <v>1935</v>
      </c>
      <c r="D614" s="1" t="s">
        <v>142</v>
      </c>
      <c r="E614" s="1" t="s">
        <v>64</v>
      </c>
      <c r="F614">
        <v>82</v>
      </c>
      <c r="G614" s="1" t="s">
        <v>67</v>
      </c>
      <c r="H614">
        <v>82112</v>
      </c>
      <c r="I614">
        <v>75</v>
      </c>
      <c r="J614">
        <v>70</v>
      </c>
      <c r="K614">
        <v>70</v>
      </c>
      <c r="L614">
        <v>1000</v>
      </c>
    </row>
    <row r="615" spans="1:12" hidden="1" x14ac:dyDescent="0.25">
      <c r="A615">
        <v>614</v>
      </c>
      <c r="B615" s="1" t="s">
        <v>12</v>
      </c>
      <c r="C615">
        <v>1935</v>
      </c>
      <c r="D615" s="1" t="s">
        <v>142</v>
      </c>
      <c r="E615" s="1" t="s">
        <v>64</v>
      </c>
      <c r="F615">
        <v>82</v>
      </c>
      <c r="G615" s="1" t="s">
        <v>154</v>
      </c>
      <c r="H615">
        <v>82091</v>
      </c>
      <c r="I615">
        <v>15</v>
      </c>
      <c r="J615">
        <v>15</v>
      </c>
      <c r="K615">
        <v>14</v>
      </c>
      <c r="L615">
        <v>950</v>
      </c>
    </row>
    <row r="616" spans="1:12" hidden="1" x14ac:dyDescent="0.25">
      <c r="A616">
        <v>615</v>
      </c>
      <c r="B616" s="1" t="s">
        <v>12</v>
      </c>
      <c r="C616">
        <v>1935</v>
      </c>
      <c r="D616" s="1" t="s">
        <v>142</v>
      </c>
      <c r="E616" s="1" t="s">
        <v>64</v>
      </c>
      <c r="F616">
        <v>82</v>
      </c>
      <c r="G616" s="1" t="s">
        <v>155</v>
      </c>
      <c r="H616">
        <v>82021</v>
      </c>
      <c r="I616">
        <v>6</v>
      </c>
      <c r="J616">
        <v>6</v>
      </c>
      <c r="K616">
        <v>5</v>
      </c>
      <c r="L616">
        <v>820</v>
      </c>
    </row>
    <row r="617" spans="1:12" hidden="1" x14ac:dyDescent="0.25">
      <c r="A617">
        <v>616</v>
      </c>
      <c r="B617" s="1" t="s">
        <v>12</v>
      </c>
      <c r="C617">
        <v>1935</v>
      </c>
      <c r="D617" s="1" t="s">
        <v>142</v>
      </c>
      <c r="E617" s="1" t="s">
        <v>68</v>
      </c>
      <c r="F617">
        <v>86</v>
      </c>
      <c r="G617" s="1" t="s">
        <v>156</v>
      </c>
      <c r="H617">
        <v>86042</v>
      </c>
      <c r="I617">
        <v>12</v>
      </c>
      <c r="J617">
        <v>7</v>
      </c>
      <c r="K617">
        <v>7</v>
      </c>
      <c r="L617">
        <v>1000</v>
      </c>
    </row>
    <row r="618" spans="1:12" hidden="1" x14ac:dyDescent="0.25">
      <c r="A618">
        <v>617</v>
      </c>
      <c r="B618" s="1" t="s">
        <v>12</v>
      </c>
      <c r="C618">
        <v>1935</v>
      </c>
      <c r="D618" s="1" t="s">
        <v>142</v>
      </c>
      <c r="E618" s="1" t="s">
        <v>68</v>
      </c>
      <c r="F618">
        <v>86</v>
      </c>
      <c r="G618" s="1" t="s">
        <v>70</v>
      </c>
      <c r="H618">
        <v>86098</v>
      </c>
      <c r="I618">
        <v>8</v>
      </c>
      <c r="J618">
        <v>6</v>
      </c>
      <c r="K618">
        <v>6</v>
      </c>
      <c r="L618">
        <v>1000</v>
      </c>
    </row>
    <row r="619" spans="1:12" hidden="1" x14ac:dyDescent="0.25">
      <c r="A619">
        <v>618</v>
      </c>
      <c r="B619" s="1" t="s">
        <v>12</v>
      </c>
      <c r="C619">
        <v>1935</v>
      </c>
      <c r="D619" s="1" t="s">
        <v>142</v>
      </c>
      <c r="E619" s="1" t="s">
        <v>77</v>
      </c>
      <c r="F619">
        <v>90</v>
      </c>
      <c r="G619" s="1" t="s">
        <v>91</v>
      </c>
      <c r="H619">
        <v>90014</v>
      </c>
      <c r="I619">
        <v>1400</v>
      </c>
      <c r="J619">
        <v>1000</v>
      </c>
      <c r="K619">
        <v>1338</v>
      </c>
      <c r="L619">
        <v>1338</v>
      </c>
    </row>
    <row r="620" spans="1:12" hidden="1" x14ac:dyDescent="0.25">
      <c r="A620">
        <v>619</v>
      </c>
      <c r="B620" s="1" t="s">
        <v>12</v>
      </c>
      <c r="C620">
        <v>1935</v>
      </c>
      <c r="D620" s="1" t="s">
        <v>142</v>
      </c>
      <c r="E620" s="1" t="s">
        <v>77</v>
      </c>
      <c r="F620">
        <v>90</v>
      </c>
      <c r="G620" s="1" t="s">
        <v>78</v>
      </c>
      <c r="H620">
        <v>90007</v>
      </c>
      <c r="I620">
        <v>700</v>
      </c>
      <c r="J620">
        <v>500</v>
      </c>
      <c r="K620">
        <v>500</v>
      </c>
      <c r="L620">
        <v>1000</v>
      </c>
    </row>
    <row r="621" spans="1:12" hidden="1" x14ac:dyDescent="0.25">
      <c r="A621">
        <v>620</v>
      </c>
      <c r="B621" s="1" t="s">
        <v>12</v>
      </c>
      <c r="C621">
        <v>1935</v>
      </c>
      <c r="D621" s="1" t="s">
        <v>142</v>
      </c>
      <c r="E621" s="1" t="s">
        <v>77</v>
      </c>
      <c r="F621">
        <v>90</v>
      </c>
      <c r="G621" s="1" t="s">
        <v>92</v>
      </c>
      <c r="H621">
        <v>90056</v>
      </c>
      <c r="I621">
        <v>500</v>
      </c>
      <c r="J621">
        <v>250</v>
      </c>
      <c r="K621">
        <v>225</v>
      </c>
      <c r="L621">
        <v>900</v>
      </c>
    </row>
    <row r="622" spans="1:12" hidden="1" x14ac:dyDescent="0.25">
      <c r="A622">
        <v>621</v>
      </c>
      <c r="B622" s="1" t="s">
        <v>12</v>
      </c>
      <c r="C622">
        <v>1935</v>
      </c>
      <c r="D622" s="1" t="s">
        <v>142</v>
      </c>
      <c r="E622" s="1" t="s">
        <v>77</v>
      </c>
      <c r="F622">
        <v>90</v>
      </c>
      <c r="G622" s="1" t="s">
        <v>109</v>
      </c>
      <c r="H622">
        <v>90077</v>
      </c>
      <c r="I622">
        <v>200</v>
      </c>
      <c r="J622">
        <v>100</v>
      </c>
      <c r="K622">
        <v>80</v>
      </c>
      <c r="L622">
        <v>800</v>
      </c>
    </row>
    <row r="623" spans="1:12" hidden="1" x14ac:dyDescent="0.25">
      <c r="A623">
        <v>622</v>
      </c>
      <c r="B623" s="1" t="s">
        <v>12</v>
      </c>
      <c r="C623">
        <v>1935</v>
      </c>
      <c r="D623" s="1" t="s">
        <v>142</v>
      </c>
      <c r="E623" s="1" t="s">
        <v>77</v>
      </c>
      <c r="F623">
        <v>90</v>
      </c>
      <c r="G623" s="1" t="s">
        <v>90</v>
      </c>
      <c r="H623">
        <v>90112</v>
      </c>
      <c r="I623">
        <v>150</v>
      </c>
      <c r="J623">
        <v>70</v>
      </c>
      <c r="K623">
        <v>84</v>
      </c>
      <c r="L623">
        <v>1200</v>
      </c>
    </row>
    <row r="624" spans="1:12" x14ac:dyDescent="0.25">
      <c r="A624">
        <v>623</v>
      </c>
      <c r="B624" s="1" t="s">
        <v>12</v>
      </c>
      <c r="C624">
        <v>1936</v>
      </c>
      <c r="D624" s="1" t="s">
        <v>157</v>
      </c>
      <c r="E624" s="1" t="s">
        <v>158</v>
      </c>
      <c r="F624">
        <v>6</v>
      </c>
      <c r="G624" s="1" t="s">
        <v>56</v>
      </c>
      <c r="H624">
        <v>6770</v>
      </c>
      <c r="I624">
        <v>53</v>
      </c>
      <c r="J624">
        <v>53</v>
      </c>
      <c r="K624">
        <v>76</v>
      </c>
      <c r="L624">
        <v>1434</v>
      </c>
    </row>
    <row r="625" spans="1:12" hidden="1" x14ac:dyDescent="0.25">
      <c r="A625">
        <v>624</v>
      </c>
      <c r="B625" s="1" t="s">
        <v>12</v>
      </c>
      <c r="C625">
        <v>1936</v>
      </c>
      <c r="D625" s="1" t="s">
        <v>157</v>
      </c>
      <c r="E625" s="1" t="s">
        <v>158</v>
      </c>
      <c r="F625">
        <v>6</v>
      </c>
      <c r="G625" s="1" t="s">
        <v>159</v>
      </c>
      <c r="H625">
        <v>6077</v>
      </c>
      <c r="I625">
        <v>2</v>
      </c>
      <c r="J625">
        <v>2</v>
      </c>
      <c r="K625">
        <v>2</v>
      </c>
      <c r="L625">
        <v>1000</v>
      </c>
    </row>
    <row r="626" spans="1:12" hidden="1" x14ac:dyDescent="0.25">
      <c r="A626">
        <v>625</v>
      </c>
      <c r="B626" s="1" t="s">
        <v>12</v>
      </c>
      <c r="C626">
        <v>1936</v>
      </c>
      <c r="D626" s="1" t="s">
        <v>157</v>
      </c>
      <c r="E626" s="1" t="s">
        <v>158</v>
      </c>
      <c r="F626">
        <v>6</v>
      </c>
      <c r="G626" s="1" t="s">
        <v>160</v>
      </c>
      <c r="H626">
        <v>6351</v>
      </c>
      <c r="I626">
        <v>2</v>
      </c>
      <c r="J626">
        <v>2</v>
      </c>
      <c r="K626">
        <v>1</v>
      </c>
      <c r="L626">
        <v>500</v>
      </c>
    </row>
    <row r="627" spans="1:12" hidden="1" x14ac:dyDescent="0.25">
      <c r="A627">
        <v>626</v>
      </c>
      <c r="B627" s="1" t="s">
        <v>12</v>
      </c>
      <c r="C627">
        <v>1936</v>
      </c>
      <c r="D627" s="1" t="s">
        <v>157</v>
      </c>
      <c r="E627" s="1" t="s">
        <v>158</v>
      </c>
      <c r="F627">
        <v>6</v>
      </c>
      <c r="G627" s="1" t="s">
        <v>161</v>
      </c>
      <c r="H627">
        <v>6679</v>
      </c>
      <c r="I627">
        <v>2</v>
      </c>
    </row>
    <row r="628" spans="1:12" hidden="1" x14ac:dyDescent="0.25">
      <c r="A628">
        <v>627</v>
      </c>
      <c r="B628" s="1" t="s">
        <v>12</v>
      </c>
      <c r="C628">
        <v>1936</v>
      </c>
      <c r="D628" s="1" t="s">
        <v>157</v>
      </c>
      <c r="E628" s="1" t="s">
        <v>158</v>
      </c>
      <c r="F628">
        <v>6</v>
      </c>
      <c r="G628" s="1" t="s">
        <v>162</v>
      </c>
      <c r="H628">
        <v>6112</v>
      </c>
      <c r="I628">
        <v>1</v>
      </c>
      <c r="J628">
        <v>1</v>
      </c>
      <c r="K628">
        <v>1</v>
      </c>
      <c r="L628">
        <v>1000</v>
      </c>
    </row>
    <row r="629" spans="1:12" hidden="1" x14ac:dyDescent="0.25">
      <c r="A629">
        <v>628</v>
      </c>
      <c r="B629" s="1" t="s">
        <v>12</v>
      </c>
      <c r="C629">
        <v>1936</v>
      </c>
      <c r="D629" s="1" t="s">
        <v>157</v>
      </c>
      <c r="E629" s="1" t="s">
        <v>158</v>
      </c>
      <c r="F629">
        <v>6</v>
      </c>
      <c r="G629" s="1" t="s">
        <v>163</v>
      </c>
      <c r="H629">
        <v>6224</v>
      </c>
      <c r="I629">
        <v>1</v>
      </c>
    </row>
    <row r="630" spans="1:12" hidden="1" x14ac:dyDescent="0.25">
      <c r="A630">
        <v>629</v>
      </c>
      <c r="B630" s="1" t="s">
        <v>12</v>
      </c>
      <c r="C630">
        <v>1936</v>
      </c>
      <c r="D630" s="1" t="s">
        <v>157</v>
      </c>
      <c r="E630" s="1" t="s">
        <v>158</v>
      </c>
      <c r="F630">
        <v>6</v>
      </c>
      <c r="G630" s="1" t="s">
        <v>164</v>
      </c>
      <c r="H630">
        <v>6469</v>
      </c>
      <c r="I630">
        <v>1</v>
      </c>
    </row>
    <row r="631" spans="1:12" hidden="1" x14ac:dyDescent="0.25">
      <c r="A631">
        <v>630</v>
      </c>
      <c r="B631" s="1" t="s">
        <v>12</v>
      </c>
      <c r="C631">
        <v>1936</v>
      </c>
      <c r="D631" s="1" t="s">
        <v>157</v>
      </c>
      <c r="E631" s="1" t="s">
        <v>158</v>
      </c>
      <c r="F631">
        <v>6</v>
      </c>
      <c r="G631" s="1" t="s">
        <v>165</v>
      </c>
      <c r="H631">
        <v>6609</v>
      </c>
      <c r="I631">
        <v>1</v>
      </c>
    </row>
    <row r="632" spans="1:12" hidden="1" x14ac:dyDescent="0.25">
      <c r="A632">
        <v>631</v>
      </c>
      <c r="B632" s="1" t="s">
        <v>12</v>
      </c>
      <c r="C632">
        <v>1936</v>
      </c>
      <c r="D632" s="1" t="s">
        <v>157</v>
      </c>
      <c r="E632" s="1" t="s">
        <v>158</v>
      </c>
      <c r="F632">
        <v>6</v>
      </c>
      <c r="G632" s="1" t="s">
        <v>166</v>
      </c>
      <c r="H632">
        <v>6728</v>
      </c>
      <c r="I632">
        <v>1</v>
      </c>
      <c r="J632">
        <v>1</v>
      </c>
      <c r="K632">
        <v>1</v>
      </c>
      <c r="L632">
        <v>1000</v>
      </c>
    </row>
    <row r="633" spans="1:12" hidden="1" x14ac:dyDescent="0.25">
      <c r="A633">
        <v>632</v>
      </c>
      <c r="B633" s="1" t="s">
        <v>12</v>
      </c>
      <c r="C633">
        <v>1936</v>
      </c>
      <c r="D633" s="1" t="s">
        <v>157</v>
      </c>
      <c r="E633" s="1" t="s">
        <v>158</v>
      </c>
      <c r="F633">
        <v>6</v>
      </c>
      <c r="G633" s="1" t="s">
        <v>167</v>
      </c>
      <c r="H633">
        <v>6826</v>
      </c>
      <c r="I633">
        <v>1</v>
      </c>
    </row>
    <row r="634" spans="1:12" hidden="1" x14ac:dyDescent="0.25">
      <c r="A634">
        <v>633</v>
      </c>
      <c r="B634" s="1" t="s">
        <v>12</v>
      </c>
      <c r="C634">
        <v>1936</v>
      </c>
      <c r="D634" s="1" t="s">
        <v>157</v>
      </c>
      <c r="E634" s="1" t="s">
        <v>80</v>
      </c>
      <c r="F634">
        <v>10</v>
      </c>
      <c r="G634" s="1" t="s">
        <v>82</v>
      </c>
      <c r="H634">
        <v>10077</v>
      </c>
      <c r="I634">
        <v>2</v>
      </c>
    </row>
    <row r="635" spans="1:12" hidden="1" x14ac:dyDescent="0.25">
      <c r="A635">
        <v>634</v>
      </c>
      <c r="B635" s="1" t="s">
        <v>12</v>
      </c>
      <c r="C635">
        <v>1936</v>
      </c>
      <c r="D635" s="1" t="s">
        <v>157</v>
      </c>
      <c r="E635" s="1" t="s">
        <v>80</v>
      </c>
      <c r="F635">
        <v>10</v>
      </c>
      <c r="G635" s="1" t="s">
        <v>124</v>
      </c>
      <c r="H635">
        <v>10070</v>
      </c>
      <c r="I635">
        <v>1</v>
      </c>
    </row>
    <row r="636" spans="1:12" hidden="1" x14ac:dyDescent="0.25">
      <c r="A636">
        <v>635</v>
      </c>
      <c r="B636" s="1" t="s">
        <v>12</v>
      </c>
      <c r="C636">
        <v>1936</v>
      </c>
      <c r="D636" s="1" t="s">
        <v>157</v>
      </c>
      <c r="E636" s="1" t="s">
        <v>14</v>
      </c>
      <c r="F636">
        <v>22</v>
      </c>
      <c r="G636" s="1" t="s">
        <v>17</v>
      </c>
      <c r="H636">
        <v>22140</v>
      </c>
      <c r="I636">
        <v>85</v>
      </c>
      <c r="J636">
        <v>72</v>
      </c>
      <c r="K636">
        <v>57</v>
      </c>
      <c r="L636">
        <v>792</v>
      </c>
    </row>
    <row r="637" spans="1:12" hidden="1" x14ac:dyDescent="0.25">
      <c r="A637">
        <v>636</v>
      </c>
      <c r="B637" s="1" t="s">
        <v>12</v>
      </c>
      <c r="C637">
        <v>1936</v>
      </c>
      <c r="D637" s="1" t="s">
        <v>157</v>
      </c>
      <c r="E637" s="1" t="s">
        <v>14</v>
      </c>
      <c r="F637">
        <v>22</v>
      </c>
      <c r="G637" s="1" t="s">
        <v>16</v>
      </c>
      <c r="H637">
        <v>22049</v>
      </c>
      <c r="I637">
        <v>47</v>
      </c>
      <c r="J637">
        <v>3</v>
      </c>
      <c r="K637">
        <v>1</v>
      </c>
      <c r="L637">
        <v>333</v>
      </c>
    </row>
    <row r="638" spans="1:12" hidden="1" x14ac:dyDescent="0.25">
      <c r="A638">
        <v>637</v>
      </c>
      <c r="B638" s="1" t="s">
        <v>12</v>
      </c>
      <c r="C638">
        <v>1936</v>
      </c>
      <c r="D638" s="1" t="s">
        <v>157</v>
      </c>
      <c r="E638" s="1" t="s">
        <v>14</v>
      </c>
      <c r="F638">
        <v>22</v>
      </c>
      <c r="G638" s="1" t="s">
        <v>15</v>
      </c>
      <c r="H638">
        <v>22105</v>
      </c>
      <c r="I638">
        <v>14</v>
      </c>
      <c r="J638">
        <v>2</v>
      </c>
      <c r="K638">
        <v>1</v>
      </c>
      <c r="L638">
        <v>500</v>
      </c>
    </row>
    <row r="639" spans="1:12" hidden="1" x14ac:dyDescent="0.25">
      <c r="A639">
        <v>638</v>
      </c>
      <c r="B639" s="1" t="s">
        <v>12</v>
      </c>
      <c r="C639">
        <v>1936</v>
      </c>
      <c r="D639" s="1" t="s">
        <v>157</v>
      </c>
      <c r="E639" s="1" t="s">
        <v>14</v>
      </c>
      <c r="F639">
        <v>22</v>
      </c>
      <c r="G639" s="1" t="s">
        <v>19</v>
      </c>
      <c r="H639">
        <v>22014</v>
      </c>
      <c r="I639">
        <v>14</v>
      </c>
      <c r="J639">
        <v>14</v>
      </c>
      <c r="K639">
        <v>8</v>
      </c>
      <c r="L639">
        <v>571</v>
      </c>
    </row>
    <row r="640" spans="1:12" hidden="1" x14ac:dyDescent="0.25">
      <c r="A640">
        <v>639</v>
      </c>
      <c r="B640" s="1" t="s">
        <v>12</v>
      </c>
      <c r="C640">
        <v>1936</v>
      </c>
      <c r="D640" s="1" t="s">
        <v>157</v>
      </c>
      <c r="E640" s="1" t="s">
        <v>14</v>
      </c>
      <c r="F640">
        <v>22</v>
      </c>
      <c r="G640" s="1" t="s">
        <v>168</v>
      </c>
      <c r="H640">
        <v>22063</v>
      </c>
      <c r="I640">
        <v>7</v>
      </c>
    </row>
    <row r="641" spans="1:12" hidden="1" x14ac:dyDescent="0.25">
      <c r="A641">
        <v>640</v>
      </c>
      <c r="B641" s="1" t="s">
        <v>12</v>
      </c>
      <c r="C641">
        <v>1936</v>
      </c>
      <c r="D641" s="1" t="s">
        <v>157</v>
      </c>
      <c r="E641" s="1" t="s">
        <v>14</v>
      </c>
      <c r="F641">
        <v>22</v>
      </c>
      <c r="G641" s="1" t="s">
        <v>20</v>
      </c>
      <c r="H641">
        <v>22091</v>
      </c>
      <c r="I641">
        <v>7</v>
      </c>
      <c r="J641">
        <v>5</v>
      </c>
      <c r="K641">
        <v>2</v>
      </c>
      <c r="L641">
        <v>400</v>
      </c>
    </row>
    <row r="642" spans="1:12" hidden="1" x14ac:dyDescent="0.25">
      <c r="A642">
        <v>641</v>
      </c>
      <c r="B642" s="1" t="s">
        <v>12</v>
      </c>
      <c r="C642">
        <v>1936</v>
      </c>
      <c r="D642" s="1" t="s">
        <v>157</v>
      </c>
      <c r="E642" s="1" t="s">
        <v>14</v>
      </c>
      <c r="F642">
        <v>22</v>
      </c>
      <c r="G642" s="1" t="s">
        <v>18</v>
      </c>
      <c r="H642">
        <v>22084</v>
      </c>
      <c r="I642">
        <v>2</v>
      </c>
    </row>
    <row r="643" spans="1:12" hidden="1" x14ac:dyDescent="0.25">
      <c r="A643">
        <v>642</v>
      </c>
      <c r="B643" s="1" t="s">
        <v>12</v>
      </c>
      <c r="C643">
        <v>1936</v>
      </c>
      <c r="D643" s="1" t="s">
        <v>157</v>
      </c>
      <c r="E643" s="1" t="s">
        <v>14</v>
      </c>
      <c r="F643">
        <v>22</v>
      </c>
      <c r="G643" s="1" t="s">
        <v>21</v>
      </c>
      <c r="H643">
        <v>22161</v>
      </c>
      <c r="I643">
        <v>1</v>
      </c>
    </row>
    <row r="644" spans="1:12" hidden="1" x14ac:dyDescent="0.25">
      <c r="A644">
        <v>643</v>
      </c>
      <c r="B644" s="1" t="s">
        <v>12</v>
      </c>
      <c r="C644">
        <v>1936</v>
      </c>
      <c r="D644" s="1" t="s">
        <v>157</v>
      </c>
      <c r="E644" s="1" t="s">
        <v>22</v>
      </c>
      <c r="F644">
        <v>14</v>
      </c>
      <c r="G644" s="1" t="s">
        <v>23</v>
      </c>
      <c r="H644">
        <v>14147</v>
      </c>
      <c r="I644">
        <v>43257</v>
      </c>
      <c r="J644">
        <v>38605</v>
      </c>
      <c r="K644">
        <v>22051</v>
      </c>
      <c r="L644">
        <v>571</v>
      </c>
    </row>
    <row r="645" spans="1:12" hidden="1" x14ac:dyDescent="0.25">
      <c r="A645">
        <v>644</v>
      </c>
      <c r="B645" s="1" t="s">
        <v>12</v>
      </c>
      <c r="C645">
        <v>1936</v>
      </c>
      <c r="D645" s="1" t="s">
        <v>157</v>
      </c>
      <c r="E645" s="1" t="s">
        <v>22</v>
      </c>
      <c r="F645">
        <v>14</v>
      </c>
      <c r="G645" s="1" t="s">
        <v>24</v>
      </c>
      <c r="H645">
        <v>14119</v>
      </c>
      <c r="I645">
        <v>27278</v>
      </c>
      <c r="J645">
        <v>19929</v>
      </c>
      <c r="K645">
        <v>12920</v>
      </c>
      <c r="L645">
        <v>648</v>
      </c>
    </row>
    <row r="646" spans="1:12" hidden="1" x14ac:dyDescent="0.25">
      <c r="A646">
        <v>645</v>
      </c>
      <c r="B646" s="1" t="s">
        <v>12</v>
      </c>
      <c r="C646">
        <v>1936</v>
      </c>
      <c r="D646" s="1" t="s">
        <v>157</v>
      </c>
      <c r="E646" s="1" t="s">
        <v>22</v>
      </c>
      <c r="F646">
        <v>14</v>
      </c>
      <c r="G646" s="1" t="s">
        <v>25</v>
      </c>
      <c r="H646">
        <v>14105</v>
      </c>
      <c r="I646">
        <v>12180</v>
      </c>
      <c r="J646">
        <v>6520</v>
      </c>
      <c r="K646">
        <v>3305</v>
      </c>
      <c r="L646">
        <v>507</v>
      </c>
    </row>
    <row r="647" spans="1:12" hidden="1" x14ac:dyDescent="0.25">
      <c r="A647">
        <v>646</v>
      </c>
      <c r="B647" s="1" t="s">
        <v>12</v>
      </c>
      <c r="C647">
        <v>1936</v>
      </c>
      <c r="D647" s="1" t="s">
        <v>157</v>
      </c>
      <c r="E647" s="1" t="s">
        <v>22</v>
      </c>
      <c r="F647">
        <v>14</v>
      </c>
      <c r="G647" s="1" t="s">
        <v>26</v>
      </c>
      <c r="H647">
        <v>14161</v>
      </c>
      <c r="I647">
        <v>8922</v>
      </c>
      <c r="J647">
        <v>8571</v>
      </c>
      <c r="K647">
        <v>10106</v>
      </c>
      <c r="L647">
        <v>1179</v>
      </c>
    </row>
    <row r="648" spans="1:12" hidden="1" x14ac:dyDescent="0.25">
      <c r="A648">
        <v>647</v>
      </c>
      <c r="B648" s="1" t="s">
        <v>12</v>
      </c>
      <c r="C648">
        <v>1936</v>
      </c>
      <c r="D648" s="1" t="s">
        <v>157</v>
      </c>
      <c r="E648" s="1" t="s">
        <v>22</v>
      </c>
      <c r="F648">
        <v>14</v>
      </c>
      <c r="G648" s="1" t="s">
        <v>97</v>
      </c>
      <c r="H648">
        <v>14007</v>
      </c>
      <c r="I648">
        <v>5294</v>
      </c>
      <c r="J648">
        <v>5121</v>
      </c>
      <c r="K648">
        <v>6413</v>
      </c>
      <c r="L648">
        <v>1252</v>
      </c>
    </row>
    <row r="649" spans="1:12" hidden="1" x14ac:dyDescent="0.25">
      <c r="A649">
        <v>648</v>
      </c>
      <c r="B649" s="1" t="s">
        <v>12</v>
      </c>
      <c r="C649">
        <v>1936</v>
      </c>
      <c r="D649" s="1" t="s">
        <v>157</v>
      </c>
      <c r="E649" s="1" t="s">
        <v>22</v>
      </c>
      <c r="F649">
        <v>14</v>
      </c>
      <c r="G649" s="1" t="s">
        <v>28</v>
      </c>
      <c r="H649">
        <v>14014</v>
      </c>
      <c r="I649">
        <v>1541</v>
      </c>
      <c r="J649">
        <v>1314</v>
      </c>
      <c r="K649">
        <v>969</v>
      </c>
      <c r="L649">
        <v>737</v>
      </c>
    </row>
    <row r="650" spans="1:12" hidden="1" x14ac:dyDescent="0.25">
      <c r="A650">
        <v>649</v>
      </c>
      <c r="B650" s="1" t="s">
        <v>12</v>
      </c>
      <c r="C650">
        <v>1936</v>
      </c>
      <c r="D650" s="1" t="s">
        <v>157</v>
      </c>
      <c r="E650" s="1" t="s">
        <v>22</v>
      </c>
      <c r="F650">
        <v>14</v>
      </c>
      <c r="G650" s="1" t="s">
        <v>27</v>
      </c>
      <c r="H650">
        <v>14021</v>
      </c>
      <c r="I650">
        <v>1295</v>
      </c>
      <c r="J650">
        <v>1173</v>
      </c>
      <c r="K650">
        <v>640</v>
      </c>
      <c r="L650">
        <v>546</v>
      </c>
    </row>
    <row r="651" spans="1:12" hidden="1" x14ac:dyDescent="0.25">
      <c r="A651">
        <v>650</v>
      </c>
      <c r="B651" s="1" t="s">
        <v>12</v>
      </c>
      <c r="C651">
        <v>1936</v>
      </c>
      <c r="D651" s="1" t="s">
        <v>157</v>
      </c>
      <c r="E651" s="1" t="s">
        <v>22</v>
      </c>
      <c r="F651">
        <v>14</v>
      </c>
      <c r="G651" s="1" t="s">
        <v>29</v>
      </c>
      <c r="H651">
        <v>14098</v>
      </c>
      <c r="I651">
        <v>896</v>
      </c>
      <c r="J651">
        <v>862</v>
      </c>
      <c r="K651">
        <v>658</v>
      </c>
      <c r="L651">
        <v>763</v>
      </c>
    </row>
    <row r="652" spans="1:12" hidden="1" x14ac:dyDescent="0.25">
      <c r="A652">
        <v>651</v>
      </c>
      <c r="B652" s="1" t="s">
        <v>12</v>
      </c>
      <c r="C652">
        <v>1936</v>
      </c>
      <c r="D652" s="1" t="s">
        <v>157</v>
      </c>
      <c r="E652" s="1" t="s">
        <v>22</v>
      </c>
      <c r="F652">
        <v>14</v>
      </c>
      <c r="G652" s="1" t="s">
        <v>169</v>
      </c>
      <c r="H652">
        <v>14126</v>
      </c>
      <c r="I652">
        <v>444</v>
      </c>
      <c r="J652">
        <v>376</v>
      </c>
      <c r="K652">
        <v>418</v>
      </c>
      <c r="L652">
        <v>1112</v>
      </c>
    </row>
    <row r="653" spans="1:12" hidden="1" x14ac:dyDescent="0.25">
      <c r="A653">
        <v>652</v>
      </c>
      <c r="B653" s="1" t="s">
        <v>12</v>
      </c>
      <c r="C653">
        <v>1936</v>
      </c>
      <c r="D653" s="1" t="s">
        <v>157</v>
      </c>
      <c r="E653" s="1" t="s">
        <v>22</v>
      </c>
      <c r="F653">
        <v>14</v>
      </c>
      <c r="G653" s="1" t="s">
        <v>121</v>
      </c>
      <c r="H653">
        <v>14042</v>
      </c>
      <c r="I653">
        <v>351</v>
      </c>
      <c r="J653">
        <v>332</v>
      </c>
      <c r="K653">
        <v>207</v>
      </c>
      <c r="L653">
        <v>623</v>
      </c>
    </row>
    <row r="654" spans="1:12" hidden="1" x14ac:dyDescent="0.25">
      <c r="A654">
        <v>653</v>
      </c>
      <c r="B654" s="1" t="s">
        <v>12</v>
      </c>
      <c r="C654">
        <v>1936</v>
      </c>
      <c r="D654" s="1" t="s">
        <v>157</v>
      </c>
      <c r="E654" s="1" t="s">
        <v>22</v>
      </c>
      <c r="F654">
        <v>14</v>
      </c>
      <c r="G654" s="1" t="s">
        <v>114</v>
      </c>
      <c r="H654">
        <v>14168</v>
      </c>
      <c r="I654">
        <v>229</v>
      </c>
      <c r="J654">
        <v>200</v>
      </c>
      <c r="K654">
        <v>93</v>
      </c>
      <c r="L654">
        <v>465</v>
      </c>
    </row>
    <row r="655" spans="1:12" hidden="1" x14ac:dyDescent="0.25">
      <c r="A655">
        <v>654</v>
      </c>
      <c r="B655" s="1" t="s">
        <v>12</v>
      </c>
      <c r="C655">
        <v>1936</v>
      </c>
      <c r="D655" s="1" t="s">
        <v>157</v>
      </c>
      <c r="E655" s="1" t="s">
        <v>22</v>
      </c>
      <c r="F655">
        <v>14</v>
      </c>
      <c r="G655" s="1" t="s">
        <v>62</v>
      </c>
      <c r="H655">
        <v>14133</v>
      </c>
      <c r="I655">
        <v>143</v>
      </c>
      <c r="J655">
        <v>140</v>
      </c>
      <c r="K655">
        <v>141</v>
      </c>
      <c r="L655">
        <v>1007</v>
      </c>
    </row>
    <row r="656" spans="1:12" hidden="1" x14ac:dyDescent="0.25">
      <c r="A656">
        <v>655</v>
      </c>
      <c r="B656" s="1" t="s">
        <v>12</v>
      </c>
      <c r="C656">
        <v>1936</v>
      </c>
      <c r="D656" s="1" t="s">
        <v>157</v>
      </c>
      <c r="E656" s="1" t="s">
        <v>22</v>
      </c>
      <c r="F656">
        <v>14</v>
      </c>
      <c r="G656" s="1" t="s">
        <v>67</v>
      </c>
      <c r="H656">
        <v>14140</v>
      </c>
      <c r="I656">
        <v>45</v>
      </c>
      <c r="J656">
        <v>6</v>
      </c>
      <c r="K656">
        <v>3</v>
      </c>
      <c r="L656">
        <v>500</v>
      </c>
    </row>
    <row r="657" spans="1:12" hidden="1" x14ac:dyDescent="0.25">
      <c r="A657">
        <v>656</v>
      </c>
      <c r="B657" s="1" t="s">
        <v>12</v>
      </c>
      <c r="C657">
        <v>1936</v>
      </c>
      <c r="D657" s="1" t="s">
        <v>157</v>
      </c>
      <c r="E657" s="1" t="s">
        <v>22</v>
      </c>
      <c r="F657">
        <v>14</v>
      </c>
      <c r="G657" s="1" t="s">
        <v>170</v>
      </c>
      <c r="H657">
        <v>14049</v>
      </c>
      <c r="I657">
        <v>34</v>
      </c>
      <c r="J657">
        <v>32</v>
      </c>
      <c r="K657">
        <v>22</v>
      </c>
      <c r="L657">
        <v>687</v>
      </c>
    </row>
    <row r="658" spans="1:12" hidden="1" x14ac:dyDescent="0.25">
      <c r="A658">
        <v>657</v>
      </c>
      <c r="B658" s="1" t="s">
        <v>12</v>
      </c>
      <c r="C658">
        <v>1936</v>
      </c>
      <c r="D658" s="1" t="s">
        <v>157</v>
      </c>
      <c r="E658" s="1" t="s">
        <v>22</v>
      </c>
      <c r="F658">
        <v>14</v>
      </c>
      <c r="G658" s="1" t="s">
        <v>171</v>
      </c>
      <c r="H658">
        <v>14112</v>
      </c>
      <c r="I658">
        <v>16</v>
      </c>
      <c r="J658">
        <v>15</v>
      </c>
      <c r="K658">
        <v>2</v>
      </c>
      <c r="L658">
        <v>133</v>
      </c>
    </row>
    <row r="659" spans="1:12" hidden="1" x14ac:dyDescent="0.25">
      <c r="A659">
        <v>658</v>
      </c>
      <c r="B659" s="1" t="s">
        <v>12</v>
      </c>
      <c r="C659">
        <v>1936</v>
      </c>
      <c r="D659" s="1" t="s">
        <v>157</v>
      </c>
      <c r="E659" s="1" t="s">
        <v>22</v>
      </c>
      <c r="F659">
        <v>14</v>
      </c>
      <c r="G659" s="1" t="s">
        <v>172</v>
      </c>
      <c r="H659">
        <v>14091</v>
      </c>
      <c r="I659">
        <v>11</v>
      </c>
      <c r="J659">
        <v>5</v>
      </c>
      <c r="K659">
        <v>6</v>
      </c>
      <c r="L659">
        <v>1200</v>
      </c>
    </row>
    <row r="660" spans="1:12" hidden="1" x14ac:dyDescent="0.25">
      <c r="A660">
        <v>659</v>
      </c>
      <c r="B660" s="1" t="s">
        <v>12</v>
      </c>
      <c r="C660">
        <v>1936</v>
      </c>
      <c r="D660" s="1" t="s">
        <v>157</v>
      </c>
      <c r="E660" s="1" t="s">
        <v>22</v>
      </c>
      <c r="F660">
        <v>14</v>
      </c>
      <c r="G660" s="1" t="s">
        <v>122</v>
      </c>
      <c r="H660">
        <v>14182</v>
      </c>
      <c r="I660">
        <v>9</v>
      </c>
      <c r="J660">
        <v>4</v>
      </c>
      <c r="K660">
        <v>9</v>
      </c>
      <c r="L660">
        <v>2250</v>
      </c>
    </row>
    <row r="661" spans="1:12" hidden="1" x14ac:dyDescent="0.25">
      <c r="A661">
        <v>660</v>
      </c>
      <c r="B661" s="1" t="s">
        <v>12</v>
      </c>
      <c r="C661">
        <v>1936</v>
      </c>
      <c r="D661" s="1" t="s">
        <v>157</v>
      </c>
      <c r="E661" s="1" t="s">
        <v>22</v>
      </c>
      <c r="F661">
        <v>14</v>
      </c>
      <c r="G661" s="1" t="s">
        <v>143</v>
      </c>
      <c r="H661">
        <v>14056</v>
      </c>
      <c r="I661">
        <v>2</v>
      </c>
      <c r="J661">
        <v>2</v>
      </c>
      <c r="K661">
        <v>2</v>
      </c>
      <c r="L661">
        <v>1000</v>
      </c>
    </row>
    <row r="662" spans="1:12" hidden="1" x14ac:dyDescent="0.25">
      <c r="A662">
        <v>661</v>
      </c>
      <c r="B662" s="1" t="s">
        <v>12</v>
      </c>
      <c r="C662">
        <v>1936</v>
      </c>
      <c r="D662" s="1" t="s">
        <v>157</v>
      </c>
      <c r="E662" s="1" t="s">
        <v>22</v>
      </c>
      <c r="F662">
        <v>14</v>
      </c>
      <c r="G662" s="1" t="s">
        <v>173</v>
      </c>
      <c r="H662">
        <v>14028</v>
      </c>
      <c r="I662">
        <v>1</v>
      </c>
    </row>
    <row r="663" spans="1:12" hidden="1" x14ac:dyDescent="0.25">
      <c r="A663">
        <v>662</v>
      </c>
      <c r="B663" s="1" t="s">
        <v>12</v>
      </c>
      <c r="C663">
        <v>1936</v>
      </c>
      <c r="D663" s="1" t="s">
        <v>157</v>
      </c>
      <c r="E663" s="1" t="s">
        <v>22</v>
      </c>
      <c r="F663">
        <v>14</v>
      </c>
      <c r="G663" s="1" t="s">
        <v>174</v>
      </c>
      <c r="H663">
        <v>14070</v>
      </c>
      <c r="I663">
        <v>1</v>
      </c>
    </row>
    <row r="664" spans="1:12" hidden="1" x14ac:dyDescent="0.25">
      <c r="A664">
        <v>663</v>
      </c>
      <c r="B664" s="1" t="s">
        <v>12</v>
      </c>
      <c r="C664">
        <v>1936</v>
      </c>
      <c r="D664" s="1" t="s">
        <v>157</v>
      </c>
      <c r="E664" s="1" t="s">
        <v>30</v>
      </c>
      <c r="F664">
        <v>18</v>
      </c>
      <c r="G664" s="1" t="s">
        <v>32</v>
      </c>
      <c r="H664">
        <v>18112</v>
      </c>
      <c r="I664">
        <v>1064</v>
      </c>
      <c r="J664">
        <v>1022</v>
      </c>
      <c r="K664">
        <v>726</v>
      </c>
      <c r="L664">
        <v>710</v>
      </c>
    </row>
    <row r="665" spans="1:12" hidden="1" x14ac:dyDescent="0.25">
      <c r="A665">
        <v>664</v>
      </c>
      <c r="B665" s="1" t="s">
        <v>12</v>
      </c>
      <c r="C665">
        <v>1936</v>
      </c>
      <c r="D665" s="1" t="s">
        <v>157</v>
      </c>
      <c r="E665" s="1" t="s">
        <v>30</v>
      </c>
      <c r="F665">
        <v>18</v>
      </c>
      <c r="G665" s="1" t="s">
        <v>43</v>
      </c>
      <c r="H665">
        <v>18070</v>
      </c>
      <c r="I665">
        <v>284</v>
      </c>
      <c r="J665">
        <v>251</v>
      </c>
      <c r="K665">
        <v>98</v>
      </c>
      <c r="L665">
        <v>390</v>
      </c>
    </row>
    <row r="666" spans="1:12" hidden="1" x14ac:dyDescent="0.25">
      <c r="A666">
        <v>665</v>
      </c>
      <c r="B666" s="1" t="s">
        <v>12</v>
      </c>
      <c r="C666">
        <v>1936</v>
      </c>
      <c r="D666" s="1" t="s">
        <v>157</v>
      </c>
      <c r="E666" s="1" t="s">
        <v>30</v>
      </c>
      <c r="F666">
        <v>18</v>
      </c>
      <c r="G666" s="1" t="s">
        <v>35</v>
      </c>
      <c r="H666">
        <v>18049</v>
      </c>
      <c r="I666">
        <v>188</v>
      </c>
      <c r="J666">
        <v>162</v>
      </c>
      <c r="K666">
        <v>174</v>
      </c>
      <c r="L666">
        <v>1074</v>
      </c>
    </row>
    <row r="667" spans="1:12" hidden="1" x14ac:dyDescent="0.25">
      <c r="A667">
        <v>666</v>
      </c>
      <c r="B667" s="1" t="s">
        <v>12</v>
      </c>
      <c r="C667">
        <v>1936</v>
      </c>
      <c r="D667" s="1" t="s">
        <v>157</v>
      </c>
      <c r="E667" s="1" t="s">
        <v>30</v>
      </c>
      <c r="F667">
        <v>18</v>
      </c>
      <c r="G667" s="1" t="s">
        <v>104</v>
      </c>
      <c r="H667">
        <v>18119</v>
      </c>
      <c r="I667">
        <v>134</v>
      </c>
      <c r="J667">
        <v>129</v>
      </c>
      <c r="K667">
        <v>76</v>
      </c>
      <c r="L667">
        <v>589</v>
      </c>
    </row>
    <row r="668" spans="1:12" hidden="1" x14ac:dyDescent="0.25">
      <c r="A668">
        <v>667</v>
      </c>
      <c r="B668" s="1" t="s">
        <v>12</v>
      </c>
      <c r="C668">
        <v>1936</v>
      </c>
      <c r="D668" s="1" t="s">
        <v>157</v>
      </c>
      <c r="E668" s="1" t="s">
        <v>30</v>
      </c>
      <c r="F668">
        <v>18</v>
      </c>
      <c r="G668" s="1" t="s">
        <v>41</v>
      </c>
      <c r="H668">
        <v>18140</v>
      </c>
      <c r="I668">
        <v>114</v>
      </c>
      <c r="J668">
        <v>94</v>
      </c>
      <c r="K668">
        <v>48</v>
      </c>
      <c r="L668">
        <v>511</v>
      </c>
    </row>
    <row r="669" spans="1:12" hidden="1" x14ac:dyDescent="0.25">
      <c r="A669">
        <v>668</v>
      </c>
      <c r="B669" s="1" t="s">
        <v>12</v>
      </c>
      <c r="C669">
        <v>1936</v>
      </c>
      <c r="D669" s="1" t="s">
        <v>157</v>
      </c>
      <c r="E669" s="1" t="s">
        <v>30</v>
      </c>
      <c r="F669">
        <v>18</v>
      </c>
      <c r="G669" s="1" t="s">
        <v>37</v>
      </c>
      <c r="H669">
        <v>18147</v>
      </c>
      <c r="I669">
        <v>101</v>
      </c>
      <c r="J669">
        <v>59</v>
      </c>
      <c r="K669">
        <v>22</v>
      </c>
      <c r="L669">
        <v>373</v>
      </c>
    </row>
    <row r="670" spans="1:12" hidden="1" x14ac:dyDescent="0.25">
      <c r="A670">
        <v>669</v>
      </c>
      <c r="B670" s="1" t="s">
        <v>12</v>
      </c>
      <c r="C670">
        <v>1936</v>
      </c>
      <c r="D670" s="1" t="s">
        <v>157</v>
      </c>
      <c r="E670" s="1" t="s">
        <v>30</v>
      </c>
      <c r="F670">
        <v>18</v>
      </c>
      <c r="G670" s="1" t="s">
        <v>98</v>
      </c>
      <c r="H670">
        <v>18098</v>
      </c>
      <c r="I670">
        <v>97</v>
      </c>
      <c r="J670">
        <v>48</v>
      </c>
      <c r="K670">
        <v>21</v>
      </c>
      <c r="L670">
        <v>437</v>
      </c>
    </row>
    <row r="671" spans="1:12" hidden="1" x14ac:dyDescent="0.25">
      <c r="A671">
        <v>670</v>
      </c>
      <c r="B671" s="1" t="s">
        <v>12</v>
      </c>
      <c r="C671">
        <v>1936</v>
      </c>
      <c r="D671" s="1" t="s">
        <v>157</v>
      </c>
      <c r="E671" s="1" t="s">
        <v>30</v>
      </c>
      <c r="F671">
        <v>18</v>
      </c>
      <c r="G671" s="1" t="s">
        <v>33</v>
      </c>
      <c r="H671">
        <v>18091</v>
      </c>
      <c r="I671">
        <v>91</v>
      </c>
      <c r="J671">
        <v>84</v>
      </c>
      <c r="K671">
        <v>63</v>
      </c>
      <c r="L671">
        <v>750</v>
      </c>
    </row>
    <row r="672" spans="1:12" hidden="1" x14ac:dyDescent="0.25">
      <c r="A672">
        <v>671</v>
      </c>
      <c r="B672" s="1" t="s">
        <v>12</v>
      </c>
      <c r="C672">
        <v>1936</v>
      </c>
      <c r="D672" s="1" t="s">
        <v>157</v>
      </c>
      <c r="E672" s="1" t="s">
        <v>30</v>
      </c>
      <c r="F672">
        <v>18</v>
      </c>
      <c r="G672" s="1" t="s">
        <v>34</v>
      </c>
      <c r="H672">
        <v>18042</v>
      </c>
      <c r="I672">
        <v>80</v>
      </c>
      <c r="J672">
        <v>68</v>
      </c>
      <c r="K672">
        <v>43</v>
      </c>
      <c r="L672">
        <v>632</v>
      </c>
    </row>
    <row r="673" spans="1:12" hidden="1" x14ac:dyDescent="0.25">
      <c r="A673">
        <v>672</v>
      </c>
      <c r="B673" s="1" t="s">
        <v>12</v>
      </c>
      <c r="C673">
        <v>1936</v>
      </c>
      <c r="D673" s="1" t="s">
        <v>157</v>
      </c>
      <c r="E673" s="1" t="s">
        <v>30</v>
      </c>
      <c r="F673">
        <v>18</v>
      </c>
      <c r="G673" s="1" t="s">
        <v>28</v>
      </c>
      <c r="H673">
        <v>18021</v>
      </c>
      <c r="I673">
        <v>79</v>
      </c>
      <c r="J673">
        <v>29</v>
      </c>
      <c r="K673">
        <v>25</v>
      </c>
      <c r="L673">
        <v>862</v>
      </c>
    </row>
    <row r="674" spans="1:12" hidden="1" x14ac:dyDescent="0.25">
      <c r="A674">
        <v>673</v>
      </c>
      <c r="B674" s="1" t="s">
        <v>12</v>
      </c>
      <c r="C674">
        <v>1936</v>
      </c>
      <c r="D674" s="1" t="s">
        <v>157</v>
      </c>
      <c r="E674" s="1" t="s">
        <v>30</v>
      </c>
      <c r="F674">
        <v>18</v>
      </c>
      <c r="G674" s="1" t="s">
        <v>40</v>
      </c>
      <c r="H674">
        <v>18126</v>
      </c>
      <c r="I674">
        <v>74</v>
      </c>
      <c r="J674">
        <v>65</v>
      </c>
      <c r="K674">
        <v>43</v>
      </c>
      <c r="L674">
        <v>662</v>
      </c>
    </row>
    <row r="675" spans="1:12" hidden="1" x14ac:dyDescent="0.25">
      <c r="A675">
        <v>674</v>
      </c>
      <c r="B675" s="1" t="s">
        <v>12</v>
      </c>
      <c r="C675">
        <v>1936</v>
      </c>
      <c r="D675" s="1" t="s">
        <v>157</v>
      </c>
      <c r="E675" s="1" t="s">
        <v>30</v>
      </c>
      <c r="F675">
        <v>18</v>
      </c>
      <c r="G675" s="1" t="s">
        <v>101</v>
      </c>
      <c r="H675">
        <v>18161</v>
      </c>
      <c r="I675">
        <v>58</v>
      </c>
      <c r="J675">
        <v>35</v>
      </c>
      <c r="K675">
        <v>21</v>
      </c>
      <c r="L675">
        <v>600</v>
      </c>
    </row>
    <row r="676" spans="1:12" hidden="1" x14ac:dyDescent="0.25">
      <c r="A676">
        <v>675</v>
      </c>
      <c r="B676" s="1" t="s">
        <v>12</v>
      </c>
      <c r="C676">
        <v>1936</v>
      </c>
      <c r="D676" s="1" t="s">
        <v>157</v>
      </c>
      <c r="E676" s="1" t="s">
        <v>30</v>
      </c>
      <c r="F676">
        <v>18</v>
      </c>
      <c r="G676" s="1" t="s">
        <v>103</v>
      </c>
      <c r="H676">
        <v>18154</v>
      </c>
      <c r="I676">
        <v>55</v>
      </c>
      <c r="J676">
        <v>33</v>
      </c>
      <c r="K676">
        <v>11</v>
      </c>
      <c r="L676">
        <v>333</v>
      </c>
    </row>
    <row r="677" spans="1:12" hidden="1" x14ac:dyDescent="0.25">
      <c r="A677">
        <v>676</v>
      </c>
      <c r="B677" s="1" t="s">
        <v>12</v>
      </c>
      <c r="C677">
        <v>1936</v>
      </c>
      <c r="D677" s="1" t="s">
        <v>157</v>
      </c>
      <c r="E677" s="1" t="s">
        <v>30</v>
      </c>
      <c r="F677">
        <v>18</v>
      </c>
      <c r="G677" s="1" t="s">
        <v>38</v>
      </c>
      <c r="H677">
        <v>18007</v>
      </c>
      <c r="I677">
        <v>54</v>
      </c>
      <c r="J677">
        <v>46</v>
      </c>
      <c r="K677">
        <v>17</v>
      </c>
      <c r="L677">
        <v>370</v>
      </c>
    </row>
    <row r="678" spans="1:12" hidden="1" x14ac:dyDescent="0.25">
      <c r="A678">
        <v>677</v>
      </c>
      <c r="B678" s="1" t="s">
        <v>12</v>
      </c>
      <c r="C678">
        <v>1936</v>
      </c>
      <c r="D678" s="1" t="s">
        <v>157</v>
      </c>
      <c r="E678" s="1" t="s">
        <v>30</v>
      </c>
      <c r="F678">
        <v>18</v>
      </c>
      <c r="G678" s="1" t="s">
        <v>39</v>
      </c>
      <c r="H678">
        <v>18084</v>
      </c>
      <c r="I678">
        <v>47</v>
      </c>
      <c r="J678">
        <v>45</v>
      </c>
      <c r="K678">
        <v>25</v>
      </c>
      <c r="L678">
        <v>556</v>
      </c>
    </row>
    <row r="679" spans="1:12" hidden="1" x14ac:dyDescent="0.25">
      <c r="A679">
        <v>678</v>
      </c>
      <c r="B679" s="1" t="s">
        <v>12</v>
      </c>
      <c r="C679">
        <v>1936</v>
      </c>
      <c r="D679" s="1" t="s">
        <v>157</v>
      </c>
      <c r="E679" s="1" t="s">
        <v>30</v>
      </c>
      <c r="F679">
        <v>18</v>
      </c>
      <c r="G679" s="1" t="s">
        <v>63</v>
      </c>
      <c r="H679">
        <v>18028</v>
      </c>
      <c r="I679">
        <v>46</v>
      </c>
      <c r="J679">
        <v>21</v>
      </c>
      <c r="K679">
        <v>12</v>
      </c>
      <c r="L679">
        <v>571</v>
      </c>
    </row>
    <row r="680" spans="1:12" hidden="1" x14ac:dyDescent="0.25">
      <c r="A680">
        <v>679</v>
      </c>
      <c r="B680" s="1" t="s">
        <v>12</v>
      </c>
      <c r="C680">
        <v>1936</v>
      </c>
      <c r="D680" s="1" t="s">
        <v>157</v>
      </c>
      <c r="E680" s="1" t="s">
        <v>30</v>
      </c>
      <c r="F680">
        <v>18</v>
      </c>
      <c r="G680" s="1" t="s">
        <v>105</v>
      </c>
      <c r="H680">
        <v>18105</v>
      </c>
      <c r="I680">
        <v>45</v>
      </c>
      <c r="J680">
        <v>33</v>
      </c>
      <c r="K680">
        <v>12</v>
      </c>
      <c r="L680">
        <v>364</v>
      </c>
    </row>
    <row r="681" spans="1:12" hidden="1" x14ac:dyDescent="0.25">
      <c r="A681">
        <v>680</v>
      </c>
      <c r="B681" s="1" t="s">
        <v>12</v>
      </c>
      <c r="C681">
        <v>1936</v>
      </c>
      <c r="D681" s="1" t="s">
        <v>157</v>
      </c>
      <c r="E681" s="1" t="s">
        <v>30</v>
      </c>
      <c r="F681">
        <v>18</v>
      </c>
      <c r="G681" s="1" t="s">
        <v>44</v>
      </c>
      <c r="H681">
        <v>18168</v>
      </c>
      <c r="I681">
        <v>44</v>
      </c>
      <c r="J681">
        <v>30</v>
      </c>
      <c r="K681">
        <v>10</v>
      </c>
      <c r="L681">
        <v>333</v>
      </c>
    </row>
    <row r="682" spans="1:12" hidden="1" x14ac:dyDescent="0.25">
      <c r="A682">
        <v>681</v>
      </c>
      <c r="B682" s="1" t="s">
        <v>12</v>
      </c>
      <c r="C682">
        <v>1936</v>
      </c>
      <c r="D682" s="1" t="s">
        <v>157</v>
      </c>
      <c r="E682" s="1" t="s">
        <v>30</v>
      </c>
      <c r="F682">
        <v>18</v>
      </c>
      <c r="G682" s="1" t="s">
        <v>42</v>
      </c>
      <c r="H682">
        <v>18035</v>
      </c>
      <c r="I682">
        <v>28</v>
      </c>
      <c r="J682">
        <v>23</v>
      </c>
      <c r="K682">
        <v>13</v>
      </c>
      <c r="L682">
        <v>565</v>
      </c>
    </row>
    <row r="683" spans="1:12" hidden="1" x14ac:dyDescent="0.25">
      <c r="A683">
        <v>682</v>
      </c>
      <c r="B683" s="1" t="s">
        <v>12</v>
      </c>
      <c r="C683">
        <v>1936</v>
      </c>
      <c r="D683" s="1" t="s">
        <v>157</v>
      </c>
      <c r="E683" s="1" t="s">
        <v>30</v>
      </c>
      <c r="F683">
        <v>18</v>
      </c>
      <c r="G683" s="1" t="s">
        <v>99</v>
      </c>
      <c r="H683">
        <v>18063</v>
      </c>
      <c r="I683">
        <v>24</v>
      </c>
      <c r="J683">
        <v>23</v>
      </c>
      <c r="K683">
        <v>13</v>
      </c>
      <c r="L683">
        <v>565</v>
      </c>
    </row>
    <row r="684" spans="1:12" hidden="1" x14ac:dyDescent="0.25">
      <c r="A684">
        <v>683</v>
      </c>
      <c r="B684" s="1" t="s">
        <v>12</v>
      </c>
      <c r="C684">
        <v>1936</v>
      </c>
      <c r="D684" s="1" t="s">
        <v>157</v>
      </c>
      <c r="E684" s="1" t="s">
        <v>30</v>
      </c>
      <c r="F684">
        <v>18</v>
      </c>
      <c r="G684" s="1" t="s">
        <v>36</v>
      </c>
      <c r="H684">
        <v>18133</v>
      </c>
      <c r="I684">
        <v>24</v>
      </c>
      <c r="J684">
        <v>24</v>
      </c>
      <c r="K684">
        <v>10</v>
      </c>
      <c r="L684">
        <v>417</v>
      </c>
    </row>
    <row r="685" spans="1:12" hidden="1" x14ac:dyDescent="0.25">
      <c r="A685">
        <v>684</v>
      </c>
      <c r="B685" s="1" t="s">
        <v>12</v>
      </c>
      <c r="C685">
        <v>1936</v>
      </c>
      <c r="D685" s="1" t="s">
        <v>157</v>
      </c>
      <c r="E685" s="1" t="s">
        <v>30</v>
      </c>
      <c r="F685">
        <v>18</v>
      </c>
      <c r="G685" s="1" t="s">
        <v>100</v>
      </c>
      <c r="H685">
        <v>18077</v>
      </c>
      <c r="I685">
        <v>12</v>
      </c>
      <c r="J685">
        <v>9</v>
      </c>
      <c r="K685">
        <v>6</v>
      </c>
      <c r="L685">
        <v>667</v>
      </c>
    </row>
    <row r="686" spans="1:12" hidden="1" x14ac:dyDescent="0.25">
      <c r="A686">
        <v>685</v>
      </c>
      <c r="B686" s="1" t="s">
        <v>12</v>
      </c>
      <c r="C686">
        <v>1936</v>
      </c>
      <c r="D686" s="1" t="s">
        <v>157</v>
      </c>
      <c r="E686" s="1" t="s">
        <v>30</v>
      </c>
      <c r="F686">
        <v>18</v>
      </c>
      <c r="G686" s="1" t="s">
        <v>86</v>
      </c>
      <c r="H686">
        <v>18175</v>
      </c>
      <c r="I686">
        <v>8</v>
      </c>
      <c r="J686">
        <v>7</v>
      </c>
      <c r="K686">
        <v>4</v>
      </c>
      <c r="L686">
        <v>571</v>
      </c>
    </row>
    <row r="687" spans="1:12" hidden="1" x14ac:dyDescent="0.25">
      <c r="A687">
        <v>686</v>
      </c>
      <c r="B687" s="1" t="s">
        <v>12</v>
      </c>
      <c r="C687">
        <v>1936</v>
      </c>
      <c r="D687" s="1" t="s">
        <v>157</v>
      </c>
      <c r="E687" s="1" t="s">
        <v>30</v>
      </c>
      <c r="F687">
        <v>18</v>
      </c>
      <c r="G687" s="1" t="s">
        <v>102</v>
      </c>
      <c r="H687">
        <v>18014</v>
      </c>
      <c r="I687">
        <v>2</v>
      </c>
      <c r="J687">
        <v>2</v>
      </c>
      <c r="K687">
        <v>1</v>
      </c>
      <c r="L687">
        <v>500</v>
      </c>
    </row>
    <row r="688" spans="1:12" hidden="1" x14ac:dyDescent="0.25">
      <c r="A688">
        <v>687</v>
      </c>
      <c r="B688" s="1" t="s">
        <v>12</v>
      </c>
      <c r="C688">
        <v>1936</v>
      </c>
      <c r="D688" s="1" t="s">
        <v>157</v>
      </c>
      <c r="E688" s="1" t="s">
        <v>45</v>
      </c>
      <c r="F688">
        <v>30</v>
      </c>
      <c r="G688" s="1" t="s">
        <v>46</v>
      </c>
      <c r="H688">
        <v>30028</v>
      </c>
      <c r="I688">
        <v>4008</v>
      </c>
      <c r="J688">
        <v>3912</v>
      </c>
      <c r="K688">
        <v>2624</v>
      </c>
      <c r="L688">
        <v>671</v>
      </c>
    </row>
    <row r="689" spans="1:12" hidden="1" x14ac:dyDescent="0.25">
      <c r="A689">
        <v>688</v>
      </c>
      <c r="B689" s="1" t="s">
        <v>12</v>
      </c>
      <c r="C689">
        <v>1936</v>
      </c>
      <c r="D689" s="1" t="s">
        <v>157</v>
      </c>
      <c r="E689" s="1" t="s">
        <v>45</v>
      </c>
      <c r="F689">
        <v>30</v>
      </c>
      <c r="G689" s="1" t="s">
        <v>47</v>
      </c>
      <c r="H689">
        <v>30015</v>
      </c>
      <c r="I689">
        <v>1769</v>
      </c>
      <c r="J689">
        <v>1675</v>
      </c>
      <c r="K689">
        <v>1539</v>
      </c>
      <c r="L689">
        <v>919</v>
      </c>
    </row>
    <row r="690" spans="1:12" hidden="1" x14ac:dyDescent="0.25">
      <c r="A690">
        <v>689</v>
      </c>
      <c r="B690" s="1" t="s">
        <v>12</v>
      </c>
      <c r="C690">
        <v>1936</v>
      </c>
      <c r="D690" s="1" t="s">
        <v>157</v>
      </c>
      <c r="E690" s="1" t="s">
        <v>45</v>
      </c>
      <c r="F690">
        <v>30</v>
      </c>
      <c r="G690" s="1" t="s">
        <v>27</v>
      </c>
      <c r="H690">
        <v>30008</v>
      </c>
      <c r="I690">
        <v>29</v>
      </c>
      <c r="J690">
        <v>17</v>
      </c>
      <c r="K690">
        <v>8</v>
      </c>
      <c r="L690">
        <v>471</v>
      </c>
    </row>
    <row r="691" spans="1:12" hidden="1" x14ac:dyDescent="0.25">
      <c r="A691">
        <v>690</v>
      </c>
      <c r="B691" s="1" t="s">
        <v>12</v>
      </c>
      <c r="C691">
        <v>1936</v>
      </c>
      <c r="D691" s="1" t="s">
        <v>157</v>
      </c>
      <c r="E691" s="1" t="s">
        <v>45</v>
      </c>
      <c r="F691">
        <v>30</v>
      </c>
      <c r="G691" s="1" t="s">
        <v>106</v>
      </c>
      <c r="H691">
        <v>30098</v>
      </c>
      <c r="I691">
        <v>2</v>
      </c>
    </row>
    <row r="692" spans="1:12" hidden="1" x14ac:dyDescent="0.25">
      <c r="A692">
        <v>691</v>
      </c>
      <c r="B692" s="1" t="s">
        <v>12</v>
      </c>
      <c r="C692">
        <v>1936</v>
      </c>
      <c r="D692" s="1" t="s">
        <v>157</v>
      </c>
      <c r="E692" s="1" t="s">
        <v>45</v>
      </c>
      <c r="F692">
        <v>30</v>
      </c>
      <c r="G692" s="1" t="s">
        <v>148</v>
      </c>
      <c r="H692">
        <v>30113</v>
      </c>
      <c r="I692">
        <v>2</v>
      </c>
    </row>
    <row r="693" spans="1:12" hidden="1" x14ac:dyDescent="0.25">
      <c r="A693">
        <v>692</v>
      </c>
      <c r="B693" s="1" t="s">
        <v>12</v>
      </c>
      <c r="C693">
        <v>1936</v>
      </c>
      <c r="D693" s="1" t="s">
        <v>157</v>
      </c>
      <c r="E693" s="1" t="s">
        <v>45</v>
      </c>
      <c r="F693">
        <v>30</v>
      </c>
      <c r="G693" s="1" t="s">
        <v>146</v>
      </c>
      <c r="H693">
        <v>30042</v>
      </c>
      <c r="I693">
        <v>1</v>
      </c>
    </row>
    <row r="694" spans="1:12" hidden="1" x14ac:dyDescent="0.25">
      <c r="A694">
        <v>693</v>
      </c>
      <c r="B694" s="1" t="s">
        <v>12</v>
      </c>
      <c r="C694">
        <v>1936</v>
      </c>
      <c r="D694" s="1" t="s">
        <v>157</v>
      </c>
      <c r="E694" s="1" t="s">
        <v>45</v>
      </c>
      <c r="F694">
        <v>30</v>
      </c>
      <c r="G694" s="1" t="s">
        <v>107</v>
      </c>
      <c r="H694">
        <v>30056</v>
      </c>
      <c r="I694">
        <v>1</v>
      </c>
      <c r="J694">
        <v>1</v>
      </c>
      <c r="K694">
        <v>1</v>
      </c>
      <c r="L694">
        <v>1000</v>
      </c>
    </row>
    <row r="695" spans="1:12" hidden="1" x14ac:dyDescent="0.25">
      <c r="A695">
        <v>694</v>
      </c>
      <c r="B695" s="1" t="s">
        <v>12</v>
      </c>
      <c r="C695">
        <v>1936</v>
      </c>
      <c r="D695" s="1" t="s">
        <v>157</v>
      </c>
      <c r="E695" s="1" t="s">
        <v>45</v>
      </c>
      <c r="F695">
        <v>30</v>
      </c>
      <c r="G695" s="1" t="s">
        <v>124</v>
      </c>
      <c r="H695">
        <v>30070</v>
      </c>
      <c r="I695">
        <v>1</v>
      </c>
    </row>
    <row r="696" spans="1:12" hidden="1" x14ac:dyDescent="0.25">
      <c r="A696">
        <v>695</v>
      </c>
      <c r="B696" s="1" t="s">
        <v>12</v>
      </c>
      <c r="C696">
        <v>1936</v>
      </c>
      <c r="D696" s="1" t="s">
        <v>157</v>
      </c>
      <c r="E696" s="1" t="s">
        <v>45</v>
      </c>
      <c r="F696">
        <v>30</v>
      </c>
      <c r="G696" s="1" t="s">
        <v>144</v>
      </c>
      <c r="H696">
        <v>30077</v>
      </c>
      <c r="I696">
        <v>1</v>
      </c>
      <c r="J696">
        <v>1</v>
      </c>
      <c r="K696">
        <v>1</v>
      </c>
      <c r="L696">
        <v>1000</v>
      </c>
    </row>
    <row r="697" spans="1:12" hidden="1" x14ac:dyDescent="0.25">
      <c r="A697">
        <v>696</v>
      </c>
      <c r="B697" s="1" t="s">
        <v>12</v>
      </c>
      <c r="C697">
        <v>1936</v>
      </c>
      <c r="D697" s="1" t="s">
        <v>157</v>
      </c>
      <c r="E697" s="1" t="s">
        <v>45</v>
      </c>
      <c r="F697">
        <v>30</v>
      </c>
      <c r="G697" s="1" t="s">
        <v>123</v>
      </c>
      <c r="H697">
        <v>30084</v>
      </c>
      <c r="I697">
        <v>1</v>
      </c>
      <c r="J697">
        <v>1</v>
      </c>
      <c r="K697">
        <v>1</v>
      </c>
      <c r="L697">
        <v>1000</v>
      </c>
    </row>
    <row r="698" spans="1:12" hidden="1" x14ac:dyDescent="0.25">
      <c r="A698">
        <v>697</v>
      </c>
      <c r="B698" s="1" t="s">
        <v>12</v>
      </c>
      <c r="C698">
        <v>1936</v>
      </c>
      <c r="D698" s="1" t="s">
        <v>157</v>
      </c>
      <c r="E698" s="1" t="s">
        <v>48</v>
      </c>
      <c r="F698">
        <v>34</v>
      </c>
      <c r="G698" s="1" t="s">
        <v>108</v>
      </c>
      <c r="H698">
        <v>34042</v>
      </c>
      <c r="I698">
        <v>27</v>
      </c>
      <c r="J698">
        <v>26</v>
      </c>
      <c r="K698">
        <v>13</v>
      </c>
      <c r="L698">
        <v>500</v>
      </c>
    </row>
    <row r="699" spans="1:12" hidden="1" x14ac:dyDescent="0.25">
      <c r="A699">
        <v>698</v>
      </c>
      <c r="B699" s="1" t="s">
        <v>12</v>
      </c>
      <c r="C699">
        <v>1936</v>
      </c>
      <c r="D699" s="1" t="s">
        <v>157</v>
      </c>
      <c r="E699" s="1" t="s">
        <v>48</v>
      </c>
      <c r="F699">
        <v>34</v>
      </c>
      <c r="G699" s="1" t="s">
        <v>52</v>
      </c>
      <c r="H699">
        <v>34035</v>
      </c>
      <c r="I699">
        <v>20</v>
      </c>
      <c r="J699">
        <v>15</v>
      </c>
      <c r="K699">
        <v>6</v>
      </c>
      <c r="L699">
        <v>400</v>
      </c>
    </row>
    <row r="700" spans="1:12" hidden="1" x14ac:dyDescent="0.25">
      <c r="A700">
        <v>699</v>
      </c>
      <c r="B700" s="1" t="s">
        <v>12</v>
      </c>
      <c r="C700">
        <v>1936</v>
      </c>
      <c r="D700" s="1" t="s">
        <v>157</v>
      </c>
      <c r="E700" s="1" t="s">
        <v>48</v>
      </c>
      <c r="F700">
        <v>34</v>
      </c>
      <c r="G700" s="1" t="s">
        <v>50</v>
      </c>
      <c r="H700">
        <v>34021</v>
      </c>
      <c r="I700">
        <v>15</v>
      </c>
      <c r="J700">
        <v>14</v>
      </c>
      <c r="K700">
        <v>6</v>
      </c>
      <c r="L700">
        <v>429</v>
      </c>
    </row>
    <row r="701" spans="1:12" hidden="1" x14ac:dyDescent="0.25">
      <c r="A701">
        <v>700</v>
      </c>
      <c r="B701" s="1" t="s">
        <v>12</v>
      </c>
      <c r="C701">
        <v>1936</v>
      </c>
      <c r="D701" s="1" t="s">
        <v>157</v>
      </c>
      <c r="E701" s="1" t="s">
        <v>48</v>
      </c>
      <c r="F701">
        <v>34</v>
      </c>
      <c r="G701" s="1" t="s">
        <v>51</v>
      </c>
      <c r="H701">
        <v>34056</v>
      </c>
      <c r="I701">
        <v>9</v>
      </c>
      <c r="J701">
        <v>8</v>
      </c>
      <c r="K701">
        <v>8</v>
      </c>
      <c r="L701">
        <v>1000</v>
      </c>
    </row>
    <row r="702" spans="1:12" hidden="1" x14ac:dyDescent="0.25">
      <c r="A702">
        <v>701</v>
      </c>
      <c r="B702" s="1" t="s">
        <v>12</v>
      </c>
      <c r="C702">
        <v>1936</v>
      </c>
      <c r="D702" s="1" t="s">
        <v>157</v>
      </c>
      <c r="E702" s="1" t="s">
        <v>48</v>
      </c>
      <c r="F702">
        <v>34</v>
      </c>
      <c r="G702" s="1" t="s">
        <v>49</v>
      </c>
      <c r="H702">
        <v>34049</v>
      </c>
      <c r="I702">
        <v>5</v>
      </c>
      <c r="J702">
        <v>5</v>
      </c>
      <c r="K702">
        <v>5</v>
      </c>
      <c r="L702">
        <v>1000</v>
      </c>
    </row>
    <row r="703" spans="1:12" hidden="1" x14ac:dyDescent="0.25">
      <c r="A703">
        <v>702</v>
      </c>
      <c r="B703" s="1" t="s">
        <v>12</v>
      </c>
      <c r="C703">
        <v>1936</v>
      </c>
      <c r="D703" s="1" t="s">
        <v>157</v>
      </c>
      <c r="E703" s="1" t="s">
        <v>48</v>
      </c>
      <c r="F703">
        <v>34</v>
      </c>
      <c r="G703" s="1" t="s">
        <v>48</v>
      </c>
      <c r="H703">
        <v>34014</v>
      </c>
      <c r="I703">
        <v>4</v>
      </c>
      <c r="J703">
        <v>3</v>
      </c>
      <c r="K703">
        <v>1</v>
      </c>
      <c r="L703">
        <v>333</v>
      </c>
    </row>
    <row r="704" spans="1:12" hidden="1" x14ac:dyDescent="0.25">
      <c r="A704">
        <v>703</v>
      </c>
      <c r="B704" s="1" t="s">
        <v>12</v>
      </c>
      <c r="C704">
        <v>1936</v>
      </c>
      <c r="D704" s="1" t="s">
        <v>157</v>
      </c>
      <c r="E704" s="1" t="s">
        <v>53</v>
      </c>
      <c r="F704">
        <v>38</v>
      </c>
      <c r="G704" s="1" t="s">
        <v>54</v>
      </c>
      <c r="H704">
        <v>38014</v>
      </c>
      <c r="I704">
        <v>2</v>
      </c>
      <c r="J704">
        <v>2</v>
      </c>
      <c r="K704">
        <v>1</v>
      </c>
      <c r="L704">
        <v>500</v>
      </c>
    </row>
    <row r="705" spans="1:12" hidden="1" x14ac:dyDescent="0.25">
      <c r="A705">
        <v>704</v>
      </c>
      <c r="B705" s="1" t="s">
        <v>12</v>
      </c>
      <c r="C705">
        <v>1936</v>
      </c>
      <c r="D705" s="1" t="s">
        <v>157</v>
      </c>
      <c r="E705" s="1" t="s">
        <v>53</v>
      </c>
      <c r="F705">
        <v>38</v>
      </c>
      <c r="G705" s="1" t="s">
        <v>55</v>
      </c>
      <c r="H705">
        <v>38021</v>
      </c>
      <c r="I705">
        <v>1</v>
      </c>
      <c r="J705">
        <v>1</v>
      </c>
      <c r="K705">
        <v>1</v>
      </c>
      <c r="L705">
        <v>1000</v>
      </c>
    </row>
    <row r="706" spans="1:12" hidden="1" x14ac:dyDescent="0.25">
      <c r="A706">
        <v>705</v>
      </c>
      <c r="B706" s="1" t="s">
        <v>12</v>
      </c>
      <c r="C706">
        <v>1936</v>
      </c>
      <c r="D706" s="1" t="s">
        <v>157</v>
      </c>
      <c r="E706" s="1" t="s">
        <v>53</v>
      </c>
      <c r="F706">
        <v>38</v>
      </c>
      <c r="G706" s="1" t="s">
        <v>175</v>
      </c>
      <c r="H706">
        <v>38035</v>
      </c>
      <c r="I706">
        <v>1</v>
      </c>
      <c r="J706">
        <v>1</v>
      </c>
      <c r="K706">
        <v>2</v>
      </c>
      <c r="L706">
        <v>2000</v>
      </c>
    </row>
    <row r="707" spans="1:12" hidden="1" x14ac:dyDescent="0.25">
      <c r="A707">
        <v>706</v>
      </c>
      <c r="B707" s="1" t="s">
        <v>12</v>
      </c>
      <c r="C707">
        <v>1936</v>
      </c>
      <c r="D707" s="1" t="s">
        <v>157</v>
      </c>
      <c r="E707" s="1" t="s">
        <v>53</v>
      </c>
      <c r="F707">
        <v>38</v>
      </c>
      <c r="G707" s="1" t="s">
        <v>57</v>
      </c>
      <c r="H707">
        <v>38056</v>
      </c>
      <c r="I707">
        <v>1</v>
      </c>
      <c r="J707">
        <v>1</v>
      </c>
      <c r="K707">
        <v>1</v>
      </c>
      <c r="L707">
        <v>1000</v>
      </c>
    </row>
    <row r="708" spans="1:12" hidden="1" x14ac:dyDescent="0.25">
      <c r="A708">
        <v>707</v>
      </c>
      <c r="B708" s="1" t="s">
        <v>12</v>
      </c>
      <c r="C708">
        <v>1936</v>
      </c>
      <c r="D708" s="1" t="s">
        <v>157</v>
      </c>
      <c r="E708" s="1" t="s">
        <v>176</v>
      </c>
      <c r="F708">
        <v>42</v>
      </c>
      <c r="G708" s="1" t="s">
        <v>177</v>
      </c>
      <c r="H708">
        <v>42119</v>
      </c>
      <c r="I708">
        <v>2</v>
      </c>
    </row>
    <row r="709" spans="1:12" hidden="1" x14ac:dyDescent="0.25">
      <c r="A709">
        <v>708</v>
      </c>
      <c r="B709" s="1" t="s">
        <v>12</v>
      </c>
      <c r="C709">
        <v>1936</v>
      </c>
      <c r="D709" s="1" t="s">
        <v>157</v>
      </c>
      <c r="E709" s="1" t="s">
        <v>138</v>
      </c>
      <c r="F709">
        <v>50</v>
      </c>
      <c r="G709" s="1" t="s">
        <v>139</v>
      </c>
      <c r="H709">
        <v>50105</v>
      </c>
      <c r="I709">
        <v>59</v>
      </c>
      <c r="J709">
        <v>57</v>
      </c>
      <c r="K709">
        <v>29</v>
      </c>
      <c r="L709">
        <v>509</v>
      </c>
    </row>
    <row r="710" spans="1:12" hidden="1" x14ac:dyDescent="0.25">
      <c r="A710">
        <v>709</v>
      </c>
      <c r="B710" s="1" t="s">
        <v>12</v>
      </c>
      <c r="C710">
        <v>1936</v>
      </c>
      <c r="D710" s="1" t="s">
        <v>157</v>
      </c>
      <c r="E710" s="1" t="s">
        <v>138</v>
      </c>
      <c r="F710">
        <v>50</v>
      </c>
      <c r="G710" s="1" t="s">
        <v>140</v>
      </c>
      <c r="H710">
        <v>50014</v>
      </c>
      <c r="I710">
        <v>3</v>
      </c>
      <c r="J710">
        <v>3</v>
      </c>
      <c r="K710">
        <v>1</v>
      </c>
      <c r="L710">
        <v>333</v>
      </c>
    </row>
    <row r="711" spans="1:12" hidden="1" x14ac:dyDescent="0.25">
      <c r="A711">
        <v>710</v>
      </c>
      <c r="B711" s="1" t="s">
        <v>12</v>
      </c>
      <c r="C711">
        <v>1936</v>
      </c>
      <c r="D711" s="1" t="s">
        <v>157</v>
      </c>
      <c r="E711" s="1" t="s">
        <v>138</v>
      </c>
      <c r="F711">
        <v>50</v>
      </c>
      <c r="G711" s="1" t="s">
        <v>37</v>
      </c>
      <c r="H711">
        <v>50098</v>
      </c>
      <c r="I711">
        <v>2</v>
      </c>
    </row>
    <row r="712" spans="1:12" hidden="1" x14ac:dyDescent="0.25">
      <c r="A712">
        <v>711</v>
      </c>
      <c r="B712" s="1" t="s">
        <v>12</v>
      </c>
      <c r="C712">
        <v>1936</v>
      </c>
      <c r="D712" s="1" t="s">
        <v>157</v>
      </c>
      <c r="E712" s="1" t="s">
        <v>58</v>
      </c>
      <c r="F712">
        <v>54</v>
      </c>
      <c r="G712" s="1" t="s">
        <v>60</v>
      </c>
      <c r="H712">
        <v>54021</v>
      </c>
      <c r="I712">
        <v>180</v>
      </c>
      <c r="J712">
        <v>162</v>
      </c>
      <c r="K712">
        <v>105</v>
      </c>
      <c r="L712">
        <v>648</v>
      </c>
    </row>
    <row r="713" spans="1:12" hidden="1" x14ac:dyDescent="0.25">
      <c r="A713">
        <v>712</v>
      </c>
      <c r="B713" s="1" t="s">
        <v>12</v>
      </c>
      <c r="C713">
        <v>1936</v>
      </c>
      <c r="D713" s="1" t="s">
        <v>157</v>
      </c>
      <c r="E713" s="1" t="s">
        <v>58</v>
      </c>
      <c r="F713">
        <v>54</v>
      </c>
      <c r="G713" s="1" t="s">
        <v>62</v>
      </c>
      <c r="H713">
        <v>54105</v>
      </c>
      <c r="I713">
        <v>95</v>
      </c>
      <c r="J713">
        <v>81</v>
      </c>
      <c r="K713">
        <v>80</v>
      </c>
      <c r="L713">
        <v>988</v>
      </c>
    </row>
    <row r="714" spans="1:12" hidden="1" x14ac:dyDescent="0.25">
      <c r="A714">
        <v>713</v>
      </c>
      <c r="B714" s="1" t="s">
        <v>12</v>
      </c>
      <c r="C714">
        <v>1936</v>
      </c>
      <c r="D714" s="1" t="s">
        <v>157</v>
      </c>
      <c r="E714" s="1" t="s">
        <v>58</v>
      </c>
      <c r="F714">
        <v>54</v>
      </c>
      <c r="G714" s="1" t="s">
        <v>59</v>
      </c>
      <c r="H714">
        <v>54007</v>
      </c>
      <c r="I714">
        <v>87</v>
      </c>
      <c r="J714">
        <v>81</v>
      </c>
      <c r="K714">
        <v>28</v>
      </c>
      <c r="L714">
        <v>343</v>
      </c>
    </row>
    <row r="715" spans="1:12" hidden="1" x14ac:dyDescent="0.25">
      <c r="A715">
        <v>714</v>
      </c>
      <c r="B715" s="1" t="s">
        <v>12</v>
      </c>
      <c r="C715">
        <v>1936</v>
      </c>
      <c r="D715" s="1" t="s">
        <v>157</v>
      </c>
      <c r="E715" s="1" t="s">
        <v>58</v>
      </c>
      <c r="F715">
        <v>54</v>
      </c>
      <c r="G715" s="1" t="s">
        <v>151</v>
      </c>
      <c r="H715">
        <v>54056</v>
      </c>
      <c r="I715">
        <v>46</v>
      </c>
      <c r="J715">
        <v>41</v>
      </c>
      <c r="K715">
        <v>40</v>
      </c>
      <c r="L715">
        <v>976</v>
      </c>
    </row>
    <row r="716" spans="1:12" hidden="1" x14ac:dyDescent="0.25">
      <c r="A716">
        <v>715</v>
      </c>
      <c r="B716" s="1" t="s">
        <v>12</v>
      </c>
      <c r="C716">
        <v>1936</v>
      </c>
      <c r="D716" s="1" t="s">
        <v>157</v>
      </c>
      <c r="E716" s="1" t="s">
        <v>58</v>
      </c>
      <c r="F716">
        <v>54</v>
      </c>
      <c r="G716" s="1" t="s">
        <v>150</v>
      </c>
      <c r="H716">
        <v>54014</v>
      </c>
      <c r="I716">
        <v>28</v>
      </c>
      <c r="J716">
        <v>25</v>
      </c>
      <c r="K716">
        <v>12</v>
      </c>
      <c r="L716">
        <v>480</v>
      </c>
    </row>
    <row r="717" spans="1:12" hidden="1" x14ac:dyDescent="0.25">
      <c r="A717">
        <v>716</v>
      </c>
      <c r="B717" s="1" t="s">
        <v>12</v>
      </c>
      <c r="C717">
        <v>1936</v>
      </c>
      <c r="D717" s="1" t="s">
        <v>157</v>
      </c>
      <c r="E717" s="1" t="s">
        <v>58</v>
      </c>
      <c r="F717">
        <v>54</v>
      </c>
      <c r="G717" s="1" t="s">
        <v>61</v>
      </c>
      <c r="H717">
        <v>54098</v>
      </c>
      <c r="I717">
        <v>28</v>
      </c>
      <c r="J717">
        <v>25</v>
      </c>
      <c r="K717">
        <v>24</v>
      </c>
      <c r="L717">
        <v>960</v>
      </c>
    </row>
    <row r="718" spans="1:12" hidden="1" x14ac:dyDescent="0.25">
      <c r="A718">
        <v>717</v>
      </c>
      <c r="B718" s="1" t="s">
        <v>12</v>
      </c>
      <c r="C718">
        <v>1936</v>
      </c>
      <c r="D718" s="1" t="s">
        <v>157</v>
      </c>
      <c r="E718" s="1" t="s">
        <v>58</v>
      </c>
      <c r="F718">
        <v>54</v>
      </c>
      <c r="G718" s="1" t="s">
        <v>63</v>
      </c>
      <c r="H718">
        <v>54035</v>
      </c>
      <c r="I718">
        <v>23</v>
      </c>
      <c r="J718">
        <v>23</v>
      </c>
      <c r="K718">
        <v>8</v>
      </c>
      <c r="L718">
        <v>348</v>
      </c>
    </row>
    <row r="719" spans="1:12" hidden="1" x14ac:dyDescent="0.25">
      <c r="A719">
        <v>718</v>
      </c>
      <c r="B719" s="1" t="s">
        <v>12</v>
      </c>
      <c r="C719">
        <v>1936</v>
      </c>
      <c r="D719" s="1" t="s">
        <v>157</v>
      </c>
      <c r="E719" s="1" t="s">
        <v>58</v>
      </c>
      <c r="F719">
        <v>54</v>
      </c>
      <c r="G719" s="1" t="s">
        <v>152</v>
      </c>
      <c r="H719">
        <v>54063</v>
      </c>
      <c r="I719">
        <v>10</v>
      </c>
      <c r="J719">
        <v>6</v>
      </c>
      <c r="K719">
        <v>3</v>
      </c>
      <c r="L719">
        <v>500</v>
      </c>
    </row>
    <row r="720" spans="1:12" x14ac:dyDescent="0.25">
      <c r="A720">
        <v>719</v>
      </c>
      <c r="B720" s="1" t="s">
        <v>12</v>
      </c>
      <c r="C720">
        <v>1936</v>
      </c>
      <c r="D720" s="1" t="s">
        <v>157</v>
      </c>
      <c r="E720" s="1" t="s">
        <v>58</v>
      </c>
      <c r="F720">
        <v>54</v>
      </c>
      <c r="G720" s="1" t="s">
        <v>56</v>
      </c>
      <c r="H720">
        <v>54112</v>
      </c>
      <c r="I720">
        <v>6</v>
      </c>
      <c r="J720">
        <v>6</v>
      </c>
      <c r="K720">
        <v>4</v>
      </c>
      <c r="L720">
        <v>667</v>
      </c>
    </row>
    <row r="721" spans="1:12" hidden="1" x14ac:dyDescent="0.25">
      <c r="A721">
        <v>720</v>
      </c>
      <c r="B721" s="1" t="s">
        <v>12</v>
      </c>
      <c r="C721">
        <v>1936</v>
      </c>
      <c r="D721" s="1" t="s">
        <v>157</v>
      </c>
      <c r="E721" s="1" t="s">
        <v>58</v>
      </c>
      <c r="F721">
        <v>54</v>
      </c>
      <c r="G721" s="1" t="s">
        <v>28</v>
      </c>
      <c r="H721">
        <v>54028</v>
      </c>
      <c r="I721">
        <v>5</v>
      </c>
    </row>
    <row r="722" spans="1:12" hidden="1" x14ac:dyDescent="0.25">
      <c r="A722">
        <v>721</v>
      </c>
      <c r="B722" s="1" t="s">
        <v>12</v>
      </c>
      <c r="C722">
        <v>1936</v>
      </c>
      <c r="D722" s="1" t="s">
        <v>157</v>
      </c>
      <c r="E722" s="1" t="s">
        <v>58</v>
      </c>
      <c r="F722">
        <v>54</v>
      </c>
      <c r="G722" s="1" t="s">
        <v>178</v>
      </c>
      <c r="H722">
        <v>54049</v>
      </c>
      <c r="I722">
        <v>3</v>
      </c>
      <c r="J722">
        <v>3</v>
      </c>
      <c r="K722">
        <v>2</v>
      </c>
      <c r="L722">
        <v>667</v>
      </c>
    </row>
    <row r="723" spans="1:12" hidden="1" x14ac:dyDescent="0.25">
      <c r="A723">
        <v>722</v>
      </c>
      <c r="B723" s="1" t="s">
        <v>12</v>
      </c>
      <c r="C723">
        <v>1936</v>
      </c>
      <c r="D723" s="1" t="s">
        <v>157</v>
      </c>
      <c r="E723" s="1" t="s">
        <v>87</v>
      </c>
      <c r="F723">
        <v>66</v>
      </c>
      <c r="G723" s="1" t="s">
        <v>179</v>
      </c>
      <c r="H723">
        <v>66126</v>
      </c>
      <c r="I723">
        <v>66</v>
      </c>
      <c r="J723">
        <v>66</v>
      </c>
      <c r="K723">
        <v>96</v>
      </c>
      <c r="L723">
        <v>1455</v>
      </c>
    </row>
    <row r="724" spans="1:12" hidden="1" x14ac:dyDescent="0.25">
      <c r="A724">
        <v>723</v>
      </c>
      <c r="B724" s="1" t="s">
        <v>12</v>
      </c>
      <c r="C724">
        <v>1936</v>
      </c>
      <c r="D724" s="1" t="s">
        <v>157</v>
      </c>
      <c r="E724" s="1" t="s">
        <v>87</v>
      </c>
      <c r="F724">
        <v>66</v>
      </c>
      <c r="G724" s="1" t="s">
        <v>141</v>
      </c>
      <c r="H724">
        <v>66112</v>
      </c>
      <c r="I724">
        <v>46</v>
      </c>
      <c r="J724">
        <v>46</v>
      </c>
      <c r="K724">
        <v>51</v>
      </c>
      <c r="L724">
        <v>1109</v>
      </c>
    </row>
    <row r="725" spans="1:12" hidden="1" x14ac:dyDescent="0.25">
      <c r="A725">
        <v>724</v>
      </c>
      <c r="B725" s="1" t="s">
        <v>12</v>
      </c>
      <c r="C725">
        <v>1936</v>
      </c>
      <c r="D725" s="1" t="s">
        <v>157</v>
      </c>
      <c r="E725" s="1" t="s">
        <v>87</v>
      </c>
      <c r="F725">
        <v>66</v>
      </c>
      <c r="G725" s="1" t="s">
        <v>131</v>
      </c>
      <c r="H725">
        <v>66049</v>
      </c>
      <c r="I725">
        <v>2</v>
      </c>
      <c r="J725">
        <v>2</v>
      </c>
      <c r="K725">
        <v>1</v>
      </c>
      <c r="L725">
        <v>500</v>
      </c>
    </row>
    <row r="726" spans="1:12" hidden="1" x14ac:dyDescent="0.25">
      <c r="A726">
        <v>725</v>
      </c>
      <c r="B726" s="1" t="s">
        <v>12</v>
      </c>
      <c r="C726">
        <v>1936</v>
      </c>
      <c r="D726" s="1" t="s">
        <v>157</v>
      </c>
      <c r="E726" s="1" t="s">
        <v>87</v>
      </c>
      <c r="F726">
        <v>66</v>
      </c>
      <c r="G726" s="1" t="s">
        <v>28</v>
      </c>
      <c r="H726">
        <v>66028</v>
      </c>
      <c r="I726">
        <v>1</v>
      </c>
    </row>
    <row r="727" spans="1:12" hidden="1" x14ac:dyDescent="0.25">
      <c r="A727">
        <v>726</v>
      </c>
      <c r="B727" s="1" t="s">
        <v>12</v>
      </c>
      <c r="C727">
        <v>1936</v>
      </c>
      <c r="D727" s="1" t="s">
        <v>157</v>
      </c>
      <c r="E727" s="1" t="s">
        <v>87</v>
      </c>
      <c r="F727">
        <v>66</v>
      </c>
      <c r="G727" s="1" t="s">
        <v>161</v>
      </c>
      <c r="H727">
        <v>66133</v>
      </c>
      <c r="I727">
        <v>1</v>
      </c>
      <c r="J727">
        <v>1</v>
      </c>
      <c r="K727">
        <v>1</v>
      </c>
      <c r="L727">
        <v>1000</v>
      </c>
    </row>
    <row r="728" spans="1:12" hidden="1" x14ac:dyDescent="0.25">
      <c r="A728">
        <v>727</v>
      </c>
      <c r="B728" s="1" t="s">
        <v>12</v>
      </c>
      <c r="C728">
        <v>1936</v>
      </c>
      <c r="D728" s="1" t="s">
        <v>157</v>
      </c>
      <c r="E728" s="1" t="s">
        <v>112</v>
      </c>
      <c r="F728">
        <v>70</v>
      </c>
      <c r="G728" s="1" t="s">
        <v>115</v>
      </c>
      <c r="H728">
        <v>70070</v>
      </c>
      <c r="I728">
        <v>2</v>
      </c>
    </row>
    <row r="729" spans="1:12" hidden="1" x14ac:dyDescent="0.25">
      <c r="A729">
        <v>728</v>
      </c>
      <c r="B729" s="1" t="s">
        <v>12</v>
      </c>
      <c r="C729">
        <v>1936</v>
      </c>
      <c r="D729" s="1" t="s">
        <v>157</v>
      </c>
      <c r="E729" s="1" t="s">
        <v>116</v>
      </c>
      <c r="F729">
        <v>74</v>
      </c>
      <c r="G729" s="1" t="s">
        <v>126</v>
      </c>
      <c r="H729">
        <v>74035</v>
      </c>
      <c r="I729">
        <v>73</v>
      </c>
      <c r="J729">
        <v>65</v>
      </c>
      <c r="K729">
        <v>77</v>
      </c>
      <c r="L729">
        <v>1185</v>
      </c>
    </row>
    <row r="730" spans="1:12" hidden="1" x14ac:dyDescent="0.25">
      <c r="A730">
        <v>729</v>
      </c>
      <c r="B730" s="1" t="s">
        <v>12</v>
      </c>
      <c r="C730">
        <v>1936</v>
      </c>
      <c r="D730" s="1" t="s">
        <v>157</v>
      </c>
      <c r="E730" s="1" t="s">
        <v>116</v>
      </c>
      <c r="F730">
        <v>74</v>
      </c>
      <c r="G730" s="1" t="s">
        <v>117</v>
      </c>
      <c r="H730">
        <v>74021</v>
      </c>
      <c r="I730">
        <v>32</v>
      </c>
    </row>
    <row r="731" spans="1:12" hidden="1" x14ac:dyDescent="0.25">
      <c r="A731">
        <v>730</v>
      </c>
      <c r="B731" s="1" t="s">
        <v>12</v>
      </c>
      <c r="C731">
        <v>1936</v>
      </c>
      <c r="D731" s="1" t="s">
        <v>157</v>
      </c>
      <c r="E731" s="1" t="s">
        <v>116</v>
      </c>
      <c r="F731">
        <v>74</v>
      </c>
      <c r="G731" s="1" t="s">
        <v>127</v>
      </c>
      <c r="H731">
        <v>74049</v>
      </c>
      <c r="I731">
        <v>14</v>
      </c>
      <c r="J731">
        <v>14</v>
      </c>
      <c r="K731">
        <v>5</v>
      </c>
      <c r="L731">
        <v>367</v>
      </c>
    </row>
    <row r="732" spans="1:12" hidden="1" x14ac:dyDescent="0.25">
      <c r="A732">
        <v>731</v>
      </c>
      <c r="B732" s="1" t="s">
        <v>12</v>
      </c>
      <c r="C732">
        <v>1936</v>
      </c>
      <c r="D732" s="1" t="s">
        <v>157</v>
      </c>
      <c r="E732" s="1" t="s">
        <v>116</v>
      </c>
      <c r="F732">
        <v>74</v>
      </c>
      <c r="G732" s="1" t="s">
        <v>118</v>
      </c>
      <c r="H732">
        <v>74028</v>
      </c>
      <c r="I732">
        <v>6</v>
      </c>
      <c r="J732">
        <v>6</v>
      </c>
      <c r="K732">
        <v>4</v>
      </c>
      <c r="L732">
        <v>667</v>
      </c>
    </row>
    <row r="733" spans="1:12" hidden="1" x14ac:dyDescent="0.25">
      <c r="A733">
        <v>732</v>
      </c>
      <c r="B733" s="1" t="s">
        <v>12</v>
      </c>
      <c r="C733">
        <v>1936</v>
      </c>
      <c r="D733" s="1" t="s">
        <v>157</v>
      </c>
      <c r="E733" s="1" t="s">
        <v>64</v>
      </c>
      <c r="F733">
        <v>82</v>
      </c>
      <c r="G733" s="1" t="s">
        <v>65</v>
      </c>
      <c r="H733">
        <v>82049</v>
      </c>
      <c r="I733">
        <v>9563</v>
      </c>
      <c r="J733">
        <v>8618</v>
      </c>
      <c r="K733">
        <v>7059</v>
      </c>
      <c r="L733">
        <v>819</v>
      </c>
    </row>
    <row r="734" spans="1:12" hidden="1" x14ac:dyDescent="0.25">
      <c r="A734">
        <v>733</v>
      </c>
      <c r="B734" s="1" t="s">
        <v>12</v>
      </c>
      <c r="C734">
        <v>1936</v>
      </c>
      <c r="D734" s="1" t="s">
        <v>157</v>
      </c>
      <c r="E734" s="1" t="s">
        <v>64</v>
      </c>
      <c r="F734">
        <v>82</v>
      </c>
      <c r="G734" s="1" t="s">
        <v>66</v>
      </c>
      <c r="H734">
        <v>82035</v>
      </c>
      <c r="I734">
        <v>3541</v>
      </c>
      <c r="J734">
        <v>3500</v>
      </c>
      <c r="K734">
        <v>6631</v>
      </c>
      <c r="L734">
        <v>1895</v>
      </c>
    </row>
    <row r="735" spans="1:12" hidden="1" x14ac:dyDescent="0.25">
      <c r="A735">
        <v>734</v>
      </c>
      <c r="B735" s="1" t="s">
        <v>12</v>
      </c>
      <c r="C735">
        <v>1936</v>
      </c>
      <c r="D735" s="1" t="s">
        <v>157</v>
      </c>
      <c r="E735" s="1" t="s">
        <v>64</v>
      </c>
      <c r="F735">
        <v>82</v>
      </c>
      <c r="G735" s="1" t="s">
        <v>62</v>
      </c>
      <c r="H735">
        <v>82098</v>
      </c>
      <c r="I735">
        <v>861</v>
      </c>
      <c r="J735">
        <v>794</v>
      </c>
      <c r="K735">
        <v>632</v>
      </c>
      <c r="L735">
        <v>796</v>
      </c>
    </row>
    <row r="736" spans="1:12" hidden="1" x14ac:dyDescent="0.25">
      <c r="A736">
        <v>735</v>
      </c>
      <c r="B736" s="1" t="s">
        <v>12</v>
      </c>
      <c r="C736">
        <v>1936</v>
      </c>
      <c r="D736" s="1" t="s">
        <v>157</v>
      </c>
      <c r="E736" s="1" t="s">
        <v>64</v>
      </c>
      <c r="F736">
        <v>82</v>
      </c>
      <c r="G736" s="1" t="s">
        <v>133</v>
      </c>
      <c r="H736">
        <v>82133</v>
      </c>
      <c r="I736">
        <v>110</v>
      </c>
      <c r="J736">
        <v>99</v>
      </c>
      <c r="K736">
        <v>75</v>
      </c>
      <c r="L736">
        <v>758</v>
      </c>
    </row>
    <row r="737" spans="1:12" hidden="1" x14ac:dyDescent="0.25">
      <c r="A737">
        <v>736</v>
      </c>
      <c r="B737" s="1" t="s">
        <v>12</v>
      </c>
      <c r="C737">
        <v>1936</v>
      </c>
      <c r="D737" s="1" t="s">
        <v>157</v>
      </c>
      <c r="E737" s="1" t="s">
        <v>64</v>
      </c>
      <c r="F737">
        <v>82</v>
      </c>
      <c r="G737" s="1" t="s">
        <v>67</v>
      </c>
      <c r="H737">
        <v>82112</v>
      </c>
      <c r="I737">
        <v>27</v>
      </c>
      <c r="J737">
        <v>27</v>
      </c>
      <c r="K737">
        <v>36</v>
      </c>
      <c r="L737">
        <v>1333</v>
      </c>
    </row>
    <row r="738" spans="1:12" hidden="1" x14ac:dyDescent="0.25">
      <c r="A738">
        <v>737</v>
      </c>
      <c r="B738" s="1" t="s">
        <v>12</v>
      </c>
      <c r="C738">
        <v>1936</v>
      </c>
      <c r="D738" s="1" t="s">
        <v>157</v>
      </c>
      <c r="E738" s="1" t="s">
        <v>64</v>
      </c>
      <c r="F738">
        <v>82</v>
      </c>
      <c r="G738" s="1" t="s">
        <v>154</v>
      </c>
      <c r="H738">
        <v>82091</v>
      </c>
      <c r="I738">
        <v>25</v>
      </c>
      <c r="J738">
        <v>23</v>
      </c>
      <c r="K738">
        <v>9</v>
      </c>
      <c r="L738">
        <v>391</v>
      </c>
    </row>
    <row r="739" spans="1:12" hidden="1" x14ac:dyDescent="0.25">
      <c r="A739">
        <v>738</v>
      </c>
      <c r="B739" s="1" t="s">
        <v>12</v>
      </c>
      <c r="C739">
        <v>1936</v>
      </c>
      <c r="D739" s="1" t="s">
        <v>157</v>
      </c>
      <c r="E739" s="1" t="s">
        <v>64</v>
      </c>
      <c r="F739">
        <v>82</v>
      </c>
      <c r="G739" s="1" t="s">
        <v>28</v>
      </c>
      <c r="H739">
        <v>82063</v>
      </c>
      <c r="I739">
        <v>17</v>
      </c>
      <c r="J739">
        <v>15</v>
      </c>
      <c r="K739">
        <v>14</v>
      </c>
      <c r="L739">
        <v>933</v>
      </c>
    </row>
    <row r="740" spans="1:12" hidden="1" x14ac:dyDescent="0.25">
      <c r="A740">
        <v>739</v>
      </c>
      <c r="B740" s="1" t="s">
        <v>12</v>
      </c>
      <c r="C740">
        <v>1936</v>
      </c>
      <c r="D740" s="1" t="s">
        <v>157</v>
      </c>
      <c r="E740" s="1" t="s">
        <v>64</v>
      </c>
      <c r="F740">
        <v>82</v>
      </c>
      <c r="G740" s="1" t="s">
        <v>134</v>
      </c>
      <c r="H740">
        <v>82070</v>
      </c>
      <c r="I740">
        <v>2</v>
      </c>
    </row>
    <row r="741" spans="1:12" hidden="1" x14ac:dyDescent="0.25">
      <c r="A741">
        <v>740</v>
      </c>
      <c r="B741" s="1" t="s">
        <v>12</v>
      </c>
      <c r="C741">
        <v>1936</v>
      </c>
      <c r="D741" s="1" t="s">
        <v>157</v>
      </c>
      <c r="E741" s="1" t="s">
        <v>68</v>
      </c>
      <c r="F741">
        <v>86</v>
      </c>
      <c r="G741" s="1" t="s">
        <v>76</v>
      </c>
      <c r="H741">
        <v>86161</v>
      </c>
      <c r="I741">
        <v>20</v>
      </c>
      <c r="J741">
        <v>16</v>
      </c>
      <c r="K741">
        <v>4</v>
      </c>
      <c r="L741">
        <v>250</v>
      </c>
    </row>
    <row r="742" spans="1:12" hidden="1" x14ac:dyDescent="0.25">
      <c r="A742">
        <v>741</v>
      </c>
      <c r="B742" s="1" t="s">
        <v>12</v>
      </c>
      <c r="C742">
        <v>1936</v>
      </c>
      <c r="D742" s="1" t="s">
        <v>157</v>
      </c>
      <c r="E742" s="1" t="s">
        <v>68</v>
      </c>
      <c r="F742">
        <v>86</v>
      </c>
      <c r="G742" s="1" t="s">
        <v>37</v>
      </c>
      <c r="H742">
        <v>86175</v>
      </c>
      <c r="I742">
        <v>5</v>
      </c>
    </row>
    <row r="743" spans="1:12" hidden="1" x14ac:dyDescent="0.25">
      <c r="A743">
        <v>742</v>
      </c>
      <c r="B743" s="1" t="s">
        <v>12</v>
      </c>
      <c r="C743">
        <v>1936</v>
      </c>
      <c r="D743" s="1" t="s">
        <v>157</v>
      </c>
      <c r="E743" s="1" t="s">
        <v>68</v>
      </c>
      <c r="F743">
        <v>86</v>
      </c>
      <c r="G743" s="1" t="s">
        <v>180</v>
      </c>
      <c r="H743">
        <v>86126</v>
      </c>
      <c r="I743">
        <v>4</v>
      </c>
      <c r="J743">
        <v>3</v>
      </c>
      <c r="K743">
        <v>1</v>
      </c>
      <c r="L743">
        <v>333</v>
      </c>
    </row>
    <row r="744" spans="1:12" hidden="1" x14ac:dyDescent="0.25">
      <c r="A744">
        <v>743</v>
      </c>
      <c r="B744" s="1" t="s">
        <v>12</v>
      </c>
      <c r="C744">
        <v>1936</v>
      </c>
      <c r="D744" s="1" t="s">
        <v>157</v>
      </c>
      <c r="E744" s="1" t="s">
        <v>68</v>
      </c>
      <c r="F744">
        <v>86</v>
      </c>
      <c r="G744" s="1" t="s">
        <v>136</v>
      </c>
      <c r="H744">
        <v>86091</v>
      </c>
      <c r="I744">
        <v>2</v>
      </c>
      <c r="J744">
        <v>1</v>
      </c>
      <c r="K744">
        <v>1</v>
      </c>
      <c r="L744">
        <v>1000</v>
      </c>
    </row>
    <row r="745" spans="1:12" hidden="1" x14ac:dyDescent="0.25">
      <c r="A745">
        <v>744</v>
      </c>
      <c r="B745" s="1" t="s">
        <v>12</v>
      </c>
      <c r="C745">
        <v>1936</v>
      </c>
      <c r="D745" s="1" t="s">
        <v>157</v>
      </c>
      <c r="E745" s="1" t="s">
        <v>68</v>
      </c>
      <c r="F745">
        <v>86</v>
      </c>
      <c r="G745" s="1" t="s">
        <v>69</v>
      </c>
      <c r="H745">
        <v>86077</v>
      </c>
      <c r="I745">
        <v>2</v>
      </c>
    </row>
    <row r="746" spans="1:12" hidden="1" x14ac:dyDescent="0.25">
      <c r="A746">
        <v>745</v>
      </c>
      <c r="B746" s="1" t="s">
        <v>12</v>
      </c>
      <c r="C746">
        <v>1936</v>
      </c>
      <c r="D746" s="1" t="s">
        <v>157</v>
      </c>
      <c r="E746" s="1" t="s">
        <v>68</v>
      </c>
      <c r="F746">
        <v>86</v>
      </c>
      <c r="G746" s="1" t="s">
        <v>28</v>
      </c>
      <c r="H746">
        <v>86049</v>
      </c>
      <c r="I746">
        <v>1</v>
      </c>
    </row>
    <row r="747" spans="1:12" hidden="1" x14ac:dyDescent="0.25">
      <c r="A747">
        <v>746</v>
      </c>
      <c r="B747" s="1" t="s">
        <v>12</v>
      </c>
      <c r="C747">
        <v>1936</v>
      </c>
      <c r="D747" s="1" t="s">
        <v>157</v>
      </c>
      <c r="E747" s="1" t="s">
        <v>68</v>
      </c>
      <c r="F747">
        <v>86</v>
      </c>
      <c r="G747" s="1" t="s">
        <v>73</v>
      </c>
      <c r="H747">
        <v>86147</v>
      </c>
      <c r="I747">
        <v>1</v>
      </c>
    </row>
    <row r="748" spans="1:12" hidden="1" x14ac:dyDescent="0.25">
      <c r="A748">
        <v>747</v>
      </c>
      <c r="B748" s="1" t="s">
        <v>12</v>
      </c>
      <c r="C748">
        <v>1936</v>
      </c>
      <c r="D748" s="1" t="s">
        <v>157</v>
      </c>
      <c r="E748" s="1" t="s">
        <v>77</v>
      </c>
      <c r="F748">
        <v>90</v>
      </c>
      <c r="G748" s="1" t="s">
        <v>91</v>
      </c>
      <c r="H748">
        <v>90014</v>
      </c>
      <c r="I748">
        <v>751</v>
      </c>
      <c r="J748">
        <v>533</v>
      </c>
      <c r="K748">
        <v>246</v>
      </c>
      <c r="L748">
        <v>462</v>
      </c>
    </row>
    <row r="749" spans="1:12" hidden="1" x14ac:dyDescent="0.25">
      <c r="A749">
        <v>748</v>
      </c>
      <c r="B749" s="1" t="s">
        <v>12</v>
      </c>
      <c r="C749">
        <v>1936</v>
      </c>
      <c r="D749" s="1" t="s">
        <v>157</v>
      </c>
      <c r="E749" s="1" t="s">
        <v>77</v>
      </c>
      <c r="F749">
        <v>90</v>
      </c>
      <c r="G749" s="1" t="s">
        <v>78</v>
      </c>
      <c r="H749">
        <v>90007</v>
      </c>
      <c r="I749">
        <v>694</v>
      </c>
      <c r="J749">
        <v>544</v>
      </c>
      <c r="K749">
        <v>220</v>
      </c>
      <c r="L749">
        <v>404</v>
      </c>
    </row>
    <row r="750" spans="1:12" hidden="1" x14ac:dyDescent="0.25">
      <c r="A750">
        <v>749</v>
      </c>
      <c r="B750" s="1" t="s">
        <v>12</v>
      </c>
      <c r="C750">
        <v>1936</v>
      </c>
      <c r="D750" s="1" t="s">
        <v>157</v>
      </c>
      <c r="E750" s="1" t="s">
        <v>77</v>
      </c>
      <c r="F750">
        <v>90</v>
      </c>
      <c r="G750" s="1" t="s">
        <v>92</v>
      </c>
      <c r="H750">
        <v>90056</v>
      </c>
      <c r="I750">
        <v>21</v>
      </c>
      <c r="J750">
        <v>19</v>
      </c>
      <c r="K750">
        <v>5</v>
      </c>
      <c r="L750">
        <v>263</v>
      </c>
    </row>
    <row r="751" spans="1:12" hidden="1" x14ac:dyDescent="0.25">
      <c r="A751">
        <v>750</v>
      </c>
      <c r="B751" s="1" t="s">
        <v>12</v>
      </c>
      <c r="C751">
        <v>1936</v>
      </c>
      <c r="D751" s="1" t="s">
        <v>157</v>
      </c>
      <c r="E751" s="1" t="s">
        <v>77</v>
      </c>
      <c r="F751">
        <v>90</v>
      </c>
      <c r="G751" s="1" t="s">
        <v>95</v>
      </c>
      <c r="H751">
        <v>90035</v>
      </c>
      <c r="I751">
        <v>18</v>
      </c>
      <c r="J751">
        <v>18</v>
      </c>
      <c r="K751">
        <v>10</v>
      </c>
      <c r="L751">
        <v>556</v>
      </c>
    </row>
    <row r="752" spans="1:12" hidden="1" x14ac:dyDescent="0.25">
      <c r="A752">
        <v>751</v>
      </c>
      <c r="B752" s="1" t="s">
        <v>12</v>
      </c>
      <c r="C752">
        <v>1936</v>
      </c>
      <c r="D752" s="1" t="s">
        <v>157</v>
      </c>
      <c r="E752" s="1" t="s">
        <v>77</v>
      </c>
      <c r="F752">
        <v>90</v>
      </c>
      <c r="G752" s="1" t="s">
        <v>109</v>
      </c>
      <c r="H752">
        <v>90077</v>
      </c>
      <c r="I752">
        <v>15</v>
      </c>
      <c r="J752">
        <v>4</v>
      </c>
      <c r="K752">
        <v>1</v>
      </c>
      <c r="L752">
        <v>250</v>
      </c>
    </row>
    <row r="753" spans="1:12" hidden="1" x14ac:dyDescent="0.25">
      <c r="A753">
        <v>752</v>
      </c>
      <c r="B753" s="1" t="s">
        <v>12</v>
      </c>
      <c r="C753">
        <v>1936</v>
      </c>
      <c r="D753" s="1" t="s">
        <v>157</v>
      </c>
      <c r="E753" s="1" t="s">
        <v>77</v>
      </c>
      <c r="F753">
        <v>90</v>
      </c>
      <c r="G753" s="1" t="s">
        <v>110</v>
      </c>
      <c r="H753">
        <v>90021</v>
      </c>
      <c r="I753">
        <v>2</v>
      </c>
      <c r="J753">
        <v>2</v>
      </c>
      <c r="K753">
        <v>1</v>
      </c>
      <c r="L753">
        <v>500</v>
      </c>
    </row>
    <row r="754" spans="1:12" hidden="1" x14ac:dyDescent="0.25">
      <c r="A754">
        <v>753</v>
      </c>
      <c r="B754" s="1" t="s">
        <v>12</v>
      </c>
      <c r="C754">
        <v>1936</v>
      </c>
      <c r="D754" s="1" t="s">
        <v>157</v>
      </c>
      <c r="E754" s="1" t="s">
        <v>77</v>
      </c>
      <c r="F754">
        <v>90</v>
      </c>
      <c r="G754" s="1" t="s">
        <v>93</v>
      </c>
      <c r="H754">
        <v>90070</v>
      </c>
      <c r="I754">
        <v>2</v>
      </c>
      <c r="J754">
        <v>2</v>
      </c>
      <c r="K754">
        <v>2</v>
      </c>
      <c r="L754">
        <v>1000</v>
      </c>
    </row>
    <row r="755" spans="1:12" hidden="1" x14ac:dyDescent="0.25">
      <c r="A755">
        <v>754</v>
      </c>
      <c r="B755" s="1" t="s">
        <v>12</v>
      </c>
      <c r="C755">
        <v>1936</v>
      </c>
      <c r="D755" s="1" t="s">
        <v>157</v>
      </c>
      <c r="E755" s="1" t="s">
        <v>77</v>
      </c>
      <c r="F755">
        <v>90</v>
      </c>
      <c r="G755" s="1" t="s">
        <v>28</v>
      </c>
      <c r="H755">
        <v>90084</v>
      </c>
      <c r="I755">
        <v>1</v>
      </c>
    </row>
    <row r="756" spans="1:12" hidden="1" x14ac:dyDescent="0.25">
      <c r="A756">
        <v>755</v>
      </c>
      <c r="B756" s="1" t="s">
        <v>12</v>
      </c>
      <c r="C756">
        <v>1936</v>
      </c>
      <c r="D756" s="1" t="s">
        <v>157</v>
      </c>
      <c r="E756" s="1" t="s">
        <v>77</v>
      </c>
      <c r="F756">
        <v>90</v>
      </c>
      <c r="G756" s="1" t="s">
        <v>90</v>
      </c>
      <c r="H756">
        <v>90112</v>
      </c>
      <c r="I756">
        <v>1</v>
      </c>
      <c r="J756">
        <v>1</v>
      </c>
      <c r="K756">
        <v>1</v>
      </c>
      <c r="L756">
        <v>1000</v>
      </c>
    </row>
    <row r="757" spans="1:12" hidden="1" x14ac:dyDescent="0.25">
      <c r="A757">
        <v>756</v>
      </c>
      <c r="B757" s="1" t="s">
        <v>12</v>
      </c>
      <c r="C757">
        <v>1937</v>
      </c>
      <c r="D757" s="1" t="s">
        <v>181</v>
      </c>
      <c r="E757" s="1" t="s">
        <v>22</v>
      </c>
      <c r="F757">
        <v>14</v>
      </c>
      <c r="G757" s="1" t="s">
        <v>24</v>
      </c>
      <c r="H757">
        <v>14119</v>
      </c>
      <c r="I757">
        <v>27100</v>
      </c>
      <c r="J757">
        <v>19000</v>
      </c>
      <c r="K757">
        <v>9500</v>
      </c>
      <c r="L757">
        <v>500</v>
      </c>
    </row>
    <row r="758" spans="1:12" hidden="1" x14ac:dyDescent="0.25">
      <c r="A758">
        <v>757</v>
      </c>
      <c r="B758" s="1" t="s">
        <v>12</v>
      </c>
      <c r="C758">
        <v>1937</v>
      </c>
      <c r="D758" s="1" t="s">
        <v>181</v>
      </c>
      <c r="E758" s="1" t="s">
        <v>22</v>
      </c>
      <c r="F758">
        <v>14</v>
      </c>
      <c r="G758" s="1" t="s">
        <v>26</v>
      </c>
      <c r="H758">
        <v>14161</v>
      </c>
      <c r="I758">
        <v>22870</v>
      </c>
      <c r="J758">
        <v>16000</v>
      </c>
      <c r="K758">
        <v>8000</v>
      </c>
      <c r="L758">
        <v>500</v>
      </c>
    </row>
    <row r="759" spans="1:12" hidden="1" x14ac:dyDescent="0.25">
      <c r="A759">
        <v>758</v>
      </c>
      <c r="B759" s="1" t="s">
        <v>12</v>
      </c>
      <c r="C759">
        <v>1937</v>
      </c>
      <c r="D759" s="1" t="s">
        <v>181</v>
      </c>
      <c r="E759" s="1" t="s">
        <v>22</v>
      </c>
      <c r="F759">
        <v>14</v>
      </c>
      <c r="G759" s="1" t="s">
        <v>23</v>
      </c>
      <c r="H759">
        <v>14147</v>
      </c>
      <c r="I759">
        <v>14600</v>
      </c>
      <c r="J759">
        <v>8800</v>
      </c>
      <c r="K759">
        <v>3520</v>
      </c>
      <c r="L759">
        <v>400</v>
      </c>
    </row>
    <row r="760" spans="1:12" hidden="1" x14ac:dyDescent="0.25">
      <c r="A760">
        <v>759</v>
      </c>
      <c r="B760" s="1" t="s">
        <v>12</v>
      </c>
      <c r="C760">
        <v>1937</v>
      </c>
      <c r="D760" s="1" t="s">
        <v>181</v>
      </c>
      <c r="E760" s="1" t="s">
        <v>22</v>
      </c>
      <c r="F760">
        <v>14</v>
      </c>
      <c r="G760" s="1" t="s">
        <v>97</v>
      </c>
      <c r="H760">
        <v>14007</v>
      </c>
      <c r="I760">
        <v>8100</v>
      </c>
      <c r="J760">
        <v>5700</v>
      </c>
      <c r="K760">
        <v>2850</v>
      </c>
      <c r="L760">
        <v>500</v>
      </c>
    </row>
    <row r="761" spans="1:12" hidden="1" x14ac:dyDescent="0.25">
      <c r="A761">
        <v>760</v>
      </c>
      <c r="B761" s="1" t="s">
        <v>12</v>
      </c>
      <c r="C761">
        <v>1937</v>
      </c>
      <c r="D761" s="1" t="s">
        <v>181</v>
      </c>
      <c r="E761" s="1" t="s">
        <v>22</v>
      </c>
      <c r="F761">
        <v>14</v>
      </c>
      <c r="G761" s="1" t="s">
        <v>25</v>
      </c>
      <c r="H761">
        <v>14105</v>
      </c>
      <c r="I761">
        <v>6500</v>
      </c>
      <c r="J761">
        <v>6500</v>
      </c>
      <c r="K761">
        <v>7800</v>
      </c>
      <c r="L761">
        <v>1200</v>
      </c>
    </row>
    <row r="762" spans="1:12" hidden="1" x14ac:dyDescent="0.25">
      <c r="A762">
        <v>761</v>
      </c>
      <c r="B762" s="1" t="s">
        <v>12</v>
      </c>
      <c r="C762">
        <v>1937</v>
      </c>
      <c r="D762" s="1" t="s">
        <v>181</v>
      </c>
      <c r="E762" s="1" t="s">
        <v>22</v>
      </c>
      <c r="F762">
        <v>14</v>
      </c>
      <c r="G762" s="1" t="s">
        <v>114</v>
      </c>
      <c r="H762">
        <v>14168</v>
      </c>
      <c r="I762">
        <v>3500</v>
      </c>
      <c r="J762">
        <v>3500</v>
      </c>
      <c r="K762">
        <v>3850</v>
      </c>
      <c r="L762">
        <v>1100</v>
      </c>
    </row>
    <row r="763" spans="1:12" hidden="1" x14ac:dyDescent="0.25">
      <c r="A763">
        <v>762</v>
      </c>
      <c r="B763" s="1" t="s">
        <v>12</v>
      </c>
      <c r="C763">
        <v>1937</v>
      </c>
      <c r="D763" s="1" t="s">
        <v>181</v>
      </c>
      <c r="E763" s="1" t="s">
        <v>22</v>
      </c>
      <c r="F763">
        <v>14</v>
      </c>
      <c r="G763" s="1" t="s">
        <v>27</v>
      </c>
      <c r="H763">
        <v>14021</v>
      </c>
      <c r="I763">
        <v>3000</v>
      </c>
      <c r="J763">
        <v>3000</v>
      </c>
      <c r="K763">
        <v>3600</v>
      </c>
      <c r="L763">
        <v>1200</v>
      </c>
    </row>
    <row r="764" spans="1:12" hidden="1" x14ac:dyDescent="0.25">
      <c r="A764">
        <v>763</v>
      </c>
      <c r="B764" s="1" t="s">
        <v>12</v>
      </c>
      <c r="C764">
        <v>1937</v>
      </c>
      <c r="D764" s="1" t="s">
        <v>181</v>
      </c>
      <c r="E764" s="1" t="s">
        <v>22</v>
      </c>
      <c r="F764">
        <v>14</v>
      </c>
      <c r="G764" s="1" t="s">
        <v>170</v>
      </c>
      <c r="H764">
        <v>14049</v>
      </c>
      <c r="I764">
        <v>1000</v>
      </c>
      <c r="J764">
        <v>1000</v>
      </c>
      <c r="K764">
        <v>1000</v>
      </c>
      <c r="L764">
        <v>1000</v>
      </c>
    </row>
    <row r="765" spans="1:12" hidden="1" x14ac:dyDescent="0.25">
      <c r="A765">
        <v>764</v>
      </c>
      <c r="B765" s="1" t="s">
        <v>12</v>
      </c>
      <c r="C765">
        <v>1937</v>
      </c>
      <c r="D765" s="1" t="s">
        <v>181</v>
      </c>
      <c r="E765" s="1" t="s">
        <v>22</v>
      </c>
      <c r="F765">
        <v>14</v>
      </c>
      <c r="G765" s="1" t="s">
        <v>172</v>
      </c>
      <c r="H765">
        <v>14091</v>
      </c>
      <c r="I765">
        <v>1000</v>
      </c>
      <c r="J765">
        <v>1000</v>
      </c>
      <c r="K765">
        <v>1100</v>
      </c>
      <c r="L765">
        <v>1100</v>
      </c>
    </row>
    <row r="766" spans="1:12" hidden="1" x14ac:dyDescent="0.25">
      <c r="A766">
        <v>765</v>
      </c>
      <c r="B766" s="1" t="s">
        <v>12</v>
      </c>
      <c r="C766">
        <v>1937</v>
      </c>
      <c r="D766" s="1" t="s">
        <v>181</v>
      </c>
      <c r="E766" s="1" t="s">
        <v>22</v>
      </c>
      <c r="F766">
        <v>14</v>
      </c>
      <c r="G766" s="1" t="s">
        <v>28</v>
      </c>
      <c r="H766">
        <v>14014</v>
      </c>
      <c r="I766">
        <v>900</v>
      </c>
      <c r="J766">
        <v>600</v>
      </c>
      <c r="K766">
        <v>300</v>
      </c>
      <c r="L766">
        <v>500</v>
      </c>
    </row>
    <row r="767" spans="1:12" hidden="1" x14ac:dyDescent="0.25">
      <c r="A767">
        <v>766</v>
      </c>
      <c r="B767" s="1" t="s">
        <v>12</v>
      </c>
      <c r="C767">
        <v>1937</v>
      </c>
      <c r="D767" s="1" t="s">
        <v>181</v>
      </c>
      <c r="E767" s="1" t="s">
        <v>22</v>
      </c>
      <c r="F767">
        <v>14</v>
      </c>
      <c r="G767" s="1" t="s">
        <v>67</v>
      </c>
      <c r="H767">
        <v>14140</v>
      </c>
      <c r="I767">
        <v>900</v>
      </c>
      <c r="J767">
        <v>830</v>
      </c>
      <c r="K767">
        <v>705</v>
      </c>
      <c r="L767">
        <v>850</v>
      </c>
    </row>
    <row r="768" spans="1:12" hidden="1" x14ac:dyDescent="0.25">
      <c r="A768">
        <v>767</v>
      </c>
      <c r="B768" s="1" t="s">
        <v>12</v>
      </c>
      <c r="C768">
        <v>1937</v>
      </c>
      <c r="D768" s="1" t="s">
        <v>181</v>
      </c>
      <c r="E768" s="1" t="s">
        <v>22</v>
      </c>
      <c r="F768">
        <v>14</v>
      </c>
      <c r="G768" s="1" t="s">
        <v>62</v>
      </c>
      <c r="H768">
        <v>14133</v>
      </c>
      <c r="I768">
        <v>320</v>
      </c>
    </row>
    <row r="769" spans="1:12" hidden="1" x14ac:dyDescent="0.25">
      <c r="A769">
        <v>768</v>
      </c>
      <c r="B769" s="1" t="s">
        <v>12</v>
      </c>
      <c r="C769">
        <v>1937</v>
      </c>
      <c r="D769" s="1" t="s">
        <v>181</v>
      </c>
      <c r="E769" s="1" t="s">
        <v>22</v>
      </c>
      <c r="F769">
        <v>14</v>
      </c>
      <c r="G769" s="1" t="s">
        <v>29</v>
      </c>
      <c r="H769">
        <v>14098</v>
      </c>
      <c r="I769">
        <v>220</v>
      </c>
      <c r="J769">
        <v>110</v>
      </c>
      <c r="K769">
        <v>66</v>
      </c>
      <c r="L769">
        <v>600</v>
      </c>
    </row>
    <row r="770" spans="1:12" hidden="1" x14ac:dyDescent="0.25">
      <c r="A770">
        <v>769</v>
      </c>
      <c r="B770" s="1" t="s">
        <v>12</v>
      </c>
      <c r="C770">
        <v>1937</v>
      </c>
      <c r="D770" s="1" t="s">
        <v>181</v>
      </c>
      <c r="E770" s="1" t="s">
        <v>22</v>
      </c>
      <c r="F770">
        <v>14</v>
      </c>
      <c r="G770" s="1" t="s">
        <v>143</v>
      </c>
      <c r="H770">
        <v>14056</v>
      </c>
      <c r="I770">
        <v>100</v>
      </c>
      <c r="J770">
        <v>50</v>
      </c>
      <c r="K770">
        <v>35</v>
      </c>
      <c r="L770">
        <v>700</v>
      </c>
    </row>
    <row r="771" spans="1:12" hidden="1" x14ac:dyDescent="0.25">
      <c r="A771">
        <v>770</v>
      </c>
      <c r="B771" s="1" t="s">
        <v>12</v>
      </c>
      <c r="C771">
        <v>1937</v>
      </c>
      <c r="D771" s="1" t="s">
        <v>181</v>
      </c>
      <c r="E771" s="1" t="s">
        <v>22</v>
      </c>
      <c r="F771">
        <v>14</v>
      </c>
      <c r="G771" s="1" t="s">
        <v>129</v>
      </c>
      <c r="H771">
        <v>14035</v>
      </c>
      <c r="I771">
        <v>50</v>
      </c>
    </row>
    <row r="772" spans="1:12" hidden="1" x14ac:dyDescent="0.25">
      <c r="A772">
        <v>771</v>
      </c>
      <c r="B772" s="1" t="s">
        <v>12</v>
      </c>
      <c r="C772">
        <v>1937</v>
      </c>
      <c r="D772" s="1" t="s">
        <v>181</v>
      </c>
      <c r="E772" s="1" t="s">
        <v>30</v>
      </c>
      <c r="F772">
        <v>18</v>
      </c>
      <c r="G772" s="1" t="s">
        <v>35</v>
      </c>
      <c r="H772">
        <v>18049</v>
      </c>
      <c r="I772">
        <v>653</v>
      </c>
      <c r="J772">
        <v>602</v>
      </c>
      <c r="K772">
        <v>602</v>
      </c>
      <c r="L772">
        <v>1000</v>
      </c>
    </row>
    <row r="773" spans="1:12" hidden="1" x14ac:dyDescent="0.25">
      <c r="A773">
        <v>772</v>
      </c>
      <c r="B773" s="1" t="s">
        <v>12</v>
      </c>
      <c r="C773">
        <v>1937</v>
      </c>
      <c r="D773" s="1" t="s">
        <v>181</v>
      </c>
      <c r="E773" s="1" t="s">
        <v>30</v>
      </c>
      <c r="F773">
        <v>18</v>
      </c>
      <c r="G773" s="1" t="s">
        <v>32</v>
      </c>
      <c r="H773">
        <v>18112</v>
      </c>
      <c r="I773">
        <v>560</v>
      </c>
      <c r="J773">
        <v>560</v>
      </c>
      <c r="K773">
        <v>322</v>
      </c>
      <c r="L773">
        <v>575</v>
      </c>
    </row>
    <row r="774" spans="1:12" hidden="1" x14ac:dyDescent="0.25">
      <c r="A774">
        <v>773</v>
      </c>
      <c r="B774" s="1" t="s">
        <v>12</v>
      </c>
      <c r="C774">
        <v>1937</v>
      </c>
      <c r="D774" s="1" t="s">
        <v>181</v>
      </c>
      <c r="E774" s="1" t="s">
        <v>30</v>
      </c>
      <c r="F774">
        <v>18</v>
      </c>
      <c r="G774" s="1" t="s">
        <v>41</v>
      </c>
      <c r="H774">
        <v>18140</v>
      </c>
      <c r="I774">
        <v>317</v>
      </c>
      <c r="J774">
        <v>290</v>
      </c>
      <c r="K774">
        <v>290</v>
      </c>
      <c r="L774">
        <v>1000</v>
      </c>
    </row>
    <row r="775" spans="1:12" hidden="1" x14ac:dyDescent="0.25">
      <c r="A775">
        <v>774</v>
      </c>
      <c r="B775" s="1" t="s">
        <v>12</v>
      </c>
      <c r="C775">
        <v>1937</v>
      </c>
      <c r="D775" s="1" t="s">
        <v>181</v>
      </c>
      <c r="E775" s="1" t="s">
        <v>30</v>
      </c>
      <c r="F775">
        <v>18</v>
      </c>
      <c r="G775" s="1" t="s">
        <v>34</v>
      </c>
      <c r="H775">
        <v>18042</v>
      </c>
      <c r="I775">
        <v>200</v>
      </c>
      <c r="J775">
        <v>195</v>
      </c>
      <c r="K775">
        <v>195</v>
      </c>
      <c r="L775">
        <v>1000</v>
      </c>
    </row>
    <row r="776" spans="1:12" hidden="1" x14ac:dyDescent="0.25">
      <c r="A776">
        <v>775</v>
      </c>
      <c r="B776" s="1" t="s">
        <v>12</v>
      </c>
      <c r="C776">
        <v>1937</v>
      </c>
      <c r="D776" s="1" t="s">
        <v>181</v>
      </c>
      <c r="E776" s="1" t="s">
        <v>30</v>
      </c>
      <c r="F776">
        <v>18</v>
      </c>
      <c r="G776" s="1" t="s">
        <v>33</v>
      </c>
      <c r="H776">
        <v>18091</v>
      </c>
      <c r="I776">
        <v>172</v>
      </c>
      <c r="J776">
        <v>100</v>
      </c>
      <c r="K776">
        <v>100</v>
      </c>
      <c r="L776">
        <v>1000</v>
      </c>
    </row>
    <row r="777" spans="1:12" hidden="1" x14ac:dyDescent="0.25">
      <c r="A777">
        <v>776</v>
      </c>
      <c r="B777" s="1" t="s">
        <v>12</v>
      </c>
      <c r="C777">
        <v>1937</v>
      </c>
      <c r="D777" s="1" t="s">
        <v>181</v>
      </c>
      <c r="E777" s="1" t="s">
        <v>30</v>
      </c>
      <c r="F777">
        <v>18</v>
      </c>
      <c r="G777" s="1" t="s">
        <v>38</v>
      </c>
      <c r="H777">
        <v>18007</v>
      </c>
      <c r="I777">
        <v>153</v>
      </c>
      <c r="J777">
        <v>138</v>
      </c>
      <c r="K777">
        <v>138</v>
      </c>
      <c r="L777">
        <v>1000</v>
      </c>
    </row>
    <row r="778" spans="1:12" hidden="1" x14ac:dyDescent="0.25">
      <c r="A778">
        <v>777</v>
      </c>
      <c r="B778" s="1" t="s">
        <v>12</v>
      </c>
      <c r="C778">
        <v>1937</v>
      </c>
      <c r="D778" s="1" t="s">
        <v>181</v>
      </c>
      <c r="E778" s="1" t="s">
        <v>30</v>
      </c>
      <c r="F778">
        <v>18</v>
      </c>
      <c r="G778" s="1" t="s">
        <v>105</v>
      </c>
      <c r="H778">
        <v>18105</v>
      </c>
      <c r="I778">
        <v>129</v>
      </c>
      <c r="J778">
        <v>129</v>
      </c>
      <c r="K778">
        <v>129</v>
      </c>
      <c r="L778">
        <v>1000</v>
      </c>
    </row>
    <row r="779" spans="1:12" hidden="1" x14ac:dyDescent="0.25">
      <c r="A779">
        <v>778</v>
      </c>
      <c r="B779" s="1" t="s">
        <v>12</v>
      </c>
      <c r="C779">
        <v>1937</v>
      </c>
      <c r="D779" s="1" t="s">
        <v>181</v>
      </c>
      <c r="E779" s="1" t="s">
        <v>30</v>
      </c>
      <c r="F779">
        <v>18</v>
      </c>
      <c r="G779" s="1" t="s">
        <v>98</v>
      </c>
      <c r="H779">
        <v>18098</v>
      </c>
      <c r="I779">
        <v>100</v>
      </c>
      <c r="J779">
        <v>90</v>
      </c>
      <c r="K779">
        <v>90</v>
      </c>
      <c r="L779">
        <v>1000</v>
      </c>
    </row>
    <row r="780" spans="1:12" hidden="1" x14ac:dyDescent="0.25">
      <c r="A780">
        <v>779</v>
      </c>
      <c r="B780" s="1" t="s">
        <v>12</v>
      </c>
      <c r="C780">
        <v>1937</v>
      </c>
      <c r="D780" s="1" t="s">
        <v>181</v>
      </c>
      <c r="E780" s="1" t="s">
        <v>30</v>
      </c>
      <c r="F780">
        <v>18</v>
      </c>
      <c r="G780" s="1" t="s">
        <v>63</v>
      </c>
      <c r="H780">
        <v>18028</v>
      </c>
      <c r="I780">
        <v>76</v>
      </c>
      <c r="J780">
        <v>70</v>
      </c>
      <c r="K780">
        <v>70</v>
      </c>
      <c r="L780">
        <v>1000</v>
      </c>
    </row>
    <row r="781" spans="1:12" hidden="1" x14ac:dyDescent="0.25">
      <c r="A781">
        <v>780</v>
      </c>
      <c r="B781" s="1" t="s">
        <v>12</v>
      </c>
      <c r="C781">
        <v>1937</v>
      </c>
      <c r="D781" s="1" t="s">
        <v>181</v>
      </c>
      <c r="E781" s="1" t="s">
        <v>30</v>
      </c>
      <c r="F781">
        <v>18</v>
      </c>
      <c r="G781" s="1" t="s">
        <v>40</v>
      </c>
      <c r="H781">
        <v>18126</v>
      </c>
      <c r="I781">
        <v>72</v>
      </c>
      <c r="J781">
        <v>61</v>
      </c>
      <c r="K781">
        <v>61</v>
      </c>
      <c r="L781">
        <v>1000</v>
      </c>
    </row>
    <row r="782" spans="1:12" hidden="1" x14ac:dyDescent="0.25">
      <c r="A782">
        <v>781</v>
      </c>
      <c r="B782" s="1" t="s">
        <v>12</v>
      </c>
      <c r="C782">
        <v>1937</v>
      </c>
      <c r="D782" s="1" t="s">
        <v>181</v>
      </c>
      <c r="E782" s="1" t="s">
        <v>30</v>
      </c>
      <c r="F782">
        <v>18</v>
      </c>
      <c r="G782" s="1" t="s">
        <v>28</v>
      </c>
      <c r="H782">
        <v>18021</v>
      </c>
      <c r="I782">
        <v>71</v>
      </c>
      <c r="J782">
        <v>41</v>
      </c>
      <c r="K782">
        <v>41</v>
      </c>
      <c r="L782">
        <v>1000</v>
      </c>
    </row>
    <row r="783" spans="1:12" hidden="1" x14ac:dyDescent="0.25">
      <c r="A783">
        <v>782</v>
      </c>
      <c r="B783" s="1" t="s">
        <v>12</v>
      </c>
      <c r="C783">
        <v>1937</v>
      </c>
      <c r="D783" s="1" t="s">
        <v>181</v>
      </c>
      <c r="E783" s="1" t="s">
        <v>30</v>
      </c>
      <c r="F783">
        <v>18</v>
      </c>
      <c r="G783" s="1" t="s">
        <v>104</v>
      </c>
      <c r="H783">
        <v>18119</v>
      </c>
      <c r="I783">
        <v>62</v>
      </c>
      <c r="J783">
        <v>62</v>
      </c>
      <c r="K783">
        <v>29</v>
      </c>
      <c r="L783">
        <v>468</v>
      </c>
    </row>
    <row r="784" spans="1:12" hidden="1" x14ac:dyDescent="0.25">
      <c r="A784">
        <v>783</v>
      </c>
      <c r="B784" s="1" t="s">
        <v>12</v>
      </c>
      <c r="C784">
        <v>1937</v>
      </c>
      <c r="D784" s="1" t="s">
        <v>181</v>
      </c>
      <c r="E784" s="1" t="s">
        <v>30</v>
      </c>
      <c r="F784">
        <v>18</v>
      </c>
      <c r="G784" s="1" t="s">
        <v>37</v>
      </c>
      <c r="H784">
        <v>18147</v>
      </c>
      <c r="I784">
        <v>60</v>
      </c>
      <c r="J784">
        <v>60</v>
      </c>
      <c r="K784">
        <v>28</v>
      </c>
      <c r="L784">
        <v>467</v>
      </c>
    </row>
    <row r="785" spans="1:12" hidden="1" x14ac:dyDescent="0.25">
      <c r="A785">
        <v>784</v>
      </c>
      <c r="B785" s="1" t="s">
        <v>12</v>
      </c>
      <c r="C785">
        <v>1937</v>
      </c>
      <c r="D785" s="1" t="s">
        <v>181</v>
      </c>
      <c r="E785" s="1" t="s">
        <v>30</v>
      </c>
      <c r="F785">
        <v>18</v>
      </c>
      <c r="G785" s="1" t="s">
        <v>103</v>
      </c>
      <c r="H785">
        <v>18154</v>
      </c>
      <c r="I785">
        <v>47</v>
      </c>
      <c r="J785">
        <v>40</v>
      </c>
      <c r="K785">
        <v>40</v>
      </c>
      <c r="L785">
        <v>1000</v>
      </c>
    </row>
    <row r="786" spans="1:12" hidden="1" x14ac:dyDescent="0.25">
      <c r="A786">
        <v>785</v>
      </c>
      <c r="B786" s="1" t="s">
        <v>12</v>
      </c>
      <c r="C786">
        <v>1937</v>
      </c>
      <c r="D786" s="1" t="s">
        <v>181</v>
      </c>
      <c r="E786" s="1" t="s">
        <v>30</v>
      </c>
      <c r="F786">
        <v>18</v>
      </c>
      <c r="G786" s="1" t="s">
        <v>36</v>
      </c>
      <c r="H786">
        <v>18133</v>
      </c>
      <c r="I786">
        <v>43</v>
      </c>
      <c r="J786">
        <v>40</v>
      </c>
      <c r="K786">
        <v>40</v>
      </c>
      <c r="L786">
        <v>1000</v>
      </c>
    </row>
    <row r="787" spans="1:12" hidden="1" x14ac:dyDescent="0.25">
      <c r="A787">
        <v>786</v>
      </c>
      <c r="B787" s="1" t="s">
        <v>12</v>
      </c>
      <c r="C787">
        <v>1937</v>
      </c>
      <c r="D787" s="1" t="s">
        <v>181</v>
      </c>
      <c r="E787" s="1" t="s">
        <v>30</v>
      </c>
      <c r="F787">
        <v>18</v>
      </c>
      <c r="G787" s="1" t="s">
        <v>100</v>
      </c>
      <c r="H787">
        <v>18077</v>
      </c>
      <c r="I787">
        <v>41</v>
      </c>
      <c r="J787">
        <v>41</v>
      </c>
      <c r="K787">
        <v>41</v>
      </c>
      <c r="L787">
        <v>1000</v>
      </c>
    </row>
    <row r="788" spans="1:12" hidden="1" x14ac:dyDescent="0.25">
      <c r="A788">
        <v>787</v>
      </c>
      <c r="B788" s="1" t="s">
        <v>12</v>
      </c>
      <c r="C788">
        <v>1937</v>
      </c>
      <c r="D788" s="1" t="s">
        <v>181</v>
      </c>
      <c r="E788" s="1" t="s">
        <v>30</v>
      </c>
      <c r="F788">
        <v>18</v>
      </c>
      <c r="G788" s="1" t="s">
        <v>39</v>
      </c>
      <c r="H788">
        <v>18084</v>
      </c>
      <c r="I788">
        <v>40</v>
      </c>
      <c r="J788">
        <v>40</v>
      </c>
      <c r="K788">
        <v>20</v>
      </c>
      <c r="L788">
        <v>500</v>
      </c>
    </row>
    <row r="789" spans="1:12" hidden="1" x14ac:dyDescent="0.25">
      <c r="A789">
        <v>788</v>
      </c>
      <c r="B789" s="1" t="s">
        <v>12</v>
      </c>
      <c r="C789">
        <v>1937</v>
      </c>
      <c r="D789" s="1" t="s">
        <v>181</v>
      </c>
      <c r="E789" s="1" t="s">
        <v>30</v>
      </c>
      <c r="F789">
        <v>18</v>
      </c>
      <c r="G789" s="1" t="s">
        <v>44</v>
      </c>
      <c r="H789">
        <v>18168</v>
      </c>
      <c r="I789">
        <v>40</v>
      </c>
      <c r="J789">
        <v>40</v>
      </c>
      <c r="K789">
        <v>20</v>
      </c>
      <c r="L789">
        <v>500</v>
      </c>
    </row>
    <row r="790" spans="1:12" hidden="1" x14ac:dyDescent="0.25">
      <c r="A790">
        <v>789</v>
      </c>
      <c r="B790" s="1" t="s">
        <v>12</v>
      </c>
      <c r="C790">
        <v>1937</v>
      </c>
      <c r="D790" s="1" t="s">
        <v>181</v>
      </c>
      <c r="E790" s="1" t="s">
        <v>30</v>
      </c>
      <c r="F790">
        <v>18</v>
      </c>
      <c r="G790" s="1" t="s">
        <v>101</v>
      </c>
      <c r="H790">
        <v>18161</v>
      </c>
      <c r="I790">
        <v>37</v>
      </c>
      <c r="J790">
        <v>30</v>
      </c>
      <c r="K790">
        <v>30</v>
      </c>
      <c r="L790">
        <v>1000</v>
      </c>
    </row>
    <row r="791" spans="1:12" hidden="1" x14ac:dyDescent="0.25">
      <c r="A791">
        <v>790</v>
      </c>
      <c r="B791" s="1" t="s">
        <v>12</v>
      </c>
      <c r="C791">
        <v>1937</v>
      </c>
      <c r="D791" s="1" t="s">
        <v>181</v>
      </c>
      <c r="E791" s="1" t="s">
        <v>30</v>
      </c>
      <c r="F791">
        <v>18</v>
      </c>
      <c r="G791" s="1" t="s">
        <v>102</v>
      </c>
      <c r="H791">
        <v>18014</v>
      </c>
      <c r="I791">
        <v>30</v>
      </c>
      <c r="J791">
        <v>25</v>
      </c>
      <c r="K791">
        <v>25</v>
      </c>
      <c r="L791">
        <v>1000</v>
      </c>
    </row>
    <row r="792" spans="1:12" hidden="1" x14ac:dyDescent="0.25">
      <c r="A792">
        <v>791</v>
      </c>
      <c r="B792" s="1" t="s">
        <v>12</v>
      </c>
      <c r="C792">
        <v>1937</v>
      </c>
      <c r="D792" s="1" t="s">
        <v>181</v>
      </c>
      <c r="E792" s="1" t="s">
        <v>30</v>
      </c>
      <c r="F792">
        <v>18</v>
      </c>
      <c r="G792" s="1" t="s">
        <v>43</v>
      </c>
      <c r="H792">
        <v>18070</v>
      </c>
      <c r="I792">
        <v>30</v>
      </c>
      <c r="J792">
        <v>25</v>
      </c>
      <c r="K792">
        <v>25</v>
      </c>
      <c r="L792">
        <v>1000</v>
      </c>
    </row>
    <row r="793" spans="1:12" hidden="1" x14ac:dyDescent="0.25">
      <c r="A793">
        <v>792</v>
      </c>
      <c r="B793" s="1" t="s">
        <v>12</v>
      </c>
      <c r="C793">
        <v>1937</v>
      </c>
      <c r="D793" s="1" t="s">
        <v>181</v>
      </c>
      <c r="E793" s="1" t="s">
        <v>30</v>
      </c>
      <c r="F793">
        <v>18</v>
      </c>
      <c r="G793" s="1" t="s">
        <v>99</v>
      </c>
      <c r="H793">
        <v>18063</v>
      </c>
      <c r="I793">
        <v>15</v>
      </c>
      <c r="J793">
        <v>12</v>
      </c>
      <c r="K793">
        <v>12</v>
      </c>
      <c r="L793">
        <v>1000</v>
      </c>
    </row>
    <row r="794" spans="1:12" hidden="1" x14ac:dyDescent="0.25">
      <c r="A794">
        <v>793</v>
      </c>
      <c r="B794" s="1" t="s">
        <v>12</v>
      </c>
      <c r="C794">
        <v>1937</v>
      </c>
      <c r="D794" s="1" t="s">
        <v>181</v>
      </c>
      <c r="E794" s="1" t="s">
        <v>30</v>
      </c>
      <c r="F794">
        <v>18</v>
      </c>
      <c r="G794" s="1" t="s">
        <v>42</v>
      </c>
      <c r="H794">
        <v>18035</v>
      </c>
      <c r="I794">
        <v>4</v>
      </c>
      <c r="J794">
        <v>3</v>
      </c>
      <c r="K794">
        <v>3</v>
      </c>
      <c r="L794">
        <v>1000</v>
      </c>
    </row>
    <row r="795" spans="1:12" hidden="1" x14ac:dyDescent="0.25">
      <c r="A795">
        <v>794</v>
      </c>
      <c r="B795" s="1" t="s">
        <v>12</v>
      </c>
      <c r="C795">
        <v>1937</v>
      </c>
      <c r="D795" s="1" t="s">
        <v>181</v>
      </c>
      <c r="E795" s="1" t="s">
        <v>45</v>
      </c>
      <c r="F795">
        <v>30</v>
      </c>
      <c r="G795" s="1" t="s">
        <v>46</v>
      </c>
      <c r="H795">
        <v>30028</v>
      </c>
      <c r="I795">
        <v>6000</v>
      </c>
      <c r="J795">
        <v>5000</v>
      </c>
      <c r="K795">
        <v>4500</v>
      </c>
      <c r="L795">
        <v>900</v>
      </c>
    </row>
    <row r="796" spans="1:12" hidden="1" x14ac:dyDescent="0.25">
      <c r="A796">
        <v>795</v>
      </c>
      <c r="B796" s="1" t="s">
        <v>12</v>
      </c>
      <c r="C796">
        <v>1937</v>
      </c>
      <c r="D796" s="1" t="s">
        <v>181</v>
      </c>
      <c r="E796" s="1" t="s">
        <v>45</v>
      </c>
      <c r="F796">
        <v>30</v>
      </c>
      <c r="G796" s="1" t="s">
        <v>47</v>
      </c>
      <c r="H796">
        <v>30015</v>
      </c>
      <c r="I796">
        <v>5000</v>
      </c>
      <c r="J796">
        <v>3500</v>
      </c>
      <c r="K796">
        <v>3500</v>
      </c>
      <c r="L796">
        <v>1000</v>
      </c>
    </row>
    <row r="797" spans="1:12" hidden="1" x14ac:dyDescent="0.25">
      <c r="A797">
        <v>796</v>
      </c>
      <c r="B797" s="1" t="s">
        <v>12</v>
      </c>
      <c r="C797">
        <v>1937</v>
      </c>
      <c r="D797" s="1" t="s">
        <v>181</v>
      </c>
      <c r="E797" s="1" t="s">
        <v>45</v>
      </c>
      <c r="F797">
        <v>30</v>
      </c>
      <c r="G797" s="1" t="s">
        <v>27</v>
      </c>
      <c r="H797">
        <v>30008</v>
      </c>
      <c r="I797">
        <v>1000</v>
      </c>
      <c r="J797">
        <v>700</v>
      </c>
      <c r="K797">
        <v>630</v>
      </c>
      <c r="L797">
        <v>900</v>
      </c>
    </row>
    <row r="798" spans="1:12" hidden="1" x14ac:dyDescent="0.25">
      <c r="A798">
        <v>797</v>
      </c>
      <c r="B798" s="1" t="s">
        <v>12</v>
      </c>
      <c r="C798">
        <v>1937</v>
      </c>
      <c r="D798" s="1" t="s">
        <v>181</v>
      </c>
      <c r="E798" s="1" t="s">
        <v>138</v>
      </c>
      <c r="F798">
        <v>50</v>
      </c>
      <c r="G798" s="1" t="s">
        <v>139</v>
      </c>
      <c r="H798">
        <v>50105</v>
      </c>
      <c r="I798">
        <v>30</v>
      </c>
      <c r="J798">
        <v>20</v>
      </c>
      <c r="K798">
        <v>12</v>
      </c>
      <c r="L798">
        <v>600</v>
      </c>
    </row>
    <row r="799" spans="1:12" hidden="1" x14ac:dyDescent="0.25">
      <c r="A799">
        <v>798</v>
      </c>
      <c r="B799" s="1" t="s">
        <v>12</v>
      </c>
      <c r="C799">
        <v>1937</v>
      </c>
      <c r="D799" s="1" t="s">
        <v>181</v>
      </c>
      <c r="E799" s="1" t="s">
        <v>138</v>
      </c>
      <c r="F799">
        <v>50</v>
      </c>
      <c r="G799" s="1" t="s">
        <v>83</v>
      </c>
      <c r="H799">
        <v>50112</v>
      </c>
      <c r="I799">
        <v>7</v>
      </c>
      <c r="J799">
        <v>5</v>
      </c>
      <c r="K799">
        <v>3</v>
      </c>
      <c r="L799">
        <v>600</v>
      </c>
    </row>
    <row r="800" spans="1:12" hidden="1" x14ac:dyDescent="0.25">
      <c r="A800">
        <v>799</v>
      </c>
      <c r="B800" s="1" t="s">
        <v>12</v>
      </c>
      <c r="C800">
        <v>1937</v>
      </c>
      <c r="D800" s="1" t="s">
        <v>181</v>
      </c>
      <c r="E800" s="1" t="s">
        <v>138</v>
      </c>
      <c r="F800">
        <v>50</v>
      </c>
      <c r="G800" s="1" t="s">
        <v>28</v>
      </c>
      <c r="H800">
        <v>50007</v>
      </c>
      <c r="I800">
        <v>6</v>
      </c>
      <c r="J800">
        <v>6</v>
      </c>
      <c r="K800">
        <v>4</v>
      </c>
      <c r="L800">
        <v>700</v>
      </c>
    </row>
    <row r="801" spans="1:12" hidden="1" x14ac:dyDescent="0.25">
      <c r="A801">
        <v>800</v>
      </c>
      <c r="B801" s="1" t="s">
        <v>12</v>
      </c>
      <c r="C801">
        <v>1937</v>
      </c>
      <c r="D801" s="1" t="s">
        <v>181</v>
      </c>
      <c r="E801" s="1" t="s">
        <v>138</v>
      </c>
      <c r="F801">
        <v>50</v>
      </c>
      <c r="G801" s="1" t="s">
        <v>33</v>
      </c>
      <c r="H801">
        <v>50056</v>
      </c>
      <c r="I801">
        <v>5</v>
      </c>
    </row>
    <row r="802" spans="1:12" hidden="1" x14ac:dyDescent="0.25">
      <c r="A802">
        <v>801</v>
      </c>
      <c r="B802" s="1" t="s">
        <v>12</v>
      </c>
      <c r="C802">
        <v>1937</v>
      </c>
      <c r="D802" s="1" t="s">
        <v>181</v>
      </c>
      <c r="E802" s="1" t="s">
        <v>58</v>
      </c>
      <c r="F802">
        <v>54</v>
      </c>
      <c r="G802" s="1" t="s">
        <v>62</v>
      </c>
      <c r="H802">
        <v>54105</v>
      </c>
      <c r="I802">
        <v>25</v>
      </c>
      <c r="J802">
        <v>20</v>
      </c>
      <c r="K802">
        <v>18</v>
      </c>
      <c r="L802">
        <v>900</v>
      </c>
    </row>
    <row r="803" spans="1:12" hidden="1" x14ac:dyDescent="0.25">
      <c r="A803">
        <v>802</v>
      </c>
      <c r="B803" s="1" t="s">
        <v>12</v>
      </c>
      <c r="C803">
        <v>1937</v>
      </c>
      <c r="D803" s="1" t="s">
        <v>181</v>
      </c>
      <c r="E803" s="1" t="s">
        <v>58</v>
      </c>
      <c r="F803">
        <v>54</v>
      </c>
      <c r="G803" s="1" t="s">
        <v>59</v>
      </c>
      <c r="H803">
        <v>54007</v>
      </c>
      <c r="I803">
        <v>15</v>
      </c>
      <c r="J803">
        <v>8</v>
      </c>
      <c r="K803">
        <v>3</v>
      </c>
      <c r="L803">
        <v>400</v>
      </c>
    </row>
    <row r="804" spans="1:12" hidden="1" x14ac:dyDescent="0.25">
      <c r="A804">
        <v>803</v>
      </c>
      <c r="B804" s="1" t="s">
        <v>12</v>
      </c>
      <c r="C804">
        <v>1937</v>
      </c>
      <c r="D804" s="1" t="s">
        <v>181</v>
      </c>
      <c r="E804" s="1" t="s">
        <v>58</v>
      </c>
      <c r="F804">
        <v>54</v>
      </c>
      <c r="G804" s="1" t="s">
        <v>63</v>
      </c>
      <c r="H804">
        <v>54035</v>
      </c>
      <c r="I804">
        <v>11</v>
      </c>
      <c r="J804">
        <v>11</v>
      </c>
      <c r="K804">
        <v>13</v>
      </c>
      <c r="L804">
        <v>1200</v>
      </c>
    </row>
    <row r="805" spans="1:12" hidden="1" x14ac:dyDescent="0.25">
      <c r="A805">
        <v>804</v>
      </c>
      <c r="B805" s="1" t="s">
        <v>12</v>
      </c>
      <c r="C805">
        <v>1937</v>
      </c>
      <c r="D805" s="1" t="s">
        <v>181</v>
      </c>
      <c r="E805" s="1" t="s">
        <v>58</v>
      </c>
      <c r="F805">
        <v>54</v>
      </c>
      <c r="G805" s="1" t="s">
        <v>28</v>
      </c>
      <c r="H805">
        <v>54028</v>
      </c>
      <c r="I805">
        <v>8</v>
      </c>
      <c r="J805">
        <v>2</v>
      </c>
      <c r="K805">
        <v>2</v>
      </c>
      <c r="L805">
        <v>1000</v>
      </c>
    </row>
    <row r="806" spans="1:12" hidden="1" x14ac:dyDescent="0.25">
      <c r="A806">
        <v>805</v>
      </c>
      <c r="B806" s="1" t="s">
        <v>12</v>
      </c>
      <c r="C806">
        <v>1937</v>
      </c>
      <c r="D806" s="1" t="s">
        <v>181</v>
      </c>
      <c r="E806" s="1" t="s">
        <v>58</v>
      </c>
      <c r="F806">
        <v>54</v>
      </c>
      <c r="G806" s="1" t="s">
        <v>150</v>
      </c>
      <c r="H806">
        <v>54014</v>
      </c>
      <c r="I806">
        <v>4</v>
      </c>
      <c r="J806">
        <v>4</v>
      </c>
      <c r="K806">
        <v>3</v>
      </c>
      <c r="L806">
        <v>800</v>
      </c>
    </row>
    <row r="807" spans="1:12" hidden="1" x14ac:dyDescent="0.25">
      <c r="A807">
        <v>806</v>
      </c>
      <c r="B807" s="1" t="s">
        <v>12</v>
      </c>
      <c r="C807">
        <v>1937</v>
      </c>
      <c r="D807" s="1" t="s">
        <v>181</v>
      </c>
      <c r="E807" s="1" t="s">
        <v>58</v>
      </c>
      <c r="F807">
        <v>54</v>
      </c>
      <c r="G807" s="1" t="s">
        <v>152</v>
      </c>
      <c r="H807">
        <v>54063</v>
      </c>
      <c r="I807">
        <v>2</v>
      </c>
      <c r="J807">
        <v>2</v>
      </c>
      <c r="K807">
        <v>1</v>
      </c>
      <c r="L807">
        <v>500</v>
      </c>
    </row>
    <row r="808" spans="1:12" x14ac:dyDescent="0.25">
      <c r="A808">
        <v>807</v>
      </c>
      <c r="B808" s="1" t="s">
        <v>12</v>
      </c>
      <c r="C808">
        <v>1937</v>
      </c>
      <c r="D808" s="1" t="s">
        <v>181</v>
      </c>
      <c r="E808" s="1" t="s">
        <v>58</v>
      </c>
      <c r="F808">
        <v>54</v>
      </c>
      <c r="G808" s="1" t="s">
        <v>56</v>
      </c>
      <c r="H808">
        <v>54112</v>
      </c>
      <c r="I808">
        <v>1</v>
      </c>
    </row>
    <row r="809" spans="1:12" hidden="1" x14ac:dyDescent="0.25">
      <c r="A809">
        <v>808</v>
      </c>
      <c r="B809" s="1" t="s">
        <v>12</v>
      </c>
      <c r="C809">
        <v>1937</v>
      </c>
      <c r="D809" s="1" t="s">
        <v>181</v>
      </c>
      <c r="E809" s="1" t="s">
        <v>116</v>
      </c>
      <c r="F809">
        <v>74</v>
      </c>
      <c r="G809" s="1" t="s">
        <v>126</v>
      </c>
      <c r="H809">
        <v>74035</v>
      </c>
      <c r="I809">
        <v>15</v>
      </c>
      <c r="J809">
        <v>6</v>
      </c>
      <c r="K809">
        <v>6</v>
      </c>
      <c r="L809">
        <v>1000</v>
      </c>
    </row>
    <row r="810" spans="1:12" hidden="1" x14ac:dyDescent="0.25">
      <c r="A810">
        <v>809</v>
      </c>
      <c r="B810" s="1" t="s">
        <v>12</v>
      </c>
      <c r="C810">
        <v>1937</v>
      </c>
      <c r="D810" s="1" t="s">
        <v>181</v>
      </c>
      <c r="E810" s="1" t="s">
        <v>116</v>
      </c>
      <c r="F810">
        <v>74</v>
      </c>
      <c r="G810" s="1" t="s">
        <v>28</v>
      </c>
      <c r="H810">
        <v>74056</v>
      </c>
      <c r="I810">
        <v>10</v>
      </c>
      <c r="J810">
        <v>5</v>
      </c>
      <c r="K810">
        <v>5</v>
      </c>
      <c r="L810">
        <v>1000</v>
      </c>
    </row>
    <row r="811" spans="1:12" hidden="1" x14ac:dyDescent="0.25">
      <c r="A811">
        <v>810</v>
      </c>
      <c r="B811" s="1" t="s">
        <v>12</v>
      </c>
      <c r="C811">
        <v>1937</v>
      </c>
      <c r="D811" s="1" t="s">
        <v>181</v>
      </c>
      <c r="E811" s="1" t="s">
        <v>116</v>
      </c>
      <c r="F811">
        <v>74</v>
      </c>
      <c r="G811" s="1" t="s">
        <v>127</v>
      </c>
      <c r="H811">
        <v>74049</v>
      </c>
      <c r="I811">
        <v>10</v>
      </c>
      <c r="J811">
        <v>5</v>
      </c>
      <c r="K811">
        <v>5</v>
      </c>
      <c r="L811">
        <v>1000</v>
      </c>
    </row>
    <row r="812" spans="1:12" hidden="1" x14ac:dyDescent="0.25">
      <c r="A812">
        <v>811</v>
      </c>
      <c r="B812" s="1" t="s">
        <v>12</v>
      </c>
      <c r="C812">
        <v>1937</v>
      </c>
      <c r="D812" s="1" t="s">
        <v>181</v>
      </c>
      <c r="E812" s="1" t="s">
        <v>64</v>
      </c>
      <c r="F812">
        <v>82</v>
      </c>
      <c r="G812" s="1" t="s">
        <v>65</v>
      </c>
      <c r="H812">
        <v>82049</v>
      </c>
      <c r="I812">
        <v>8800</v>
      </c>
      <c r="J812">
        <v>6800</v>
      </c>
      <c r="K812">
        <v>4760</v>
      </c>
      <c r="L812">
        <v>700</v>
      </c>
    </row>
    <row r="813" spans="1:12" hidden="1" x14ac:dyDescent="0.25">
      <c r="A813">
        <v>812</v>
      </c>
      <c r="B813" s="1" t="s">
        <v>12</v>
      </c>
      <c r="C813">
        <v>1937</v>
      </c>
      <c r="D813" s="1" t="s">
        <v>181</v>
      </c>
      <c r="E813" s="1" t="s">
        <v>64</v>
      </c>
      <c r="F813">
        <v>82</v>
      </c>
      <c r="G813" s="1" t="s">
        <v>66</v>
      </c>
      <c r="H813">
        <v>82035</v>
      </c>
      <c r="I813">
        <v>5000</v>
      </c>
      <c r="J813">
        <v>4600</v>
      </c>
      <c r="K813">
        <v>8970</v>
      </c>
      <c r="L813">
        <v>1950</v>
      </c>
    </row>
    <row r="814" spans="1:12" hidden="1" x14ac:dyDescent="0.25">
      <c r="A814">
        <v>813</v>
      </c>
      <c r="B814" s="1" t="s">
        <v>12</v>
      </c>
      <c r="C814">
        <v>1937</v>
      </c>
      <c r="D814" s="1" t="s">
        <v>181</v>
      </c>
      <c r="E814" s="1" t="s">
        <v>64</v>
      </c>
      <c r="F814">
        <v>82</v>
      </c>
      <c r="G814" s="1" t="s">
        <v>62</v>
      </c>
      <c r="H814">
        <v>82098</v>
      </c>
      <c r="I814">
        <v>1000</v>
      </c>
      <c r="J814">
        <v>800</v>
      </c>
      <c r="K814">
        <v>600</v>
      </c>
      <c r="L814">
        <v>750</v>
      </c>
    </row>
    <row r="815" spans="1:12" hidden="1" x14ac:dyDescent="0.25">
      <c r="A815">
        <v>814</v>
      </c>
      <c r="B815" s="1" t="s">
        <v>12</v>
      </c>
      <c r="C815">
        <v>1937</v>
      </c>
      <c r="D815" s="1" t="s">
        <v>181</v>
      </c>
      <c r="E815" s="1" t="s">
        <v>64</v>
      </c>
      <c r="F815">
        <v>82</v>
      </c>
      <c r="G815" s="1" t="s">
        <v>133</v>
      </c>
      <c r="H815">
        <v>82133</v>
      </c>
      <c r="I815">
        <v>150</v>
      </c>
      <c r="J815">
        <v>150</v>
      </c>
      <c r="K815">
        <v>90</v>
      </c>
      <c r="L815">
        <v>600</v>
      </c>
    </row>
    <row r="816" spans="1:12" hidden="1" x14ac:dyDescent="0.25">
      <c r="A816">
        <v>815</v>
      </c>
      <c r="B816" s="1" t="s">
        <v>12</v>
      </c>
      <c r="C816">
        <v>1937</v>
      </c>
      <c r="D816" s="1" t="s">
        <v>181</v>
      </c>
      <c r="E816" s="1" t="s">
        <v>64</v>
      </c>
      <c r="F816">
        <v>82</v>
      </c>
      <c r="G816" s="1" t="s">
        <v>155</v>
      </c>
      <c r="H816">
        <v>82021</v>
      </c>
      <c r="I816">
        <v>100</v>
      </c>
      <c r="J816">
        <v>80</v>
      </c>
      <c r="K816">
        <v>104</v>
      </c>
      <c r="L816">
        <v>1300</v>
      </c>
    </row>
    <row r="817" spans="1:12" hidden="1" x14ac:dyDescent="0.25">
      <c r="A817">
        <v>816</v>
      </c>
      <c r="B817" s="1" t="s">
        <v>12</v>
      </c>
      <c r="C817">
        <v>1937</v>
      </c>
      <c r="D817" s="1" t="s">
        <v>181</v>
      </c>
      <c r="E817" s="1" t="s">
        <v>64</v>
      </c>
      <c r="F817">
        <v>82</v>
      </c>
      <c r="G817" s="1" t="s">
        <v>37</v>
      </c>
      <c r="H817">
        <v>82126</v>
      </c>
      <c r="I817">
        <v>100</v>
      </c>
      <c r="J817">
        <v>85</v>
      </c>
      <c r="K817">
        <v>85</v>
      </c>
      <c r="L817">
        <v>1000</v>
      </c>
    </row>
    <row r="818" spans="1:12" hidden="1" x14ac:dyDescent="0.25">
      <c r="A818">
        <v>817</v>
      </c>
      <c r="B818" s="1" t="s">
        <v>12</v>
      </c>
      <c r="C818">
        <v>1937</v>
      </c>
      <c r="D818" s="1" t="s">
        <v>181</v>
      </c>
      <c r="E818" s="1" t="s">
        <v>64</v>
      </c>
      <c r="F818">
        <v>82</v>
      </c>
      <c r="G818" s="1" t="s">
        <v>28</v>
      </c>
      <c r="H818">
        <v>82063</v>
      </c>
      <c r="I818">
        <v>30</v>
      </c>
      <c r="J818">
        <v>30</v>
      </c>
      <c r="K818">
        <v>54</v>
      </c>
      <c r="L818">
        <v>1800</v>
      </c>
    </row>
    <row r="819" spans="1:12" hidden="1" x14ac:dyDescent="0.25">
      <c r="A819">
        <v>818</v>
      </c>
      <c r="B819" s="1" t="s">
        <v>12</v>
      </c>
      <c r="C819">
        <v>1937</v>
      </c>
      <c r="D819" s="1" t="s">
        <v>181</v>
      </c>
      <c r="E819" s="1" t="s">
        <v>77</v>
      </c>
      <c r="F819">
        <v>90</v>
      </c>
      <c r="G819" s="1" t="s">
        <v>91</v>
      </c>
      <c r="H819">
        <v>90014</v>
      </c>
      <c r="I819">
        <v>870</v>
      </c>
      <c r="J819">
        <v>870</v>
      </c>
      <c r="K819">
        <v>561</v>
      </c>
      <c r="L819">
        <v>645</v>
      </c>
    </row>
    <row r="820" spans="1:12" hidden="1" x14ac:dyDescent="0.25">
      <c r="A820">
        <v>819</v>
      </c>
      <c r="B820" s="1" t="s">
        <v>12</v>
      </c>
      <c r="C820">
        <v>1937</v>
      </c>
      <c r="D820" s="1" t="s">
        <v>181</v>
      </c>
      <c r="E820" s="1" t="s">
        <v>77</v>
      </c>
      <c r="F820">
        <v>90</v>
      </c>
      <c r="G820" s="1" t="s">
        <v>78</v>
      </c>
      <c r="H820">
        <v>90007</v>
      </c>
      <c r="I820">
        <v>850</v>
      </c>
      <c r="J820">
        <v>833</v>
      </c>
      <c r="K820">
        <v>538</v>
      </c>
      <c r="L820">
        <v>646</v>
      </c>
    </row>
    <row r="821" spans="1:12" hidden="1" x14ac:dyDescent="0.25">
      <c r="A821">
        <v>820</v>
      </c>
      <c r="B821" s="1" t="s">
        <v>12</v>
      </c>
      <c r="C821">
        <v>1937</v>
      </c>
      <c r="D821" s="1" t="s">
        <v>181</v>
      </c>
      <c r="E821" s="1" t="s">
        <v>77</v>
      </c>
      <c r="F821">
        <v>90</v>
      </c>
      <c r="G821" s="1" t="s">
        <v>92</v>
      </c>
      <c r="H821">
        <v>90056</v>
      </c>
      <c r="I821">
        <v>200</v>
      </c>
      <c r="J821">
        <v>200</v>
      </c>
      <c r="K821">
        <v>129</v>
      </c>
      <c r="L821">
        <v>649</v>
      </c>
    </row>
    <row r="822" spans="1:12" hidden="1" x14ac:dyDescent="0.25">
      <c r="A822">
        <v>821</v>
      </c>
      <c r="B822" s="1" t="s">
        <v>12</v>
      </c>
      <c r="C822">
        <v>1937</v>
      </c>
      <c r="D822" s="1" t="s">
        <v>181</v>
      </c>
      <c r="E822" s="1" t="s">
        <v>77</v>
      </c>
      <c r="F822">
        <v>90</v>
      </c>
      <c r="G822" s="1" t="s">
        <v>93</v>
      </c>
      <c r="H822">
        <v>90070</v>
      </c>
      <c r="I822">
        <v>40</v>
      </c>
      <c r="J822">
        <v>37</v>
      </c>
      <c r="K822">
        <v>24</v>
      </c>
      <c r="L822">
        <v>649</v>
      </c>
    </row>
    <row r="823" spans="1:12" hidden="1" x14ac:dyDescent="0.25">
      <c r="A823">
        <v>822</v>
      </c>
      <c r="B823" s="1" t="s">
        <v>12</v>
      </c>
      <c r="C823">
        <v>1937</v>
      </c>
      <c r="D823" s="1" t="s">
        <v>181</v>
      </c>
      <c r="E823" s="1" t="s">
        <v>77</v>
      </c>
      <c r="F823">
        <v>90</v>
      </c>
      <c r="G823" s="1" t="s">
        <v>110</v>
      </c>
      <c r="H823">
        <v>90021</v>
      </c>
      <c r="I823">
        <v>10</v>
      </c>
      <c r="J823">
        <v>9</v>
      </c>
      <c r="K823">
        <v>6</v>
      </c>
      <c r="L823">
        <v>667</v>
      </c>
    </row>
    <row r="824" spans="1:12" hidden="1" x14ac:dyDescent="0.25">
      <c r="A824">
        <v>823</v>
      </c>
      <c r="B824" s="1" t="s">
        <v>12</v>
      </c>
      <c r="C824">
        <v>1937</v>
      </c>
      <c r="D824" s="1" t="s">
        <v>181</v>
      </c>
      <c r="E824" s="1" t="s">
        <v>77</v>
      </c>
      <c r="F824">
        <v>90</v>
      </c>
      <c r="G824" s="1" t="s">
        <v>89</v>
      </c>
      <c r="H824">
        <v>90028</v>
      </c>
      <c r="I824">
        <v>10</v>
      </c>
      <c r="J824">
        <v>8</v>
      </c>
      <c r="K824">
        <v>5</v>
      </c>
      <c r="L824">
        <v>625</v>
      </c>
    </row>
    <row r="825" spans="1:12" hidden="1" x14ac:dyDescent="0.25">
      <c r="A825">
        <v>824</v>
      </c>
      <c r="B825" s="1" t="s">
        <v>12</v>
      </c>
      <c r="C825">
        <v>1937</v>
      </c>
      <c r="D825" s="1" t="s">
        <v>181</v>
      </c>
      <c r="E825" s="1" t="s">
        <v>77</v>
      </c>
      <c r="F825">
        <v>90</v>
      </c>
      <c r="G825" s="1" t="s">
        <v>109</v>
      </c>
      <c r="H825">
        <v>90077</v>
      </c>
      <c r="I825">
        <v>10</v>
      </c>
      <c r="J825">
        <v>8</v>
      </c>
      <c r="K825">
        <v>5</v>
      </c>
      <c r="L825">
        <v>625</v>
      </c>
    </row>
    <row r="826" spans="1:12" hidden="1" x14ac:dyDescent="0.25">
      <c r="A826">
        <v>825</v>
      </c>
      <c r="B826" s="1" t="s">
        <v>12</v>
      </c>
      <c r="C826">
        <v>1937</v>
      </c>
      <c r="D826" s="1" t="s">
        <v>181</v>
      </c>
      <c r="E826" s="1" t="s">
        <v>77</v>
      </c>
      <c r="F826">
        <v>90</v>
      </c>
      <c r="G826" s="1" t="s">
        <v>95</v>
      </c>
      <c r="H826">
        <v>90035</v>
      </c>
      <c r="I826">
        <v>5</v>
      </c>
      <c r="J826">
        <v>5</v>
      </c>
      <c r="K826">
        <v>3</v>
      </c>
      <c r="L826">
        <v>600</v>
      </c>
    </row>
    <row r="827" spans="1:12" hidden="1" x14ac:dyDescent="0.25">
      <c r="A827">
        <v>826</v>
      </c>
      <c r="B827" s="1" t="s">
        <v>12</v>
      </c>
      <c r="C827">
        <v>1937</v>
      </c>
      <c r="D827" s="1" t="s">
        <v>181</v>
      </c>
      <c r="E827" s="1" t="s">
        <v>77</v>
      </c>
      <c r="F827">
        <v>90</v>
      </c>
      <c r="G827" s="1" t="s">
        <v>28</v>
      </c>
      <c r="H827">
        <v>90084</v>
      </c>
      <c r="I827">
        <v>3</v>
      </c>
      <c r="J827">
        <v>2</v>
      </c>
      <c r="K827">
        <v>1</v>
      </c>
      <c r="L827">
        <v>500</v>
      </c>
    </row>
    <row r="828" spans="1:12" hidden="1" x14ac:dyDescent="0.25">
      <c r="A828">
        <v>827</v>
      </c>
      <c r="B828" s="1" t="s">
        <v>12</v>
      </c>
      <c r="C828">
        <v>1938</v>
      </c>
      <c r="D828" s="1" t="s">
        <v>182</v>
      </c>
      <c r="E828" s="1" t="s">
        <v>22</v>
      </c>
      <c r="F828">
        <v>14</v>
      </c>
      <c r="G828" s="1" t="s">
        <v>183</v>
      </c>
      <c r="H828">
        <v>14007</v>
      </c>
      <c r="I828">
        <v>20200</v>
      </c>
      <c r="J828">
        <v>12700</v>
      </c>
      <c r="K828">
        <v>8890</v>
      </c>
      <c r="L828">
        <v>700</v>
      </c>
    </row>
    <row r="829" spans="1:12" hidden="1" x14ac:dyDescent="0.25">
      <c r="A829">
        <v>828</v>
      </c>
      <c r="B829" s="1" t="s">
        <v>12</v>
      </c>
      <c r="C829">
        <v>1938</v>
      </c>
      <c r="D829" s="1" t="s">
        <v>182</v>
      </c>
      <c r="E829" s="1" t="s">
        <v>22</v>
      </c>
      <c r="F829">
        <v>14</v>
      </c>
      <c r="G829" s="1" t="s">
        <v>24</v>
      </c>
      <c r="H829">
        <v>14119</v>
      </c>
      <c r="I829">
        <v>18500</v>
      </c>
      <c r="J829">
        <v>4500</v>
      </c>
      <c r="K829">
        <v>2700</v>
      </c>
      <c r="L829">
        <v>600</v>
      </c>
    </row>
    <row r="830" spans="1:12" hidden="1" x14ac:dyDescent="0.25">
      <c r="A830">
        <v>829</v>
      </c>
      <c r="B830" s="1" t="s">
        <v>12</v>
      </c>
      <c r="C830">
        <v>1938</v>
      </c>
      <c r="D830" s="1" t="s">
        <v>182</v>
      </c>
      <c r="E830" s="1" t="s">
        <v>22</v>
      </c>
      <c r="F830">
        <v>14</v>
      </c>
      <c r="G830" s="1" t="s">
        <v>23</v>
      </c>
      <c r="H830">
        <v>14147</v>
      </c>
      <c r="I830">
        <v>8600</v>
      </c>
      <c r="J830">
        <v>3400</v>
      </c>
      <c r="K830">
        <v>1700</v>
      </c>
      <c r="L830">
        <v>500</v>
      </c>
    </row>
    <row r="831" spans="1:12" hidden="1" x14ac:dyDescent="0.25">
      <c r="A831">
        <v>830</v>
      </c>
      <c r="B831" s="1" t="s">
        <v>12</v>
      </c>
      <c r="C831">
        <v>1938</v>
      </c>
      <c r="D831" s="1" t="s">
        <v>182</v>
      </c>
      <c r="E831" s="1" t="s">
        <v>22</v>
      </c>
      <c r="F831">
        <v>14</v>
      </c>
      <c r="G831" s="1" t="s">
        <v>97</v>
      </c>
      <c r="H831">
        <v>14007</v>
      </c>
      <c r="I831">
        <v>4500</v>
      </c>
      <c r="J831">
        <v>800</v>
      </c>
      <c r="K831">
        <v>480</v>
      </c>
      <c r="L831">
        <v>600</v>
      </c>
    </row>
    <row r="832" spans="1:12" hidden="1" x14ac:dyDescent="0.25">
      <c r="A832">
        <v>831</v>
      </c>
      <c r="B832" s="1" t="s">
        <v>12</v>
      </c>
      <c r="C832">
        <v>1938</v>
      </c>
      <c r="D832" s="1" t="s">
        <v>182</v>
      </c>
      <c r="E832" s="1" t="s">
        <v>22</v>
      </c>
      <c r="F832">
        <v>14</v>
      </c>
      <c r="G832" s="1" t="s">
        <v>25</v>
      </c>
      <c r="H832">
        <v>14105</v>
      </c>
      <c r="I832">
        <v>1320</v>
      </c>
      <c r="J832">
        <v>1080</v>
      </c>
      <c r="K832">
        <v>626</v>
      </c>
      <c r="L832">
        <v>580</v>
      </c>
    </row>
    <row r="833" spans="1:12" hidden="1" x14ac:dyDescent="0.25">
      <c r="A833">
        <v>832</v>
      </c>
      <c r="B833" s="1" t="s">
        <v>12</v>
      </c>
      <c r="C833">
        <v>1938</v>
      </c>
      <c r="D833" s="1" t="s">
        <v>182</v>
      </c>
      <c r="E833" s="1" t="s">
        <v>22</v>
      </c>
      <c r="F833">
        <v>14</v>
      </c>
      <c r="G833" s="1" t="s">
        <v>27</v>
      </c>
      <c r="H833">
        <v>14021</v>
      </c>
      <c r="I833">
        <v>800</v>
      </c>
      <c r="J833">
        <v>800</v>
      </c>
      <c r="K833">
        <v>560</v>
      </c>
      <c r="L833">
        <v>700</v>
      </c>
    </row>
    <row r="834" spans="1:12" hidden="1" x14ac:dyDescent="0.25">
      <c r="A834">
        <v>833</v>
      </c>
      <c r="B834" s="1" t="s">
        <v>12</v>
      </c>
      <c r="C834">
        <v>1938</v>
      </c>
      <c r="D834" s="1" t="s">
        <v>182</v>
      </c>
      <c r="E834" s="1" t="s">
        <v>22</v>
      </c>
      <c r="F834">
        <v>14</v>
      </c>
      <c r="G834" s="1" t="s">
        <v>184</v>
      </c>
      <c r="H834">
        <v>14042</v>
      </c>
      <c r="I834">
        <v>700</v>
      </c>
      <c r="J834">
        <v>500</v>
      </c>
      <c r="K834">
        <v>350</v>
      </c>
      <c r="L834">
        <v>700</v>
      </c>
    </row>
    <row r="835" spans="1:12" hidden="1" x14ac:dyDescent="0.25">
      <c r="A835">
        <v>834</v>
      </c>
      <c r="B835" s="1" t="s">
        <v>12</v>
      </c>
      <c r="C835">
        <v>1938</v>
      </c>
      <c r="D835" s="1" t="s">
        <v>182</v>
      </c>
      <c r="E835" s="1" t="s">
        <v>22</v>
      </c>
      <c r="F835">
        <v>14</v>
      </c>
      <c r="G835" s="1" t="s">
        <v>28</v>
      </c>
      <c r="H835">
        <v>14014</v>
      </c>
      <c r="I835">
        <v>600</v>
      </c>
      <c r="J835">
        <v>200</v>
      </c>
      <c r="K835">
        <v>120</v>
      </c>
      <c r="L835">
        <v>600</v>
      </c>
    </row>
    <row r="836" spans="1:12" hidden="1" x14ac:dyDescent="0.25">
      <c r="A836">
        <v>835</v>
      </c>
      <c r="B836" s="1" t="s">
        <v>12</v>
      </c>
      <c r="C836">
        <v>1938</v>
      </c>
      <c r="D836" s="1" t="s">
        <v>182</v>
      </c>
      <c r="E836" s="1" t="s">
        <v>22</v>
      </c>
      <c r="F836">
        <v>14</v>
      </c>
      <c r="G836" s="1" t="s">
        <v>67</v>
      </c>
      <c r="H836">
        <v>14140</v>
      </c>
      <c r="I836">
        <v>230</v>
      </c>
      <c r="J836">
        <v>150</v>
      </c>
      <c r="K836">
        <v>105</v>
      </c>
      <c r="L836">
        <v>700</v>
      </c>
    </row>
    <row r="837" spans="1:12" hidden="1" x14ac:dyDescent="0.25">
      <c r="A837">
        <v>836</v>
      </c>
      <c r="B837" s="1" t="s">
        <v>12</v>
      </c>
      <c r="C837">
        <v>1938</v>
      </c>
      <c r="D837" s="1" t="s">
        <v>182</v>
      </c>
      <c r="E837" s="1" t="s">
        <v>22</v>
      </c>
      <c r="F837">
        <v>14</v>
      </c>
      <c r="G837" s="1" t="s">
        <v>173</v>
      </c>
      <c r="H837">
        <v>14028</v>
      </c>
      <c r="I837">
        <v>100</v>
      </c>
      <c r="J837">
        <v>100</v>
      </c>
      <c r="K837">
        <v>60</v>
      </c>
      <c r="L837">
        <v>600</v>
      </c>
    </row>
    <row r="838" spans="1:12" hidden="1" x14ac:dyDescent="0.25">
      <c r="A838">
        <v>837</v>
      </c>
      <c r="B838" s="1" t="s">
        <v>12</v>
      </c>
      <c r="C838">
        <v>1938</v>
      </c>
      <c r="D838" s="1" t="s">
        <v>182</v>
      </c>
      <c r="E838" s="1" t="s">
        <v>22</v>
      </c>
      <c r="F838">
        <v>14</v>
      </c>
      <c r="G838" s="1" t="s">
        <v>114</v>
      </c>
      <c r="H838">
        <v>14168</v>
      </c>
      <c r="I838">
        <v>100</v>
      </c>
      <c r="J838">
        <v>100</v>
      </c>
      <c r="K838">
        <v>50</v>
      </c>
      <c r="L838">
        <v>500</v>
      </c>
    </row>
    <row r="839" spans="1:12" hidden="1" x14ac:dyDescent="0.25">
      <c r="A839">
        <v>838</v>
      </c>
      <c r="B839" s="1" t="s">
        <v>12</v>
      </c>
      <c r="C839">
        <v>1938</v>
      </c>
      <c r="D839" s="1" t="s">
        <v>182</v>
      </c>
      <c r="E839" s="1" t="s">
        <v>45</v>
      </c>
      <c r="F839">
        <v>30</v>
      </c>
      <c r="G839" s="1" t="s">
        <v>46</v>
      </c>
      <c r="H839">
        <v>30028</v>
      </c>
      <c r="I839">
        <v>6000</v>
      </c>
      <c r="J839">
        <v>5700</v>
      </c>
      <c r="K839">
        <v>5663</v>
      </c>
      <c r="L839">
        <v>994</v>
      </c>
    </row>
    <row r="840" spans="1:12" hidden="1" x14ac:dyDescent="0.25">
      <c r="A840">
        <v>839</v>
      </c>
      <c r="B840" s="1" t="s">
        <v>12</v>
      </c>
      <c r="C840">
        <v>1938</v>
      </c>
      <c r="D840" s="1" t="s">
        <v>182</v>
      </c>
      <c r="E840" s="1" t="s">
        <v>45</v>
      </c>
      <c r="F840">
        <v>30</v>
      </c>
      <c r="G840" s="1" t="s">
        <v>47</v>
      </c>
      <c r="H840">
        <v>30015</v>
      </c>
      <c r="I840">
        <v>2500</v>
      </c>
      <c r="J840">
        <v>2500</v>
      </c>
      <c r="K840">
        <v>3500</v>
      </c>
      <c r="L840">
        <v>1400</v>
      </c>
    </row>
    <row r="841" spans="1:12" hidden="1" x14ac:dyDescent="0.25">
      <c r="A841">
        <v>840</v>
      </c>
      <c r="B841" s="1" t="s">
        <v>12</v>
      </c>
      <c r="C841">
        <v>1938</v>
      </c>
      <c r="D841" s="1" t="s">
        <v>182</v>
      </c>
      <c r="E841" s="1" t="s">
        <v>45</v>
      </c>
      <c r="F841">
        <v>30</v>
      </c>
      <c r="G841" s="1" t="s">
        <v>27</v>
      </c>
      <c r="H841">
        <v>30008</v>
      </c>
      <c r="I841">
        <v>800</v>
      </c>
      <c r="J841">
        <v>800</v>
      </c>
      <c r="K841">
        <v>800</v>
      </c>
      <c r="L841">
        <v>1000</v>
      </c>
    </row>
    <row r="842" spans="1:12" hidden="1" x14ac:dyDescent="0.25">
      <c r="A842">
        <v>841</v>
      </c>
      <c r="B842" s="1" t="s">
        <v>12</v>
      </c>
      <c r="C842">
        <v>1938</v>
      </c>
      <c r="D842" s="1" t="s">
        <v>182</v>
      </c>
      <c r="E842" s="1" t="s">
        <v>138</v>
      </c>
      <c r="F842">
        <v>50</v>
      </c>
      <c r="G842" s="1" t="s">
        <v>88</v>
      </c>
      <c r="I842">
        <v>27</v>
      </c>
    </row>
    <row r="843" spans="1:12" hidden="1" x14ac:dyDescent="0.25">
      <c r="A843">
        <v>842</v>
      </c>
      <c r="B843" s="1" t="s">
        <v>12</v>
      </c>
      <c r="C843">
        <v>1938</v>
      </c>
      <c r="D843" s="1" t="s">
        <v>182</v>
      </c>
      <c r="E843" s="1" t="s">
        <v>58</v>
      </c>
      <c r="F843">
        <v>54</v>
      </c>
      <c r="G843" s="1" t="s">
        <v>60</v>
      </c>
      <c r="H843">
        <v>54021</v>
      </c>
      <c r="I843">
        <v>191</v>
      </c>
      <c r="J843">
        <v>165</v>
      </c>
      <c r="K843">
        <v>148</v>
      </c>
      <c r="L843">
        <v>900</v>
      </c>
    </row>
    <row r="844" spans="1:12" hidden="1" x14ac:dyDescent="0.25">
      <c r="A844">
        <v>843</v>
      </c>
      <c r="B844" s="1" t="s">
        <v>12</v>
      </c>
      <c r="C844">
        <v>1938</v>
      </c>
      <c r="D844" s="1" t="s">
        <v>182</v>
      </c>
      <c r="E844" s="1" t="s">
        <v>58</v>
      </c>
      <c r="F844">
        <v>54</v>
      </c>
      <c r="G844" s="1" t="s">
        <v>62</v>
      </c>
      <c r="H844">
        <v>54105</v>
      </c>
      <c r="I844">
        <v>108</v>
      </c>
      <c r="J844">
        <v>78</v>
      </c>
      <c r="K844">
        <v>69</v>
      </c>
      <c r="L844">
        <v>885</v>
      </c>
    </row>
    <row r="845" spans="1:12" hidden="1" x14ac:dyDescent="0.25">
      <c r="A845">
        <v>844</v>
      </c>
      <c r="B845" s="1" t="s">
        <v>12</v>
      </c>
      <c r="C845">
        <v>1938</v>
      </c>
      <c r="D845" s="1" t="s">
        <v>182</v>
      </c>
      <c r="E845" s="1" t="s">
        <v>58</v>
      </c>
      <c r="F845">
        <v>54</v>
      </c>
      <c r="G845" s="1" t="s">
        <v>59</v>
      </c>
      <c r="H845">
        <v>54007</v>
      </c>
      <c r="I845">
        <v>74</v>
      </c>
      <c r="J845">
        <v>72</v>
      </c>
      <c r="K845">
        <v>43</v>
      </c>
      <c r="L845">
        <v>600</v>
      </c>
    </row>
    <row r="846" spans="1:12" hidden="1" x14ac:dyDescent="0.25">
      <c r="A846">
        <v>845</v>
      </c>
      <c r="B846" s="1" t="s">
        <v>12</v>
      </c>
      <c r="C846">
        <v>1938</v>
      </c>
      <c r="D846" s="1" t="s">
        <v>182</v>
      </c>
      <c r="E846" s="1" t="s">
        <v>58</v>
      </c>
      <c r="F846">
        <v>54</v>
      </c>
      <c r="G846" s="1" t="s">
        <v>61</v>
      </c>
      <c r="H846">
        <v>54098</v>
      </c>
      <c r="I846">
        <v>31</v>
      </c>
      <c r="J846">
        <v>31</v>
      </c>
      <c r="K846">
        <v>19</v>
      </c>
      <c r="L846">
        <v>600</v>
      </c>
    </row>
    <row r="847" spans="1:12" hidden="1" x14ac:dyDescent="0.25">
      <c r="A847">
        <v>846</v>
      </c>
      <c r="B847" s="1" t="s">
        <v>12</v>
      </c>
      <c r="C847">
        <v>1938</v>
      </c>
      <c r="D847" s="1" t="s">
        <v>182</v>
      </c>
      <c r="E847" s="1" t="s">
        <v>58</v>
      </c>
      <c r="F847">
        <v>54</v>
      </c>
      <c r="G847" s="1" t="s">
        <v>150</v>
      </c>
      <c r="H847">
        <v>54014</v>
      </c>
      <c r="I847">
        <v>28</v>
      </c>
      <c r="J847">
        <v>28</v>
      </c>
      <c r="K847">
        <v>22</v>
      </c>
      <c r="L847">
        <v>800</v>
      </c>
    </row>
    <row r="848" spans="1:12" hidden="1" x14ac:dyDescent="0.25">
      <c r="A848">
        <v>847</v>
      </c>
      <c r="B848" s="1" t="s">
        <v>12</v>
      </c>
      <c r="C848">
        <v>1938</v>
      </c>
      <c r="D848" s="1" t="s">
        <v>182</v>
      </c>
      <c r="E848" s="1" t="s">
        <v>58</v>
      </c>
      <c r="F848">
        <v>54</v>
      </c>
      <c r="G848" s="1" t="s">
        <v>63</v>
      </c>
      <c r="H848">
        <v>54035</v>
      </c>
      <c r="I848">
        <v>9</v>
      </c>
      <c r="J848">
        <v>9</v>
      </c>
      <c r="K848">
        <v>4</v>
      </c>
      <c r="L848">
        <v>400</v>
      </c>
    </row>
    <row r="849" spans="1:12" hidden="1" x14ac:dyDescent="0.25">
      <c r="A849">
        <v>848</v>
      </c>
      <c r="B849" s="1" t="s">
        <v>12</v>
      </c>
      <c r="C849">
        <v>1938</v>
      </c>
      <c r="D849" s="1" t="s">
        <v>182</v>
      </c>
      <c r="E849" s="1" t="s">
        <v>58</v>
      </c>
      <c r="F849">
        <v>54</v>
      </c>
      <c r="G849" s="1" t="s">
        <v>152</v>
      </c>
      <c r="H849">
        <v>54063</v>
      </c>
      <c r="I849">
        <v>6</v>
      </c>
    </row>
    <row r="850" spans="1:12" hidden="1" x14ac:dyDescent="0.25">
      <c r="A850">
        <v>849</v>
      </c>
      <c r="B850" s="1" t="s">
        <v>12</v>
      </c>
      <c r="C850">
        <v>1938</v>
      </c>
      <c r="D850" s="1" t="s">
        <v>182</v>
      </c>
      <c r="E850" s="1" t="s">
        <v>58</v>
      </c>
      <c r="F850">
        <v>54</v>
      </c>
      <c r="G850" s="1" t="s">
        <v>28</v>
      </c>
      <c r="H850">
        <v>54028</v>
      </c>
      <c r="I850">
        <v>4</v>
      </c>
      <c r="J850">
        <v>4</v>
      </c>
      <c r="K850">
        <v>2</v>
      </c>
      <c r="L850">
        <v>600</v>
      </c>
    </row>
    <row r="851" spans="1:12" x14ac:dyDescent="0.25">
      <c r="A851">
        <v>850</v>
      </c>
      <c r="B851" s="1" t="s">
        <v>12</v>
      </c>
      <c r="C851">
        <v>1938</v>
      </c>
      <c r="D851" s="1" t="s">
        <v>182</v>
      </c>
      <c r="E851" s="1" t="s">
        <v>58</v>
      </c>
      <c r="F851">
        <v>54</v>
      </c>
      <c r="G851" s="1" t="s">
        <v>56</v>
      </c>
      <c r="H851">
        <v>54112</v>
      </c>
      <c r="I851">
        <v>2</v>
      </c>
      <c r="J851">
        <v>2</v>
      </c>
      <c r="K851">
        <v>2</v>
      </c>
      <c r="L851">
        <v>1000</v>
      </c>
    </row>
    <row r="852" spans="1:12" hidden="1" x14ac:dyDescent="0.25">
      <c r="A852">
        <v>851</v>
      </c>
      <c r="B852" s="1" t="s">
        <v>12</v>
      </c>
      <c r="C852">
        <v>1938</v>
      </c>
      <c r="D852" s="1" t="s">
        <v>182</v>
      </c>
      <c r="E852" s="1" t="s">
        <v>64</v>
      </c>
      <c r="F852">
        <v>82</v>
      </c>
      <c r="G852" s="1" t="s">
        <v>65</v>
      </c>
      <c r="H852">
        <v>82049</v>
      </c>
      <c r="I852">
        <v>9000</v>
      </c>
      <c r="J852">
        <v>8000</v>
      </c>
      <c r="K852">
        <v>7220</v>
      </c>
      <c r="L852">
        <v>902</v>
      </c>
    </row>
    <row r="853" spans="1:12" hidden="1" x14ac:dyDescent="0.25">
      <c r="A853">
        <v>852</v>
      </c>
      <c r="B853" s="1" t="s">
        <v>12</v>
      </c>
      <c r="C853">
        <v>1938</v>
      </c>
      <c r="D853" s="1" t="s">
        <v>182</v>
      </c>
      <c r="E853" s="1" t="s">
        <v>64</v>
      </c>
      <c r="F853">
        <v>82</v>
      </c>
      <c r="G853" s="1" t="s">
        <v>66</v>
      </c>
      <c r="H853">
        <v>82035</v>
      </c>
      <c r="I853">
        <v>4000</v>
      </c>
      <c r="J853">
        <v>4000</v>
      </c>
      <c r="K853">
        <v>4800</v>
      </c>
      <c r="L853">
        <v>1200</v>
      </c>
    </row>
    <row r="854" spans="1:12" hidden="1" x14ac:dyDescent="0.25">
      <c r="A854">
        <v>853</v>
      </c>
      <c r="B854" s="1" t="s">
        <v>12</v>
      </c>
      <c r="C854">
        <v>1938</v>
      </c>
      <c r="D854" s="1" t="s">
        <v>182</v>
      </c>
      <c r="E854" s="1" t="s">
        <v>64</v>
      </c>
      <c r="F854">
        <v>82</v>
      </c>
      <c r="G854" s="1" t="s">
        <v>62</v>
      </c>
      <c r="H854">
        <v>82098</v>
      </c>
      <c r="I854">
        <v>850</v>
      </c>
      <c r="J854">
        <v>800</v>
      </c>
      <c r="K854">
        <v>700</v>
      </c>
      <c r="L854">
        <v>875</v>
      </c>
    </row>
    <row r="855" spans="1:12" hidden="1" x14ac:dyDescent="0.25">
      <c r="A855">
        <v>854</v>
      </c>
      <c r="B855" s="1" t="s">
        <v>12</v>
      </c>
      <c r="C855">
        <v>1938</v>
      </c>
      <c r="D855" s="1" t="s">
        <v>182</v>
      </c>
      <c r="E855" s="1" t="s">
        <v>64</v>
      </c>
      <c r="F855">
        <v>82</v>
      </c>
      <c r="G855" s="1" t="s">
        <v>28</v>
      </c>
      <c r="H855">
        <v>82063</v>
      </c>
      <c r="I855">
        <v>40</v>
      </c>
      <c r="J855">
        <v>40</v>
      </c>
      <c r="K855">
        <v>48</v>
      </c>
      <c r="L855">
        <v>1200</v>
      </c>
    </row>
    <row r="856" spans="1:12" hidden="1" x14ac:dyDescent="0.25">
      <c r="A856">
        <v>855</v>
      </c>
      <c r="B856" s="1" t="s">
        <v>12</v>
      </c>
      <c r="C856">
        <v>1938</v>
      </c>
      <c r="D856" s="1" t="s">
        <v>182</v>
      </c>
      <c r="E856" s="1" t="s">
        <v>77</v>
      </c>
      <c r="F856">
        <v>90</v>
      </c>
      <c r="G856" s="1" t="s">
        <v>78</v>
      </c>
      <c r="H856">
        <v>90007</v>
      </c>
      <c r="I856">
        <v>594</v>
      </c>
      <c r="J856">
        <v>594</v>
      </c>
      <c r="K856">
        <v>832</v>
      </c>
      <c r="L856">
        <v>1400</v>
      </c>
    </row>
    <row r="857" spans="1:12" hidden="1" x14ac:dyDescent="0.25">
      <c r="A857">
        <v>856</v>
      </c>
      <c r="B857" s="1" t="s">
        <v>12</v>
      </c>
      <c r="C857">
        <v>1938</v>
      </c>
      <c r="D857" s="1" t="s">
        <v>182</v>
      </c>
      <c r="E857" s="1" t="s">
        <v>77</v>
      </c>
      <c r="F857">
        <v>90</v>
      </c>
      <c r="G857" s="1" t="s">
        <v>92</v>
      </c>
      <c r="H857">
        <v>90056</v>
      </c>
      <c r="I857">
        <v>500</v>
      </c>
      <c r="J857">
        <v>500</v>
      </c>
      <c r="K857">
        <v>600</v>
      </c>
      <c r="L857">
        <v>1200</v>
      </c>
    </row>
    <row r="858" spans="1:12" hidden="1" x14ac:dyDescent="0.25">
      <c r="A858">
        <v>857</v>
      </c>
      <c r="B858" s="1" t="s">
        <v>12</v>
      </c>
      <c r="C858">
        <v>1938</v>
      </c>
      <c r="D858" s="1" t="s">
        <v>182</v>
      </c>
      <c r="E858" s="1" t="s">
        <v>77</v>
      </c>
      <c r="F858">
        <v>90</v>
      </c>
      <c r="G858" s="1" t="s">
        <v>91</v>
      </c>
      <c r="H858">
        <v>90014</v>
      </c>
      <c r="I858">
        <v>497</v>
      </c>
      <c r="J858">
        <v>497</v>
      </c>
      <c r="K858">
        <v>547</v>
      </c>
      <c r="L858">
        <v>1100</v>
      </c>
    </row>
    <row r="859" spans="1:12" hidden="1" x14ac:dyDescent="0.25">
      <c r="A859">
        <v>858</v>
      </c>
      <c r="B859" s="1" t="s">
        <v>12</v>
      </c>
      <c r="C859">
        <v>1938</v>
      </c>
      <c r="D859" s="1" t="s">
        <v>182</v>
      </c>
      <c r="E859" s="1" t="s">
        <v>77</v>
      </c>
      <c r="F859">
        <v>90</v>
      </c>
      <c r="G859" s="1" t="s">
        <v>93</v>
      </c>
      <c r="H859">
        <v>90070</v>
      </c>
      <c r="I859">
        <v>60</v>
      </c>
      <c r="J859">
        <v>55</v>
      </c>
      <c r="K859">
        <v>71</v>
      </c>
      <c r="L859">
        <v>1300</v>
      </c>
    </row>
    <row r="860" spans="1:12" hidden="1" x14ac:dyDescent="0.25">
      <c r="A860">
        <v>859</v>
      </c>
      <c r="B860" s="1" t="s">
        <v>12</v>
      </c>
      <c r="C860">
        <v>1938</v>
      </c>
      <c r="D860" s="1" t="s">
        <v>182</v>
      </c>
      <c r="E860" s="1" t="s">
        <v>77</v>
      </c>
      <c r="F860">
        <v>90</v>
      </c>
      <c r="G860" s="1" t="s">
        <v>89</v>
      </c>
      <c r="H860">
        <v>90028</v>
      </c>
      <c r="I860">
        <v>30</v>
      </c>
      <c r="J860">
        <v>25</v>
      </c>
      <c r="K860">
        <v>30</v>
      </c>
      <c r="L860">
        <v>1200</v>
      </c>
    </row>
    <row r="861" spans="1:12" hidden="1" x14ac:dyDescent="0.25">
      <c r="A861">
        <v>860</v>
      </c>
      <c r="B861" s="1" t="s">
        <v>12</v>
      </c>
      <c r="C861">
        <v>1938</v>
      </c>
      <c r="D861" s="1" t="s">
        <v>182</v>
      </c>
      <c r="E861" s="1" t="s">
        <v>77</v>
      </c>
      <c r="F861">
        <v>90</v>
      </c>
      <c r="G861" s="1" t="s">
        <v>90</v>
      </c>
      <c r="H861">
        <v>90112</v>
      </c>
      <c r="I861">
        <v>25</v>
      </c>
      <c r="J861">
        <v>25</v>
      </c>
      <c r="K861">
        <v>25</v>
      </c>
      <c r="L861">
        <v>1000</v>
      </c>
    </row>
    <row r="862" spans="1:12" hidden="1" x14ac:dyDescent="0.25">
      <c r="A862">
        <v>861</v>
      </c>
      <c r="B862" s="1" t="s">
        <v>12</v>
      </c>
      <c r="C862">
        <v>1938</v>
      </c>
      <c r="D862" s="1" t="s">
        <v>182</v>
      </c>
      <c r="E862" s="1" t="s">
        <v>77</v>
      </c>
      <c r="F862">
        <v>90</v>
      </c>
      <c r="G862" s="1" t="s">
        <v>110</v>
      </c>
      <c r="H862">
        <v>90021</v>
      </c>
      <c r="I862">
        <v>20</v>
      </c>
      <c r="J862">
        <v>17</v>
      </c>
      <c r="K862">
        <v>24</v>
      </c>
      <c r="L862">
        <v>1400</v>
      </c>
    </row>
    <row r="863" spans="1:12" hidden="1" x14ac:dyDescent="0.25">
      <c r="A863">
        <v>862</v>
      </c>
      <c r="B863" s="1" t="s">
        <v>12</v>
      </c>
      <c r="C863">
        <v>1938</v>
      </c>
      <c r="D863" s="1" t="s">
        <v>182</v>
      </c>
      <c r="E863" s="1" t="s">
        <v>77</v>
      </c>
      <c r="F863">
        <v>90</v>
      </c>
      <c r="G863" s="1" t="s">
        <v>109</v>
      </c>
      <c r="H863">
        <v>90077</v>
      </c>
      <c r="I863">
        <v>10</v>
      </c>
      <c r="J863">
        <v>8</v>
      </c>
      <c r="K863">
        <v>10</v>
      </c>
      <c r="L863">
        <v>1200</v>
      </c>
    </row>
    <row r="864" spans="1:12" hidden="1" x14ac:dyDescent="0.25">
      <c r="A864">
        <v>863</v>
      </c>
      <c r="B864" s="1" t="s">
        <v>12</v>
      </c>
      <c r="C864">
        <v>1938</v>
      </c>
      <c r="D864" s="1" t="s">
        <v>182</v>
      </c>
      <c r="E864" s="1" t="s">
        <v>77</v>
      </c>
      <c r="F864">
        <v>90</v>
      </c>
      <c r="G864" s="1" t="s">
        <v>28</v>
      </c>
      <c r="H864">
        <v>90084</v>
      </c>
      <c r="I864">
        <v>2</v>
      </c>
    </row>
    <row r="865" spans="1:12" hidden="1" x14ac:dyDescent="0.25">
      <c r="A865">
        <v>864</v>
      </c>
      <c r="B865" s="1" t="s">
        <v>12</v>
      </c>
      <c r="C865">
        <v>1938</v>
      </c>
      <c r="D865" s="1" t="s">
        <v>182</v>
      </c>
      <c r="E865" s="1" t="s">
        <v>77</v>
      </c>
      <c r="F865">
        <v>90</v>
      </c>
      <c r="G865" s="1" t="s">
        <v>95</v>
      </c>
      <c r="H865">
        <v>90035</v>
      </c>
      <c r="I865">
        <v>2</v>
      </c>
      <c r="J865">
        <v>2</v>
      </c>
      <c r="K865">
        <v>2</v>
      </c>
      <c r="L865">
        <v>1000</v>
      </c>
    </row>
    <row r="866" spans="1:12" hidden="1" x14ac:dyDescent="0.25">
      <c r="A866">
        <v>865</v>
      </c>
      <c r="B866" s="1" t="s">
        <v>12</v>
      </c>
      <c r="C866">
        <v>1939</v>
      </c>
      <c r="D866" s="1" t="s">
        <v>185</v>
      </c>
      <c r="E866" s="1" t="s">
        <v>22</v>
      </c>
      <c r="F866">
        <v>14</v>
      </c>
      <c r="G866" s="1" t="s">
        <v>183</v>
      </c>
      <c r="H866">
        <v>14007</v>
      </c>
      <c r="I866">
        <v>22534</v>
      </c>
      <c r="J866">
        <v>20300</v>
      </c>
      <c r="K866">
        <v>19772</v>
      </c>
      <c r="L866">
        <v>974</v>
      </c>
    </row>
    <row r="867" spans="1:12" hidden="1" x14ac:dyDescent="0.25">
      <c r="A867">
        <v>866</v>
      </c>
      <c r="B867" s="1" t="s">
        <v>12</v>
      </c>
      <c r="C867">
        <v>1939</v>
      </c>
      <c r="D867" s="1" t="s">
        <v>185</v>
      </c>
      <c r="E867" s="1" t="s">
        <v>22</v>
      </c>
      <c r="F867">
        <v>14</v>
      </c>
      <c r="G867" s="1" t="s">
        <v>23</v>
      </c>
      <c r="H867">
        <v>14147</v>
      </c>
      <c r="I867">
        <v>15700</v>
      </c>
      <c r="J867">
        <v>13345</v>
      </c>
      <c r="K867">
        <v>14442</v>
      </c>
      <c r="L867">
        <v>1082</v>
      </c>
    </row>
    <row r="868" spans="1:12" hidden="1" x14ac:dyDescent="0.25">
      <c r="A868">
        <v>867</v>
      </c>
      <c r="B868" s="1" t="s">
        <v>12</v>
      </c>
      <c r="C868">
        <v>1939</v>
      </c>
      <c r="D868" s="1" t="s">
        <v>185</v>
      </c>
      <c r="E868" s="1" t="s">
        <v>22</v>
      </c>
      <c r="F868">
        <v>14</v>
      </c>
      <c r="G868" s="1" t="s">
        <v>24</v>
      </c>
      <c r="H868">
        <v>14119</v>
      </c>
      <c r="I868">
        <v>11600</v>
      </c>
      <c r="J868">
        <v>11000</v>
      </c>
      <c r="K868">
        <v>12896</v>
      </c>
      <c r="L868">
        <v>1172</v>
      </c>
    </row>
    <row r="869" spans="1:12" hidden="1" x14ac:dyDescent="0.25">
      <c r="A869">
        <v>868</v>
      </c>
      <c r="B869" s="1" t="s">
        <v>12</v>
      </c>
      <c r="C869">
        <v>1939</v>
      </c>
      <c r="D869" s="1" t="s">
        <v>185</v>
      </c>
      <c r="E869" s="1" t="s">
        <v>22</v>
      </c>
      <c r="F869">
        <v>14</v>
      </c>
      <c r="G869" s="1" t="s">
        <v>97</v>
      </c>
      <c r="H869">
        <v>14007</v>
      </c>
      <c r="I869">
        <v>4000</v>
      </c>
      <c r="J869">
        <v>3400</v>
      </c>
      <c r="K869">
        <v>3680</v>
      </c>
      <c r="L869">
        <v>1082</v>
      </c>
    </row>
    <row r="870" spans="1:12" hidden="1" x14ac:dyDescent="0.25">
      <c r="A870">
        <v>869</v>
      </c>
      <c r="B870" s="1" t="s">
        <v>12</v>
      </c>
      <c r="C870">
        <v>1939</v>
      </c>
      <c r="D870" s="1" t="s">
        <v>185</v>
      </c>
      <c r="E870" s="1" t="s">
        <v>22</v>
      </c>
      <c r="F870">
        <v>14</v>
      </c>
      <c r="G870" s="1" t="s">
        <v>25</v>
      </c>
      <c r="H870">
        <v>14105</v>
      </c>
      <c r="I870">
        <v>1716</v>
      </c>
      <c r="J870">
        <v>1545</v>
      </c>
      <c r="K870">
        <v>1115</v>
      </c>
      <c r="L870">
        <v>722</v>
      </c>
    </row>
    <row r="871" spans="1:12" hidden="1" x14ac:dyDescent="0.25">
      <c r="A871">
        <v>870</v>
      </c>
      <c r="B871" s="1" t="s">
        <v>12</v>
      </c>
      <c r="C871">
        <v>1939</v>
      </c>
      <c r="D871" s="1" t="s">
        <v>185</v>
      </c>
      <c r="E871" s="1" t="s">
        <v>22</v>
      </c>
      <c r="F871">
        <v>14</v>
      </c>
      <c r="G871" s="1" t="s">
        <v>28</v>
      </c>
      <c r="H871">
        <v>14014</v>
      </c>
      <c r="I871">
        <v>800</v>
      </c>
      <c r="J871">
        <v>720</v>
      </c>
      <c r="K871">
        <v>779</v>
      </c>
      <c r="L871">
        <v>1082</v>
      </c>
    </row>
    <row r="872" spans="1:12" hidden="1" x14ac:dyDescent="0.25">
      <c r="A872">
        <v>871</v>
      </c>
      <c r="B872" s="1" t="s">
        <v>12</v>
      </c>
      <c r="C872">
        <v>1939</v>
      </c>
      <c r="D872" s="1" t="s">
        <v>185</v>
      </c>
      <c r="E872" s="1" t="s">
        <v>22</v>
      </c>
      <c r="F872">
        <v>14</v>
      </c>
      <c r="G872" s="1" t="s">
        <v>184</v>
      </c>
      <c r="H872">
        <v>14042</v>
      </c>
      <c r="I872">
        <v>400</v>
      </c>
      <c r="J872">
        <v>400</v>
      </c>
      <c r="K872">
        <v>235</v>
      </c>
      <c r="L872">
        <v>587</v>
      </c>
    </row>
    <row r="873" spans="1:12" hidden="1" x14ac:dyDescent="0.25">
      <c r="A873">
        <v>872</v>
      </c>
      <c r="B873" s="1" t="s">
        <v>12</v>
      </c>
      <c r="C873">
        <v>1939</v>
      </c>
      <c r="D873" s="1" t="s">
        <v>185</v>
      </c>
      <c r="E873" s="1" t="s">
        <v>22</v>
      </c>
      <c r="F873">
        <v>14</v>
      </c>
      <c r="G873" s="1" t="s">
        <v>67</v>
      </c>
      <c r="H873">
        <v>14140</v>
      </c>
      <c r="I873">
        <v>345</v>
      </c>
      <c r="J873">
        <v>310</v>
      </c>
      <c r="K873">
        <v>248</v>
      </c>
      <c r="L873">
        <v>800</v>
      </c>
    </row>
    <row r="874" spans="1:12" hidden="1" x14ac:dyDescent="0.25">
      <c r="A874">
        <v>873</v>
      </c>
      <c r="B874" s="1" t="s">
        <v>12</v>
      </c>
      <c r="C874">
        <v>1939</v>
      </c>
      <c r="D874" s="1" t="s">
        <v>185</v>
      </c>
      <c r="E874" s="1" t="s">
        <v>22</v>
      </c>
      <c r="F874">
        <v>14</v>
      </c>
      <c r="G874" s="1" t="s">
        <v>27</v>
      </c>
      <c r="H874">
        <v>14021</v>
      </c>
      <c r="I874">
        <v>300</v>
      </c>
      <c r="J874">
        <v>300</v>
      </c>
      <c r="K874">
        <v>162</v>
      </c>
      <c r="L874">
        <v>540</v>
      </c>
    </row>
    <row r="875" spans="1:12" hidden="1" x14ac:dyDescent="0.25">
      <c r="A875">
        <v>874</v>
      </c>
      <c r="B875" s="1" t="s">
        <v>12</v>
      </c>
      <c r="C875">
        <v>1939</v>
      </c>
      <c r="D875" s="1" t="s">
        <v>185</v>
      </c>
      <c r="E875" s="1" t="s">
        <v>22</v>
      </c>
      <c r="F875">
        <v>14</v>
      </c>
      <c r="G875" s="1" t="s">
        <v>62</v>
      </c>
      <c r="H875">
        <v>14133</v>
      </c>
      <c r="I875">
        <v>160</v>
      </c>
      <c r="J875">
        <v>136</v>
      </c>
      <c r="K875">
        <v>109</v>
      </c>
      <c r="L875">
        <v>801</v>
      </c>
    </row>
    <row r="876" spans="1:12" hidden="1" x14ac:dyDescent="0.25">
      <c r="A876">
        <v>875</v>
      </c>
      <c r="B876" s="1" t="s">
        <v>12</v>
      </c>
      <c r="C876">
        <v>1939</v>
      </c>
      <c r="D876" s="1" t="s">
        <v>185</v>
      </c>
      <c r="E876" s="1" t="s">
        <v>22</v>
      </c>
      <c r="F876">
        <v>14</v>
      </c>
      <c r="G876" s="1" t="s">
        <v>169</v>
      </c>
      <c r="H876">
        <v>14126</v>
      </c>
      <c r="I876">
        <v>150</v>
      </c>
      <c r="J876">
        <v>128</v>
      </c>
      <c r="K876">
        <v>128</v>
      </c>
      <c r="L876">
        <v>1000</v>
      </c>
    </row>
    <row r="877" spans="1:12" hidden="1" x14ac:dyDescent="0.25">
      <c r="A877">
        <v>876</v>
      </c>
      <c r="B877" s="1" t="s">
        <v>12</v>
      </c>
      <c r="C877">
        <v>1939</v>
      </c>
      <c r="D877" s="1" t="s">
        <v>185</v>
      </c>
      <c r="E877" s="1" t="s">
        <v>22</v>
      </c>
      <c r="F877">
        <v>14</v>
      </c>
      <c r="G877" s="1" t="s">
        <v>29</v>
      </c>
      <c r="H877">
        <v>14098</v>
      </c>
      <c r="I877">
        <v>80</v>
      </c>
      <c r="J877">
        <v>64</v>
      </c>
      <c r="K877">
        <v>69</v>
      </c>
      <c r="L877">
        <v>1078</v>
      </c>
    </row>
    <row r="878" spans="1:12" hidden="1" x14ac:dyDescent="0.25">
      <c r="A878">
        <v>877</v>
      </c>
      <c r="B878" s="1" t="s">
        <v>12</v>
      </c>
      <c r="C878">
        <v>1939</v>
      </c>
      <c r="D878" s="1" t="s">
        <v>185</v>
      </c>
      <c r="E878" s="1" t="s">
        <v>22</v>
      </c>
      <c r="F878">
        <v>14</v>
      </c>
      <c r="G878" s="1" t="s">
        <v>114</v>
      </c>
      <c r="H878">
        <v>14168</v>
      </c>
      <c r="I878">
        <v>45</v>
      </c>
      <c r="J878">
        <v>45</v>
      </c>
      <c r="K878">
        <v>27</v>
      </c>
      <c r="L878">
        <v>600</v>
      </c>
    </row>
    <row r="879" spans="1:12" hidden="1" x14ac:dyDescent="0.25">
      <c r="A879">
        <v>878</v>
      </c>
      <c r="B879" s="1" t="s">
        <v>12</v>
      </c>
      <c r="C879">
        <v>1939</v>
      </c>
      <c r="D879" s="1" t="s">
        <v>185</v>
      </c>
      <c r="E879" s="1" t="s">
        <v>22</v>
      </c>
      <c r="F879">
        <v>14</v>
      </c>
      <c r="G879" s="1" t="s">
        <v>186</v>
      </c>
      <c r="H879">
        <v>14175</v>
      </c>
      <c r="I879">
        <v>33</v>
      </c>
      <c r="J879">
        <v>33</v>
      </c>
      <c r="K879">
        <v>13</v>
      </c>
      <c r="L879">
        <v>394</v>
      </c>
    </row>
    <row r="880" spans="1:12" hidden="1" x14ac:dyDescent="0.25">
      <c r="A880">
        <v>879</v>
      </c>
      <c r="B880" s="1" t="s">
        <v>12</v>
      </c>
      <c r="C880">
        <v>1939</v>
      </c>
      <c r="D880" s="1" t="s">
        <v>185</v>
      </c>
      <c r="E880" s="1" t="s">
        <v>22</v>
      </c>
      <c r="F880">
        <v>14</v>
      </c>
      <c r="G880" s="1" t="s">
        <v>173</v>
      </c>
      <c r="H880">
        <v>14028</v>
      </c>
      <c r="I880">
        <v>15</v>
      </c>
      <c r="J880">
        <v>15</v>
      </c>
      <c r="K880">
        <v>7</v>
      </c>
      <c r="L880">
        <v>467</v>
      </c>
    </row>
    <row r="881" spans="1:12" hidden="1" x14ac:dyDescent="0.25">
      <c r="A881">
        <v>880</v>
      </c>
      <c r="B881" s="1" t="s">
        <v>12</v>
      </c>
      <c r="C881">
        <v>1939</v>
      </c>
      <c r="D881" s="1" t="s">
        <v>185</v>
      </c>
      <c r="E881" s="1" t="s">
        <v>22</v>
      </c>
      <c r="F881">
        <v>14</v>
      </c>
      <c r="G881" s="1" t="s">
        <v>170</v>
      </c>
      <c r="H881">
        <v>14049</v>
      </c>
      <c r="I881">
        <v>9</v>
      </c>
      <c r="J881">
        <v>9</v>
      </c>
      <c r="K881">
        <v>5</v>
      </c>
      <c r="L881">
        <v>555</v>
      </c>
    </row>
    <row r="882" spans="1:12" hidden="1" x14ac:dyDescent="0.25">
      <c r="A882">
        <v>881</v>
      </c>
      <c r="B882" s="1" t="s">
        <v>12</v>
      </c>
      <c r="C882">
        <v>1939</v>
      </c>
      <c r="D882" s="1" t="s">
        <v>185</v>
      </c>
      <c r="E882" s="1" t="s">
        <v>22</v>
      </c>
      <c r="F882">
        <v>14</v>
      </c>
      <c r="G882" s="1" t="s">
        <v>171</v>
      </c>
      <c r="H882">
        <v>14112</v>
      </c>
      <c r="I882">
        <v>9</v>
      </c>
      <c r="J882">
        <v>9</v>
      </c>
      <c r="K882">
        <v>3</v>
      </c>
      <c r="L882">
        <v>333</v>
      </c>
    </row>
    <row r="883" spans="1:12" hidden="1" x14ac:dyDescent="0.25">
      <c r="A883">
        <v>882</v>
      </c>
      <c r="B883" s="1" t="s">
        <v>12</v>
      </c>
      <c r="C883">
        <v>1939</v>
      </c>
      <c r="D883" s="1" t="s">
        <v>185</v>
      </c>
      <c r="E883" s="1" t="s">
        <v>22</v>
      </c>
      <c r="F883">
        <v>14</v>
      </c>
      <c r="G883" s="1" t="s">
        <v>174</v>
      </c>
      <c r="H883">
        <v>14070</v>
      </c>
      <c r="I883">
        <v>3</v>
      </c>
      <c r="J883">
        <v>3</v>
      </c>
      <c r="K883">
        <v>1</v>
      </c>
      <c r="L883">
        <v>333</v>
      </c>
    </row>
    <row r="884" spans="1:12" hidden="1" x14ac:dyDescent="0.25">
      <c r="A884">
        <v>883</v>
      </c>
      <c r="B884" s="1" t="s">
        <v>12</v>
      </c>
      <c r="C884">
        <v>1939</v>
      </c>
      <c r="D884" s="1" t="s">
        <v>185</v>
      </c>
      <c r="E884" s="1" t="s">
        <v>22</v>
      </c>
      <c r="F884">
        <v>14</v>
      </c>
      <c r="G884" s="1" t="s">
        <v>187</v>
      </c>
      <c r="H884">
        <v>14154</v>
      </c>
      <c r="I884">
        <v>1</v>
      </c>
      <c r="J884">
        <v>1</v>
      </c>
      <c r="K884">
        <v>4</v>
      </c>
      <c r="L884">
        <v>400</v>
      </c>
    </row>
    <row r="885" spans="1:12" hidden="1" x14ac:dyDescent="0.25">
      <c r="A885">
        <v>884</v>
      </c>
      <c r="B885" s="1" t="s">
        <v>12</v>
      </c>
      <c r="C885">
        <v>1939</v>
      </c>
      <c r="D885" s="1" t="s">
        <v>185</v>
      </c>
      <c r="E885" s="1" t="s">
        <v>30</v>
      </c>
      <c r="F885">
        <v>18</v>
      </c>
      <c r="G885" s="1" t="s">
        <v>32</v>
      </c>
      <c r="H885">
        <v>18112</v>
      </c>
      <c r="I885">
        <v>630</v>
      </c>
      <c r="J885">
        <v>260</v>
      </c>
      <c r="K885">
        <v>162</v>
      </c>
      <c r="L885">
        <v>600</v>
      </c>
    </row>
    <row r="886" spans="1:12" hidden="1" x14ac:dyDescent="0.25">
      <c r="A886">
        <v>885</v>
      </c>
      <c r="B886" s="1" t="s">
        <v>12</v>
      </c>
      <c r="C886">
        <v>1939</v>
      </c>
      <c r="D886" s="1" t="s">
        <v>185</v>
      </c>
      <c r="E886" s="1" t="s">
        <v>30</v>
      </c>
      <c r="F886">
        <v>18</v>
      </c>
      <c r="G886" s="1" t="s">
        <v>42</v>
      </c>
      <c r="H886">
        <v>18035</v>
      </c>
      <c r="I886">
        <v>200</v>
      </c>
      <c r="J886">
        <v>120</v>
      </c>
      <c r="K886">
        <v>60</v>
      </c>
      <c r="L886">
        <v>500</v>
      </c>
    </row>
    <row r="887" spans="1:12" hidden="1" x14ac:dyDescent="0.25">
      <c r="A887">
        <v>886</v>
      </c>
      <c r="B887" s="1" t="s">
        <v>12</v>
      </c>
      <c r="C887">
        <v>1939</v>
      </c>
      <c r="D887" s="1" t="s">
        <v>185</v>
      </c>
      <c r="E887" s="1" t="s">
        <v>30</v>
      </c>
      <c r="F887">
        <v>18</v>
      </c>
      <c r="G887" s="1" t="s">
        <v>35</v>
      </c>
      <c r="H887">
        <v>18049</v>
      </c>
      <c r="I887">
        <v>130</v>
      </c>
      <c r="J887">
        <v>100</v>
      </c>
      <c r="K887">
        <v>88</v>
      </c>
      <c r="L887">
        <v>880</v>
      </c>
    </row>
    <row r="888" spans="1:12" hidden="1" x14ac:dyDescent="0.25">
      <c r="A888">
        <v>887</v>
      </c>
      <c r="B888" s="1" t="s">
        <v>12</v>
      </c>
      <c r="C888">
        <v>1939</v>
      </c>
      <c r="D888" s="1" t="s">
        <v>185</v>
      </c>
      <c r="E888" s="1" t="s">
        <v>30</v>
      </c>
      <c r="F888">
        <v>18</v>
      </c>
      <c r="G888" s="1" t="s">
        <v>34</v>
      </c>
      <c r="H888">
        <v>18042</v>
      </c>
      <c r="I888">
        <v>100</v>
      </c>
      <c r="J888">
        <v>50</v>
      </c>
      <c r="K888">
        <v>55</v>
      </c>
      <c r="L888">
        <v>1100</v>
      </c>
    </row>
    <row r="889" spans="1:12" hidden="1" x14ac:dyDescent="0.25">
      <c r="A889">
        <v>888</v>
      </c>
      <c r="B889" s="1" t="s">
        <v>12</v>
      </c>
      <c r="C889">
        <v>1939</v>
      </c>
      <c r="D889" s="1" t="s">
        <v>185</v>
      </c>
      <c r="E889" s="1" t="s">
        <v>30</v>
      </c>
      <c r="F889">
        <v>18</v>
      </c>
      <c r="G889" s="1" t="s">
        <v>63</v>
      </c>
      <c r="H889">
        <v>18028</v>
      </c>
      <c r="I889">
        <v>90</v>
      </c>
      <c r="J889">
        <v>50</v>
      </c>
      <c r="K889">
        <v>50</v>
      </c>
      <c r="L889">
        <v>1000</v>
      </c>
    </row>
    <row r="890" spans="1:12" hidden="1" x14ac:dyDescent="0.25">
      <c r="A890">
        <v>889</v>
      </c>
      <c r="B890" s="1" t="s">
        <v>12</v>
      </c>
      <c r="C890">
        <v>1939</v>
      </c>
      <c r="D890" s="1" t="s">
        <v>185</v>
      </c>
      <c r="E890" s="1" t="s">
        <v>30</v>
      </c>
      <c r="F890">
        <v>18</v>
      </c>
      <c r="G890" s="1" t="s">
        <v>40</v>
      </c>
      <c r="H890">
        <v>18126</v>
      </c>
      <c r="I890">
        <v>80</v>
      </c>
      <c r="J890">
        <v>50</v>
      </c>
      <c r="K890">
        <v>50</v>
      </c>
      <c r="L890">
        <v>1000</v>
      </c>
    </row>
    <row r="891" spans="1:12" hidden="1" x14ac:dyDescent="0.25">
      <c r="A891">
        <v>890</v>
      </c>
      <c r="B891" s="1" t="s">
        <v>12</v>
      </c>
      <c r="C891">
        <v>1939</v>
      </c>
      <c r="D891" s="1" t="s">
        <v>185</v>
      </c>
      <c r="E891" s="1" t="s">
        <v>30</v>
      </c>
      <c r="F891">
        <v>18</v>
      </c>
      <c r="G891" s="1" t="s">
        <v>38</v>
      </c>
      <c r="H891">
        <v>18007</v>
      </c>
      <c r="I891">
        <v>60</v>
      </c>
      <c r="J891">
        <v>40</v>
      </c>
      <c r="K891">
        <v>38</v>
      </c>
      <c r="L891">
        <v>950</v>
      </c>
    </row>
    <row r="892" spans="1:12" hidden="1" x14ac:dyDescent="0.25">
      <c r="A892">
        <v>891</v>
      </c>
      <c r="B892" s="1" t="s">
        <v>12</v>
      </c>
      <c r="C892">
        <v>1939</v>
      </c>
      <c r="D892" s="1" t="s">
        <v>185</v>
      </c>
      <c r="E892" s="1" t="s">
        <v>30</v>
      </c>
      <c r="F892">
        <v>18</v>
      </c>
      <c r="G892" s="1" t="s">
        <v>99</v>
      </c>
      <c r="H892">
        <v>18063</v>
      </c>
      <c r="I892">
        <v>60</v>
      </c>
      <c r="J892">
        <v>40</v>
      </c>
      <c r="K892">
        <v>44</v>
      </c>
      <c r="L892">
        <v>1100</v>
      </c>
    </row>
    <row r="893" spans="1:12" hidden="1" x14ac:dyDescent="0.25">
      <c r="A893">
        <v>892</v>
      </c>
      <c r="B893" s="1" t="s">
        <v>12</v>
      </c>
      <c r="C893">
        <v>1939</v>
      </c>
      <c r="D893" s="1" t="s">
        <v>185</v>
      </c>
      <c r="E893" s="1" t="s">
        <v>30</v>
      </c>
      <c r="F893">
        <v>18</v>
      </c>
      <c r="G893" s="1" t="s">
        <v>28</v>
      </c>
      <c r="H893">
        <v>18021</v>
      </c>
      <c r="I893">
        <v>50</v>
      </c>
      <c r="J893">
        <v>25</v>
      </c>
      <c r="K893">
        <v>25</v>
      </c>
      <c r="L893">
        <v>1000</v>
      </c>
    </row>
    <row r="894" spans="1:12" hidden="1" x14ac:dyDescent="0.25">
      <c r="A894">
        <v>893</v>
      </c>
      <c r="B894" s="1" t="s">
        <v>12</v>
      </c>
      <c r="C894">
        <v>1939</v>
      </c>
      <c r="D894" s="1" t="s">
        <v>185</v>
      </c>
      <c r="E894" s="1" t="s">
        <v>30</v>
      </c>
      <c r="F894">
        <v>18</v>
      </c>
      <c r="G894" s="1" t="s">
        <v>41</v>
      </c>
      <c r="H894">
        <v>18140</v>
      </c>
      <c r="I894">
        <v>50</v>
      </c>
      <c r="J894">
        <v>20</v>
      </c>
      <c r="K894">
        <v>20</v>
      </c>
      <c r="L894">
        <v>1000</v>
      </c>
    </row>
    <row r="895" spans="1:12" hidden="1" x14ac:dyDescent="0.25">
      <c r="A895">
        <v>894</v>
      </c>
      <c r="B895" s="1" t="s">
        <v>12</v>
      </c>
      <c r="C895">
        <v>1939</v>
      </c>
      <c r="D895" s="1" t="s">
        <v>185</v>
      </c>
      <c r="E895" s="1" t="s">
        <v>30</v>
      </c>
      <c r="F895">
        <v>18</v>
      </c>
      <c r="G895" s="1" t="s">
        <v>33</v>
      </c>
      <c r="H895">
        <v>18091</v>
      </c>
      <c r="I895">
        <v>45</v>
      </c>
      <c r="J895">
        <v>35</v>
      </c>
      <c r="K895">
        <v>28</v>
      </c>
      <c r="L895">
        <v>800</v>
      </c>
    </row>
    <row r="896" spans="1:12" hidden="1" x14ac:dyDescent="0.25">
      <c r="A896">
        <v>895</v>
      </c>
      <c r="B896" s="1" t="s">
        <v>12</v>
      </c>
      <c r="C896">
        <v>1939</v>
      </c>
      <c r="D896" s="1" t="s">
        <v>185</v>
      </c>
      <c r="E896" s="1" t="s">
        <v>30</v>
      </c>
      <c r="F896">
        <v>18</v>
      </c>
      <c r="G896" s="1" t="s">
        <v>98</v>
      </c>
      <c r="H896">
        <v>18098</v>
      </c>
      <c r="I896">
        <v>40</v>
      </c>
      <c r="J896">
        <v>20</v>
      </c>
      <c r="K896">
        <v>20</v>
      </c>
      <c r="L896">
        <v>1000</v>
      </c>
    </row>
    <row r="897" spans="1:12" hidden="1" x14ac:dyDescent="0.25">
      <c r="A897">
        <v>896</v>
      </c>
      <c r="B897" s="1" t="s">
        <v>12</v>
      </c>
      <c r="C897">
        <v>1939</v>
      </c>
      <c r="D897" s="1" t="s">
        <v>185</v>
      </c>
      <c r="E897" s="1" t="s">
        <v>30</v>
      </c>
      <c r="F897">
        <v>18</v>
      </c>
      <c r="G897" s="1" t="s">
        <v>102</v>
      </c>
      <c r="H897">
        <v>18014</v>
      </c>
      <c r="I897">
        <v>30</v>
      </c>
      <c r="J897">
        <v>20</v>
      </c>
      <c r="K897">
        <v>20</v>
      </c>
      <c r="L897">
        <v>1000</v>
      </c>
    </row>
    <row r="898" spans="1:12" hidden="1" x14ac:dyDescent="0.25">
      <c r="A898">
        <v>897</v>
      </c>
      <c r="B898" s="1" t="s">
        <v>12</v>
      </c>
      <c r="C898">
        <v>1939</v>
      </c>
      <c r="D898" s="1" t="s">
        <v>185</v>
      </c>
      <c r="E898" s="1" t="s">
        <v>30</v>
      </c>
      <c r="F898">
        <v>18</v>
      </c>
      <c r="G898" s="1" t="s">
        <v>43</v>
      </c>
      <c r="H898">
        <v>18070</v>
      </c>
      <c r="I898">
        <v>30</v>
      </c>
      <c r="J898">
        <v>25</v>
      </c>
      <c r="K898">
        <v>20</v>
      </c>
      <c r="L898">
        <v>800</v>
      </c>
    </row>
    <row r="899" spans="1:12" hidden="1" x14ac:dyDescent="0.25">
      <c r="A899">
        <v>898</v>
      </c>
      <c r="B899" s="1" t="s">
        <v>12</v>
      </c>
      <c r="C899">
        <v>1939</v>
      </c>
      <c r="D899" s="1" t="s">
        <v>185</v>
      </c>
      <c r="E899" s="1" t="s">
        <v>30</v>
      </c>
      <c r="F899">
        <v>18</v>
      </c>
      <c r="G899" s="1" t="s">
        <v>36</v>
      </c>
      <c r="H899">
        <v>18133</v>
      </c>
      <c r="I899">
        <v>30</v>
      </c>
      <c r="J899">
        <v>15</v>
      </c>
      <c r="K899">
        <v>15</v>
      </c>
      <c r="L899">
        <v>1000</v>
      </c>
    </row>
    <row r="900" spans="1:12" hidden="1" x14ac:dyDescent="0.25">
      <c r="A900">
        <v>899</v>
      </c>
      <c r="B900" s="1" t="s">
        <v>12</v>
      </c>
      <c r="C900">
        <v>1939</v>
      </c>
      <c r="D900" s="1" t="s">
        <v>185</v>
      </c>
      <c r="E900" s="1" t="s">
        <v>30</v>
      </c>
      <c r="F900">
        <v>18</v>
      </c>
      <c r="G900" s="1" t="s">
        <v>103</v>
      </c>
      <c r="H900">
        <v>18154</v>
      </c>
      <c r="I900">
        <v>30</v>
      </c>
      <c r="J900">
        <v>15</v>
      </c>
      <c r="K900">
        <v>15</v>
      </c>
      <c r="L900">
        <v>1000</v>
      </c>
    </row>
    <row r="901" spans="1:12" hidden="1" x14ac:dyDescent="0.25">
      <c r="A901">
        <v>900</v>
      </c>
      <c r="B901" s="1" t="s">
        <v>12</v>
      </c>
      <c r="C901">
        <v>1939</v>
      </c>
      <c r="D901" s="1" t="s">
        <v>185</v>
      </c>
      <c r="E901" s="1" t="s">
        <v>30</v>
      </c>
      <c r="F901">
        <v>18</v>
      </c>
      <c r="G901" s="1" t="s">
        <v>100</v>
      </c>
      <c r="H901">
        <v>18077</v>
      </c>
      <c r="I901">
        <v>25</v>
      </c>
      <c r="J901">
        <v>15</v>
      </c>
      <c r="K901">
        <v>15</v>
      </c>
      <c r="L901">
        <v>1000</v>
      </c>
    </row>
    <row r="902" spans="1:12" hidden="1" x14ac:dyDescent="0.25">
      <c r="A902">
        <v>901</v>
      </c>
      <c r="B902" s="1" t="s">
        <v>12</v>
      </c>
      <c r="C902">
        <v>1939</v>
      </c>
      <c r="D902" s="1" t="s">
        <v>185</v>
      </c>
      <c r="E902" s="1" t="s">
        <v>30</v>
      </c>
      <c r="F902">
        <v>18</v>
      </c>
      <c r="G902" s="1" t="s">
        <v>39</v>
      </c>
      <c r="H902">
        <v>18084</v>
      </c>
      <c r="I902">
        <v>20</v>
      </c>
      <c r="J902">
        <v>15</v>
      </c>
      <c r="K902">
        <v>15</v>
      </c>
      <c r="L902">
        <v>1000</v>
      </c>
    </row>
    <row r="903" spans="1:12" hidden="1" x14ac:dyDescent="0.25">
      <c r="A903">
        <v>902</v>
      </c>
      <c r="B903" s="1" t="s">
        <v>12</v>
      </c>
      <c r="C903">
        <v>1939</v>
      </c>
      <c r="D903" s="1" t="s">
        <v>185</v>
      </c>
      <c r="E903" s="1" t="s">
        <v>45</v>
      </c>
      <c r="F903">
        <v>30</v>
      </c>
      <c r="G903" s="1" t="s">
        <v>46</v>
      </c>
      <c r="H903">
        <v>30028</v>
      </c>
      <c r="I903">
        <v>7500</v>
      </c>
      <c r="J903">
        <v>6000</v>
      </c>
      <c r="K903">
        <v>8016</v>
      </c>
      <c r="L903">
        <v>1336</v>
      </c>
    </row>
    <row r="904" spans="1:12" hidden="1" x14ac:dyDescent="0.25">
      <c r="A904">
        <v>903</v>
      </c>
      <c r="B904" s="1" t="s">
        <v>12</v>
      </c>
      <c r="C904">
        <v>1939</v>
      </c>
      <c r="D904" s="1" t="s">
        <v>185</v>
      </c>
      <c r="E904" s="1" t="s">
        <v>45</v>
      </c>
      <c r="F904">
        <v>30</v>
      </c>
      <c r="G904" s="1" t="s">
        <v>47</v>
      </c>
      <c r="H904">
        <v>30015</v>
      </c>
      <c r="I904">
        <v>3440</v>
      </c>
      <c r="J904">
        <v>2700</v>
      </c>
      <c r="K904">
        <v>3864</v>
      </c>
      <c r="L904">
        <v>1431</v>
      </c>
    </row>
    <row r="905" spans="1:12" hidden="1" x14ac:dyDescent="0.25">
      <c r="A905">
        <v>904</v>
      </c>
      <c r="B905" s="1" t="s">
        <v>12</v>
      </c>
      <c r="C905">
        <v>1939</v>
      </c>
      <c r="D905" s="1" t="s">
        <v>185</v>
      </c>
      <c r="E905" s="1" t="s">
        <v>45</v>
      </c>
      <c r="F905">
        <v>30</v>
      </c>
      <c r="G905" s="1" t="s">
        <v>27</v>
      </c>
      <c r="H905">
        <v>30008</v>
      </c>
      <c r="I905">
        <v>500</v>
      </c>
      <c r="J905">
        <v>450</v>
      </c>
      <c r="K905">
        <v>472</v>
      </c>
      <c r="L905">
        <v>1049</v>
      </c>
    </row>
    <row r="906" spans="1:12" hidden="1" x14ac:dyDescent="0.25">
      <c r="A906">
        <v>905</v>
      </c>
      <c r="B906" s="1" t="s">
        <v>12</v>
      </c>
      <c r="C906">
        <v>1939</v>
      </c>
      <c r="D906" s="1" t="s">
        <v>185</v>
      </c>
      <c r="E906" s="1" t="s">
        <v>45</v>
      </c>
      <c r="F906">
        <v>30</v>
      </c>
      <c r="G906" s="1" t="s">
        <v>106</v>
      </c>
      <c r="H906">
        <v>30098</v>
      </c>
      <c r="I906">
        <v>500</v>
      </c>
    </row>
    <row r="907" spans="1:12" hidden="1" x14ac:dyDescent="0.25">
      <c r="A907">
        <v>906</v>
      </c>
      <c r="B907" s="1" t="s">
        <v>12</v>
      </c>
      <c r="C907">
        <v>1939</v>
      </c>
      <c r="D907" s="1" t="s">
        <v>185</v>
      </c>
      <c r="E907" s="1" t="s">
        <v>45</v>
      </c>
      <c r="F907">
        <v>30</v>
      </c>
      <c r="G907" s="1" t="s">
        <v>107</v>
      </c>
      <c r="H907">
        <v>30056</v>
      </c>
      <c r="I907">
        <v>30</v>
      </c>
    </row>
    <row r="908" spans="1:12" hidden="1" x14ac:dyDescent="0.25">
      <c r="A908">
        <v>907</v>
      </c>
      <c r="B908" s="1" t="s">
        <v>12</v>
      </c>
      <c r="C908">
        <v>1939</v>
      </c>
      <c r="D908" s="1" t="s">
        <v>185</v>
      </c>
      <c r="E908" s="1" t="s">
        <v>45</v>
      </c>
      <c r="F908">
        <v>30</v>
      </c>
      <c r="G908" s="1" t="s">
        <v>149</v>
      </c>
      <c r="H908">
        <v>30091</v>
      </c>
      <c r="I908">
        <v>30</v>
      </c>
      <c r="J908">
        <v>13</v>
      </c>
      <c r="K908">
        <v>8</v>
      </c>
      <c r="L908">
        <v>615</v>
      </c>
    </row>
    <row r="909" spans="1:12" hidden="1" x14ac:dyDescent="0.25">
      <c r="A909">
        <v>908</v>
      </c>
      <c r="B909" s="1" t="s">
        <v>12</v>
      </c>
      <c r="C909">
        <v>1939</v>
      </c>
      <c r="D909" s="1" t="s">
        <v>185</v>
      </c>
      <c r="E909" s="1" t="s">
        <v>48</v>
      </c>
      <c r="F909">
        <v>34</v>
      </c>
      <c r="G909" s="1" t="s">
        <v>49</v>
      </c>
      <c r="H909">
        <v>34049</v>
      </c>
      <c r="I909">
        <v>95</v>
      </c>
      <c r="J909">
        <v>95</v>
      </c>
      <c r="K909">
        <v>44</v>
      </c>
      <c r="L909">
        <v>463</v>
      </c>
    </row>
    <row r="910" spans="1:12" hidden="1" x14ac:dyDescent="0.25">
      <c r="A910">
        <v>909</v>
      </c>
      <c r="B910" s="1" t="s">
        <v>12</v>
      </c>
      <c r="C910">
        <v>1939</v>
      </c>
      <c r="D910" s="1" t="s">
        <v>185</v>
      </c>
      <c r="E910" s="1" t="s">
        <v>48</v>
      </c>
      <c r="F910">
        <v>34</v>
      </c>
      <c r="G910" s="1" t="s">
        <v>50</v>
      </c>
      <c r="H910">
        <v>34021</v>
      </c>
      <c r="I910">
        <v>45</v>
      </c>
      <c r="J910">
        <v>45</v>
      </c>
      <c r="K910">
        <v>20</v>
      </c>
      <c r="L910">
        <v>450</v>
      </c>
    </row>
    <row r="911" spans="1:12" hidden="1" x14ac:dyDescent="0.25">
      <c r="A911">
        <v>910</v>
      </c>
      <c r="B911" s="1" t="s">
        <v>12</v>
      </c>
      <c r="C911">
        <v>1939</v>
      </c>
      <c r="D911" s="1" t="s">
        <v>185</v>
      </c>
      <c r="E911" s="1" t="s">
        <v>48</v>
      </c>
      <c r="F911">
        <v>34</v>
      </c>
      <c r="G911" s="1" t="s">
        <v>52</v>
      </c>
      <c r="H911">
        <v>34035</v>
      </c>
      <c r="I911">
        <v>45</v>
      </c>
      <c r="J911">
        <v>45</v>
      </c>
      <c r="K911">
        <v>20</v>
      </c>
      <c r="L911">
        <v>450</v>
      </c>
    </row>
    <row r="912" spans="1:12" hidden="1" x14ac:dyDescent="0.25">
      <c r="A912">
        <v>911</v>
      </c>
      <c r="B912" s="1" t="s">
        <v>12</v>
      </c>
      <c r="C912">
        <v>1939</v>
      </c>
      <c r="D912" s="1" t="s">
        <v>185</v>
      </c>
      <c r="E912" s="1" t="s">
        <v>48</v>
      </c>
      <c r="F912">
        <v>34</v>
      </c>
      <c r="G912" s="1" t="s">
        <v>48</v>
      </c>
      <c r="H912">
        <v>34014</v>
      </c>
      <c r="I912">
        <v>40</v>
      </c>
      <c r="J912">
        <v>40</v>
      </c>
      <c r="K912">
        <v>20</v>
      </c>
      <c r="L912">
        <v>500</v>
      </c>
    </row>
    <row r="913" spans="1:12" hidden="1" x14ac:dyDescent="0.25">
      <c r="A913">
        <v>912</v>
      </c>
      <c r="B913" s="1" t="s">
        <v>12</v>
      </c>
      <c r="C913">
        <v>1939</v>
      </c>
      <c r="D913" s="1" t="s">
        <v>185</v>
      </c>
      <c r="E913" s="1" t="s">
        <v>58</v>
      </c>
      <c r="F913">
        <v>54</v>
      </c>
      <c r="G913" s="1" t="s">
        <v>60</v>
      </c>
      <c r="H913">
        <v>54021</v>
      </c>
      <c r="I913">
        <v>250</v>
      </c>
    </row>
    <row r="914" spans="1:12" hidden="1" x14ac:dyDescent="0.25">
      <c r="A914">
        <v>913</v>
      </c>
      <c r="B914" s="1" t="s">
        <v>12</v>
      </c>
      <c r="C914">
        <v>1939</v>
      </c>
      <c r="D914" s="1" t="s">
        <v>185</v>
      </c>
      <c r="E914" s="1" t="s">
        <v>58</v>
      </c>
      <c r="F914">
        <v>54</v>
      </c>
      <c r="G914" s="1" t="s">
        <v>150</v>
      </c>
      <c r="H914">
        <v>54014</v>
      </c>
      <c r="I914">
        <v>150</v>
      </c>
    </row>
    <row r="915" spans="1:12" hidden="1" x14ac:dyDescent="0.25">
      <c r="A915">
        <v>914</v>
      </c>
      <c r="B915" s="1" t="s">
        <v>12</v>
      </c>
      <c r="C915">
        <v>1939</v>
      </c>
      <c r="D915" s="1" t="s">
        <v>185</v>
      </c>
      <c r="E915" s="1" t="s">
        <v>58</v>
      </c>
      <c r="F915">
        <v>54</v>
      </c>
      <c r="G915" s="1" t="s">
        <v>62</v>
      </c>
      <c r="H915">
        <v>54105</v>
      </c>
      <c r="I915">
        <v>108</v>
      </c>
    </row>
    <row r="916" spans="1:12" hidden="1" x14ac:dyDescent="0.25">
      <c r="A916">
        <v>915</v>
      </c>
      <c r="B916" s="1" t="s">
        <v>12</v>
      </c>
      <c r="C916">
        <v>1939</v>
      </c>
      <c r="D916" s="1" t="s">
        <v>185</v>
      </c>
      <c r="E916" s="1" t="s">
        <v>58</v>
      </c>
      <c r="F916">
        <v>54</v>
      </c>
      <c r="G916" s="1" t="s">
        <v>59</v>
      </c>
      <c r="H916">
        <v>54007</v>
      </c>
      <c r="I916">
        <v>90</v>
      </c>
    </row>
    <row r="917" spans="1:12" hidden="1" x14ac:dyDescent="0.25">
      <c r="A917">
        <v>916</v>
      </c>
      <c r="B917" s="1" t="s">
        <v>12</v>
      </c>
      <c r="C917">
        <v>1939</v>
      </c>
      <c r="D917" s="1" t="s">
        <v>185</v>
      </c>
      <c r="E917" s="1" t="s">
        <v>58</v>
      </c>
      <c r="F917">
        <v>54</v>
      </c>
      <c r="G917" s="1" t="s">
        <v>61</v>
      </c>
      <c r="H917">
        <v>54098</v>
      </c>
      <c r="I917">
        <v>37</v>
      </c>
      <c r="J917">
        <v>30</v>
      </c>
      <c r="K917">
        <v>30</v>
      </c>
      <c r="L917">
        <v>1000</v>
      </c>
    </row>
    <row r="918" spans="1:12" x14ac:dyDescent="0.25">
      <c r="A918">
        <v>917</v>
      </c>
      <c r="B918" s="1" t="s">
        <v>12</v>
      </c>
      <c r="C918">
        <v>1939</v>
      </c>
      <c r="D918" s="1" t="s">
        <v>185</v>
      </c>
      <c r="E918" s="1" t="s">
        <v>58</v>
      </c>
      <c r="F918">
        <v>54</v>
      </c>
      <c r="G918" s="1" t="s">
        <v>56</v>
      </c>
      <c r="H918">
        <v>54112</v>
      </c>
      <c r="I918">
        <v>17</v>
      </c>
    </row>
    <row r="919" spans="1:12" hidden="1" x14ac:dyDescent="0.25">
      <c r="A919">
        <v>918</v>
      </c>
      <c r="B919" s="1" t="s">
        <v>12</v>
      </c>
      <c r="C919">
        <v>1939</v>
      </c>
      <c r="D919" s="1" t="s">
        <v>185</v>
      </c>
      <c r="E919" s="1" t="s">
        <v>58</v>
      </c>
      <c r="F919">
        <v>54</v>
      </c>
      <c r="G919" s="1" t="s">
        <v>152</v>
      </c>
      <c r="H919">
        <v>54063</v>
      </c>
      <c r="I919">
        <v>6</v>
      </c>
      <c r="J919">
        <v>5</v>
      </c>
      <c r="K919">
        <v>6</v>
      </c>
      <c r="L919">
        <v>1200</v>
      </c>
    </row>
    <row r="920" spans="1:12" hidden="1" x14ac:dyDescent="0.25">
      <c r="A920">
        <v>919</v>
      </c>
      <c r="B920" s="1" t="s">
        <v>12</v>
      </c>
      <c r="C920">
        <v>1939</v>
      </c>
      <c r="D920" s="1" t="s">
        <v>185</v>
      </c>
      <c r="E920" s="1" t="s">
        <v>58</v>
      </c>
      <c r="F920">
        <v>54</v>
      </c>
      <c r="G920" s="1" t="s">
        <v>63</v>
      </c>
      <c r="H920">
        <v>54035</v>
      </c>
      <c r="I920">
        <v>5</v>
      </c>
    </row>
    <row r="921" spans="1:12" hidden="1" x14ac:dyDescent="0.25">
      <c r="A921">
        <v>920</v>
      </c>
      <c r="B921" s="1" t="s">
        <v>12</v>
      </c>
      <c r="C921">
        <v>1939</v>
      </c>
      <c r="D921" s="1" t="s">
        <v>185</v>
      </c>
      <c r="E921" s="1" t="s">
        <v>58</v>
      </c>
      <c r="F921">
        <v>54</v>
      </c>
      <c r="G921" s="1" t="s">
        <v>28</v>
      </c>
      <c r="H921">
        <v>54028</v>
      </c>
      <c r="I921">
        <v>4</v>
      </c>
    </row>
    <row r="922" spans="1:12" hidden="1" x14ac:dyDescent="0.25">
      <c r="A922">
        <v>921</v>
      </c>
      <c r="B922" s="1" t="s">
        <v>12</v>
      </c>
      <c r="C922">
        <v>1939</v>
      </c>
      <c r="D922" s="1" t="s">
        <v>185</v>
      </c>
      <c r="E922" s="1" t="s">
        <v>58</v>
      </c>
      <c r="F922">
        <v>54</v>
      </c>
      <c r="G922" s="1" t="s">
        <v>178</v>
      </c>
      <c r="H922">
        <v>54049</v>
      </c>
      <c r="I922">
        <v>2</v>
      </c>
    </row>
    <row r="923" spans="1:12" hidden="1" x14ac:dyDescent="0.25">
      <c r="A923">
        <v>922</v>
      </c>
      <c r="B923" s="1" t="s">
        <v>12</v>
      </c>
      <c r="C923">
        <v>1939</v>
      </c>
      <c r="D923" s="1" t="s">
        <v>185</v>
      </c>
      <c r="E923" s="1" t="s">
        <v>58</v>
      </c>
      <c r="F923">
        <v>54</v>
      </c>
      <c r="G923" s="1" t="s">
        <v>151</v>
      </c>
      <c r="H923">
        <v>54056</v>
      </c>
      <c r="I923">
        <v>1</v>
      </c>
    </row>
    <row r="924" spans="1:12" hidden="1" x14ac:dyDescent="0.25">
      <c r="A924">
        <v>923</v>
      </c>
      <c r="B924" s="1" t="s">
        <v>12</v>
      </c>
      <c r="C924">
        <v>1939</v>
      </c>
      <c r="D924" s="1" t="s">
        <v>185</v>
      </c>
      <c r="E924" s="1" t="s">
        <v>87</v>
      </c>
      <c r="F924">
        <v>66</v>
      </c>
      <c r="G924" s="1" t="s">
        <v>141</v>
      </c>
      <c r="H924">
        <v>66112</v>
      </c>
      <c r="I924">
        <v>346</v>
      </c>
      <c r="J924">
        <v>326</v>
      </c>
      <c r="K924">
        <v>427</v>
      </c>
      <c r="L924">
        <v>1309</v>
      </c>
    </row>
    <row r="925" spans="1:12" hidden="1" x14ac:dyDescent="0.25">
      <c r="A925">
        <v>924</v>
      </c>
      <c r="B925" s="1" t="s">
        <v>12</v>
      </c>
      <c r="C925">
        <v>1939</v>
      </c>
      <c r="D925" s="1" t="s">
        <v>185</v>
      </c>
      <c r="E925" s="1" t="s">
        <v>87</v>
      </c>
      <c r="F925">
        <v>66</v>
      </c>
      <c r="G925" s="1" t="s">
        <v>188</v>
      </c>
      <c r="H925">
        <v>66140</v>
      </c>
      <c r="I925">
        <v>18</v>
      </c>
      <c r="J925">
        <v>18</v>
      </c>
      <c r="K925">
        <v>22</v>
      </c>
      <c r="L925">
        <v>1222</v>
      </c>
    </row>
    <row r="926" spans="1:12" hidden="1" x14ac:dyDescent="0.25">
      <c r="A926">
        <v>925</v>
      </c>
      <c r="B926" s="1" t="s">
        <v>12</v>
      </c>
      <c r="C926">
        <v>1939</v>
      </c>
      <c r="D926" s="1" t="s">
        <v>185</v>
      </c>
      <c r="E926" s="1" t="s">
        <v>87</v>
      </c>
      <c r="F926">
        <v>66</v>
      </c>
      <c r="G926" s="1" t="s">
        <v>179</v>
      </c>
      <c r="H926">
        <v>66126</v>
      </c>
      <c r="I926">
        <v>11</v>
      </c>
      <c r="J926">
        <v>11</v>
      </c>
      <c r="K926">
        <v>13</v>
      </c>
      <c r="L926">
        <v>1200</v>
      </c>
    </row>
    <row r="927" spans="1:12" hidden="1" x14ac:dyDescent="0.25">
      <c r="A927">
        <v>926</v>
      </c>
      <c r="B927" s="1" t="s">
        <v>12</v>
      </c>
      <c r="C927">
        <v>1939</v>
      </c>
      <c r="D927" s="1" t="s">
        <v>185</v>
      </c>
      <c r="E927" s="1" t="s">
        <v>87</v>
      </c>
      <c r="F927">
        <v>66</v>
      </c>
      <c r="G927" s="1" t="s">
        <v>131</v>
      </c>
      <c r="H927">
        <v>66049</v>
      </c>
      <c r="I927">
        <v>3</v>
      </c>
      <c r="J927">
        <v>3</v>
      </c>
      <c r="K927">
        <v>4</v>
      </c>
      <c r="L927">
        <v>1333</v>
      </c>
    </row>
    <row r="928" spans="1:12" hidden="1" x14ac:dyDescent="0.25">
      <c r="A928">
        <v>927</v>
      </c>
      <c r="B928" s="1" t="s">
        <v>12</v>
      </c>
      <c r="C928">
        <v>1939</v>
      </c>
      <c r="D928" s="1" t="s">
        <v>185</v>
      </c>
      <c r="E928" s="1" t="s">
        <v>87</v>
      </c>
      <c r="F928">
        <v>66</v>
      </c>
      <c r="G928" s="1" t="s">
        <v>132</v>
      </c>
      <c r="H928">
        <v>66084</v>
      </c>
      <c r="I928">
        <v>2</v>
      </c>
      <c r="J928">
        <v>2</v>
      </c>
      <c r="K928">
        <v>2</v>
      </c>
      <c r="L928">
        <v>1200</v>
      </c>
    </row>
    <row r="929" spans="1:12" hidden="1" x14ac:dyDescent="0.25">
      <c r="A929">
        <v>928</v>
      </c>
      <c r="B929" s="1" t="s">
        <v>12</v>
      </c>
      <c r="C929">
        <v>1939</v>
      </c>
      <c r="D929" s="1" t="s">
        <v>185</v>
      </c>
      <c r="E929" s="1" t="s">
        <v>87</v>
      </c>
      <c r="F929">
        <v>66</v>
      </c>
      <c r="G929" s="1" t="s">
        <v>28</v>
      </c>
      <c r="H929">
        <v>66028</v>
      </c>
      <c r="I929">
        <v>2</v>
      </c>
      <c r="J929">
        <v>2</v>
      </c>
      <c r="K929">
        <v>3</v>
      </c>
      <c r="L929">
        <v>1500</v>
      </c>
    </row>
    <row r="930" spans="1:12" hidden="1" x14ac:dyDescent="0.25">
      <c r="A930">
        <v>929</v>
      </c>
      <c r="B930" s="1" t="s">
        <v>12</v>
      </c>
      <c r="C930">
        <v>1939</v>
      </c>
      <c r="D930" s="1" t="s">
        <v>185</v>
      </c>
      <c r="E930" s="1" t="s">
        <v>87</v>
      </c>
      <c r="F930">
        <v>66</v>
      </c>
      <c r="G930" s="1" t="s">
        <v>161</v>
      </c>
      <c r="H930">
        <v>66133</v>
      </c>
      <c r="I930">
        <v>2</v>
      </c>
      <c r="J930">
        <v>2</v>
      </c>
      <c r="K930">
        <v>2</v>
      </c>
      <c r="L930">
        <v>1200</v>
      </c>
    </row>
    <row r="931" spans="1:12" hidden="1" x14ac:dyDescent="0.25">
      <c r="A931">
        <v>930</v>
      </c>
      <c r="B931" s="1" t="s">
        <v>12</v>
      </c>
      <c r="C931">
        <v>1939</v>
      </c>
      <c r="D931" s="1" t="s">
        <v>185</v>
      </c>
      <c r="E931" s="1" t="s">
        <v>87</v>
      </c>
      <c r="F931">
        <v>66</v>
      </c>
      <c r="G931" s="1" t="s">
        <v>189</v>
      </c>
      <c r="H931">
        <v>66077</v>
      </c>
      <c r="I931">
        <v>1</v>
      </c>
      <c r="J931">
        <v>1</v>
      </c>
      <c r="K931">
        <v>1</v>
      </c>
      <c r="L931">
        <v>1000</v>
      </c>
    </row>
    <row r="932" spans="1:12" hidden="1" x14ac:dyDescent="0.25">
      <c r="A932">
        <v>931</v>
      </c>
      <c r="B932" s="1" t="s">
        <v>12</v>
      </c>
      <c r="C932">
        <v>1939</v>
      </c>
      <c r="D932" s="1" t="s">
        <v>185</v>
      </c>
      <c r="E932" s="1" t="s">
        <v>116</v>
      </c>
      <c r="F932">
        <v>74</v>
      </c>
      <c r="G932" s="1" t="s">
        <v>88</v>
      </c>
      <c r="I932">
        <v>5</v>
      </c>
    </row>
    <row r="933" spans="1:12" hidden="1" x14ac:dyDescent="0.25">
      <c r="A933">
        <v>932</v>
      </c>
      <c r="B933" s="1" t="s">
        <v>12</v>
      </c>
      <c r="C933">
        <v>1939</v>
      </c>
      <c r="D933" s="1" t="s">
        <v>185</v>
      </c>
      <c r="E933" s="1" t="s">
        <v>64</v>
      </c>
      <c r="F933">
        <v>82</v>
      </c>
      <c r="G933" s="1" t="s">
        <v>65</v>
      </c>
      <c r="H933">
        <v>82049</v>
      </c>
      <c r="I933">
        <v>9000</v>
      </c>
      <c r="J933">
        <v>8000</v>
      </c>
      <c r="K933">
        <v>8000</v>
      </c>
      <c r="L933">
        <v>1000</v>
      </c>
    </row>
    <row r="934" spans="1:12" hidden="1" x14ac:dyDescent="0.25">
      <c r="A934">
        <v>933</v>
      </c>
      <c r="B934" s="1" t="s">
        <v>12</v>
      </c>
      <c r="C934">
        <v>1939</v>
      </c>
      <c r="D934" s="1" t="s">
        <v>185</v>
      </c>
      <c r="E934" s="1" t="s">
        <v>64</v>
      </c>
      <c r="F934">
        <v>82</v>
      </c>
      <c r="G934" s="1" t="s">
        <v>66</v>
      </c>
      <c r="H934">
        <v>82035</v>
      </c>
      <c r="I934">
        <v>4500</v>
      </c>
      <c r="J934">
        <v>4300</v>
      </c>
      <c r="K934">
        <v>6020</v>
      </c>
      <c r="L934">
        <v>1400</v>
      </c>
    </row>
    <row r="935" spans="1:12" hidden="1" x14ac:dyDescent="0.25">
      <c r="A935">
        <v>934</v>
      </c>
      <c r="B935" s="1" t="s">
        <v>12</v>
      </c>
      <c r="C935">
        <v>1939</v>
      </c>
      <c r="D935" s="1" t="s">
        <v>185</v>
      </c>
      <c r="E935" s="1" t="s">
        <v>64</v>
      </c>
      <c r="F935">
        <v>82</v>
      </c>
      <c r="G935" s="1" t="s">
        <v>62</v>
      </c>
      <c r="H935">
        <v>82098</v>
      </c>
      <c r="I935">
        <v>600</v>
      </c>
      <c r="J935">
        <v>500</v>
      </c>
      <c r="K935">
        <v>500</v>
      </c>
      <c r="L935">
        <v>1000</v>
      </c>
    </row>
    <row r="936" spans="1:12" hidden="1" x14ac:dyDescent="0.25">
      <c r="A936">
        <v>935</v>
      </c>
      <c r="B936" s="1" t="s">
        <v>12</v>
      </c>
      <c r="C936">
        <v>1939</v>
      </c>
      <c r="D936" s="1" t="s">
        <v>185</v>
      </c>
      <c r="E936" s="1" t="s">
        <v>64</v>
      </c>
      <c r="F936">
        <v>82</v>
      </c>
      <c r="G936" s="1" t="s">
        <v>28</v>
      </c>
      <c r="H936">
        <v>82063</v>
      </c>
      <c r="I936">
        <v>100</v>
      </c>
      <c r="J936">
        <v>100</v>
      </c>
      <c r="K936">
        <v>140</v>
      </c>
      <c r="L936">
        <v>1400</v>
      </c>
    </row>
    <row r="937" spans="1:12" hidden="1" x14ac:dyDescent="0.25">
      <c r="A937">
        <v>936</v>
      </c>
      <c r="B937" s="1" t="s">
        <v>12</v>
      </c>
      <c r="C937">
        <v>1939</v>
      </c>
      <c r="D937" s="1" t="s">
        <v>185</v>
      </c>
      <c r="E937" s="1" t="s">
        <v>68</v>
      </c>
      <c r="F937">
        <v>86</v>
      </c>
      <c r="G937" s="1" t="s">
        <v>76</v>
      </c>
      <c r="H937">
        <v>86161</v>
      </c>
      <c r="I937">
        <v>30</v>
      </c>
      <c r="J937">
        <v>27</v>
      </c>
      <c r="K937">
        <v>31</v>
      </c>
      <c r="L937">
        <v>1200</v>
      </c>
    </row>
    <row r="938" spans="1:12" hidden="1" x14ac:dyDescent="0.25">
      <c r="A938">
        <v>937</v>
      </c>
      <c r="B938" s="1" t="s">
        <v>12</v>
      </c>
      <c r="C938">
        <v>1939</v>
      </c>
      <c r="D938" s="1" t="s">
        <v>185</v>
      </c>
      <c r="E938" s="1" t="s">
        <v>68</v>
      </c>
      <c r="F938">
        <v>86</v>
      </c>
      <c r="G938" s="1" t="s">
        <v>180</v>
      </c>
      <c r="H938">
        <v>86126</v>
      </c>
      <c r="I938">
        <v>20</v>
      </c>
      <c r="J938">
        <v>18</v>
      </c>
      <c r="K938">
        <v>18</v>
      </c>
      <c r="L938">
        <v>1000</v>
      </c>
    </row>
    <row r="939" spans="1:12" hidden="1" x14ac:dyDescent="0.25">
      <c r="A939">
        <v>938</v>
      </c>
      <c r="B939" s="1" t="s">
        <v>12</v>
      </c>
      <c r="C939">
        <v>1939</v>
      </c>
      <c r="D939" s="1" t="s">
        <v>185</v>
      </c>
      <c r="E939" s="1" t="s">
        <v>68</v>
      </c>
      <c r="F939">
        <v>86</v>
      </c>
      <c r="G939" s="1" t="s">
        <v>75</v>
      </c>
      <c r="H939">
        <v>86035</v>
      </c>
      <c r="I939">
        <v>15</v>
      </c>
      <c r="J939">
        <v>14</v>
      </c>
      <c r="K939">
        <v>14</v>
      </c>
      <c r="L939">
        <v>1000</v>
      </c>
    </row>
    <row r="940" spans="1:12" hidden="1" x14ac:dyDescent="0.25">
      <c r="A940">
        <v>939</v>
      </c>
      <c r="B940" s="1" t="s">
        <v>12</v>
      </c>
      <c r="C940">
        <v>1939</v>
      </c>
      <c r="D940" s="1" t="s">
        <v>185</v>
      </c>
      <c r="E940" s="1" t="s">
        <v>68</v>
      </c>
      <c r="F940">
        <v>86</v>
      </c>
      <c r="G940" s="1" t="s">
        <v>135</v>
      </c>
      <c r="H940">
        <v>86133</v>
      </c>
      <c r="I940">
        <v>15</v>
      </c>
      <c r="J940">
        <v>14</v>
      </c>
      <c r="K940">
        <v>14</v>
      </c>
      <c r="L940">
        <v>1000</v>
      </c>
    </row>
    <row r="941" spans="1:12" hidden="1" x14ac:dyDescent="0.25">
      <c r="A941">
        <v>940</v>
      </c>
      <c r="B941" s="1" t="s">
        <v>12</v>
      </c>
      <c r="C941">
        <v>1939</v>
      </c>
      <c r="D941" s="1" t="s">
        <v>185</v>
      </c>
      <c r="E941" s="1" t="s">
        <v>68</v>
      </c>
      <c r="F941">
        <v>86</v>
      </c>
      <c r="G941" s="1" t="s">
        <v>28</v>
      </c>
      <c r="H941">
        <v>86049</v>
      </c>
      <c r="I941">
        <v>12</v>
      </c>
      <c r="J941">
        <v>12</v>
      </c>
      <c r="K941">
        <v>12</v>
      </c>
      <c r="L941">
        <v>1000</v>
      </c>
    </row>
    <row r="942" spans="1:12" hidden="1" x14ac:dyDescent="0.25">
      <c r="A942">
        <v>941</v>
      </c>
      <c r="B942" s="1" t="s">
        <v>12</v>
      </c>
      <c r="C942">
        <v>1939</v>
      </c>
      <c r="D942" s="1" t="s">
        <v>185</v>
      </c>
      <c r="E942" s="1" t="s">
        <v>68</v>
      </c>
      <c r="F942">
        <v>86</v>
      </c>
      <c r="G942" s="1" t="s">
        <v>190</v>
      </c>
      <c r="H942">
        <v>86070</v>
      </c>
      <c r="I942">
        <v>10</v>
      </c>
      <c r="J942">
        <v>9</v>
      </c>
      <c r="K942">
        <v>11</v>
      </c>
      <c r="L942">
        <v>1200</v>
      </c>
    </row>
    <row r="943" spans="1:12" hidden="1" x14ac:dyDescent="0.25">
      <c r="A943">
        <v>942</v>
      </c>
      <c r="B943" s="1" t="s">
        <v>12</v>
      </c>
      <c r="C943">
        <v>1939</v>
      </c>
      <c r="D943" s="1" t="s">
        <v>185</v>
      </c>
      <c r="E943" s="1" t="s">
        <v>68</v>
      </c>
      <c r="F943">
        <v>86</v>
      </c>
      <c r="G943" s="1" t="s">
        <v>191</v>
      </c>
      <c r="H943">
        <v>86084</v>
      </c>
      <c r="I943">
        <v>6</v>
      </c>
      <c r="J943">
        <v>6</v>
      </c>
      <c r="K943">
        <v>6</v>
      </c>
      <c r="L943">
        <v>1000</v>
      </c>
    </row>
    <row r="944" spans="1:12" hidden="1" x14ac:dyDescent="0.25">
      <c r="A944">
        <v>943</v>
      </c>
      <c r="B944" s="1" t="s">
        <v>12</v>
      </c>
      <c r="C944">
        <v>1939</v>
      </c>
      <c r="D944" s="1" t="s">
        <v>185</v>
      </c>
      <c r="E944" s="1" t="s">
        <v>68</v>
      </c>
      <c r="F944">
        <v>86</v>
      </c>
      <c r="G944" s="1" t="s">
        <v>156</v>
      </c>
      <c r="H944">
        <v>86042</v>
      </c>
      <c r="I944">
        <v>5</v>
      </c>
      <c r="J944">
        <v>5</v>
      </c>
      <c r="K944">
        <v>6</v>
      </c>
      <c r="L944">
        <v>1200</v>
      </c>
    </row>
    <row r="945" spans="1:12" hidden="1" x14ac:dyDescent="0.25">
      <c r="A945">
        <v>944</v>
      </c>
      <c r="B945" s="1" t="s">
        <v>12</v>
      </c>
      <c r="C945">
        <v>1939</v>
      </c>
      <c r="D945" s="1" t="s">
        <v>185</v>
      </c>
      <c r="E945" s="1" t="s">
        <v>68</v>
      </c>
      <c r="F945">
        <v>86</v>
      </c>
      <c r="G945" s="1" t="s">
        <v>192</v>
      </c>
      <c r="H945">
        <v>86140</v>
      </c>
      <c r="I945">
        <v>5</v>
      </c>
      <c r="J945">
        <v>5</v>
      </c>
      <c r="K945">
        <v>5</v>
      </c>
      <c r="L945">
        <v>1000</v>
      </c>
    </row>
    <row r="946" spans="1:12" hidden="1" x14ac:dyDescent="0.25">
      <c r="A946">
        <v>945</v>
      </c>
      <c r="B946" s="1" t="s">
        <v>12</v>
      </c>
      <c r="C946">
        <v>1939</v>
      </c>
      <c r="D946" s="1" t="s">
        <v>185</v>
      </c>
      <c r="E946" s="1" t="s">
        <v>68</v>
      </c>
      <c r="F946">
        <v>86</v>
      </c>
      <c r="G946" s="1" t="s">
        <v>73</v>
      </c>
      <c r="H946">
        <v>86147</v>
      </c>
      <c r="I946">
        <v>5</v>
      </c>
      <c r="J946">
        <v>5</v>
      </c>
      <c r="K946">
        <v>5</v>
      </c>
      <c r="L946">
        <v>1000</v>
      </c>
    </row>
    <row r="947" spans="1:12" hidden="1" x14ac:dyDescent="0.25">
      <c r="A947">
        <v>946</v>
      </c>
      <c r="B947" s="1" t="s">
        <v>12</v>
      </c>
      <c r="C947">
        <v>1939</v>
      </c>
      <c r="D947" s="1" t="s">
        <v>185</v>
      </c>
      <c r="E947" s="1" t="s">
        <v>68</v>
      </c>
      <c r="F947">
        <v>86</v>
      </c>
      <c r="G947" s="1" t="s">
        <v>69</v>
      </c>
      <c r="H947">
        <v>86077</v>
      </c>
      <c r="I947">
        <v>5</v>
      </c>
      <c r="J947">
        <v>5</v>
      </c>
      <c r="K947">
        <v>6</v>
      </c>
      <c r="L947">
        <v>1200</v>
      </c>
    </row>
    <row r="948" spans="1:12" hidden="1" x14ac:dyDescent="0.25">
      <c r="A948">
        <v>947</v>
      </c>
      <c r="B948" s="1" t="s">
        <v>12</v>
      </c>
      <c r="C948">
        <v>1939</v>
      </c>
      <c r="D948" s="1" t="s">
        <v>185</v>
      </c>
      <c r="E948" s="1" t="s">
        <v>68</v>
      </c>
      <c r="F948">
        <v>86</v>
      </c>
      <c r="G948" s="1" t="s">
        <v>136</v>
      </c>
      <c r="H948">
        <v>86091</v>
      </c>
      <c r="I948">
        <v>2</v>
      </c>
      <c r="J948">
        <v>2</v>
      </c>
      <c r="K948">
        <v>2</v>
      </c>
      <c r="L948">
        <v>1000</v>
      </c>
    </row>
    <row r="949" spans="1:12" hidden="1" x14ac:dyDescent="0.25">
      <c r="A949">
        <v>948</v>
      </c>
      <c r="B949" s="1" t="s">
        <v>12</v>
      </c>
      <c r="C949">
        <v>1939</v>
      </c>
      <c r="D949" s="1" t="s">
        <v>185</v>
      </c>
      <c r="E949" s="1" t="s">
        <v>77</v>
      </c>
      <c r="F949">
        <v>90</v>
      </c>
      <c r="G949" s="1" t="s">
        <v>78</v>
      </c>
      <c r="H949">
        <v>90007</v>
      </c>
      <c r="I949">
        <v>610</v>
      </c>
      <c r="J949">
        <v>500</v>
      </c>
      <c r="K949">
        <v>700</v>
      </c>
      <c r="L949">
        <v>1400</v>
      </c>
    </row>
    <row r="950" spans="1:12" hidden="1" x14ac:dyDescent="0.25">
      <c r="A950">
        <v>949</v>
      </c>
      <c r="B950" s="1" t="s">
        <v>12</v>
      </c>
      <c r="C950">
        <v>1939</v>
      </c>
      <c r="D950" s="1" t="s">
        <v>185</v>
      </c>
      <c r="E950" s="1" t="s">
        <v>77</v>
      </c>
      <c r="F950">
        <v>90</v>
      </c>
      <c r="G950" s="1" t="s">
        <v>92</v>
      </c>
      <c r="H950">
        <v>90056</v>
      </c>
      <c r="I950">
        <v>520</v>
      </c>
      <c r="J950">
        <v>450</v>
      </c>
      <c r="K950">
        <v>553</v>
      </c>
      <c r="L950">
        <v>1230</v>
      </c>
    </row>
    <row r="951" spans="1:12" hidden="1" x14ac:dyDescent="0.25">
      <c r="A951">
        <v>950</v>
      </c>
      <c r="B951" s="1" t="s">
        <v>12</v>
      </c>
      <c r="C951">
        <v>1939</v>
      </c>
      <c r="D951" s="1" t="s">
        <v>185</v>
      </c>
      <c r="E951" s="1" t="s">
        <v>77</v>
      </c>
      <c r="F951">
        <v>90</v>
      </c>
      <c r="G951" s="1" t="s">
        <v>91</v>
      </c>
      <c r="H951">
        <v>90014</v>
      </c>
      <c r="I951">
        <v>514</v>
      </c>
      <c r="J951">
        <v>450</v>
      </c>
      <c r="K951">
        <v>630</v>
      </c>
      <c r="L951">
        <v>1400</v>
      </c>
    </row>
    <row r="952" spans="1:12" hidden="1" x14ac:dyDescent="0.25">
      <c r="A952">
        <v>951</v>
      </c>
      <c r="B952" s="1" t="s">
        <v>12</v>
      </c>
      <c r="C952">
        <v>1939</v>
      </c>
      <c r="D952" s="1" t="s">
        <v>185</v>
      </c>
      <c r="E952" s="1" t="s">
        <v>77</v>
      </c>
      <c r="F952">
        <v>90</v>
      </c>
      <c r="G952" s="1" t="s">
        <v>93</v>
      </c>
      <c r="H952">
        <v>90070</v>
      </c>
      <c r="I952">
        <v>66</v>
      </c>
      <c r="J952">
        <v>60</v>
      </c>
      <c r="K952">
        <v>84</v>
      </c>
      <c r="L952">
        <v>1400</v>
      </c>
    </row>
    <row r="953" spans="1:12" hidden="1" x14ac:dyDescent="0.25">
      <c r="A953">
        <v>952</v>
      </c>
      <c r="B953" s="1" t="s">
        <v>12</v>
      </c>
      <c r="C953">
        <v>1939</v>
      </c>
      <c r="D953" s="1" t="s">
        <v>185</v>
      </c>
      <c r="E953" s="1" t="s">
        <v>77</v>
      </c>
      <c r="F953">
        <v>90</v>
      </c>
      <c r="G953" s="1" t="s">
        <v>109</v>
      </c>
      <c r="H953">
        <v>90077</v>
      </c>
      <c r="I953">
        <v>50</v>
      </c>
      <c r="J953">
        <v>47</v>
      </c>
      <c r="K953">
        <v>66</v>
      </c>
      <c r="L953">
        <v>1400</v>
      </c>
    </row>
    <row r="954" spans="1:12" hidden="1" x14ac:dyDescent="0.25">
      <c r="A954">
        <v>953</v>
      </c>
      <c r="B954" s="1" t="s">
        <v>12</v>
      </c>
      <c r="C954">
        <v>1939</v>
      </c>
      <c r="D954" s="1" t="s">
        <v>185</v>
      </c>
      <c r="E954" s="1" t="s">
        <v>77</v>
      </c>
      <c r="F954">
        <v>90</v>
      </c>
      <c r="G954" s="1" t="s">
        <v>95</v>
      </c>
      <c r="H954">
        <v>90035</v>
      </c>
      <c r="I954">
        <v>40</v>
      </c>
      <c r="J954">
        <v>40</v>
      </c>
      <c r="K954">
        <v>60</v>
      </c>
      <c r="L954">
        <v>1500</v>
      </c>
    </row>
    <row r="955" spans="1:12" hidden="1" x14ac:dyDescent="0.25">
      <c r="A955">
        <v>954</v>
      </c>
      <c r="B955" s="1" t="s">
        <v>12</v>
      </c>
      <c r="C955">
        <v>1939</v>
      </c>
      <c r="D955" s="1" t="s">
        <v>185</v>
      </c>
      <c r="E955" s="1" t="s">
        <v>77</v>
      </c>
      <c r="F955">
        <v>90</v>
      </c>
      <c r="G955" s="1" t="s">
        <v>89</v>
      </c>
      <c r="H955">
        <v>90028</v>
      </c>
      <c r="I955">
        <v>30</v>
      </c>
      <c r="J955">
        <v>30</v>
      </c>
      <c r="K955">
        <v>39</v>
      </c>
      <c r="L955">
        <v>1300</v>
      </c>
    </row>
    <row r="956" spans="1:12" hidden="1" x14ac:dyDescent="0.25">
      <c r="A956">
        <v>955</v>
      </c>
      <c r="B956" s="1" t="s">
        <v>12</v>
      </c>
      <c r="C956">
        <v>1939</v>
      </c>
      <c r="D956" s="1" t="s">
        <v>185</v>
      </c>
      <c r="E956" s="1" t="s">
        <v>77</v>
      </c>
      <c r="F956">
        <v>90</v>
      </c>
      <c r="G956" s="1" t="s">
        <v>90</v>
      </c>
      <c r="H956">
        <v>90112</v>
      </c>
      <c r="I956">
        <v>28</v>
      </c>
      <c r="J956">
        <v>26</v>
      </c>
      <c r="K956">
        <v>31</v>
      </c>
      <c r="L956">
        <v>1200</v>
      </c>
    </row>
    <row r="957" spans="1:12" hidden="1" x14ac:dyDescent="0.25">
      <c r="A957">
        <v>956</v>
      </c>
      <c r="B957" s="1" t="s">
        <v>12</v>
      </c>
      <c r="C957">
        <v>1939</v>
      </c>
      <c r="D957" s="1" t="s">
        <v>185</v>
      </c>
      <c r="E957" s="1" t="s">
        <v>77</v>
      </c>
      <c r="F957">
        <v>90</v>
      </c>
      <c r="G957" s="1" t="s">
        <v>110</v>
      </c>
      <c r="H957">
        <v>90021</v>
      </c>
      <c r="I957">
        <v>20</v>
      </c>
      <c r="J957">
        <v>20</v>
      </c>
      <c r="K957">
        <v>28</v>
      </c>
      <c r="L957">
        <v>1400</v>
      </c>
    </row>
    <row r="958" spans="1:12" hidden="1" x14ac:dyDescent="0.25">
      <c r="A958">
        <v>957</v>
      </c>
      <c r="B958" s="1" t="s">
        <v>12</v>
      </c>
      <c r="C958">
        <v>1939</v>
      </c>
      <c r="D958" s="1" t="s">
        <v>185</v>
      </c>
      <c r="E958" s="1" t="s">
        <v>77</v>
      </c>
      <c r="F958">
        <v>90</v>
      </c>
      <c r="G958" s="1" t="s">
        <v>94</v>
      </c>
      <c r="H958">
        <v>90105</v>
      </c>
      <c r="I958">
        <v>5</v>
      </c>
      <c r="J958">
        <v>5</v>
      </c>
      <c r="K958">
        <v>7</v>
      </c>
      <c r="L958">
        <v>1400</v>
      </c>
    </row>
    <row r="959" spans="1:12" hidden="1" x14ac:dyDescent="0.25">
      <c r="A959">
        <v>958</v>
      </c>
      <c r="B959" s="1" t="s">
        <v>12</v>
      </c>
      <c r="C959">
        <v>1939</v>
      </c>
      <c r="D959" s="1" t="s">
        <v>185</v>
      </c>
      <c r="E959" s="1" t="s">
        <v>77</v>
      </c>
      <c r="F959">
        <v>90</v>
      </c>
      <c r="G959" s="1" t="s">
        <v>28</v>
      </c>
      <c r="H959">
        <v>90084</v>
      </c>
      <c r="I959">
        <v>2</v>
      </c>
      <c r="J959">
        <v>2</v>
      </c>
      <c r="K959">
        <v>2</v>
      </c>
      <c r="L959">
        <v>1200</v>
      </c>
    </row>
    <row r="960" spans="1:12" hidden="1" x14ac:dyDescent="0.25">
      <c r="A960">
        <v>959</v>
      </c>
      <c r="B960" s="1" t="s">
        <v>12</v>
      </c>
      <c r="C960">
        <v>1940</v>
      </c>
      <c r="D960" s="1" t="s">
        <v>193</v>
      </c>
      <c r="E960" s="1" t="s">
        <v>14</v>
      </c>
      <c r="F960">
        <v>22</v>
      </c>
      <c r="G960" s="1" t="s">
        <v>17</v>
      </c>
      <c r="H960">
        <v>22140</v>
      </c>
      <c r="I960">
        <v>208</v>
      </c>
      <c r="J960">
        <v>175</v>
      </c>
      <c r="K960">
        <v>131</v>
      </c>
      <c r="L960">
        <v>748</v>
      </c>
    </row>
    <row r="961" spans="1:12" hidden="1" x14ac:dyDescent="0.25">
      <c r="A961">
        <v>960</v>
      </c>
      <c r="B961" s="1" t="s">
        <v>12</v>
      </c>
      <c r="C961">
        <v>1940</v>
      </c>
      <c r="D961" s="1" t="s">
        <v>193</v>
      </c>
      <c r="E961" s="1" t="s">
        <v>14</v>
      </c>
      <c r="F961">
        <v>22</v>
      </c>
      <c r="G961" s="1" t="s">
        <v>16</v>
      </c>
      <c r="H961">
        <v>22049</v>
      </c>
      <c r="I961">
        <v>130</v>
      </c>
      <c r="J961">
        <v>75</v>
      </c>
      <c r="K961">
        <v>60</v>
      </c>
      <c r="L961">
        <v>800</v>
      </c>
    </row>
    <row r="962" spans="1:12" hidden="1" x14ac:dyDescent="0.25">
      <c r="A962">
        <v>961</v>
      </c>
      <c r="B962" s="1" t="s">
        <v>12</v>
      </c>
      <c r="C962">
        <v>1940</v>
      </c>
      <c r="D962" s="1" t="s">
        <v>193</v>
      </c>
      <c r="E962" s="1" t="s">
        <v>14</v>
      </c>
      <c r="F962">
        <v>22</v>
      </c>
      <c r="G962" s="1" t="s">
        <v>15</v>
      </c>
      <c r="H962">
        <v>22105</v>
      </c>
      <c r="I962">
        <v>37</v>
      </c>
      <c r="J962">
        <v>25</v>
      </c>
      <c r="K962">
        <v>23</v>
      </c>
      <c r="L962">
        <v>920</v>
      </c>
    </row>
    <row r="963" spans="1:12" hidden="1" x14ac:dyDescent="0.25">
      <c r="A963">
        <v>962</v>
      </c>
      <c r="B963" s="1" t="s">
        <v>12</v>
      </c>
      <c r="C963">
        <v>1940</v>
      </c>
      <c r="D963" s="1" t="s">
        <v>193</v>
      </c>
      <c r="E963" s="1" t="s">
        <v>14</v>
      </c>
      <c r="F963">
        <v>22</v>
      </c>
      <c r="G963" s="1" t="s">
        <v>18</v>
      </c>
      <c r="H963">
        <v>22084</v>
      </c>
      <c r="I963">
        <v>30</v>
      </c>
      <c r="J963">
        <v>30</v>
      </c>
      <c r="K963">
        <v>24</v>
      </c>
      <c r="L963">
        <v>800</v>
      </c>
    </row>
    <row r="964" spans="1:12" hidden="1" x14ac:dyDescent="0.25">
      <c r="A964">
        <v>963</v>
      </c>
      <c r="B964" s="1" t="s">
        <v>12</v>
      </c>
      <c r="C964">
        <v>1940</v>
      </c>
      <c r="D964" s="1" t="s">
        <v>193</v>
      </c>
      <c r="E964" s="1" t="s">
        <v>14</v>
      </c>
      <c r="F964">
        <v>22</v>
      </c>
      <c r="G964" s="1" t="s">
        <v>19</v>
      </c>
      <c r="H964">
        <v>22014</v>
      </c>
      <c r="I964">
        <v>20</v>
      </c>
      <c r="J964">
        <v>20</v>
      </c>
      <c r="K964">
        <v>18</v>
      </c>
      <c r="L964">
        <v>900</v>
      </c>
    </row>
    <row r="965" spans="1:12" hidden="1" x14ac:dyDescent="0.25">
      <c r="A965">
        <v>964</v>
      </c>
      <c r="B965" s="1" t="s">
        <v>12</v>
      </c>
      <c r="C965">
        <v>1940</v>
      </c>
      <c r="D965" s="1" t="s">
        <v>193</v>
      </c>
      <c r="E965" s="1" t="s">
        <v>14</v>
      </c>
      <c r="F965">
        <v>22</v>
      </c>
      <c r="G965" s="1" t="s">
        <v>168</v>
      </c>
      <c r="H965">
        <v>22063</v>
      </c>
      <c r="I965">
        <v>8</v>
      </c>
      <c r="J965">
        <v>5</v>
      </c>
      <c r="K965">
        <v>3</v>
      </c>
      <c r="L965">
        <v>600</v>
      </c>
    </row>
    <row r="966" spans="1:12" hidden="1" x14ac:dyDescent="0.25">
      <c r="A966">
        <v>965</v>
      </c>
      <c r="B966" s="1" t="s">
        <v>12</v>
      </c>
      <c r="C966">
        <v>1940</v>
      </c>
      <c r="D966" s="1" t="s">
        <v>193</v>
      </c>
      <c r="E966" s="1" t="s">
        <v>14</v>
      </c>
      <c r="F966">
        <v>22</v>
      </c>
      <c r="G966" s="1" t="s">
        <v>21</v>
      </c>
      <c r="H966">
        <v>22161</v>
      </c>
      <c r="I966">
        <v>8</v>
      </c>
      <c r="J966">
        <v>8</v>
      </c>
      <c r="K966">
        <v>6</v>
      </c>
      <c r="L966">
        <v>750</v>
      </c>
    </row>
    <row r="967" spans="1:12" hidden="1" x14ac:dyDescent="0.25">
      <c r="A967">
        <v>966</v>
      </c>
      <c r="B967" s="1" t="s">
        <v>12</v>
      </c>
      <c r="C967">
        <v>1940</v>
      </c>
      <c r="D967" s="1" t="s">
        <v>193</v>
      </c>
      <c r="E967" s="1" t="s">
        <v>14</v>
      </c>
      <c r="F967">
        <v>22</v>
      </c>
      <c r="G967" s="1" t="s">
        <v>20</v>
      </c>
      <c r="H967">
        <v>22091</v>
      </c>
      <c r="I967">
        <v>5</v>
      </c>
      <c r="J967">
        <v>5</v>
      </c>
      <c r="K967">
        <v>5</v>
      </c>
      <c r="L967">
        <v>1000</v>
      </c>
    </row>
    <row r="968" spans="1:12" hidden="1" x14ac:dyDescent="0.25">
      <c r="A968">
        <v>967</v>
      </c>
      <c r="B968" s="1" t="s">
        <v>12</v>
      </c>
      <c r="C968">
        <v>1940</v>
      </c>
      <c r="D968" s="1" t="s">
        <v>193</v>
      </c>
      <c r="E968" s="1" t="s">
        <v>22</v>
      </c>
      <c r="F968">
        <v>14</v>
      </c>
      <c r="G968" s="1" t="s">
        <v>183</v>
      </c>
      <c r="H968">
        <v>14007</v>
      </c>
      <c r="I968">
        <v>17950</v>
      </c>
      <c r="J968">
        <v>16250</v>
      </c>
      <c r="K968">
        <v>11700</v>
      </c>
      <c r="L968">
        <v>720</v>
      </c>
    </row>
    <row r="969" spans="1:12" hidden="1" x14ac:dyDescent="0.25">
      <c r="A969">
        <v>968</v>
      </c>
      <c r="B969" s="1" t="s">
        <v>12</v>
      </c>
      <c r="C969">
        <v>1940</v>
      </c>
      <c r="D969" s="1" t="s">
        <v>193</v>
      </c>
      <c r="E969" s="1" t="s">
        <v>22</v>
      </c>
      <c r="F969">
        <v>14</v>
      </c>
      <c r="G969" s="1" t="s">
        <v>23</v>
      </c>
      <c r="H969">
        <v>14147</v>
      </c>
      <c r="I969">
        <v>12812</v>
      </c>
      <c r="J969">
        <v>10360</v>
      </c>
      <c r="K969">
        <v>12430</v>
      </c>
      <c r="L969">
        <v>1200</v>
      </c>
    </row>
    <row r="970" spans="1:12" hidden="1" x14ac:dyDescent="0.25">
      <c r="A970">
        <v>969</v>
      </c>
      <c r="B970" s="1" t="s">
        <v>12</v>
      </c>
      <c r="C970">
        <v>1940</v>
      </c>
      <c r="D970" s="1" t="s">
        <v>193</v>
      </c>
      <c r="E970" s="1" t="s">
        <v>22</v>
      </c>
      <c r="F970">
        <v>14</v>
      </c>
      <c r="G970" s="1" t="s">
        <v>24</v>
      </c>
      <c r="H970">
        <v>14119</v>
      </c>
      <c r="I970">
        <v>8280</v>
      </c>
      <c r="J970">
        <v>7180</v>
      </c>
      <c r="K970">
        <v>7897</v>
      </c>
      <c r="L970">
        <v>1100</v>
      </c>
    </row>
    <row r="971" spans="1:12" hidden="1" x14ac:dyDescent="0.25">
      <c r="A971">
        <v>970</v>
      </c>
      <c r="B971" s="1" t="s">
        <v>12</v>
      </c>
      <c r="C971">
        <v>1940</v>
      </c>
      <c r="D971" s="1" t="s">
        <v>193</v>
      </c>
      <c r="E971" s="1" t="s">
        <v>22</v>
      </c>
      <c r="F971">
        <v>14</v>
      </c>
      <c r="G971" s="1" t="s">
        <v>97</v>
      </c>
      <c r="H971">
        <v>14007</v>
      </c>
      <c r="I971">
        <v>3600</v>
      </c>
      <c r="J971">
        <v>3100</v>
      </c>
      <c r="K971">
        <v>3720</v>
      </c>
      <c r="L971">
        <v>1200</v>
      </c>
    </row>
    <row r="972" spans="1:12" hidden="1" x14ac:dyDescent="0.25">
      <c r="A972">
        <v>971</v>
      </c>
      <c r="B972" s="1" t="s">
        <v>12</v>
      </c>
      <c r="C972">
        <v>1940</v>
      </c>
      <c r="D972" s="1" t="s">
        <v>193</v>
      </c>
      <c r="E972" s="1" t="s">
        <v>22</v>
      </c>
      <c r="F972">
        <v>14</v>
      </c>
      <c r="G972" s="1" t="s">
        <v>25</v>
      </c>
      <c r="H972">
        <v>14105</v>
      </c>
      <c r="I972">
        <v>2000</v>
      </c>
      <c r="J972">
        <v>1700</v>
      </c>
      <c r="K972">
        <v>1360</v>
      </c>
      <c r="L972">
        <v>800</v>
      </c>
    </row>
    <row r="973" spans="1:12" hidden="1" x14ac:dyDescent="0.25">
      <c r="A973">
        <v>972</v>
      </c>
      <c r="B973" s="1" t="s">
        <v>12</v>
      </c>
      <c r="C973">
        <v>1940</v>
      </c>
      <c r="D973" s="1" t="s">
        <v>193</v>
      </c>
      <c r="E973" s="1" t="s">
        <v>22</v>
      </c>
      <c r="F973">
        <v>14</v>
      </c>
      <c r="G973" s="1" t="s">
        <v>28</v>
      </c>
      <c r="H973">
        <v>14014</v>
      </c>
      <c r="I973">
        <v>800</v>
      </c>
      <c r="J973">
        <v>800</v>
      </c>
      <c r="K973">
        <v>960</v>
      </c>
      <c r="L973">
        <v>1200</v>
      </c>
    </row>
    <row r="974" spans="1:12" hidden="1" x14ac:dyDescent="0.25">
      <c r="A974">
        <v>973</v>
      </c>
      <c r="B974" s="1" t="s">
        <v>12</v>
      </c>
      <c r="C974">
        <v>1940</v>
      </c>
      <c r="D974" s="1" t="s">
        <v>193</v>
      </c>
      <c r="E974" s="1" t="s">
        <v>22</v>
      </c>
      <c r="F974">
        <v>14</v>
      </c>
      <c r="G974" s="1" t="s">
        <v>67</v>
      </c>
      <c r="H974">
        <v>14140</v>
      </c>
      <c r="I974">
        <v>600</v>
      </c>
      <c r="J974">
        <v>600</v>
      </c>
      <c r="K974">
        <v>420</v>
      </c>
      <c r="L974">
        <v>700</v>
      </c>
    </row>
    <row r="975" spans="1:12" hidden="1" x14ac:dyDescent="0.25">
      <c r="A975">
        <v>974</v>
      </c>
      <c r="B975" s="1" t="s">
        <v>12</v>
      </c>
      <c r="C975">
        <v>1940</v>
      </c>
      <c r="D975" s="1" t="s">
        <v>193</v>
      </c>
      <c r="E975" s="1" t="s">
        <v>22</v>
      </c>
      <c r="F975">
        <v>14</v>
      </c>
      <c r="G975" s="1" t="s">
        <v>184</v>
      </c>
      <c r="H975">
        <v>14042</v>
      </c>
      <c r="I975">
        <v>270</v>
      </c>
      <c r="J975">
        <v>270</v>
      </c>
      <c r="K975">
        <v>297</v>
      </c>
      <c r="L975">
        <v>1100</v>
      </c>
    </row>
    <row r="976" spans="1:12" hidden="1" x14ac:dyDescent="0.25">
      <c r="A976">
        <v>975</v>
      </c>
      <c r="B976" s="1" t="s">
        <v>12</v>
      </c>
      <c r="C976">
        <v>1940</v>
      </c>
      <c r="D976" s="1" t="s">
        <v>193</v>
      </c>
      <c r="E976" s="1" t="s">
        <v>22</v>
      </c>
      <c r="F976">
        <v>14</v>
      </c>
      <c r="G976" s="1" t="s">
        <v>27</v>
      </c>
      <c r="H976">
        <v>14021</v>
      </c>
      <c r="I976">
        <v>200</v>
      </c>
      <c r="J976">
        <v>200</v>
      </c>
      <c r="K976">
        <v>130</v>
      </c>
      <c r="L976">
        <v>650</v>
      </c>
    </row>
    <row r="977" spans="1:12" hidden="1" x14ac:dyDescent="0.25">
      <c r="A977">
        <v>976</v>
      </c>
      <c r="B977" s="1" t="s">
        <v>12</v>
      </c>
      <c r="C977">
        <v>1940</v>
      </c>
      <c r="D977" s="1" t="s">
        <v>193</v>
      </c>
      <c r="E977" s="1" t="s">
        <v>22</v>
      </c>
      <c r="F977">
        <v>14</v>
      </c>
      <c r="G977" s="1" t="s">
        <v>29</v>
      </c>
      <c r="H977">
        <v>14098</v>
      </c>
      <c r="I977">
        <v>150</v>
      </c>
      <c r="J977">
        <v>130</v>
      </c>
      <c r="K977">
        <v>143</v>
      </c>
      <c r="L977">
        <v>1100</v>
      </c>
    </row>
    <row r="978" spans="1:12" hidden="1" x14ac:dyDescent="0.25">
      <c r="A978">
        <v>977</v>
      </c>
      <c r="B978" s="1" t="s">
        <v>12</v>
      </c>
      <c r="C978">
        <v>1940</v>
      </c>
      <c r="D978" s="1" t="s">
        <v>193</v>
      </c>
      <c r="E978" s="1" t="s">
        <v>22</v>
      </c>
      <c r="F978">
        <v>14</v>
      </c>
      <c r="G978" s="1" t="s">
        <v>169</v>
      </c>
      <c r="H978">
        <v>14126</v>
      </c>
      <c r="I978">
        <v>100</v>
      </c>
      <c r="J978">
        <v>100</v>
      </c>
      <c r="K978">
        <v>150</v>
      </c>
      <c r="L978">
        <v>1500</v>
      </c>
    </row>
    <row r="979" spans="1:12" hidden="1" x14ac:dyDescent="0.25">
      <c r="A979">
        <v>978</v>
      </c>
      <c r="B979" s="1" t="s">
        <v>12</v>
      </c>
      <c r="C979">
        <v>1940</v>
      </c>
      <c r="D979" s="1" t="s">
        <v>193</v>
      </c>
      <c r="E979" s="1" t="s">
        <v>22</v>
      </c>
      <c r="F979">
        <v>14</v>
      </c>
      <c r="G979" s="1" t="s">
        <v>62</v>
      </c>
      <c r="H979">
        <v>14133</v>
      </c>
      <c r="I979">
        <v>80</v>
      </c>
      <c r="J979">
        <v>80</v>
      </c>
      <c r="K979">
        <v>144</v>
      </c>
      <c r="L979">
        <v>1800</v>
      </c>
    </row>
    <row r="980" spans="1:12" hidden="1" x14ac:dyDescent="0.25">
      <c r="A980">
        <v>979</v>
      </c>
      <c r="B980" s="1" t="s">
        <v>12</v>
      </c>
      <c r="C980">
        <v>1940</v>
      </c>
      <c r="D980" s="1" t="s">
        <v>193</v>
      </c>
      <c r="E980" s="1" t="s">
        <v>22</v>
      </c>
      <c r="F980">
        <v>14</v>
      </c>
      <c r="G980" s="1" t="s">
        <v>114</v>
      </c>
      <c r="H980">
        <v>14168</v>
      </c>
      <c r="I980">
        <v>45</v>
      </c>
      <c r="J980">
        <v>45</v>
      </c>
      <c r="K980">
        <v>29</v>
      </c>
      <c r="L980">
        <v>644</v>
      </c>
    </row>
    <row r="981" spans="1:12" hidden="1" x14ac:dyDescent="0.25">
      <c r="A981">
        <v>980</v>
      </c>
      <c r="B981" s="1" t="s">
        <v>12</v>
      </c>
      <c r="C981">
        <v>1940</v>
      </c>
      <c r="D981" s="1" t="s">
        <v>193</v>
      </c>
      <c r="E981" s="1" t="s">
        <v>22</v>
      </c>
      <c r="F981">
        <v>14</v>
      </c>
      <c r="G981" s="1" t="s">
        <v>186</v>
      </c>
      <c r="H981">
        <v>14175</v>
      </c>
      <c r="I981">
        <v>33</v>
      </c>
      <c r="J981">
        <v>33</v>
      </c>
      <c r="K981">
        <v>19</v>
      </c>
      <c r="L981">
        <v>576</v>
      </c>
    </row>
    <row r="982" spans="1:12" hidden="1" x14ac:dyDescent="0.25">
      <c r="A982">
        <v>981</v>
      </c>
      <c r="B982" s="1" t="s">
        <v>12</v>
      </c>
      <c r="C982">
        <v>1940</v>
      </c>
      <c r="D982" s="1" t="s">
        <v>193</v>
      </c>
      <c r="E982" s="1" t="s">
        <v>22</v>
      </c>
      <c r="F982">
        <v>14</v>
      </c>
      <c r="G982" s="1" t="s">
        <v>194</v>
      </c>
      <c r="H982">
        <v>14077</v>
      </c>
      <c r="I982">
        <v>28</v>
      </c>
      <c r="J982">
        <v>24</v>
      </c>
      <c r="K982">
        <v>31</v>
      </c>
      <c r="L982">
        <v>1292</v>
      </c>
    </row>
    <row r="983" spans="1:12" hidden="1" x14ac:dyDescent="0.25">
      <c r="A983">
        <v>982</v>
      </c>
      <c r="B983" s="1" t="s">
        <v>12</v>
      </c>
      <c r="C983">
        <v>1940</v>
      </c>
      <c r="D983" s="1" t="s">
        <v>193</v>
      </c>
      <c r="E983" s="1" t="s">
        <v>22</v>
      </c>
      <c r="F983">
        <v>14</v>
      </c>
      <c r="G983" s="1" t="s">
        <v>170</v>
      </c>
      <c r="H983">
        <v>14049</v>
      </c>
      <c r="I983">
        <v>25</v>
      </c>
      <c r="J983">
        <v>25</v>
      </c>
      <c r="K983">
        <v>16</v>
      </c>
      <c r="L983">
        <v>640</v>
      </c>
    </row>
    <row r="984" spans="1:12" hidden="1" x14ac:dyDescent="0.25">
      <c r="A984">
        <v>983</v>
      </c>
      <c r="B984" s="1" t="s">
        <v>12</v>
      </c>
      <c r="C984">
        <v>1940</v>
      </c>
      <c r="D984" s="1" t="s">
        <v>193</v>
      </c>
      <c r="E984" s="1" t="s">
        <v>22</v>
      </c>
      <c r="F984">
        <v>14</v>
      </c>
      <c r="G984" s="1" t="s">
        <v>173</v>
      </c>
      <c r="H984">
        <v>14028</v>
      </c>
      <c r="I984">
        <v>15</v>
      </c>
      <c r="J984">
        <v>15</v>
      </c>
      <c r="K984">
        <v>9</v>
      </c>
      <c r="L984">
        <v>600</v>
      </c>
    </row>
    <row r="985" spans="1:12" hidden="1" x14ac:dyDescent="0.25">
      <c r="A985">
        <v>984</v>
      </c>
      <c r="B985" s="1" t="s">
        <v>12</v>
      </c>
      <c r="C985">
        <v>1940</v>
      </c>
      <c r="D985" s="1" t="s">
        <v>193</v>
      </c>
      <c r="E985" s="1" t="s">
        <v>22</v>
      </c>
      <c r="F985">
        <v>14</v>
      </c>
      <c r="G985" s="1" t="s">
        <v>171</v>
      </c>
      <c r="H985">
        <v>14112</v>
      </c>
      <c r="I985">
        <v>9</v>
      </c>
      <c r="J985">
        <v>9</v>
      </c>
      <c r="K985">
        <v>4</v>
      </c>
      <c r="L985">
        <v>444</v>
      </c>
    </row>
    <row r="986" spans="1:12" hidden="1" x14ac:dyDescent="0.25">
      <c r="A986">
        <v>985</v>
      </c>
      <c r="B986" s="1" t="s">
        <v>12</v>
      </c>
      <c r="C986">
        <v>1940</v>
      </c>
      <c r="D986" s="1" t="s">
        <v>193</v>
      </c>
      <c r="E986" s="1" t="s">
        <v>22</v>
      </c>
      <c r="F986">
        <v>14</v>
      </c>
      <c r="G986" s="1" t="s">
        <v>174</v>
      </c>
      <c r="H986">
        <v>14070</v>
      </c>
      <c r="I986">
        <v>3</v>
      </c>
      <c r="J986">
        <v>3</v>
      </c>
      <c r="K986">
        <v>1</v>
      </c>
      <c r="L986">
        <v>333</v>
      </c>
    </row>
    <row r="987" spans="1:12" hidden="1" x14ac:dyDescent="0.25">
      <c r="A987">
        <v>986</v>
      </c>
      <c r="B987" s="1" t="s">
        <v>12</v>
      </c>
      <c r="C987">
        <v>1940</v>
      </c>
      <c r="D987" s="1" t="s">
        <v>193</v>
      </c>
      <c r="E987" s="1" t="s">
        <v>30</v>
      </c>
      <c r="F987">
        <v>18</v>
      </c>
      <c r="G987" s="1" t="s">
        <v>32</v>
      </c>
      <c r="H987">
        <v>18112</v>
      </c>
      <c r="I987">
        <v>380</v>
      </c>
      <c r="J987">
        <v>365</v>
      </c>
      <c r="K987">
        <v>247</v>
      </c>
      <c r="L987">
        <v>677</v>
      </c>
    </row>
    <row r="988" spans="1:12" hidden="1" x14ac:dyDescent="0.25">
      <c r="A988">
        <v>987</v>
      </c>
      <c r="B988" s="1" t="s">
        <v>12</v>
      </c>
      <c r="C988">
        <v>1940</v>
      </c>
      <c r="D988" s="1" t="s">
        <v>193</v>
      </c>
      <c r="E988" s="1" t="s">
        <v>30</v>
      </c>
      <c r="F988">
        <v>18</v>
      </c>
      <c r="G988" s="1" t="s">
        <v>35</v>
      </c>
      <c r="H988">
        <v>18049</v>
      </c>
      <c r="I988">
        <v>105</v>
      </c>
      <c r="J988">
        <v>100</v>
      </c>
      <c r="K988">
        <v>65</v>
      </c>
      <c r="L988">
        <v>650</v>
      </c>
    </row>
    <row r="989" spans="1:12" hidden="1" x14ac:dyDescent="0.25">
      <c r="A989">
        <v>988</v>
      </c>
      <c r="B989" s="1" t="s">
        <v>12</v>
      </c>
      <c r="C989">
        <v>1940</v>
      </c>
      <c r="D989" s="1" t="s">
        <v>193</v>
      </c>
      <c r="E989" s="1" t="s">
        <v>30</v>
      </c>
      <c r="F989">
        <v>18</v>
      </c>
      <c r="G989" s="1" t="s">
        <v>34</v>
      </c>
      <c r="H989">
        <v>18042</v>
      </c>
      <c r="I989">
        <v>90</v>
      </c>
      <c r="J989">
        <v>60</v>
      </c>
      <c r="K989">
        <v>54</v>
      </c>
      <c r="L989">
        <v>900</v>
      </c>
    </row>
    <row r="990" spans="1:12" hidden="1" x14ac:dyDescent="0.25">
      <c r="A990">
        <v>989</v>
      </c>
      <c r="B990" s="1" t="s">
        <v>12</v>
      </c>
      <c r="C990">
        <v>1940</v>
      </c>
      <c r="D990" s="1" t="s">
        <v>193</v>
      </c>
      <c r="E990" s="1" t="s">
        <v>30</v>
      </c>
      <c r="F990">
        <v>18</v>
      </c>
      <c r="G990" s="1" t="s">
        <v>63</v>
      </c>
      <c r="H990">
        <v>18028</v>
      </c>
      <c r="I990">
        <v>80</v>
      </c>
      <c r="J990">
        <v>45</v>
      </c>
      <c r="K990">
        <v>36</v>
      </c>
      <c r="L990">
        <v>800</v>
      </c>
    </row>
    <row r="991" spans="1:12" hidden="1" x14ac:dyDescent="0.25">
      <c r="A991">
        <v>990</v>
      </c>
      <c r="B991" s="1" t="s">
        <v>12</v>
      </c>
      <c r="C991">
        <v>1940</v>
      </c>
      <c r="D991" s="1" t="s">
        <v>193</v>
      </c>
      <c r="E991" s="1" t="s">
        <v>30</v>
      </c>
      <c r="F991">
        <v>18</v>
      </c>
      <c r="G991" s="1" t="s">
        <v>42</v>
      </c>
      <c r="H991">
        <v>18035</v>
      </c>
      <c r="I991">
        <v>70</v>
      </c>
      <c r="J991">
        <v>65</v>
      </c>
      <c r="K991">
        <v>39</v>
      </c>
      <c r="L991">
        <v>600</v>
      </c>
    </row>
    <row r="992" spans="1:12" hidden="1" x14ac:dyDescent="0.25">
      <c r="A992">
        <v>991</v>
      </c>
      <c r="B992" s="1" t="s">
        <v>12</v>
      </c>
      <c r="C992">
        <v>1940</v>
      </c>
      <c r="D992" s="1" t="s">
        <v>193</v>
      </c>
      <c r="E992" s="1" t="s">
        <v>30</v>
      </c>
      <c r="F992">
        <v>18</v>
      </c>
      <c r="G992" s="1" t="s">
        <v>40</v>
      </c>
      <c r="H992">
        <v>18126</v>
      </c>
      <c r="I992">
        <v>70</v>
      </c>
      <c r="J992">
        <v>40</v>
      </c>
      <c r="K992">
        <v>32</v>
      </c>
      <c r="L992">
        <v>800</v>
      </c>
    </row>
    <row r="993" spans="1:12" hidden="1" x14ac:dyDescent="0.25">
      <c r="A993">
        <v>992</v>
      </c>
      <c r="B993" s="1" t="s">
        <v>12</v>
      </c>
      <c r="C993">
        <v>1940</v>
      </c>
      <c r="D993" s="1" t="s">
        <v>193</v>
      </c>
      <c r="E993" s="1" t="s">
        <v>30</v>
      </c>
      <c r="F993">
        <v>18</v>
      </c>
      <c r="G993" s="1" t="s">
        <v>38</v>
      </c>
      <c r="H993">
        <v>18007</v>
      </c>
      <c r="I993">
        <v>60</v>
      </c>
      <c r="J993">
        <v>50</v>
      </c>
      <c r="K993">
        <v>30</v>
      </c>
      <c r="L993">
        <v>600</v>
      </c>
    </row>
    <row r="994" spans="1:12" hidden="1" x14ac:dyDescent="0.25">
      <c r="A994">
        <v>993</v>
      </c>
      <c r="B994" s="1" t="s">
        <v>12</v>
      </c>
      <c r="C994">
        <v>1940</v>
      </c>
      <c r="D994" s="1" t="s">
        <v>193</v>
      </c>
      <c r="E994" s="1" t="s">
        <v>30</v>
      </c>
      <c r="F994">
        <v>18</v>
      </c>
      <c r="G994" s="1" t="s">
        <v>28</v>
      </c>
      <c r="H994">
        <v>18021</v>
      </c>
      <c r="I994">
        <v>50</v>
      </c>
      <c r="J994">
        <v>20</v>
      </c>
      <c r="K994">
        <v>18</v>
      </c>
      <c r="L994">
        <v>900</v>
      </c>
    </row>
    <row r="995" spans="1:12" hidden="1" x14ac:dyDescent="0.25">
      <c r="A995">
        <v>994</v>
      </c>
      <c r="B995" s="1" t="s">
        <v>12</v>
      </c>
      <c r="C995">
        <v>1940</v>
      </c>
      <c r="D995" s="1" t="s">
        <v>193</v>
      </c>
      <c r="E995" s="1" t="s">
        <v>30</v>
      </c>
      <c r="F995">
        <v>18</v>
      </c>
      <c r="G995" s="1" t="s">
        <v>101</v>
      </c>
      <c r="H995">
        <v>18161</v>
      </c>
      <c r="I995">
        <v>47</v>
      </c>
      <c r="J995">
        <v>35</v>
      </c>
      <c r="K995">
        <v>21</v>
      </c>
      <c r="L995">
        <v>600</v>
      </c>
    </row>
    <row r="996" spans="1:12" hidden="1" x14ac:dyDescent="0.25">
      <c r="A996">
        <v>995</v>
      </c>
      <c r="B996" s="1" t="s">
        <v>12</v>
      </c>
      <c r="C996">
        <v>1940</v>
      </c>
      <c r="D996" s="1" t="s">
        <v>193</v>
      </c>
      <c r="E996" s="1" t="s">
        <v>30</v>
      </c>
      <c r="F996">
        <v>18</v>
      </c>
      <c r="G996" s="1" t="s">
        <v>99</v>
      </c>
      <c r="H996">
        <v>18063</v>
      </c>
      <c r="I996">
        <v>45</v>
      </c>
      <c r="J996">
        <v>35</v>
      </c>
      <c r="K996">
        <v>31</v>
      </c>
      <c r="L996">
        <v>886</v>
      </c>
    </row>
    <row r="997" spans="1:12" hidden="1" x14ac:dyDescent="0.25">
      <c r="A997">
        <v>996</v>
      </c>
      <c r="B997" s="1" t="s">
        <v>12</v>
      </c>
      <c r="C997">
        <v>1940</v>
      </c>
      <c r="D997" s="1" t="s">
        <v>193</v>
      </c>
      <c r="E997" s="1" t="s">
        <v>30</v>
      </c>
      <c r="F997">
        <v>18</v>
      </c>
      <c r="G997" s="1" t="s">
        <v>33</v>
      </c>
      <c r="H997">
        <v>18091</v>
      </c>
      <c r="I997">
        <v>45</v>
      </c>
      <c r="J997">
        <v>40</v>
      </c>
      <c r="K997">
        <v>24</v>
      </c>
      <c r="L997">
        <v>600</v>
      </c>
    </row>
    <row r="998" spans="1:12" hidden="1" x14ac:dyDescent="0.25">
      <c r="A998">
        <v>997</v>
      </c>
      <c r="B998" s="1" t="s">
        <v>12</v>
      </c>
      <c r="C998">
        <v>1940</v>
      </c>
      <c r="D998" s="1" t="s">
        <v>193</v>
      </c>
      <c r="E998" s="1" t="s">
        <v>30</v>
      </c>
      <c r="F998">
        <v>18</v>
      </c>
      <c r="G998" s="1" t="s">
        <v>98</v>
      </c>
      <c r="H998">
        <v>18098</v>
      </c>
      <c r="I998">
        <v>35</v>
      </c>
      <c r="J998">
        <v>10</v>
      </c>
      <c r="K998">
        <v>9</v>
      </c>
      <c r="L998">
        <v>900</v>
      </c>
    </row>
    <row r="999" spans="1:12" hidden="1" x14ac:dyDescent="0.25">
      <c r="A999">
        <v>998</v>
      </c>
      <c r="B999" s="1" t="s">
        <v>12</v>
      </c>
      <c r="C999">
        <v>1940</v>
      </c>
      <c r="D999" s="1" t="s">
        <v>193</v>
      </c>
      <c r="E999" s="1" t="s">
        <v>30</v>
      </c>
      <c r="F999">
        <v>18</v>
      </c>
      <c r="G999" s="1" t="s">
        <v>43</v>
      </c>
      <c r="H999">
        <v>18070</v>
      </c>
      <c r="I999">
        <v>30</v>
      </c>
      <c r="J999">
        <v>20</v>
      </c>
      <c r="K999">
        <v>12</v>
      </c>
      <c r="L999">
        <v>600</v>
      </c>
    </row>
    <row r="1000" spans="1:12" hidden="1" x14ac:dyDescent="0.25">
      <c r="A1000">
        <v>999</v>
      </c>
      <c r="B1000" s="1" t="s">
        <v>12</v>
      </c>
      <c r="C1000">
        <v>1940</v>
      </c>
      <c r="D1000" s="1" t="s">
        <v>193</v>
      </c>
      <c r="E1000" s="1" t="s">
        <v>30</v>
      </c>
      <c r="F1000">
        <v>18</v>
      </c>
      <c r="G1000" s="1" t="s">
        <v>39</v>
      </c>
      <c r="H1000">
        <v>18084</v>
      </c>
      <c r="I1000">
        <v>30</v>
      </c>
      <c r="J1000">
        <v>20</v>
      </c>
      <c r="K1000">
        <v>18</v>
      </c>
      <c r="L1000">
        <v>900</v>
      </c>
    </row>
    <row r="1001" spans="1:12" hidden="1" x14ac:dyDescent="0.25">
      <c r="A1001">
        <v>1000</v>
      </c>
      <c r="B1001" s="1" t="s">
        <v>12</v>
      </c>
      <c r="C1001">
        <v>1940</v>
      </c>
      <c r="D1001" s="1" t="s">
        <v>193</v>
      </c>
      <c r="E1001" s="1" t="s">
        <v>30</v>
      </c>
      <c r="F1001">
        <v>18</v>
      </c>
      <c r="G1001" s="1" t="s">
        <v>41</v>
      </c>
      <c r="H1001">
        <v>18140</v>
      </c>
      <c r="I1001">
        <v>30</v>
      </c>
      <c r="J1001">
        <v>20</v>
      </c>
      <c r="K1001">
        <v>16</v>
      </c>
      <c r="L1001">
        <v>800</v>
      </c>
    </row>
    <row r="1002" spans="1:12" hidden="1" x14ac:dyDescent="0.25">
      <c r="A1002">
        <v>1001</v>
      </c>
      <c r="B1002" s="1" t="s">
        <v>12</v>
      </c>
      <c r="C1002">
        <v>1940</v>
      </c>
      <c r="D1002" s="1" t="s">
        <v>193</v>
      </c>
      <c r="E1002" s="1" t="s">
        <v>30</v>
      </c>
      <c r="F1002">
        <v>18</v>
      </c>
      <c r="G1002" s="1" t="s">
        <v>36</v>
      </c>
      <c r="H1002">
        <v>18133</v>
      </c>
      <c r="I1002">
        <v>25</v>
      </c>
      <c r="J1002">
        <v>10</v>
      </c>
      <c r="K1002">
        <v>8</v>
      </c>
      <c r="L1002">
        <v>800</v>
      </c>
    </row>
    <row r="1003" spans="1:12" hidden="1" x14ac:dyDescent="0.25">
      <c r="A1003">
        <v>1002</v>
      </c>
      <c r="B1003" s="1" t="s">
        <v>12</v>
      </c>
      <c r="C1003">
        <v>1940</v>
      </c>
      <c r="D1003" s="1" t="s">
        <v>193</v>
      </c>
      <c r="E1003" s="1" t="s">
        <v>30</v>
      </c>
      <c r="F1003">
        <v>18</v>
      </c>
      <c r="G1003" s="1" t="s">
        <v>103</v>
      </c>
      <c r="H1003">
        <v>18154</v>
      </c>
      <c r="I1003">
        <v>25</v>
      </c>
      <c r="J1003">
        <v>15</v>
      </c>
      <c r="K1003">
        <v>13</v>
      </c>
      <c r="L1003">
        <v>867</v>
      </c>
    </row>
    <row r="1004" spans="1:12" hidden="1" x14ac:dyDescent="0.25">
      <c r="A1004">
        <v>1003</v>
      </c>
      <c r="B1004" s="1" t="s">
        <v>12</v>
      </c>
      <c r="C1004">
        <v>1940</v>
      </c>
      <c r="D1004" s="1" t="s">
        <v>193</v>
      </c>
      <c r="E1004" s="1" t="s">
        <v>30</v>
      </c>
      <c r="F1004">
        <v>18</v>
      </c>
      <c r="G1004" s="1" t="s">
        <v>102</v>
      </c>
      <c r="H1004">
        <v>18014</v>
      </c>
      <c r="I1004">
        <v>20</v>
      </c>
      <c r="J1004">
        <v>10</v>
      </c>
      <c r="K1004">
        <v>8</v>
      </c>
      <c r="L1004">
        <v>800</v>
      </c>
    </row>
    <row r="1005" spans="1:12" hidden="1" x14ac:dyDescent="0.25">
      <c r="A1005">
        <v>1004</v>
      </c>
      <c r="B1005" s="1" t="s">
        <v>12</v>
      </c>
      <c r="C1005">
        <v>1940</v>
      </c>
      <c r="D1005" s="1" t="s">
        <v>193</v>
      </c>
      <c r="E1005" s="1" t="s">
        <v>30</v>
      </c>
      <c r="F1005">
        <v>18</v>
      </c>
      <c r="G1005" s="1" t="s">
        <v>100</v>
      </c>
      <c r="H1005">
        <v>18077</v>
      </c>
      <c r="I1005">
        <v>15</v>
      </c>
      <c r="J1005">
        <v>5</v>
      </c>
      <c r="K1005">
        <v>4</v>
      </c>
      <c r="L1005">
        <v>800</v>
      </c>
    </row>
    <row r="1006" spans="1:12" hidden="1" x14ac:dyDescent="0.25">
      <c r="A1006">
        <v>1005</v>
      </c>
      <c r="B1006" s="1" t="s">
        <v>12</v>
      </c>
      <c r="C1006">
        <v>1940</v>
      </c>
      <c r="D1006" s="1" t="s">
        <v>193</v>
      </c>
      <c r="E1006" s="1" t="s">
        <v>45</v>
      </c>
      <c r="F1006">
        <v>30</v>
      </c>
      <c r="G1006" s="1" t="s">
        <v>46</v>
      </c>
      <c r="H1006">
        <v>30028</v>
      </c>
      <c r="I1006">
        <v>7818</v>
      </c>
      <c r="J1006">
        <v>6500</v>
      </c>
      <c r="K1006">
        <v>6495</v>
      </c>
      <c r="L1006">
        <v>999</v>
      </c>
    </row>
    <row r="1007" spans="1:12" hidden="1" x14ac:dyDescent="0.25">
      <c r="A1007">
        <v>1006</v>
      </c>
      <c r="B1007" s="1" t="s">
        <v>12</v>
      </c>
      <c r="C1007">
        <v>1940</v>
      </c>
      <c r="D1007" s="1" t="s">
        <v>193</v>
      </c>
      <c r="E1007" s="1" t="s">
        <v>45</v>
      </c>
      <c r="F1007">
        <v>30</v>
      </c>
      <c r="G1007" s="1" t="s">
        <v>47</v>
      </c>
      <c r="H1007">
        <v>30015</v>
      </c>
      <c r="I1007">
        <v>3000</v>
      </c>
      <c r="J1007">
        <v>2000</v>
      </c>
      <c r="K1007">
        <v>1600</v>
      </c>
      <c r="L1007">
        <v>800</v>
      </c>
    </row>
    <row r="1008" spans="1:12" hidden="1" x14ac:dyDescent="0.25">
      <c r="A1008">
        <v>1007</v>
      </c>
      <c r="B1008" s="1" t="s">
        <v>12</v>
      </c>
      <c r="C1008">
        <v>1940</v>
      </c>
      <c r="D1008" s="1" t="s">
        <v>193</v>
      </c>
      <c r="E1008" s="1" t="s">
        <v>45</v>
      </c>
      <c r="F1008">
        <v>30</v>
      </c>
      <c r="G1008" s="1" t="s">
        <v>27</v>
      </c>
      <c r="H1008">
        <v>30008</v>
      </c>
      <c r="I1008">
        <v>650</v>
      </c>
      <c r="J1008">
        <v>500</v>
      </c>
      <c r="K1008">
        <v>450</v>
      </c>
      <c r="L1008">
        <v>900</v>
      </c>
    </row>
    <row r="1009" spans="1:12" hidden="1" x14ac:dyDescent="0.25">
      <c r="A1009">
        <v>1008</v>
      </c>
      <c r="B1009" s="1" t="s">
        <v>12</v>
      </c>
      <c r="C1009">
        <v>1940</v>
      </c>
      <c r="D1009" s="1" t="s">
        <v>193</v>
      </c>
      <c r="E1009" s="1" t="s">
        <v>45</v>
      </c>
      <c r="F1009">
        <v>30</v>
      </c>
      <c r="G1009" s="1" t="s">
        <v>149</v>
      </c>
      <c r="H1009">
        <v>30091</v>
      </c>
      <c r="I1009">
        <v>18</v>
      </c>
      <c r="J1009">
        <v>15</v>
      </c>
      <c r="K1009">
        <v>3</v>
      </c>
      <c r="L1009">
        <v>200</v>
      </c>
    </row>
    <row r="1010" spans="1:12" hidden="1" x14ac:dyDescent="0.25">
      <c r="A1010">
        <v>1009</v>
      </c>
      <c r="B1010" s="1" t="s">
        <v>12</v>
      </c>
      <c r="C1010">
        <v>1940</v>
      </c>
      <c r="D1010" s="1" t="s">
        <v>193</v>
      </c>
      <c r="E1010" s="1" t="s">
        <v>45</v>
      </c>
      <c r="F1010">
        <v>30</v>
      </c>
      <c r="G1010" s="1" t="s">
        <v>107</v>
      </c>
      <c r="H1010">
        <v>30056</v>
      </c>
      <c r="I1010">
        <v>14</v>
      </c>
      <c r="J1010">
        <v>8</v>
      </c>
      <c r="K1010">
        <v>2</v>
      </c>
      <c r="L1010">
        <v>250</v>
      </c>
    </row>
    <row r="1011" spans="1:12" hidden="1" x14ac:dyDescent="0.25">
      <c r="A1011">
        <v>1010</v>
      </c>
      <c r="B1011" s="1" t="s">
        <v>12</v>
      </c>
      <c r="C1011">
        <v>1940</v>
      </c>
      <c r="D1011" s="1" t="s">
        <v>193</v>
      </c>
      <c r="E1011" s="1" t="s">
        <v>48</v>
      </c>
      <c r="F1011">
        <v>34</v>
      </c>
      <c r="G1011" s="1" t="s">
        <v>49</v>
      </c>
      <c r="H1011">
        <v>34049</v>
      </c>
      <c r="I1011">
        <v>200</v>
      </c>
      <c r="J1011">
        <v>170</v>
      </c>
      <c r="K1011">
        <v>147</v>
      </c>
      <c r="L1011">
        <v>865</v>
      </c>
    </row>
    <row r="1012" spans="1:12" hidden="1" x14ac:dyDescent="0.25">
      <c r="A1012">
        <v>1011</v>
      </c>
      <c r="B1012" s="1" t="s">
        <v>12</v>
      </c>
      <c r="C1012">
        <v>1940</v>
      </c>
      <c r="D1012" s="1" t="s">
        <v>193</v>
      </c>
      <c r="E1012" s="1" t="s">
        <v>48</v>
      </c>
      <c r="F1012">
        <v>34</v>
      </c>
      <c r="G1012" s="1" t="s">
        <v>48</v>
      </c>
      <c r="H1012">
        <v>34014</v>
      </c>
      <c r="I1012">
        <v>100</v>
      </c>
      <c r="J1012">
        <v>90</v>
      </c>
      <c r="K1012">
        <v>72</v>
      </c>
      <c r="L1012">
        <v>800</v>
      </c>
    </row>
    <row r="1013" spans="1:12" hidden="1" x14ac:dyDescent="0.25">
      <c r="A1013">
        <v>1012</v>
      </c>
      <c r="B1013" s="1" t="s">
        <v>12</v>
      </c>
      <c r="C1013">
        <v>1940</v>
      </c>
      <c r="D1013" s="1" t="s">
        <v>193</v>
      </c>
      <c r="E1013" s="1" t="s">
        <v>48</v>
      </c>
      <c r="F1013">
        <v>34</v>
      </c>
      <c r="G1013" s="1" t="s">
        <v>52</v>
      </c>
      <c r="H1013">
        <v>34035</v>
      </c>
      <c r="I1013">
        <v>100</v>
      </c>
      <c r="J1013">
        <v>85</v>
      </c>
      <c r="K1013">
        <v>63</v>
      </c>
      <c r="L1013">
        <v>741</v>
      </c>
    </row>
    <row r="1014" spans="1:12" hidden="1" x14ac:dyDescent="0.25">
      <c r="A1014">
        <v>1013</v>
      </c>
      <c r="B1014" s="1" t="s">
        <v>12</v>
      </c>
      <c r="C1014">
        <v>1940</v>
      </c>
      <c r="D1014" s="1" t="s">
        <v>193</v>
      </c>
      <c r="E1014" s="1" t="s">
        <v>48</v>
      </c>
      <c r="F1014">
        <v>34</v>
      </c>
      <c r="G1014" s="1" t="s">
        <v>50</v>
      </c>
      <c r="H1014">
        <v>34021</v>
      </c>
      <c r="I1014">
        <v>50</v>
      </c>
      <c r="J1014">
        <v>50</v>
      </c>
      <c r="K1014">
        <v>40</v>
      </c>
      <c r="L1014">
        <v>800</v>
      </c>
    </row>
    <row r="1015" spans="1:12" hidden="1" x14ac:dyDescent="0.25">
      <c r="A1015">
        <v>1014</v>
      </c>
      <c r="B1015" s="1" t="s">
        <v>12</v>
      </c>
      <c r="C1015">
        <v>1940</v>
      </c>
      <c r="D1015" s="1" t="s">
        <v>193</v>
      </c>
      <c r="E1015" s="1" t="s">
        <v>58</v>
      </c>
      <c r="F1015">
        <v>54</v>
      </c>
      <c r="G1015" s="1" t="s">
        <v>60</v>
      </c>
      <c r="H1015">
        <v>54021</v>
      </c>
      <c r="I1015">
        <v>280</v>
      </c>
    </row>
    <row r="1016" spans="1:12" hidden="1" x14ac:dyDescent="0.25">
      <c r="A1016">
        <v>1015</v>
      </c>
      <c r="B1016" s="1" t="s">
        <v>12</v>
      </c>
      <c r="C1016">
        <v>1940</v>
      </c>
      <c r="D1016" s="1" t="s">
        <v>193</v>
      </c>
      <c r="E1016" s="1" t="s">
        <v>58</v>
      </c>
      <c r="F1016">
        <v>54</v>
      </c>
      <c r="G1016" s="1" t="s">
        <v>150</v>
      </c>
      <c r="H1016">
        <v>54014</v>
      </c>
      <c r="I1016">
        <v>250</v>
      </c>
    </row>
    <row r="1017" spans="1:12" hidden="1" x14ac:dyDescent="0.25">
      <c r="A1017">
        <v>1016</v>
      </c>
      <c r="B1017" s="1" t="s">
        <v>12</v>
      </c>
      <c r="C1017">
        <v>1940</v>
      </c>
      <c r="D1017" s="1" t="s">
        <v>193</v>
      </c>
      <c r="E1017" s="1" t="s">
        <v>58</v>
      </c>
      <c r="F1017">
        <v>54</v>
      </c>
      <c r="G1017" s="1" t="s">
        <v>61</v>
      </c>
      <c r="H1017">
        <v>54098</v>
      </c>
      <c r="I1017">
        <v>120</v>
      </c>
      <c r="J1017">
        <v>40</v>
      </c>
      <c r="K1017">
        <v>52</v>
      </c>
      <c r="L1017">
        <v>1300</v>
      </c>
    </row>
    <row r="1018" spans="1:12" hidden="1" x14ac:dyDescent="0.25">
      <c r="A1018">
        <v>1017</v>
      </c>
      <c r="B1018" s="1" t="s">
        <v>12</v>
      </c>
      <c r="C1018">
        <v>1940</v>
      </c>
      <c r="D1018" s="1" t="s">
        <v>193</v>
      </c>
      <c r="E1018" s="1" t="s">
        <v>58</v>
      </c>
      <c r="F1018">
        <v>54</v>
      </c>
      <c r="G1018" s="1" t="s">
        <v>62</v>
      </c>
      <c r="H1018">
        <v>54105</v>
      </c>
      <c r="I1018">
        <v>100</v>
      </c>
    </row>
    <row r="1019" spans="1:12" hidden="1" x14ac:dyDescent="0.25">
      <c r="A1019">
        <v>1018</v>
      </c>
      <c r="B1019" s="1" t="s">
        <v>12</v>
      </c>
      <c r="C1019">
        <v>1940</v>
      </c>
      <c r="D1019" s="1" t="s">
        <v>193</v>
      </c>
      <c r="E1019" s="1" t="s">
        <v>58</v>
      </c>
      <c r="F1019">
        <v>54</v>
      </c>
      <c r="G1019" s="1" t="s">
        <v>59</v>
      </c>
      <c r="H1019">
        <v>54007</v>
      </c>
      <c r="I1019">
        <v>90</v>
      </c>
    </row>
    <row r="1020" spans="1:12" hidden="1" x14ac:dyDescent="0.25">
      <c r="A1020">
        <v>1019</v>
      </c>
      <c r="B1020" s="1" t="s">
        <v>12</v>
      </c>
      <c r="C1020">
        <v>1940</v>
      </c>
      <c r="D1020" s="1" t="s">
        <v>193</v>
      </c>
      <c r="E1020" s="1" t="s">
        <v>58</v>
      </c>
      <c r="F1020">
        <v>54</v>
      </c>
      <c r="G1020" s="1" t="s">
        <v>152</v>
      </c>
      <c r="H1020">
        <v>54063</v>
      </c>
      <c r="I1020">
        <v>25</v>
      </c>
      <c r="J1020">
        <v>5</v>
      </c>
      <c r="K1020">
        <v>7</v>
      </c>
      <c r="L1020">
        <v>1400</v>
      </c>
    </row>
    <row r="1021" spans="1:12" x14ac:dyDescent="0.25">
      <c r="A1021">
        <v>1020</v>
      </c>
      <c r="B1021" s="1" t="s">
        <v>12</v>
      </c>
      <c r="C1021">
        <v>1940</v>
      </c>
      <c r="D1021" s="1" t="s">
        <v>193</v>
      </c>
      <c r="E1021" s="1" t="s">
        <v>58</v>
      </c>
      <c r="F1021">
        <v>54</v>
      </c>
      <c r="G1021" s="1" t="s">
        <v>56</v>
      </c>
      <c r="H1021">
        <v>54112</v>
      </c>
      <c r="I1021">
        <v>17</v>
      </c>
    </row>
    <row r="1022" spans="1:12" hidden="1" x14ac:dyDescent="0.25">
      <c r="A1022">
        <v>1021</v>
      </c>
      <c r="B1022" s="1" t="s">
        <v>12</v>
      </c>
      <c r="C1022">
        <v>1940</v>
      </c>
      <c r="D1022" s="1" t="s">
        <v>193</v>
      </c>
      <c r="E1022" s="1" t="s">
        <v>58</v>
      </c>
      <c r="F1022">
        <v>54</v>
      </c>
      <c r="G1022" s="1" t="s">
        <v>63</v>
      </c>
      <c r="H1022">
        <v>54035</v>
      </c>
      <c r="I1022">
        <v>8</v>
      </c>
    </row>
    <row r="1023" spans="1:12" hidden="1" x14ac:dyDescent="0.25">
      <c r="A1023">
        <v>1022</v>
      </c>
      <c r="B1023" s="1" t="s">
        <v>12</v>
      </c>
      <c r="C1023">
        <v>1940</v>
      </c>
      <c r="D1023" s="1" t="s">
        <v>193</v>
      </c>
      <c r="E1023" s="1" t="s">
        <v>58</v>
      </c>
      <c r="F1023">
        <v>54</v>
      </c>
      <c r="G1023" s="1" t="s">
        <v>178</v>
      </c>
      <c r="H1023">
        <v>54049</v>
      </c>
      <c r="I1023">
        <v>2</v>
      </c>
    </row>
    <row r="1024" spans="1:12" hidden="1" x14ac:dyDescent="0.25">
      <c r="A1024">
        <v>1023</v>
      </c>
      <c r="B1024" s="1" t="s">
        <v>12</v>
      </c>
      <c r="C1024">
        <v>1940</v>
      </c>
      <c r="D1024" s="1" t="s">
        <v>193</v>
      </c>
      <c r="E1024" s="1" t="s">
        <v>58</v>
      </c>
      <c r="F1024">
        <v>54</v>
      </c>
      <c r="G1024" s="1" t="s">
        <v>28</v>
      </c>
      <c r="H1024">
        <v>54028</v>
      </c>
      <c r="I1024">
        <v>1</v>
      </c>
    </row>
    <row r="1025" spans="1:12" hidden="1" x14ac:dyDescent="0.25">
      <c r="A1025">
        <v>1024</v>
      </c>
      <c r="B1025" s="1" t="s">
        <v>12</v>
      </c>
      <c r="C1025">
        <v>1940</v>
      </c>
      <c r="D1025" s="1" t="s">
        <v>193</v>
      </c>
      <c r="E1025" s="1" t="s">
        <v>58</v>
      </c>
      <c r="F1025">
        <v>54</v>
      </c>
      <c r="G1025" s="1" t="s">
        <v>151</v>
      </c>
      <c r="H1025">
        <v>54056</v>
      </c>
      <c r="I1025">
        <v>1</v>
      </c>
    </row>
    <row r="1026" spans="1:12" hidden="1" x14ac:dyDescent="0.25">
      <c r="A1026">
        <v>1025</v>
      </c>
      <c r="B1026" s="1" t="s">
        <v>12</v>
      </c>
      <c r="C1026">
        <v>1940</v>
      </c>
      <c r="D1026" s="1" t="s">
        <v>193</v>
      </c>
      <c r="E1026" s="1" t="s">
        <v>87</v>
      </c>
      <c r="F1026">
        <v>66</v>
      </c>
      <c r="G1026" s="1" t="s">
        <v>141</v>
      </c>
      <c r="H1026">
        <v>66112</v>
      </c>
      <c r="I1026">
        <v>346</v>
      </c>
      <c r="J1026">
        <v>346</v>
      </c>
      <c r="K1026">
        <v>656</v>
      </c>
      <c r="L1026">
        <v>1896</v>
      </c>
    </row>
    <row r="1027" spans="1:12" hidden="1" x14ac:dyDescent="0.25">
      <c r="A1027">
        <v>1026</v>
      </c>
      <c r="B1027" s="1" t="s">
        <v>12</v>
      </c>
      <c r="C1027">
        <v>1940</v>
      </c>
      <c r="D1027" s="1" t="s">
        <v>193</v>
      </c>
      <c r="E1027" s="1" t="s">
        <v>87</v>
      </c>
      <c r="F1027">
        <v>66</v>
      </c>
      <c r="G1027" s="1" t="s">
        <v>130</v>
      </c>
      <c r="H1027">
        <v>66147</v>
      </c>
      <c r="I1027">
        <v>18</v>
      </c>
      <c r="J1027">
        <v>18</v>
      </c>
      <c r="K1027">
        <v>27</v>
      </c>
      <c r="L1027">
        <v>1500</v>
      </c>
    </row>
    <row r="1028" spans="1:12" hidden="1" x14ac:dyDescent="0.25">
      <c r="A1028">
        <v>1027</v>
      </c>
      <c r="B1028" s="1" t="s">
        <v>12</v>
      </c>
      <c r="C1028">
        <v>1940</v>
      </c>
      <c r="D1028" s="1" t="s">
        <v>193</v>
      </c>
      <c r="E1028" s="1" t="s">
        <v>87</v>
      </c>
      <c r="F1028">
        <v>66</v>
      </c>
      <c r="G1028" s="1" t="s">
        <v>179</v>
      </c>
      <c r="H1028">
        <v>66126</v>
      </c>
      <c r="I1028">
        <v>11</v>
      </c>
      <c r="J1028">
        <v>11</v>
      </c>
      <c r="K1028">
        <v>6</v>
      </c>
      <c r="L1028">
        <v>545</v>
      </c>
    </row>
    <row r="1029" spans="1:12" hidden="1" x14ac:dyDescent="0.25">
      <c r="A1029">
        <v>1028</v>
      </c>
      <c r="B1029" s="1" t="s">
        <v>12</v>
      </c>
      <c r="C1029">
        <v>1940</v>
      </c>
      <c r="D1029" s="1" t="s">
        <v>193</v>
      </c>
      <c r="E1029" s="1" t="s">
        <v>87</v>
      </c>
      <c r="F1029">
        <v>66</v>
      </c>
      <c r="G1029" s="1" t="s">
        <v>131</v>
      </c>
      <c r="H1029">
        <v>66049</v>
      </c>
      <c r="I1029">
        <v>3</v>
      </c>
      <c r="J1029">
        <v>3</v>
      </c>
      <c r="K1029">
        <v>4</v>
      </c>
      <c r="L1029">
        <v>1333</v>
      </c>
    </row>
    <row r="1030" spans="1:12" hidden="1" x14ac:dyDescent="0.25">
      <c r="A1030">
        <v>1029</v>
      </c>
      <c r="B1030" s="1" t="s">
        <v>12</v>
      </c>
      <c r="C1030">
        <v>1940</v>
      </c>
      <c r="D1030" s="1" t="s">
        <v>193</v>
      </c>
      <c r="E1030" s="1" t="s">
        <v>87</v>
      </c>
      <c r="F1030">
        <v>66</v>
      </c>
      <c r="G1030" s="1" t="s">
        <v>132</v>
      </c>
      <c r="H1030">
        <v>66084</v>
      </c>
      <c r="I1030">
        <v>2</v>
      </c>
      <c r="J1030">
        <v>2</v>
      </c>
      <c r="K1030">
        <v>2</v>
      </c>
      <c r="L1030">
        <v>1000</v>
      </c>
    </row>
    <row r="1031" spans="1:12" hidden="1" x14ac:dyDescent="0.25">
      <c r="A1031">
        <v>1030</v>
      </c>
      <c r="B1031" s="1" t="s">
        <v>12</v>
      </c>
      <c r="C1031">
        <v>1940</v>
      </c>
      <c r="D1031" s="1" t="s">
        <v>193</v>
      </c>
      <c r="E1031" s="1" t="s">
        <v>87</v>
      </c>
      <c r="F1031">
        <v>66</v>
      </c>
      <c r="G1031" s="1" t="s">
        <v>28</v>
      </c>
      <c r="H1031">
        <v>66028</v>
      </c>
      <c r="I1031">
        <v>2</v>
      </c>
      <c r="J1031">
        <v>2</v>
      </c>
      <c r="K1031">
        <v>2</v>
      </c>
      <c r="L1031">
        <v>1000</v>
      </c>
    </row>
    <row r="1032" spans="1:12" hidden="1" x14ac:dyDescent="0.25">
      <c r="A1032">
        <v>1031</v>
      </c>
      <c r="B1032" s="1" t="s">
        <v>12</v>
      </c>
      <c r="C1032">
        <v>1940</v>
      </c>
      <c r="D1032" s="1" t="s">
        <v>193</v>
      </c>
      <c r="E1032" s="1" t="s">
        <v>87</v>
      </c>
      <c r="F1032">
        <v>66</v>
      </c>
      <c r="G1032" s="1" t="s">
        <v>161</v>
      </c>
      <c r="H1032">
        <v>66133</v>
      </c>
      <c r="I1032">
        <v>2</v>
      </c>
      <c r="J1032">
        <v>2</v>
      </c>
      <c r="K1032">
        <v>2</v>
      </c>
      <c r="L1032">
        <v>1000</v>
      </c>
    </row>
    <row r="1033" spans="1:12" hidden="1" x14ac:dyDescent="0.25">
      <c r="A1033">
        <v>1032</v>
      </c>
      <c r="B1033" s="1" t="s">
        <v>12</v>
      </c>
      <c r="C1033">
        <v>1940</v>
      </c>
      <c r="D1033" s="1" t="s">
        <v>193</v>
      </c>
      <c r="E1033" s="1" t="s">
        <v>87</v>
      </c>
      <c r="F1033">
        <v>66</v>
      </c>
      <c r="G1033" s="1" t="s">
        <v>189</v>
      </c>
      <c r="H1033">
        <v>66077</v>
      </c>
      <c r="I1033">
        <v>1</v>
      </c>
      <c r="J1033">
        <v>1</v>
      </c>
      <c r="K1033">
        <v>1</v>
      </c>
      <c r="L1033">
        <v>1000</v>
      </c>
    </row>
    <row r="1034" spans="1:12" hidden="1" x14ac:dyDescent="0.25">
      <c r="A1034">
        <v>1033</v>
      </c>
      <c r="B1034" s="1" t="s">
        <v>12</v>
      </c>
      <c r="C1034">
        <v>1940</v>
      </c>
      <c r="D1034" s="1" t="s">
        <v>193</v>
      </c>
      <c r="E1034" s="1" t="s">
        <v>116</v>
      </c>
      <c r="F1034">
        <v>74</v>
      </c>
      <c r="G1034" s="1" t="s">
        <v>127</v>
      </c>
      <c r="H1034">
        <v>74049</v>
      </c>
      <c r="I1034">
        <v>10</v>
      </c>
      <c r="J1034">
        <v>8</v>
      </c>
      <c r="K1034">
        <v>8</v>
      </c>
      <c r="L1034">
        <v>1000</v>
      </c>
    </row>
    <row r="1035" spans="1:12" hidden="1" x14ac:dyDescent="0.25">
      <c r="A1035">
        <v>1034</v>
      </c>
      <c r="B1035" s="1" t="s">
        <v>12</v>
      </c>
      <c r="C1035">
        <v>1940</v>
      </c>
      <c r="D1035" s="1" t="s">
        <v>193</v>
      </c>
      <c r="E1035" s="1" t="s">
        <v>116</v>
      </c>
      <c r="F1035">
        <v>74</v>
      </c>
      <c r="G1035" s="1" t="s">
        <v>195</v>
      </c>
      <c r="H1035">
        <v>74007</v>
      </c>
      <c r="I1035">
        <v>8</v>
      </c>
      <c r="J1035">
        <v>6</v>
      </c>
      <c r="K1035">
        <v>6</v>
      </c>
      <c r="L1035">
        <v>1000</v>
      </c>
    </row>
    <row r="1036" spans="1:12" hidden="1" x14ac:dyDescent="0.25">
      <c r="A1036">
        <v>1035</v>
      </c>
      <c r="B1036" s="1" t="s">
        <v>12</v>
      </c>
      <c r="C1036">
        <v>1940</v>
      </c>
      <c r="D1036" s="1" t="s">
        <v>193</v>
      </c>
      <c r="E1036" s="1" t="s">
        <v>64</v>
      </c>
      <c r="F1036">
        <v>82</v>
      </c>
      <c r="G1036" s="1" t="s">
        <v>65</v>
      </c>
      <c r="H1036">
        <v>82049</v>
      </c>
      <c r="I1036">
        <v>6600</v>
      </c>
      <c r="J1036">
        <v>4000</v>
      </c>
      <c r="K1036">
        <v>3400</v>
      </c>
      <c r="L1036">
        <v>850</v>
      </c>
    </row>
    <row r="1037" spans="1:12" hidden="1" x14ac:dyDescent="0.25">
      <c r="A1037">
        <v>1036</v>
      </c>
      <c r="B1037" s="1" t="s">
        <v>12</v>
      </c>
      <c r="C1037">
        <v>1940</v>
      </c>
      <c r="D1037" s="1" t="s">
        <v>193</v>
      </c>
      <c r="E1037" s="1" t="s">
        <v>64</v>
      </c>
      <c r="F1037">
        <v>82</v>
      </c>
      <c r="G1037" s="1" t="s">
        <v>66</v>
      </c>
      <c r="H1037">
        <v>82035</v>
      </c>
      <c r="I1037">
        <v>4000</v>
      </c>
      <c r="J1037">
        <v>3500</v>
      </c>
      <c r="K1037">
        <v>3850</v>
      </c>
      <c r="L1037">
        <v>1100</v>
      </c>
    </row>
    <row r="1038" spans="1:12" hidden="1" x14ac:dyDescent="0.25">
      <c r="A1038">
        <v>1037</v>
      </c>
      <c r="B1038" s="1" t="s">
        <v>12</v>
      </c>
      <c r="C1038">
        <v>1940</v>
      </c>
      <c r="D1038" s="1" t="s">
        <v>193</v>
      </c>
      <c r="E1038" s="1" t="s">
        <v>64</v>
      </c>
      <c r="F1038">
        <v>82</v>
      </c>
      <c r="G1038" s="1" t="s">
        <v>62</v>
      </c>
      <c r="H1038">
        <v>82098</v>
      </c>
      <c r="I1038">
        <v>300</v>
      </c>
      <c r="J1038">
        <v>200</v>
      </c>
      <c r="K1038">
        <v>200</v>
      </c>
      <c r="L1038">
        <v>1000</v>
      </c>
    </row>
    <row r="1039" spans="1:12" hidden="1" x14ac:dyDescent="0.25">
      <c r="A1039">
        <v>1038</v>
      </c>
      <c r="B1039" s="1" t="s">
        <v>12</v>
      </c>
      <c r="C1039">
        <v>1940</v>
      </c>
      <c r="D1039" s="1" t="s">
        <v>193</v>
      </c>
      <c r="E1039" s="1" t="s">
        <v>64</v>
      </c>
      <c r="F1039">
        <v>82</v>
      </c>
      <c r="G1039" s="1" t="s">
        <v>28</v>
      </c>
      <c r="H1039">
        <v>82063</v>
      </c>
      <c r="I1039">
        <v>100</v>
      </c>
      <c r="J1039">
        <v>100</v>
      </c>
      <c r="K1039">
        <v>130</v>
      </c>
      <c r="L1039">
        <v>1300</v>
      </c>
    </row>
    <row r="1040" spans="1:12" hidden="1" x14ac:dyDescent="0.25">
      <c r="A1040">
        <v>1039</v>
      </c>
      <c r="B1040" s="1" t="s">
        <v>12</v>
      </c>
      <c r="C1040">
        <v>1940</v>
      </c>
      <c r="D1040" s="1" t="s">
        <v>193</v>
      </c>
      <c r="E1040" s="1" t="s">
        <v>68</v>
      </c>
      <c r="F1040">
        <v>86</v>
      </c>
      <c r="G1040" s="1" t="s">
        <v>76</v>
      </c>
      <c r="H1040">
        <v>86161</v>
      </c>
      <c r="I1040">
        <v>28</v>
      </c>
      <c r="J1040">
        <v>22</v>
      </c>
      <c r="K1040">
        <v>24</v>
      </c>
      <c r="L1040">
        <v>1091</v>
      </c>
    </row>
    <row r="1041" spans="1:12" hidden="1" x14ac:dyDescent="0.25">
      <c r="A1041">
        <v>1040</v>
      </c>
      <c r="B1041" s="1" t="s">
        <v>12</v>
      </c>
      <c r="C1041">
        <v>1940</v>
      </c>
      <c r="D1041" s="1" t="s">
        <v>193</v>
      </c>
      <c r="E1041" s="1" t="s">
        <v>68</v>
      </c>
      <c r="F1041">
        <v>86</v>
      </c>
      <c r="G1041" s="1" t="s">
        <v>75</v>
      </c>
      <c r="H1041">
        <v>86035</v>
      </c>
      <c r="I1041">
        <v>13</v>
      </c>
      <c r="J1041">
        <v>12</v>
      </c>
      <c r="K1041">
        <v>13</v>
      </c>
      <c r="L1041">
        <v>1083</v>
      </c>
    </row>
    <row r="1042" spans="1:12" hidden="1" x14ac:dyDescent="0.25">
      <c r="A1042">
        <v>1041</v>
      </c>
      <c r="B1042" s="1" t="s">
        <v>12</v>
      </c>
      <c r="C1042">
        <v>1940</v>
      </c>
      <c r="D1042" s="1" t="s">
        <v>193</v>
      </c>
      <c r="E1042" s="1" t="s">
        <v>68</v>
      </c>
      <c r="F1042">
        <v>86</v>
      </c>
      <c r="G1042" s="1" t="s">
        <v>180</v>
      </c>
      <c r="H1042">
        <v>86126</v>
      </c>
      <c r="I1042">
        <v>13</v>
      </c>
      <c r="J1042">
        <v>11</v>
      </c>
      <c r="K1042">
        <v>11</v>
      </c>
      <c r="L1042">
        <v>1000</v>
      </c>
    </row>
    <row r="1043" spans="1:12" hidden="1" x14ac:dyDescent="0.25">
      <c r="A1043">
        <v>1042</v>
      </c>
      <c r="B1043" s="1" t="s">
        <v>12</v>
      </c>
      <c r="C1043">
        <v>1940</v>
      </c>
      <c r="D1043" s="1" t="s">
        <v>193</v>
      </c>
      <c r="E1043" s="1" t="s">
        <v>68</v>
      </c>
      <c r="F1043">
        <v>86</v>
      </c>
      <c r="G1043" s="1" t="s">
        <v>135</v>
      </c>
      <c r="H1043">
        <v>86133</v>
      </c>
      <c r="I1043">
        <v>12</v>
      </c>
      <c r="J1043">
        <v>10</v>
      </c>
      <c r="K1043">
        <v>10</v>
      </c>
      <c r="L1043">
        <v>1000</v>
      </c>
    </row>
    <row r="1044" spans="1:12" hidden="1" x14ac:dyDescent="0.25">
      <c r="A1044">
        <v>1043</v>
      </c>
      <c r="B1044" s="1" t="s">
        <v>12</v>
      </c>
      <c r="C1044">
        <v>1940</v>
      </c>
      <c r="D1044" s="1" t="s">
        <v>193</v>
      </c>
      <c r="E1044" s="1" t="s">
        <v>68</v>
      </c>
      <c r="F1044">
        <v>86</v>
      </c>
      <c r="G1044" s="1" t="s">
        <v>190</v>
      </c>
      <c r="H1044">
        <v>86070</v>
      </c>
      <c r="I1044">
        <v>10</v>
      </c>
      <c r="J1044">
        <v>9</v>
      </c>
      <c r="K1044">
        <v>9</v>
      </c>
      <c r="L1044">
        <v>1000</v>
      </c>
    </row>
    <row r="1045" spans="1:12" hidden="1" x14ac:dyDescent="0.25">
      <c r="A1045">
        <v>1044</v>
      </c>
      <c r="B1045" s="1" t="s">
        <v>12</v>
      </c>
      <c r="C1045">
        <v>1940</v>
      </c>
      <c r="D1045" s="1" t="s">
        <v>193</v>
      </c>
      <c r="E1045" s="1" t="s">
        <v>68</v>
      </c>
      <c r="F1045">
        <v>86</v>
      </c>
      <c r="G1045" s="1" t="s">
        <v>28</v>
      </c>
      <c r="H1045">
        <v>86049</v>
      </c>
      <c r="I1045">
        <v>8</v>
      </c>
      <c r="J1045">
        <v>7</v>
      </c>
      <c r="K1045">
        <v>8</v>
      </c>
      <c r="L1045">
        <v>1143</v>
      </c>
    </row>
    <row r="1046" spans="1:12" hidden="1" x14ac:dyDescent="0.25">
      <c r="A1046">
        <v>1045</v>
      </c>
      <c r="B1046" s="1" t="s">
        <v>12</v>
      </c>
      <c r="C1046">
        <v>1940</v>
      </c>
      <c r="D1046" s="1" t="s">
        <v>193</v>
      </c>
      <c r="E1046" s="1" t="s">
        <v>68</v>
      </c>
      <c r="F1046">
        <v>86</v>
      </c>
      <c r="G1046" s="1" t="s">
        <v>191</v>
      </c>
      <c r="H1046">
        <v>86084</v>
      </c>
      <c r="I1046">
        <v>6</v>
      </c>
      <c r="J1046">
        <v>5</v>
      </c>
      <c r="K1046">
        <v>5</v>
      </c>
      <c r="L1046">
        <v>1000</v>
      </c>
    </row>
    <row r="1047" spans="1:12" hidden="1" x14ac:dyDescent="0.25">
      <c r="A1047">
        <v>1046</v>
      </c>
      <c r="B1047" s="1" t="s">
        <v>12</v>
      </c>
      <c r="C1047">
        <v>1940</v>
      </c>
      <c r="D1047" s="1" t="s">
        <v>193</v>
      </c>
      <c r="E1047" s="1" t="s">
        <v>68</v>
      </c>
      <c r="F1047">
        <v>86</v>
      </c>
      <c r="G1047" s="1" t="s">
        <v>192</v>
      </c>
      <c r="H1047">
        <v>86140</v>
      </c>
      <c r="I1047">
        <v>5</v>
      </c>
      <c r="J1047">
        <v>5</v>
      </c>
      <c r="K1047">
        <v>5</v>
      </c>
      <c r="L1047">
        <v>1000</v>
      </c>
    </row>
    <row r="1048" spans="1:12" hidden="1" x14ac:dyDescent="0.25">
      <c r="A1048">
        <v>1047</v>
      </c>
      <c r="B1048" s="1" t="s">
        <v>12</v>
      </c>
      <c r="C1048">
        <v>1940</v>
      </c>
      <c r="D1048" s="1" t="s">
        <v>193</v>
      </c>
      <c r="E1048" s="1" t="s">
        <v>68</v>
      </c>
      <c r="F1048">
        <v>86</v>
      </c>
      <c r="G1048" s="1" t="s">
        <v>69</v>
      </c>
      <c r="H1048">
        <v>86077</v>
      </c>
      <c r="I1048">
        <v>5</v>
      </c>
      <c r="J1048">
        <v>5</v>
      </c>
      <c r="K1048">
        <v>5</v>
      </c>
      <c r="L1048">
        <v>1000</v>
      </c>
    </row>
    <row r="1049" spans="1:12" hidden="1" x14ac:dyDescent="0.25">
      <c r="A1049">
        <v>1048</v>
      </c>
      <c r="B1049" s="1" t="s">
        <v>12</v>
      </c>
      <c r="C1049">
        <v>1940</v>
      </c>
      <c r="D1049" s="1" t="s">
        <v>193</v>
      </c>
      <c r="E1049" s="1" t="s">
        <v>77</v>
      </c>
      <c r="F1049">
        <v>90</v>
      </c>
      <c r="G1049" s="1" t="s">
        <v>78</v>
      </c>
      <c r="H1049">
        <v>90007</v>
      </c>
      <c r="I1049">
        <v>620</v>
      </c>
      <c r="J1049">
        <v>620</v>
      </c>
      <c r="K1049">
        <v>1088</v>
      </c>
      <c r="L1049">
        <v>1755</v>
      </c>
    </row>
    <row r="1050" spans="1:12" hidden="1" x14ac:dyDescent="0.25">
      <c r="A1050">
        <v>1049</v>
      </c>
      <c r="B1050" s="1" t="s">
        <v>12</v>
      </c>
      <c r="C1050">
        <v>1940</v>
      </c>
      <c r="D1050" s="1" t="s">
        <v>193</v>
      </c>
      <c r="E1050" s="1" t="s">
        <v>77</v>
      </c>
      <c r="F1050">
        <v>90</v>
      </c>
      <c r="G1050" s="1" t="s">
        <v>91</v>
      </c>
      <c r="H1050">
        <v>90014</v>
      </c>
      <c r="I1050">
        <v>555</v>
      </c>
      <c r="J1050">
        <v>555</v>
      </c>
      <c r="K1050">
        <v>1000</v>
      </c>
      <c r="L1050">
        <v>1801</v>
      </c>
    </row>
    <row r="1051" spans="1:12" hidden="1" x14ac:dyDescent="0.25">
      <c r="A1051">
        <v>1050</v>
      </c>
      <c r="B1051" s="1" t="s">
        <v>12</v>
      </c>
      <c r="C1051">
        <v>1940</v>
      </c>
      <c r="D1051" s="1" t="s">
        <v>193</v>
      </c>
      <c r="E1051" s="1" t="s">
        <v>77</v>
      </c>
      <c r="F1051">
        <v>90</v>
      </c>
      <c r="G1051" s="1" t="s">
        <v>92</v>
      </c>
      <c r="H1051">
        <v>90056</v>
      </c>
      <c r="I1051">
        <v>530</v>
      </c>
      <c r="J1051">
        <v>530</v>
      </c>
      <c r="K1051">
        <v>795</v>
      </c>
      <c r="L1051">
        <v>1500</v>
      </c>
    </row>
    <row r="1052" spans="1:12" hidden="1" x14ac:dyDescent="0.25">
      <c r="A1052">
        <v>1051</v>
      </c>
      <c r="B1052" s="1" t="s">
        <v>12</v>
      </c>
      <c r="C1052">
        <v>1940</v>
      </c>
      <c r="D1052" s="1" t="s">
        <v>193</v>
      </c>
      <c r="E1052" s="1" t="s">
        <v>77</v>
      </c>
      <c r="F1052">
        <v>90</v>
      </c>
      <c r="G1052" s="1" t="s">
        <v>93</v>
      </c>
      <c r="H1052">
        <v>90070</v>
      </c>
      <c r="I1052">
        <v>50</v>
      </c>
      <c r="J1052">
        <v>50</v>
      </c>
      <c r="K1052">
        <v>90</v>
      </c>
      <c r="L1052">
        <v>1800</v>
      </c>
    </row>
    <row r="1053" spans="1:12" hidden="1" x14ac:dyDescent="0.25">
      <c r="A1053">
        <v>1052</v>
      </c>
      <c r="B1053" s="1" t="s">
        <v>12</v>
      </c>
      <c r="C1053">
        <v>1940</v>
      </c>
      <c r="D1053" s="1" t="s">
        <v>193</v>
      </c>
      <c r="E1053" s="1" t="s">
        <v>77</v>
      </c>
      <c r="F1053">
        <v>90</v>
      </c>
      <c r="G1053" s="1" t="s">
        <v>109</v>
      </c>
      <c r="H1053">
        <v>90077</v>
      </c>
      <c r="I1053">
        <v>50</v>
      </c>
      <c r="J1053">
        <v>50</v>
      </c>
      <c r="K1053">
        <v>60</v>
      </c>
      <c r="L1053">
        <v>1200</v>
      </c>
    </row>
    <row r="1054" spans="1:12" hidden="1" x14ac:dyDescent="0.25">
      <c r="A1054">
        <v>1053</v>
      </c>
      <c r="B1054" s="1" t="s">
        <v>12</v>
      </c>
      <c r="C1054">
        <v>1940</v>
      </c>
      <c r="D1054" s="1" t="s">
        <v>193</v>
      </c>
      <c r="E1054" s="1" t="s">
        <v>77</v>
      </c>
      <c r="F1054">
        <v>90</v>
      </c>
      <c r="G1054" s="1" t="s">
        <v>95</v>
      </c>
      <c r="H1054">
        <v>90035</v>
      </c>
      <c r="I1054">
        <v>45</v>
      </c>
      <c r="J1054">
        <v>45</v>
      </c>
      <c r="K1054">
        <v>75</v>
      </c>
      <c r="L1054">
        <v>1667</v>
      </c>
    </row>
    <row r="1055" spans="1:12" hidden="1" x14ac:dyDescent="0.25">
      <c r="A1055">
        <v>1054</v>
      </c>
      <c r="B1055" s="1" t="s">
        <v>12</v>
      </c>
      <c r="C1055">
        <v>1940</v>
      </c>
      <c r="D1055" s="1" t="s">
        <v>193</v>
      </c>
      <c r="E1055" s="1" t="s">
        <v>77</v>
      </c>
      <c r="F1055">
        <v>90</v>
      </c>
      <c r="G1055" s="1" t="s">
        <v>90</v>
      </c>
      <c r="H1055">
        <v>90112</v>
      </c>
      <c r="I1055">
        <v>45</v>
      </c>
      <c r="J1055">
        <v>45</v>
      </c>
      <c r="K1055">
        <v>75</v>
      </c>
      <c r="L1055">
        <v>1667</v>
      </c>
    </row>
    <row r="1056" spans="1:12" hidden="1" x14ac:dyDescent="0.25">
      <c r="A1056">
        <v>1055</v>
      </c>
      <c r="B1056" s="1" t="s">
        <v>12</v>
      </c>
      <c r="C1056">
        <v>1940</v>
      </c>
      <c r="D1056" s="1" t="s">
        <v>193</v>
      </c>
      <c r="E1056" s="1" t="s">
        <v>77</v>
      </c>
      <c r="F1056">
        <v>90</v>
      </c>
      <c r="G1056" s="1" t="s">
        <v>89</v>
      </c>
      <c r="H1056">
        <v>90028</v>
      </c>
      <c r="I1056">
        <v>30</v>
      </c>
      <c r="J1056">
        <v>30</v>
      </c>
      <c r="K1056">
        <v>42</v>
      </c>
      <c r="L1056">
        <v>1400</v>
      </c>
    </row>
    <row r="1057" spans="1:12" hidden="1" x14ac:dyDescent="0.25">
      <c r="A1057">
        <v>1056</v>
      </c>
      <c r="B1057" s="1" t="s">
        <v>12</v>
      </c>
      <c r="C1057">
        <v>1940</v>
      </c>
      <c r="D1057" s="1" t="s">
        <v>193</v>
      </c>
      <c r="E1057" s="1" t="s">
        <v>77</v>
      </c>
      <c r="F1057">
        <v>90</v>
      </c>
      <c r="G1057" s="1" t="s">
        <v>110</v>
      </c>
      <c r="H1057">
        <v>90021</v>
      </c>
      <c r="I1057">
        <v>20</v>
      </c>
      <c r="J1057">
        <v>20</v>
      </c>
      <c r="K1057">
        <v>30</v>
      </c>
      <c r="L1057">
        <v>1500</v>
      </c>
    </row>
    <row r="1058" spans="1:12" hidden="1" x14ac:dyDescent="0.25">
      <c r="A1058">
        <v>1057</v>
      </c>
      <c r="B1058" s="1" t="s">
        <v>12</v>
      </c>
      <c r="C1058">
        <v>1940</v>
      </c>
      <c r="D1058" s="1" t="s">
        <v>193</v>
      </c>
      <c r="E1058" s="1" t="s">
        <v>77</v>
      </c>
      <c r="F1058">
        <v>90</v>
      </c>
      <c r="G1058" s="1" t="s">
        <v>28</v>
      </c>
      <c r="H1058">
        <v>90084</v>
      </c>
      <c r="I1058">
        <v>5</v>
      </c>
      <c r="J1058">
        <v>5</v>
      </c>
      <c r="K1058">
        <v>8</v>
      </c>
      <c r="L1058">
        <v>1600</v>
      </c>
    </row>
    <row r="1059" spans="1:12" hidden="1" x14ac:dyDescent="0.25">
      <c r="A1059">
        <v>1058</v>
      </c>
      <c r="B1059" s="1" t="s">
        <v>12</v>
      </c>
      <c r="C1059">
        <v>1940</v>
      </c>
      <c r="D1059" s="1" t="s">
        <v>193</v>
      </c>
      <c r="E1059" s="1" t="s">
        <v>77</v>
      </c>
      <c r="F1059">
        <v>90</v>
      </c>
      <c r="G1059" s="1" t="s">
        <v>94</v>
      </c>
      <c r="H1059">
        <v>90105</v>
      </c>
      <c r="I1059">
        <v>5</v>
      </c>
      <c r="J1059">
        <v>5</v>
      </c>
      <c r="K1059">
        <v>7</v>
      </c>
      <c r="L1059">
        <v>1400</v>
      </c>
    </row>
    <row r="1060" spans="1:12" hidden="1" x14ac:dyDescent="0.25">
      <c r="A1060">
        <v>1059</v>
      </c>
      <c r="B1060" s="1" t="s">
        <v>12</v>
      </c>
      <c r="C1060">
        <v>1941</v>
      </c>
      <c r="D1060" s="1" t="s">
        <v>196</v>
      </c>
      <c r="E1060" s="1" t="s">
        <v>14</v>
      </c>
      <c r="F1060">
        <v>22</v>
      </c>
      <c r="G1060" s="1" t="s">
        <v>16</v>
      </c>
      <c r="H1060">
        <v>22049</v>
      </c>
      <c r="I1060">
        <v>800</v>
      </c>
      <c r="J1060">
        <v>735</v>
      </c>
      <c r="K1060">
        <v>1014</v>
      </c>
      <c r="L1060">
        <v>1380</v>
      </c>
    </row>
    <row r="1061" spans="1:12" hidden="1" x14ac:dyDescent="0.25">
      <c r="A1061">
        <v>1060</v>
      </c>
      <c r="B1061" s="1" t="s">
        <v>12</v>
      </c>
      <c r="C1061">
        <v>1941</v>
      </c>
      <c r="D1061" s="1" t="s">
        <v>196</v>
      </c>
      <c r="E1061" s="1" t="s">
        <v>14</v>
      </c>
      <c r="F1061">
        <v>22</v>
      </c>
      <c r="G1061" s="1" t="s">
        <v>17</v>
      </c>
      <c r="H1061">
        <v>22140</v>
      </c>
      <c r="I1061">
        <v>700</v>
      </c>
      <c r="J1061">
        <v>550</v>
      </c>
      <c r="K1061">
        <v>756</v>
      </c>
      <c r="L1061">
        <v>1374</v>
      </c>
    </row>
    <row r="1062" spans="1:12" hidden="1" x14ac:dyDescent="0.25">
      <c r="A1062">
        <v>1061</v>
      </c>
      <c r="B1062" s="1" t="s">
        <v>12</v>
      </c>
      <c r="C1062">
        <v>1941</v>
      </c>
      <c r="D1062" s="1" t="s">
        <v>196</v>
      </c>
      <c r="E1062" s="1" t="s">
        <v>14</v>
      </c>
      <c r="F1062">
        <v>22</v>
      </c>
      <c r="G1062" s="1" t="s">
        <v>15</v>
      </c>
      <c r="H1062">
        <v>22105</v>
      </c>
      <c r="I1062">
        <v>500</v>
      </c>
      <c r="J1062">
        <v>460</v>
      </c>
      <c r="K1062">
        <v>713</v>
      </c>
      <c r="L1062">
        <v>1550</v>
      </c>
    </row>
    <row r="1063" spans="1:12" hidden="1" x14ac:dyDescent="0.25">
      <c r="A1063">
        <v>1062</v>
      </c>
      <c r="B1063" s="1" t="s">
        <v>12</v>
      </c>
      <c r="C1063">
        <v>1941</v>
      </c>
      <c r="D1063" s="1" t="s">
        <v>196</v>
      </c>
      <c r="E1063" s="1" t="s">
        <v>14</v>
      </c>
      <c r="F1063">
        <v>22</v>
      </c>
      <c r="G1063" s="1" t="s">
        <v>18</v>
      </c>
      <c r="H1063">
        <v>22084</v>
      </c>
      <c r="I1063">
        <v>150</v>
      </c>
      <c r="J1063">
        <v>120</v>
      </c>
      <c r="K1063">
        <v>162</v>
      </c>
      <c r="L1063">
        <v>1350</v>
      </c>
    </row>
    <row r="1064" spans="1:12" hidden="1" x14ac:dyDescent="0.25">
      <c r="A1064">
        <v>1063</v>
      </c>
      <c r="B1064" s="1" t="s">
        <v>12</v>
      </c>
      <c r="C1064">
        <v>1941</v>
      </c>
      <c r="D1064" s="1" t="s">
        <v>196</v>
      </c>
      <c r="E1064" s="1" t="s">
        <v>14</v>
      </c>
      <c r="F1064">
        <v>22</v>
      </c>
      <c r="G1064" s="1" t="s">
        <v>19</v>
      </c>
      <c r="H1064">
        <v>22014</v>
      </c>
      <c r="I1064">
        <v>100</v>
      </c>
      <c r="J1064">
        <v>90</v>
      </c>
      <c r="K1064">
        <v>108</v>
      </c>
      <c r="L1064">
        <v>1200</v>
      </c>
    </row>
    <row r="1065" spans="1:12" hidden="1" x14ac:dyDescent="0.25">
      <c r="A1065">
        <v>1064</v>
      </c>
      <c r="B1065" s="1" t="s">
        <v>12</v>
      </c>
      <c r="C1065">
        <v>1941</v>
      </c>
      <c r="D1065" s="1" t="s">
        <v>196</v>
      </c>
      <c r="E1065" s="1" t="s">
        <v>14</v>
      </c>
      <c r="F1065">
        <v>22</v>
      </c>
      <c r="G1065" s="1" t="s">
        <v>168</v>
      </c>
      <c r="H1065">
        <v>22063</v>
      </c>
      <c r="I1065">
        <v>50</v>
      </c>
      <c r="J1065">
        <v>45</v>
      </c>
      <c r="K1065">
        <v>59</v>
      </c>
      <c r="L1065">
        <v>1311</v>
      </c>
    </row>
    <row r="1066" spans="1:12" hidden="1" x14ac:dyDescent="0.25">
      <c r="A1066">
        <v>1065</v>
      </c>
      <c r="B1066" s="1" t="s">
        <v>12</v>
      </c>
      <c r="C1066">
        <v>1941</v>
      </c>
      <c r="D1066" s="1" t="s">
        <v>196</v>
      </c>
      <c r="E1066" s="1" t="s">
        <v>14</v>
      </c>
      <c r="F1066">
        <v>22</v>
      </c>
      <c r="G1066" s="1" t="s">
        <v>21</v>
      </c>
      <c r="H1066">
        <v>22161</v>
      </c>
      <c r="I1066">
        <v>50</v>
      </c>
      <c r="J1066">
        <v>40</v>
      </c>
      <c r="K1066">
        <v>44</v>
      </c>
      <c r="L1066">
        <v>1100</v>
      </c>
    </row>
    <row r="1067" spans="1:12" hidden="1" x14ac:dyDescent="0.25">
      <c r="A1067">
        <v>1066</v>
      </c>
      <c r="B1067" s="1" t="s">
        <v>12</v>
      </c>
      <c r="C1067">
        <v>1941</v>
      </c>
      <c r="D1067" s="1" t="s">
        <v>196</v>
      </c>
      <c r="E1067" s="1" t="s">
        <v>14</v>
      </c>
      <c r="F1067">
        <v>22</v>
      </c>
      <c r="G1067" s="1" t="s">
        <v>20</v>
      </c>
      <c r="H1067">
        <v>22091</v>
      </c>
      <c r="I1067">
        <v>25</v>
      </c>
      <c r="J1067">
        <v>20</v>
      </c>
      <c r="K1067">
        <v>24</v>
      </c>
      <c r="L1067">
        <v>1200</v>
      </c>
    </row>
    <row r="1068" spans="1:12" hidden="1" x14ac:dyDescent="0.25">
      <c r="A1068">
        <v>1067</v>
      </c>
      <c r="B1068" s="1" t="s">
        <v>12</v>
      </c>
      <c r="C1068">
        <v>1941</v>
      </c>
      <c r="D1068" s="1" t="s">
        <v>196</v>
      </c>
      <c r="E1068" s="1" t="s">
        <v>22</v>
      </c>
      <c r="F1068">
        <v>14</v>
      </c>
      <c r="G1068" s="1" t="s">
        <v>183</v>
      </c>
      <c r="H1068">
        <v>14007</v>
      </c>
      <c r="I1068">
        <v>16500</v>
      </c>
      <c r="J1068">
        <v>15100</v>
      </c>
      <c r="K1068">
        <v>12684</v>
      </c>
      <c r="L1068">
        <v>840</v>
      </c>
    </row>
    <row r="1069" spans="1:12" hidden="1" x14ac:dyDescent="0.25">
      <c r="A1069">
        <v>1068</v>
      </c>
      <c r="B1069" s="1" t="s">
        <v>12</v>
      </c>
      <c r="C1069">
        <v>1941</v>
      </c>
      <c r="D1069" s="1" t="s">
        <v>196</v>
      </c>
      <c r="E1069" s="1" t="s">
        <v>22</v>
      </c>
      <c r="F1069">
        <v>14</v>
      </c>
      <c r="G1069" s="1" t="s">
        <v>23</v>
      </c>
      <c r="H1069">
        <v>14147</v>
      </c>
      <c r="I1069">
        <v>11308</v>
      </c>
      <c r="J1069">
        <v>10604</v>
      </c>
      <c r="K1069">
        <v>14845</v>
      </c>
      <c r="L1069">
        <v>1400</v>
      </c>
    </row>
    <row r="1070" spans="1:12" hidden="1" x14ac:dyDescent="0.25">
      <c r="A1070">
        <v>1069</v>
      </c>
      <c r="B1070" s="1" t="s">
        <v>12</v>
      </c>
      <c r="C1070">
        <v>1941</v>
      </c>
      <c r="D1070" s="1" t="s">
        <v>196</v>
      </c>
      <c r="E1070" s="1" t="s">
        <v>22</v>
      </c>
      <c r="F1070">
        <v>14</v>
      </c>
      <c r="G1070" s="1" t="s">
        <v>24</v>
      </c>
      <c r="H1070">
        <v>14119</v>
      </c>
      <c r="I1070">
        <v>7452</v>
      </c>
      <c r="J1070">
        <v>6852</v>
      </c>
      <c r="K1070">
        <v>8907</v>
      </c>
      <c r="L1070">
        <v>1300</v>
      </c>
    </row>
    <row r="1071" spans="1:12" hidden="1" x14ac:dyDescent="0.25">
      <c r="A1071">
        <v>1070</v>
      </c>
      <c r="B1071" s="1" t="s">
        <v>12</v>
      </c>
      <c r="C1071">
        <v>1941</v>
      </c>
      <c r="D1071" s="1" t="s">
        <v>196</v>
      </c>
      <c r="E1071" s="1" t="s">
        <v>22</v>
      </c>
      <c r="F1071">
        <v>14</v>
      </c>
      <c r="G1071" s="1" t="s">
        <v>97</v>
      </c>
      <c r="H1071">
        <v>14007</v>
      </c>
      <c r="I1071">
        <v>3240</v>
      </c>
      <c r="J1071">
        <v>2740</v>
      </c>
      <c r="K1071">
        <v>3562</v>
      </c>
      <c r="L1071">
        <v>1300</v>
      </c>
    </row>
    <row r="1072" spans="1:12" hidden="1" x14ac:dyDescent="0.25">
      <c r="A1072">
        <v>1071</v>
      </c>
      <c r="B1072" s="1" t="s">
        <v>12</v>
      </c>
      <c r="C1072">
        <v>1941</v>
      </c>
      <c r="D1072" s="1" t="s">
        <v>196</v>
      </c>
      <c r="E1072" s="1" t="s">
        <v>22</v>
      </c>
      <c r="F1072">
        <v>14</v>
      </c>
      <c r="G1072" s="1" t="s">
        <v>25</v>
      </c>
      <c r="H1072">
        <v>14105</v>
      </c>
      <c r="I1072">
        <v>2000</v>
      </c>
      <c r="J1072">
        <v>1800</v>
      </c>
      <c r="K1072">
        <v>2160</v>
      </c>
      <c r="L1072">
        <v>1200</v>
      </c>
    </row>
    <row r="1073" spans="1:12" hidden="1" x14ac:dyDescent="0.25">
      <c r="A1073">
        <v>1072</v>
      </c>
      <c r="B1073" s="1" t="s">
        <v>12</v>
      </c>
      <c r="C1073">
        <v>1941</v>
      </c>
      <c r="D1073" s="1" t="s">
        <v>196</v>
      </c>
      <c r="E1073" s="1" t="s">
        <v>22</v>
      </c>
      <c r="F1073">
        <v>14</v>
      </c>
      <c r="G1073" s="1" t="s">
        <v>67</v>
      </c>
      <c r="H1073">
        <v>14140</v>
      </c>
      <c r="I1073">
        <v>1200</v>
      </c>
      <c r="J1073">
        <v>1200</v>
      </c>
      <c r="K1073">
        <v>960</v>
      </c>
      <c r="L1073">
        <v>800</v>
      </c>
    </row>
    <row r="1074" spans="1:12" hidden="1" x14ac:dyDescent="0.25">
      <c r="A1074">
        <v>1073</v>
      </c>
      <c r="B1074" s="1" t="s">
        <v>12</v>
      </c>
      <c r="C1074">
        <v>1941</v>
      </c>
      <c r="D1074" s="1" t="s">
        <v>196</v>
      </c>
      <c r="E1074" s="1" t="s">
        <v>22</v>
      </c>
      <c r="F1074">
        <v>14</v>
      </c>
      <c r="G1074" s="1" t="s">
        <v>28</v>
      </c>
      <c r="H1074">
        <v>14014</v>
      </c>
      <c r="I1074">
        <v>800</v>
      </c>
      <c r="J1074">
        <v>800</v>
      </c>
      <c r="K1074">
        <v>960</v>
      </c>
      <c r="L1074">
        <v>1200</v>
      </c>
    </row>
    <row r="1075" spans="1:12" hidden="1" x14ac:dyDescent="0.25">
      <c r="A1075">
        <v>1074</v>
      </c>
      <c r="B1075" s="1" t="s">
        <v>12</v>
      </c>
      <c r="C1075">
        <v>1941</v>
      </c>
      <c r="D1075" s="1" t="s">
        <v>196</v>
      </c>
      <c r="E1075" s="1" t="s">
        <v>22</v>
      </c>
      <c r="F1075">
        <v>14</v>
      </c>
      <c r="G1075" s="1" t="s">
        <v>184</v>
      </c>
      <c r="H1075">
        <v>14042</v>
      </c>
      <c r="I1075">
        <v>420</v>
      </c>
      <c r="J1075">
        <v>350</v>
      </c>
      <c r="K1075">
        <v>294</v>
      </c>
      <c r="L1075">
        <v>840</v>
      </c>
    </row>
    <row r="1076" spans="1:12" hidden="1" x14ac:dyDescent="0.25">
      <c r="A1076">
        <v>1075</v>
      </c>
      <c r="B1076" s="1" t="s">
        <v>12</v>
      </c>
      <c r="C1076">
        <v>1941</v>
      </c>
      <c r="D1076" s="1" t="s">
        <v>196</v>
      </c>
      <c r="E1076" s="1" t="s">
        <v>22</v>
      </c>
      <c r="F1076">
        <v>14</v>
      </c>
      <c r="G1076" s="1" t="s">
        <v>29</v>
      </c>
      <c r="H1076">
        <v>14098</v>
      </c>
      <c r="I1076">
        <v>200</v>
      </c>
      <c r="J1076">
        <v>140</v>
      </c>
      <c r="K1076">
        <v>140</v>
      </c>
      <c r="L1076">
        <v>1000</v>
      </c>
    </row>
    <row r="1077" spans="1:12" hidden="1" x14ac:dyDescent="0.25">
      <c r="A1077">
        <v>1076</v>
      </c>
      <c r="B1077" s="1" t="s">
        <v>12</v>
      </c>
      <c r="C1077">
        <v>1941</v>
      </c>
      <c r="D1077" s="1" t="s">
        <v>196</v>
      </c>
      <c r="E1077" s="1" t="s">
        <v>22</v>
      </c>
      <c r="F1077">
        <v>14</v>
      </c>
      <c r="G1077" s="1" t="s">
        <v>27</v>
      </c>
      <c r="H1077">
        <v>14021</v>
      </c>
      <c r="I1077">
        <v>150</v>
      </c>
      <c r="J1077">
        <v>150</v>
      </c>
      <c r="K1077">
        <v>135</v>
      </c>
      <c r="L1077">
        <v>900</v>
      </c>
    </row>
    <row r="1078" spans="1:12" hidden="1" x14ac:dyDescent="0.25">
      <c r="A1078">
        <v>1077</v>
      </c>
      <c r="B1078" s="1" t="s">
        <v>12</v>
      </c>
      <c r="C1078">
        <v>1941</v>
      </c>
      <c r="D1078" s="1" t="s">
        <v>196</v>
      </c>
      <c r="E1078" s="1" t="s">
        <v>22</v>
      </c>
      <c r="F1078">
        <v>14</v>
      </c>
      <c r="G1078" s="1" t="s">
        <v>169</v>
      </c>
      <c r="H1078">
        <v>14126</v>
      </c>
      <c r="I1078">
        <v>80</v>
      </c>
      <c r="J1078">
        <v>65</v>
      </c>
      <c r="K1078">
        <v>85</v>
      </c>
      <c r="L1078">
        <v>1307</v>
      </c>
    </row>
    <row r="1079" spans="1:12" hidden="1" x14ac:dyDescent="0.25">
      <c r="A1079">
        <v>1078</v>
      </c>
      <c r="B1079" s="1" t="s">
        <v>12</v>
      </c>
      <c r="C1079">
        <v>1941</v>
      </c>
      <c r="D1079" s="1" t="s">
        <v>196</v>
      </c>
      <c r="E1079" s="1" t="s">
        <v>22</v>
      </c>
      <c r="F1079">
        <v>14</v>
      </c>
      <c r="G1079" s="1" t="s">
        <v>62</v>
      </c>
      <c r="H1079">
        <v>14133</v>
      </c>
      <c r="I1079">
        <v>60</v>
      </c>
      <c r="J1079">
        <v>55</v>
      </c>
      <c r="K1079">
        <v>83</v>
      </c>
      <c r="L1079">
        <v>1509</v>
      </c>
    </row>
    <row r="1080" spans="1:12" hidden="1" x14ac:dyDescent="0.25">
      <c r="A1080">
        <v>1079</v>
      </c>
      <c r="B1080" s="1" t="s">
        <v>12</v>
      </c>
      <c r="C1080">
        <v>1941</v>
      </c>
      <c r="D1080" s="1" t="s">
        <v>196</v>
      </c>
      <c r="E1080" s="1" t="s">
        <v>22</v>
      </c>
      <c r="F1080">
        <v>14</v>
      </c>
      <c r="G1080" s="1" t="s">
        <v>114</v>
      </c>
      <c r="H1080">
        <v>14168</v>
      </c>
      <c r="I1080">
        <v>45</v>
      </c>
      <c r="J1080">
        <v>45</v>
      </c>
      <c r="K1080">
        <v>36</v>
      </c>
      <c r="L1080">
        <v>800</v>
      </c>
    </row>
    <row r="1081" spans="1:12" hidden="1" x14ac:dyDescent="0.25">
      <c r="A1081">
        <v>1080</v>
      </c>
      <c r="B1081" s="1" t="s">
        <v>12</v>
      </c>
      <c r="C1081">
        <v>1941</v>
      </c>
      <c r="D1081" s="1" t="s">
        <v>196</v>
      </c>
      <c r="E1081" s="1" t="s">
        <v>22</v>
      </c>
      <c r="F1081">
        <v>14</v>
      </c>
      <c r="G1081" s="1" t="s">
        <v>194</v>
      </c>
      <c r="H1081">
        <v>14077</v>
      </c>
      <c r="I1081">
        <v>25</v>
      </c>
      <c r="J1081">
        <v>15</v>
      </c>
      <c r="K1081">
        <v>15</v>
      </c>
      <c r="L1081">
        <v>1000</v>
      </c>
    </row>
    <row r="1082" spans="1:12" hidden="1" x14ac:dyDescent="0.25">
      <c r="A1082">
        <v>1081</v>
      </c>
      <c r="B1082" s="1" t="s">
        <v>12</v>
      </c>
      <c r="C1082">
        <v>1941</v>
      </c>
      <c r="D1082" s="1" t="s">
        <v>196</v>
      </c>
      <c r="E1082" s="1" t="s">
        <v>22</v>
      </c>
      <c r="F1082">
        <v>14</v>
      </c>
      <c r="G1082" s="1" t="s">
        <v>186</v>
      </c>
      <c r="H1082">
        <v>14175</v>
      </c>
      <c r="I1082">
        <v>20</v>
      </c>
      <c r="J1082">
        <v>20</v>
      </c>
      <c r="K1082">
        <v>14</v>
      </c>
      <c r="L1082">
        <v>700</v>
      </c>
    </row>
    <row r="1083" spans="1:12" hidden="1" x14ac:dyDescent="0.25">
      <c r="A1083">
        <v>1082</v>
      </c>
      <c r="B1083" s="1" t="s">
        <v>12</v>
      </c>
      <c r="C1083">
        <v>1941</v>
      </c>
      <c r="D1083" s="1" t="s">
        <v>196</v>
      </c>
      <c r="E1083" s="1" t="s">
        <v>30</v>
      </c>
      <c r="F1083">
        <v>18</v>
      </c>
      <c r="G1083" s="1" t="s">
        <v>32</v>
      </c>
      <c r="H1083">
        <v>18112</v>
      </c>
      <c r="I1083">
        <v>490</v>
      </c>
      <c r="J1083">
        <v>470</v>
      </c>
      <c r="K1083">
        <v>525</v>
      </c>
      <c r="L1083">
        <v>1117</v>
      </c>
    </row>
    <row r="1084" spans="1:12" hidden="1" x14ac:dyDescent="0.25">
      <c r="A1084">
        <v>1083</v>
      </c>
      <c r="B1084" s="1" t="s">
        <v>12</v>
      </c>
      <c r="C1084">
        <v>1941</v>
      </c>
      <c r="D1084" s="1" t="s">
        <v>196</v>
      </c>
      <c r="E1084" s="1" t="s">
        <v>30</v>
      </c>
      <c r="F1084">
        <v>18</v>
      </c>
      <c r="G1084" s="1" t="s">
        <v>34</v>
      </c>
      <c r="H1084">
        <v>18042</v>
      </c>
      <c r="I1084">
        <v>160</v>
      </c>
      <c r="J1084">
        <v>120</v>
      </c>
      <c r="K1084">
        <v>120</v>
      </c>
      <c r="L1084">
        <v>1000</v>
      </c>
    </row>
    <row r="1085" spans="1:12" hidden="1" x14ac:dyDescent="0.25">
      <c r="A1085">
        <v>1084</v>
      </c>
      <c r="B1085" s="1" t="s">
        <v>12</v>
      </c>
      <c r="C1085">
        <v>1941</v>
      </c>
      <c r="D1085" s="1" t="s">
        <v>196</v>
      </c>
      <c r="E1085" s="1" t="s">
        <v>30</v>
      </c>
      <c r="F1085">
        <v>18</v>
      </c>
      <c r="G1085" s="1" t="s">
        <v>35</v>
      </c>
      <c r="H1085">
        <v>18049</v>
      </c>
      <c r="I1085">
        <v>150</v>
      </c>
      <c r="J1085">
        <v>130</v>
      </c>
      <c r="K1085">
        <v>91</v>
      </c>
      <c r="L1085">
        <v>700</v>
      </c>
    </row>
    <row r="1086" spans="1:12" hidden="1" x14ac:dyDescent="0.25">
      <c r="A1086">
        <v>1085</v>
      </c>
      <c r="B1086" s="1" t="s">
        <v>12</v>
      </c>
      <c r="C1086">
        <v>1941</v>
      </c>
      <c r="D1086" s="1" t="s">
        <v>196</v>
      </c>
      <c r="E1086" s="1" t="s">
        <v>30</v>
      </c>
      <c r="F1086">
        <v>18</v>
      </c>
      <c r="G1086" s="1" t="s">
        <v>63</v>
      </c>
      <c r="H1086">
        <v>18028</v>
      </c>
      <c r="I1086">
        <v>100</v>
      </c>
      <c r="J1086">
        <v>65</v>
      </c>
      <c r="K1086">
        <v>58</v>
      </c>
      <c r="L1086">
        <v>892</v>
      </c>
    </row>
    <row r="1087" spans="1:12" hidden="1" x14ac:dyDescent="0.25">
      <c r="A1087">
        <v>1086</v>
      </c>
      <c r="B1087" s="1" t="s">
        <v>12</v>
      </c>
      <c r="C1087">
        <v>1941</v>
      </c>
      <c r="D1087" s="1" t="s">
        <v>196</v>
      </c>
      <c r="E1087" s="1" t="s">
        <v>30</v>
      </c>
      <c r="F1087">
        <v>18</v>
      </c>
      <c r="G1087" s="1" t="s">
        <v>42</v>
      </c>
      <c r="H1087">
        <v>18035</v>
      </c>
      <c r="I1087">
        <v>100</v>
      </c>
      <c r="J1087">
        <v>100</v>
      </c>
      <c r="K1087">
        <v>120</v>
      </c>
      <c r="L1087">
        <v>1200</v>
      </c>
    </row>
    <row r="1088" spans="1:12" hidden="1" x14ac:dyDescent="0.25">
      <c r="A1088">
        <v>1087</v>
      </c>
      <c r="B1088" s="1" t="s">
        <v>12</v>
      </c>
      <c r="C1088">
        <v>1941</v>
      </c>
      <c r="D1088" s="1" t="s">
        <v>196</v>
      </c>
      <c r="E1088" s="1" t="s">
        <v>30</v>
      </c>
      <c r="F1088">
        <v>18</v>
      </c>
      <c r="G1088" s="1" t="s">
        <v>40</v>
      </c>
      <c r="H1088">
        <v>18126</v>
      </c>
      <c r="I1088">
        <v>84</v>
      </c>
      <c r="J1088">
        <v>55</v>
      </c>
      <c r="K1088">
        <v>49</v>
      </c>
      <c r="L1088">
        <v>891</v>
      </c>
    </row>
    <row r="1089" spans="1:12" hidden="1" x14ac:dyDescent="0.25">
      <c r="A1089">
        <v>1088</v>
      </c>
      <c r="B1089" s="1" t="s">
        <v>12</v>
      </c>
      <c r="C1089">
        <v>1941</v>
      </c>
      <c r="D1089" s="1" t="s">
        <v>196</v>
      </c>
      <c r="E1089" s="1" t="s">
        <v>30</v>
      </c>
      <c r="F1089">
        <v>18</v>
      </c>
      <c r="G1089" s="1" t="s">
        <v>99</v>
      </c>
      <c r="H1089">
        <v>18063</v>
      </c>
      <c r="I1089">
        <v>70</v>
      </c>
      <c r="J1089">
        <v>45</v>
      </c>
      <c r="K1089">
        <v>40</v>
      </c>
      <c r="L1089">
        <v>889</v>
      </c>
    </row>
    <row r="1090" spans="1:12" hidden="1" x14ac:dyDescent="0.25">
      <c r="A1090">
        <v>1089</v>
      </c>
      <c r="B1090" s="1" t="s">
        <v>12</v>
      </c>
      <c r="C1090">
        <v>1941</v>
      </c>
      <c r="D1090" s="1" t="s">
        <v>196</v>
      </c>
      <c r="E1090" s="1" t="s">
        <v>30</v>
      </c>
      <c r="F1090">
        <v>18</v>
      </c>
      <c r="G1090" s="1" t="s">
        <v>39</v>
      </c>
      <c r="H1090">
        <v>18084</v>
      </c>
      <c r="I1090">
        <v>50</v>
      </c>
      <c r="J1090">
        <v>25</v>
      </c>
      <c r="K1090">
        <v>20</v>
      </c>
      <c r="L1090">
        <v>800</v>
      </c>
    </row>
    <row r="1091" spans="1:12" hidden="1" x14ac:dyDescent="0.25">
      <c r="A1091">
        <v>1090</v>
      </c>
      <c r="B1091" s="1" t="s">
        <v>12</v>
      </c>
      <c r="C1091">
        <v>1941</v>
      </c>
      <c r="D1091" s="1" t="s">
        <v>196</v>
      </c>
      <c r="E1091" s="1" t="s">
        <v>30</v>
      </c>
      <c r="F1091">
        <v>18</v>
      </c>
      <c r="G1091" s="1" t="s">
        <v>41</v>
      </c>
      <c r="H1091">
        <v>18140</v>
      </c>
      <c r="I1091">
        <v>50</v>
      </c>
      <c r="J1091">
        <v>20</v>
      </c>
      <c r="K1091">
        <v>16</v>
      </c>
      <c r="L1091">
        <v>800</v>
      </c>
    </row>
    <row r="1092" spans="1:12" hidden="1" x14ac:dyDescent="0.25">
      <c r="A1092">
        <v>1091</v>
      </c>
      <c r="B1092" s="1" t="s">
        <v>12</v>
      </c>
      <c r="C1092">
        <v>1941</v>
      </c>
      <c r="D1092" s="1" t="s">
        <v>196</v>
      </c>
      <c r="E1092" s="1" t="s">
        <v>30</v>
      </c>
      <c r="F1092">
        <v>18</v>
      </c>
      <c r="G1092" s="1" t="s">
        <v>28</v>
      </c>
      <c r="H1092">
        <v>18021</v>
      </c>
      <c r="I1092">
        <v>40</v>
      </c>
      <c r="J1092">
        <v>15</v>
      </c>
      <c r="K1092">
        <v>13</v>
      </c>
      <c r="L1092">
        <v>867</v>
      </c>
    </row>
    <row r="1093" spans="1:12" hidden="1" x14ac:dyDescent="0.25">
      <c r="A1093">
        <v>1092</v>
      </c>
      <c r="B1093" s="1" t="s">
        <v>12</v>
      </c>
      <c r="C1093">
        <v>1941</v>
      </c>
      <c r="D1093" s="1" t="s">
        <v>196</v>
      </c>
      <c r="E1093" s="1" t="s">
        <v>30</v>
      </c>
      <c r="F1093">
        <v>18</v>
      </c>
      <c r="G1093" s="1" t="s">
        <v>98</v>
      </c>
      <c r="H1093">
        <v>18098</v>
      </c>
      <c r="I1093">
        <v>40</v>
      </c>
      <c r="J1093">
        <v>20</v>
      </c>
      <c r="K1093">
        <v>16</v>
      </c>
      <c r="L1093">
        <v>800</v>
      </c>
    </row>
    <row r="1094" spans="1:12" hidden="1" x14ac:dyDescent="0.25">
      <c r="A1094">
        <v>1093</v>
      </c>
      <c r="B1094" s="1" t="s">
        <v>12</v>
      </c>
      <c r="C1094">
        <v>1941</v>
      </c>
      <c r="D1094" s="1" t="s">
        <v>196</v>
      </c>
      <c r="E1094" s="1" t="s">
        <v>30</v>
      </c>
      <c r="F1094">
        <v>18</v>
      </c>
      <c r="G1094" s="1" t="s">
        <v>37</v>
      </c>
      <c r="H1094">
        <v>18147</v>
      </c>
      <c r="I1094">
        <v>35</v>
      </c>
      <c r="J1094">
        <v>15</v>
      </c>
      <c r="K1094">
        <v>12</v>
      </c>
      <c r="L1094">
        <v>800</v>
      </c>
    </row>
    <row r="1095" spans="1:12" hidden="1" x14ac:dyDescent="0.25">
      <c r="A1095">
        <v>1094</v>
      </c>
      <c r="B1095" s="1" t="s">
        <v>12</v>
      </c>
      <c r="C1095">
        <v>1941</v>
      </c>
      <c r="D1095" s="1" t="s">
        <v>196</v>
      </c>
      <c r="E1095" s="1" t="s">
        <v>30</v>
      </c>
      <c r="F1095">
        <v>18</v>
      </c>
      <c r="G1095" s="1" t="s">
        <v>36</v>
      </c>
      <c r="H1095">
        <v>18133</v>
      </c>
      <c r="I1095">
        <v>30</v>
      </c>
      <c r="J1095">
        <v>10</v>
      </c>
      <c r="K1095">
        <v>8</v>
      </c>
      <c r="L1095">
        <v>800</v>
      </c>
    </row>
    <row r="1096" spans="1:12" hidden="1" x14ac:dyDescent="0.25">
      <c r="A1096">
        <v>1095</v>
      </c>
      <c r="B1096" s="1" t="s">
        <v>12</v>
      </c>
      <c r="C1096">
        <v>1941</v>
      </c>
      <c r="D1096" s="1" t="s">
        <v>196</v>
      </c>
      <c r="E1096" s="1" t="s">
        <v>30</v>
      </c>
      <c r="F1096">
        <v>18</v>
      </c>
      <c r="G1096" s="1" t="s">
        <v>102</v>
      </c>
      <c r="H1096">
        <v>18014</v>
      </c>
      <c r="I1096">
        <v>20</v>
      </c>
      <c r="J1096">
        <v>10</v>
      </c>
      <c r="K1096">
        <v>8</v>
      </c>
      <c r="L1096">
        <v>800</v>
      </c>
    </row>
    <row r="1097" spans="1:12" hidden="1" x14ac:dyDescent="0.25">
      <c r="A1097">
        <v>1096</v>
      </c>
      <c r="B1097" s="1" t="s">
        <v>12</v>
      </c>
      <c r="C1097">
        <v>1941</v>
      </c>
      <c r="D1097" s="1" t="s">
        <v>196</v>
      </c>
      <c r="E1097" s="1" t="s">
        <v>30</v>
      </c>
      <c r="F1097">
        <v>18</v>
      </c>
      <c r="G1097" s="1" t="s">
        <v>100</v>
      </c>
      <c r="H1097">
        <v>18077</v>
      </c>
      <c r="I1097">
        <v>20</v>
      </c>
      <c r="J1097">
        <v>5</v>
      </c>
      <c r="K1097">
        <v>4</v>
      </c>
      <c r="L1097">
        <v>800</v>
      </c>
    </row>
    <row r="1098" spans="1:12" hidden="1" x14ac:dyDescent="0.25">
      <c r="A1098">
        <v>1097</v>
      </c>
      <c r="B1098" s="1" t="s">
        <v>12</v>
      </c>
      <c r="C1098">
        <v>1941</v>
      </c>
      <c r="D1098" s="1" t="s">
        <v>196</v>
      </c>
      <c r="E1098" s="1" t="s">
        <v>45</v>
      </c>
      <c r="F1098">
        <v>30</v>
      </c>
      <c r="G1098" s="1" t="s">
        <v>46</v>
      </c>
      <c r="H1098">
        <v>30028</v>
      </c>
      <c r="I1098">
        <v>8000</v>
      </c>
      <c r="J1098">
        <v>7200</v>
      </c>
      <c r="K1098">
        <v>7920</v>
      </c>
      <c r="L1098">
        <v>1100</v>
      </c>
    </row>
    <row r="1099" spans="1:12" hidden="1" x14ac:dyDescent="0.25">
      <c r="A1099">
        <v>1098</v>
      </c>
      <c r="B1099" s="1" t="s">
        <v>12</v>
      </c>
      <c r="C1099">
        <v>1941</v>
      </c>
      <c r="D1099" s="1" t="s">
        <v>196</v>
      </c>
      <c r="E1099" s="1" t="s">
        <v>45</v>
      </c>
      <c r="F1099">
        <v>30</v>
      </c>
      <c r="G1099" s="1" t="s">
        <v>47</v>
      </c>
      <c r="H1099">
        <v>30015</v>
      </c>
      <c r="I1099">
        <v>3319</v>
      </c>
      <c r="J1099">
        <v>3000</v>
      </c>
      <c r="K1099">
        <v>4500</v>
      </c>
      <c r="L1099">
        <v>1500</v>
      </c>
    </row>
    <row r="1100" spans="1:12" hidden="1" x14ac:dyDescent="0.25">
      <c r="A1100">
        <v>1099</v>
      </c>
      <c r="B1100" s="1" t="s">
        <v>12</v>
      </c>
      <c r="C1100">
        <v>1941</v>
      </c>
      <c r="D1100" s="1" t="s">
        <v>196</v>
      </c>
      <c r="E1100" s="1" t="s">
        <v>45</v>
      </c>
      <c r="F1100">
        <v>30</v>
      </c>
      <c r="G1100" s="1" t="s">
        <v>27</v>
      </c>
      <c r="H1100">
        <v>30008</v>
      </c>
      <c r="I1100">
        <v>618</v>
      </c>
      <c r="J1100">
        <v>540</v>
      </c>
      <c r="K1100">
        <v>377</v>
      </c>
      <c r="L1100">
        <v>698</v>
      </c>
    </row>
    <row r="1101" spans="1:12" hidden="1" x14ac:dyDescent="0.25">
      <c r="A1101">
        <v>1100</v>
      </c>
      <c r="B1101" s="1" t="s">
        <v>12</v>
      </c>
      <c r="C1101">
        <v>1941</v>
      </c>
      <c r="D1101" s="1" t="s">
        <v>196</v>
      </c>
      <c r="E1101" s="1" t="s">
        <v>45</v>
      </c>
      <c r="F1101">
        <v>30</v>
      </c>
      <c r="G1101" s="1" t="s">
        <v>149</v>
      </c>
      <c r="H1101">
        <v>30091</v>
      </c>
      <c r="I1101">
        <v>63</v>
      </c>
      <c r="J1101">
        <v>58</v>
      </c>
      <c r="K1101">
        <v>23</v>
      </c>
      <c r="L1101">
        <v>396</v>
      </c>
    </row>
    <row r="1102" spans="1:12" hidden="1" x14ac:dyDescent="0.25">
      <c r="A1102">
        <v>1101</v>
      </c>
      <c r="B1102" s="1" t="s">
        <v>12</v>
      </c>
      <c r="C1102">
        <v>1941</v>
      </c>
      <c r="D1102" s="1" t="s">
        <v>196</v>
      </c>
      <c r="E1102" s="1" t="s">
        <v>48</v>
      </c>
      <c r="F1102">
        <v>34</v>
      </c>
      <c r="G1102" s="1" t="s">
        <v>49</v>
      </c>
      <c r="H1102">
        <v>34049</v>
      </c>
      <c r="I1102">
        <v>200</v>
      </c>
      <c r="J1102">
        <v>180</v>
      </c>
      <c r="K1102">
        <v>124</v>
      </c>
      <c r="L1102">
        <v>689</v>
      </c>
    </row>
    <row r="1103" spans="1:12" hidden="1" x14ac:dyDescent="0.25">
      <c r="A1103">
        <v>1102</v>
      </c>
      <c r="B1103" s="1" t="s">
        <v>12</v>
      </c>
      <c r="C1103">
        <v>1941</v>
      </c>
      <c r="D1103" s="1" t="s">
        <v>196</v>
      </c>
      <c r="E1103" s="1" t="s">
        <v>48</v>
      </c>
      <c r="F1103">
        <v>34</v>
      </c>
      <c r="G1103" s="1" t="s">
        <v>52</v>
      </c>
      <c r="H1103">
        <v>34035</v>
      </c>
      <c r="I1103">
        <v>150</v>
      </c>
      <c r="J1103">
        <v>125</v>
      </c>
      <c r="K1103">
        <v>100</v>
      </c>
      <c r="L1103">
        <v>800</v>
      </c>
    </row>
    <row r="1104" spans="1:12" hidden="1" x14ac:dyDescent="0.25">
      <c r="A1104">
        <v>1103</v>
      </c>
      <c r="B1104" s="1" t="s">
        <v>12</v>
      </c>
      <c r="C1104">
        <v>1941</v>
      </c>
      <c r="D1104" s="1" t="s">
        <v>196</v>
      </c>
      <c r="E1104" s="1" t="s">
        <v>48</v>
      </c>
      <c r="F1104">
        <v>34</v>
      </c>
      <c r="G1104" s="1" t="s">
        <v>48</v>
      </c>
      <c r="H1104">
        <v>34014</v>
      </c>
      <c r="I1104">
        <v>110</v>
      </c>
      <c r="J1104">
        <v>95</v>
      </c>
      <c r="K1104">
        <v>76</v>
      </c>
      <c r="L1104">
        <v>800</v>
      </c>
    </row>
    <row r="1105" spans="1:12" hidden="1" x14ac:dyDescent="0.25">
      <c r="A1105">
        <v>1104</v>
      </c>
      <c r="B1105" s="1" t="s">
        <v>12</v>
      </c>
      <c r="C1105">
        <v>1941</v>
      </c>
      <c r="D1105" s="1" t="s">
        <v>196</v>
      </c>
      <c r="E1105" s="1" t="s">
        <v>48</v>
      </c>
      <c r="F1105">
        <v>34</v>
      </c>
      <c r="G1105" s="1" t="s">
        <v>51</v>
      </c>
      <c r="H1105">
        <v>34056</v>
      </c>
      <c r="I1105">
        <v>75</v>
      </c>
      <c r="J1105">
        <v>70</v>
      </c>
      <c r="K1105">
        <v>54</v>
      </c>
      <c r="L1105">
        <v>771</v>
      </c>
    </row>
    <row r="1106" spans="1:12" hidden="1" x14ac:dyDescent="0.25">
      <c r="A1106">
        <v>1105</v>
      </c>
      <c r="B1106" s="1" t="s">
        <v>12</v>
      </c>
      <c r="C1106">
        <v>1941</v>
      </c>
      <c r="D1106" s="1" t="s">
        <v>196</v>
      </c>
      <c r="E1106" s="1" t="s">
        <v>48</v>
      </c>
      <c r="F1106">
        <v>34</v>
      </c>
      <c r="G1106" s="1" t="s">
        <v>50</v>
      </c>
      <c r="H1106">
        <v>34021</v>
      </c>
      <c r="I1106">
        <v>65</v>
      </c>
      <c r="J1106">
        <v>60</v>
      </c>
      <c r="K1106">
        <v>48</v>
      </c>
      <c r="L1106">
        <v>800</v>
      </c>
    </row>
    <row r="1107" spans="1:12" hidden="1" x14ac:dyDescent="0.25">
      <c r="A1107">
        <v>1106</v>
      </c>
      <c r="B1107" s="1" t="s">
        <v>12</v>
      </c>
      <c r="C1107">
        <v>1941</v>
      </c>
      <c r="D1107" s="1" t="s">
        <v>196</v>
      </c>
      <c r="E1107" s="1" t="s">
        <v>48</v>
      </c>
      <c r="F1107">
        <v>34</v>
      </c>
      <c r="G1107" s="1" t="s">
        <v>108</v>
      </c>
      <c r="H1107">
        <v>34042</v>
      </c>
      <c r="I1107">
        <v>50</v>
      </c>
      <c r="J1107">
        <v>47</v>
      </c>
      <c r="K1107">
        <v>36</v>
      </c>
      <c r="L1107">
        <v>766</v>
      </c>
    </row>
    <row r="1108" spans="1:12" hidden="1" x14ac:dyDescent="0.25">
      <c r="A1108">
        <v>1107</v>
      </c>
      <c r="B1108" s="1" t="s">
        <v>12</v>
      </c>
      <c r="C1108">
        <v>1941</v>
      </c>
      <c r="D1108" s="1" t="s">
        <v>196</v>
      </c>
      <c r="E1108" s="1" t="s">
        <v>48</v>
      </c>
      <c r="F1108">
        <v>34</v>
      </c>
      <c r="G1108" s="1" t="s">
        <v>19</v>
      </c>
      <c r="H1108">
        <v>34007</v>
      </c>
      <c r="I1108">
        <v>35</v>
      </c>
      <c r="J1108">
        <v>30</v>
      </c>
      <c r="K1108">
        <v>22</v>
      </c>
      <c r="L1108">
        <v>733</v>
      </c>
    </row>
    <row r="1109" spans="1:12" hidden="1" x14ac:dyDescent="0.25">
      <c r="A1109">
        <v>1108</v>
      </c>
      <c r="B1109" s="1" t="s">
        <v>12</v>
      </c>
      <c r="C1109">
        <v>1941</v>
      </c>
      <c r="D1109" s="1" t="s">
        <v>196</v>
      </c>
      <c r="E1109" s="1" t="s">
        <v>58</v>
      </c>
      <c r="F1109">
        <v>54</v>
      </c>
      <c r="G1109" s="1" t="s">
        <v>60</v>
      </c>
      <c r="H1109">
        <v>54021</v>
      </c>
      <c r="I1109">
        <v>320</v>
      </c>
      <c r="J1109">
        <v>220</v>
      </c>
      <c r="K1109">
        <v>233</v>
      </c>
      <c r="L1109">
        <v>1059</v>
      </c>
    </row>
    <row r="1110" spans="1:12" hidden="1" x14ac:dyDescent="0.25">
      <c r="A1110">
        <v>1109</v>
      </c>
      <c r="B1110" s="1" t="s">
        <v>12</v>
      </c>
      <c r="C1110">
        <v>1941</v>
      </c>
      <c r="D1110" s="1" t="s">
        <v>196</v>
      </c>
      <c r="E1110" s="1" t="s">
        <v>58</v>
      </c>
      <c r="F1110">
        <v>54</v>
      </c>
      <c r="G1110" s="1" t="s">
        <v>150</v>
      </c>
      <c r="H1110">
        <v>54014</v>
      </c>
      <c r="I1110">
        <v>250</v>
      </c>
      <c r="J1110">
        <v>100</v>
      </c>
      <c r="K1110">
        <v>100</v>
      </c>
      <c r="L1110">
        <v>1000</v>
      </c>
    </row>
    <row r="1111" spans="1:12" hidden="1" x14ac:dyDescent="0.25">
      <c r="A1111">
        <v>1110</v>
      </c>
      <c r="B1111" s="1" t="s">
        <v>12</v>
      </c>
      <c r="C1111">
        <v>1941</v>
      </c>
      <c r="D1111" s="1" t="s">
        <v>196</v>
      </c>
      <c r="E1111" s="1" t="s">
        <v>58</v>
      </c>
      <c r="F1111">
        <v>54</v>
      </c>
      <c r="G1111" s="1" t="s">
        <v>61</v>
      </c>
      <c r="H1111">
        <v>54098</v>
      </c>
      <c r="I1111">
        <v>120</v>
      </c>
      <c r="J1111">
        <v>60</v>
      </c>
      <c r="K1111">
        <v>60</v>
      </c>
      <c r="L1111">
        <v>1000</v>
      </c>
    </row>
    <row r="1112" spans="1:12" hidden="1" x14ac:dyDescent="0.25">
      <c r="A1112">
        <v>1111</v>
      </c>
      <c r="B1112" s="1" t="s">
        <v>12</v>
      </c>
      <c r="C1112">
        <v>1941</v>
      </c>
      <c r="D1112" s="1" t="s">
        <v>196</v>
      </c>
      <c r="E1112" s="1" t="s">
        <v>58</v>
      </c>
      <c r="F1112">
        <v>54</v>
      </c>
      <c r="G1112" s="1" t="s">
        <v>62</v>
      </c>
      <c r="H1112">
        <v>54105</v>
      </c>
      <c r="I1112">
        <v>100</v>
      </c>
    </row>
    <row r="1113" spans="1:12" hidden="1" x14ac:dyDescent="0.25">
      <c r="A1113">
        <v>1112</v>
      </c>
      <c r="B1113" s="1" t="s">
        <v>12</v>
      </c>
      <c r="C1113">
        <v>1941</v>
      </c>
      <c r="D1113" s="1" t="s">
        <v>196</v>
      </c>
      <c r="E1113" s="1" t="s">
        <v>58</v>
      </c>
      <c r="F1113">
        <v>54</v>
      </c>
      <c r="G1113" s="1" t="s">
        <v>59</v>
      </c>
      <c r="H1113">
        <v>54007</v>
      </c>
      <c r="I1113">
        <v>90</v>
      </c>
    </row>
    <row r="1114" spans="1:12" hidden="1" x14ac:dyDescent="0.25">
      <c r="A1114">
        <v>1113</v>
      </c>
      <c r="B1114" s="1" t="s">
        <v>12</v>
      </c>
      <c r="C1114">
        <v>1941</v>
      </c>
      <c r="D1114" s="1" t="s">
        <v>196</v>
      </c>
      <c r="E1114" s="1" t="s">
        <v>58</v>
      </c>
      <c r="F1114">
        <v>54</v>
      </c>
      <c r="G1114" s="1" t="s">
        <v>152</v>
      </c>
      <c r="H1114">
        <v>54063</v>
      </c>
      <c r="I1114">
        <v>25</v>
      </c>
      <c r="J1114">
        <v>5</v>
      </c>
      <c r="K1114">
        <v>7</v>
      </c>
      <c r="L1114">
        <v>1400</v>
      </c>
    </row>
    <row r="1115" spans="1:12" x14ac:dyDescent="0.25">
      <c r="A1115">
        <v>1114</v>
      </c>
      <c r="B1115" s="1" t="s">
        <v>12</v>
      </c>
      <c r="C1115">
        <v>1941</v>
      </c>
      <c r="D1115" s="1" t="s">
        <v>196</v>
      </c>
      <c r="E1115" s="1" t="s">
        <v>58</v>
      </c>
      <c r="F1115">
        <v>54</v>
      </c>
      <c r="G1115" s="1" t="s">
        <v>56</v>
      </c>
      <c r="H1115">
        <v>54112</v>
      </c>
      <c r="I1115">
        <v>17</v>
      </c>
    </row>
    <row r="1116" spans="1:12" hidden="1" x14ac:dyDescent="0.25">
      <c r="A1116">
        <v>1115</v>
      </c>
      <c r="B1116" s="1" t="s">
        <v>12</v>
      </c>
      <c r="C1116">
        <v>1941</v>
      </c>
      <c r="D1116" s="1" t="s">
        <v>196</v>
      </c>
      <c r="E1116" s="1" t="s">
        <v>58</v>
      </c>
      <c r="F1116">
        <v>54</v>
      </c>
      <c r="G1116" s="1" t="s">
        <v>63</v>
      </c>
      <c r="H1116">
        <v>54035</v>
      </c>
      <c r="I1116">
        <v>8</v>
      </c>
    </row>
    <row r="1117" spans="1:12" hidden="1" x14ac:dyDescent="0.25">
      <c r="A1117">
        <v>1116</v>
      </c>
      <c r="B1117" s="1" t="s">
        <v>12</v>
      </c>
      <c r="C1117">
        <v>1941</v>
      </c>
      <c r="D1117" s="1" t="s">
        <v>196</v>
      </c>
      <c r="E1117" s="1" t="s">
        <v>58</v>
      </c>
      <c r="F1117">
        <v>54</v>
      </c>
      <c r="G1117" s="1" t="s">
        <v>178</v>
      </c>
      <c r="H1117">
        <v>54049</v>
      </c>
      <c r="I1117">
        <v>2</v>
      </c>
    </row>
    <row r="1118" spans="1:12" hidden="1" x14ac:dyDescent="0.25">
      <c r="A1118">
        <v>1117</v>
      </c>
      <c r="B1118" s="1" t="s">
        <v>12</v>
      </c>
      <c r="C1118">
        <v>1941</v>
      </c>
      <c r="D1118" s="1" t="s">
        <v>196</v>
      </c>
      <c r="E1118" s="1" t="s">
        <v>58</v>
      </c>
      <c r="F1118">
        <v>54</v>
      </c>
      <c r="G1118" s="1" t="s">
        <v>28</v>
      </c>
      <c r="H1118">
        <v>54028</v>
      </c>
      <c r="I1118">
        <v>1</v>
      </c>
    </row>
    <row r="1119" spans="1:12" hidden="1" x14ac:dyDescent="0.25">
      <c r="A1119">
        <v>1118</v>
      </c>
      <c r="B1119" s="1" t="s">
        <v>12</v>
      </c>
      <c r="C1119">
        <v>1941</v>
      </c>
      <c r="D1119" s="1" t="s">
        <v>196</v>
      </c>
      <c r="E1119" s="1" t="s">
        <v>58</v>
      </c>
      <c r="F1119">
        <v>54</v>
      </c>
      <c r="G1119" s="1" t="s">
        <v>151</v>
      </c>
      <c r="H1119">
        <v>54056</v>
      </c>
      <c r="I1119">
        <v>1</v>
      </c>
    </row>
    <row r="1120" spans="1:12" hidden="1" x14ac:dyDescent="0.25">
      <c r="A1120">
        <v>1119</v>
      </c>
      <c r="B1120" s="1" t="s">
        <v>12</v>
      </c>
      <c r="C1120">
        <v>1941</v>
      </c>
      <c r="D1120" s="1" t="s">
        <v>196</v>
      </c>
      <c r="E1120" s="1" t="s">
        <v>87</v>
      </c>
      <c r="F1120">
        <v>66</v>
      </c>
      <c r="G1120" s="1" t="s">
        <v>141</v>
      </c>
      <c r="H1120">
        <v>66112</v>
      </c>
      <c r="I1120">
        <v>350</v>
      </c>
      <c r="J1120">
        <v>300</v>
      </c>
      <c r="K1120">
        <v>468</v>
      </c>
      <c r="L1120">
        <v>1560</v>
      </c>
    </row>
    <row r="1121" spans="1:12" hidden="1" x14ac:dyDescent="0.25">
      <c r="A1121">
        <v>1120</v>
      </c>
      <c r="B1121" s="1" t="s">
        <v>12</v>
      </c>
      <c r="C1121">
        <v>1941</v>
      </c>
      <c r="D1121" s="1" t="s">
        <v>196</v>
      </c>
      <c r="E1121" s="1" t="s">
        <v>87</v>
      </c>
      <c r="F1121">
        <v>66</v>
      </c>
      <c r="G1121" s="1" t="s">
        <v>188</v>
      </c>
      <c r="H1121">
        <v>66140</v>
      </c>
      <c r="I1121">
        <v>30</v>
      </c>
      <c r="J1121">
        <v>20</v>
      </c>
      <c r="K1121">
        <v>32</v>
      </c>
      <c r="L1121">
        <v>1600</v>
      </c>
    </row>
    <row r="1122" spans="1:12" hidden="1" x14ac:dyDescent="0.25">
      <c r="A1122">
        <v>1121</v>
      </c>
      <c r="B1122" s="1" t="s">
        <v>12</v>
      </c>
      <c r="C1122">
        <v>1941</v>
      </c>
      <c r="D1122" s="1" t="s">
        <v>196</v>
      </c>
      <c r="E1122" s="1" t="s">
        <v>116</v>
      </c>
      <c r="F1122">
        <v>74</v>
      </c>
      <c r="G1122" s="1" t="s">
        <v>118</v>
      </c>
      <c r="H1122">
        <v>74028</v>
      </c>
      <c r="I1122">
        <v>12</v>
      </c>
      <c r="J1122">
        <v>7</v>
      </c>
      <c r="K1122">
        <v>5</v>
      </c>
      <c r="L1122">
        <v>714</v>
      </c>
    </row>
    <row r="1123" spans="1:12" hidden="1" x14ac:dyDescent="0.25">
      <c r="A1123">
        <v>1122</v>
      </c>
      <c r="B1123" s="1" t="s">
        <v>12</v>
      </c>
      <c r="C1123">
        <v>1941</v>
      </c>
      <c r="D1123" s="1" t="s">
        <v>196</v>
      </c>
      <c r="E1123" s="1" t="s">
        <v>116</v>
      </c>
      <c r="F1123">
        <v>74</v>
      </c>
      <c r="G1123" s="1" t="s">
        <v>127</v>
      </c>
      <c r="H1123">
        <v>74049</v>
      </c>
      <c r="I1123">
        <v>8</v>
      </c>
      <c r="J1123">
        <v>5</v>
      </c>
      <c r="K1123">
        <v>4</v>
      </c>
      <c r="L1123">
        <v>800</v>
      </c>
    </row>
    <row r="1124" spans="1:12" hidden="1" x14ac:dyDescent="0.25">
      <c r="A1124">
        <v>1123</v>
      </c>
      <c r="B1124" s="1" t="s">
        <v>12</v>
      </c>
      <c r="C1124">
        <v>1941</v>
      </c>
      <c r="D1124" s="1" t="s">
        <v>196</v>
      </c>
      <c r="E1124" s="1" t="s">
        <v>116</v>
      </c>
      <c r="F1124">
        <v>74</v>
      </c>
      <c r="G1124" s="1" t="s">
        <v>126</v>
      </c>
      <c r="H1124">
        <v>74035</v>
      </c>
      <c r="I1124">
        <v>2</v>
      </c>
      <c r="J1124">
        <v>1</v>
      </c>
      <c r="K1124">
        <v>1</v>
      </c>
      <c r="L1124">
        <v>1000</v>
      </c>
    </row>
    <row r="1125" spans="1:12" hidden="1" x14ac:dyDescent="0.25">
      <c r="A1125">
        <v>1124</v>
      </c>
      <c r="B1125" s="1" t="s">
        <v>12</v>
      </c>
      <c r="C1125">
        <v>1941</v>
      </c>
      <c r="D1125" s="1" t="s">
        <v>196</v>
      </c>
      <c r="E1125" s="1" t="s">
        <v>64</v>
      </c>
      <c r="F1125">
        <v>82</v>
      </c>
      <c r="G1125" s="1" t="s">
        <v>65</v>
      </c>
      <c r="H1125">
        <v>82049</v>
      </c>
      <c r="I1125">
        <v>5500</v>
      </c>
      <c r="J1125">
        <v>5500</v>
      </c>
      <c r="K1125">
        <v>6600</v>
      </c>
      <c r="L1125">
        <v>1200</v>
      </c>
    </row>
    <row r="1126" spans="1:12" hidden="1" x14ac:dyDescent="0.25">
      <c r="A1126">
        <v>1125</v>
      </c>
      <c r="B1126" s="1" t="s">
        <v>12</v>
      </c>
      <c r="C1126">
        <v>1941</v>
      </c>
      <c r="D1126" s="1" t="s">
        <v>196</v>
      </c>
      <c r="E1126" s="1" t="s">
        <v>64</v>
      </c>
      <c r="F1126">
        <v>82</v>
      </c>
      <c r="G1126" s="1" t="s">
        <v>66</v>
      </c>
      <c r="H1126">
        <v>82035</v>
      </c>
      <c r="I1126">
        <v>4500</v>
      </c>
      <c r="J1126">
        <v>4250</v>
      </c>
      <c r="K1126">
        <v>9300</v>
      </c>
      <c r="L1126">
        <v>2188</v>
      </c>
    </row>
    <row r="1127" spans="1:12" hidden="1" x14ac:dyDescent="0.25">
      <c r="A1127">
        <v>1126</v>
      </c>
      <c r="B1127" s="1" t="s">
        <v>12</v>
      </c>
      <c r="C1127">
        <v>1941</v>
      </c>
      <c r="D1127" s="1" t="s">
        <v>196</v>
      </c>
      <c r="E1127" s="1" t="s">
        <v>64</v>
      </c>
      <c r="F1127">
        <v>82</v>
      </c>
      <c r="G1127" s="1" t="s">
        <v>62</v>
      </c>
      <c r="H1127">
        <v>82098</v>
      </c>
      <c r="I1127">
        <v>200</v>
      </c>
      <c r="J1127">
        <v>190</v>
      </c>
      <c r="K1127">
        <v>300</v>
      </c>
      <c r="L1127">
        <v>1579</v>
      </c>
    </row>
    <row r="1128" spans="1:12" hidden="1" x14ac:dyDescent="0.25">
      <c r="A1128">
        <v>1127</v>
      </c>
      <c r="B1128" s="1" t="s">
        <v>12</v>
      </c>
      <c r="C1128">
        <v>1941</v>
      </c>
      <c r="D1128" s="1" t="s">
        <v>196</v>
      </c>
      <c r="E1128" s="1" t="s">
        <v>64</v>
      </c>
      <c r="F1128">
        <v>82</v>
      </c>
      <c r="G1128" s="1" t="s">
        <v>28</v>
      </c>
      <c r="H1128">
        <v>82063</v>
      </c>
      <c r="I1128">
        <v>100</v>
      </c>
      <c r="J1128">
        <v>100</v>
      </c>
      <c r="K1128">
        <v>200</v>
      </c>
      <c r="L1128">
        <v>2000</v>
      </c>
    </row>
    <row r="1129" spans="1:12" hidden="1" x14ac:dyDescent="0.25">
      <c r="A1129">
        <v>1128</v>
      </c>
      <c r="B1129" s="1" t="s">
        <v>12</v>
      </c>
      <c r="C1129">
        <v>1941</v>
      </c>
      <c r="D1129" s="1" t="s">
        <v>196</v>
      </c>
      <c r="E1129" s="1" t="s">
        <v>68</v>
      </c>
      <c r="F1129">
        <v>86</v>
      </c>
      <c r="G1129" s="1" t="s">
        <v>76</v>
      </c>
      <c r="H1129">
        <v>86161</v>
      </c>
      <c r="I1129">
        <v>30</v>
      </c>
      <c r="J1129">
        <v>25</v>
      </c>
      <c r="K1129">
        <v>29</v>
      </c>
      <c r="L1129">
        <v>1160</v>
      </c>
    </row>
    <row r="1130" spans="1:12" hidden="1" x14ac:dyDescent="0.25">
      <c r="A1130">
        <v>1129</v>
      </c>
      <c r="B1130" s="1" t="s">
        <v>12</v>
      </c>
      <c r="C1130">
        <v>1941</v>
      </c>
      <c r="D1130" s="1" t="s">
        <v>196</v>
      </c>
      <c r="E1130" s="1" t="s">
        <v>68</v>
      </c>
      <c r="F1130">
        <v>86</v>
      </c>
      <c r="G1130" s="1" t="s">
        <v>75</v>
      </c>
      <c r="H1130">
        <v>86035</v>
      </c>
      <c r="I1130">
        <v>15</v>
      </c>
      <c r="J1130">
        <v>13</v>
      </c>
      <c r="K1130">
        <v>15</v>
      </c>
      <c r="L1130">
        <v>1154</v>
      </c>
    </row>
    <row r="1131" spans="1:12" hidden="1" x14ac:dyDescent="0.25">
      <c r="A1131">
        <v>1130</v>
      </c>
      <c r="B1131" s="1" t="s">
        <v>12</v>
      </c>
      <c r="C1131">
        <v>1941</v>
      </c>
      <c r="D1131" s="1" t="s">
        <v>196</v>
      </c>
      <c r="E1131" s="1" t="s">
        <v>68</v>
      </c>
      <c r="F1131">
        <v>86</v>
      </c>
      <c r="G1131" s="1" t="s">
        <v>135</v>
      </c>
      <c r="H1131">
        <v>86133</v>
      </c>
      <c r="I1131">
        <v>15</v>
      </c>
      <c r="J1131">
        <v>11</v>
      </c>
      <c r="K1131">
        <v>12</v>
      </c>
      <c r="L1131">
        <v>1090</v>
      </c>
    </row>
    <row r="1132" spans="1:12" hidden="1" x14ac:dyDescent="0.25">
      <c r="A1132">
        <v>1131</v>
      </c>
      <c r="B1132" s="1" t="s">
        <v>12</v>
      </c>
      <c r="C1132">
        <v>1941</v>
      </c>
      <c r="D1132" s="1" t="s">
        <v>196</v>
      </c>
      <c r="E1132" s="1" t="s">
        <v>68</v>
      </c>
      <c r="F1132">
        <v>86</v>
      </c>
      <c r="G1132" s="1" t="s">
        <v>28</v>
      </c>
      <c r="H1132">
        <v>86049</v>
      </c>
      <c r="I1132">
        <v>10</v>
      </c>
      <c r="J1132">
        <v>9</v>
      </c>
      <c r="K1132">
        <v>10</v>
      </c>
      <c r="L1132">
        <v>1111</v>
      </c>
    </row>
    <row r="1133" spans="1:12" hidden="1" x14ac:dyDescent="0.25">
      <c r="A1133">
        <v>1132</v>
      </c>
      <c r="B1133" s="1" t="s">
        <v>12</v>
      </c>
      <c r="C1133">
        <v>1941</v>
      </c>
      <c r="D1133" s="1" t="s">
        <v>196</v>
      </c>
      <c r="E1133" s="1" t="s">
        <v>68</v>
      </c>
      <c r="F1133">
        <v>86</v>
      </c>
      <c r="G1133" s="1" t="s">
        <v>190</v>
      </c>
      <c r="H1133">
        <v>86070</v>
      </c>
      <c r="I1133">
        <v>10</v>
      </c>
      <c r="J1133">
        <v>8</v>
      </c>
      <c r="K1133">
        <v>8</v>
      </c>
      <c r="L1133">
        <v>1000</v>
      </c>
    </row>
    <row r="1134" spans="1:12" hidden="1" x14ac:dyDescent="0.25">
      <c r="A1134">
        <v>1133</v>
      </c>
      <c r="B1134" s="1" t="s">
        <v>12</v>
      </c>
      <c r="C1134">
        <v>1941</v>
      </c>
      <c r="D1134" s="1" t="s">
        <v>196</v>
      </c>
      <c r="E1134" s="1" t="s">
        <v>68</v>
      </c>
      <c r="F1134">
        <v>86</v>
      </c>
      <c r="G1134" s="1" t="s">
        <v>180</v>
      </c>
      <c r="H1134">
        <v>86126</v>
      </c>
      <c r="I1134">
        <v>10</v>
      </c>
      <c r="J1134">
        <v>8</v>
      </c>
      <c r="K1134">
        <v>8</v>
      </c>
      <c r="L1134">
        <v>1000</v>
      </c>
    </row>
    <row r="1135" spans="1:12" hidden="1" x14ac:dyDescent="0.25">
      <c r="A1135">
        <v>1134</v>
      </c>
      <c r="B1135" s="1" t="s">
        <v>12</v>
      </c>
      <c r="C1135">
        <v>1941</v>
      </c>
      <c r="D1135" s="1" t="s">
        <v>196</v>
      </c>
      <c r="E1135" s="1" t="s">
        <v>68</v>
      </c>
      <c r="F1135">
        <v>86</v>
      </c>
      <c r="G1135" s="1" t="s">
        <v>69</v>
      </c>
      <c r="H1135">
        <v>86077</v>
      </c>
      <c r="I1135">
        <v>10</v>
      </c>
      <c r="J1135">
        <v>8</v>
      </c>
      <c r="K1135">
        <v>8</v>
      </c>
      <c r="L1135">
        <v>1000</v>
      </c>
    </row>
    <row r="1136" spans="1:12" hidden="1" x14ac:dyDescent="0.25">
      <c r="A1136">
        <v>1135</v>
      </c>
      <c r="B1136" s="1" t="s">
        <v>12</v>
      </c>
      <c r="C1136">
        <v>1941</v>
      </c>
      <c r="D1136" s="1" t="s">
        <v>196</v>
      </c>
      <c r="E1136" s="1" t="s">
        <v>68</v>
      </c>
      <c r="F1136">
        <v>86</v>
      </c>
      <c r="G1136" s="1" t="s">
        <v>191</v>
      </c>
      <c r="H1136">
        <v>86084</v>
      </c>
      <c r="I1136">
        <v>5</v>
      </c>
      <c r="J1136">
        <v>4</v>
      </c>
      <c r="K1136">
        <v>6</v>
      </c>
      <c r="L1136">
        <v>1500</v>
      </c>
    </row>
    <row r="1137" spans="1:12" hidden="1" x14ac:dyDescent="0.25">
      <c r="A1137">
        <v>1136</v>
      </c>
      <c r="B1137" s="1" t="s">
        <v>12</v>
      </c>
      <c r="C1137">
        <v>1941</v>
      </c>
      <c r="D1137" s="1" t="s">
        <v>196</v>
      </c>
      <c r="E1137" s="1" t="s">
        <v>68</v>
      </c>
      <c r="F1137">
        <v>86</v>
      </c>
      <c r="G1137" s="1" t="s">
        <v>192</v>
      </c>
      <c r="H1137">
        <v>86140</v>
      </c>
      <c r="I1137">
        <v>5</v>
      </c>
      <c r="J1137">
        <v>4</v>
      </c>
      <c r="K1137">
        <v>4</v>
      </c>
      <c r="L1137">
        <v>1000</v>
      </c>
    </row>
    <row r="1138" spans="1:12" hidden="1" x14ac:dyDescent="0.25">
      <c r="A1138">
        <v>1137</v>
      </c>
      <c r="B1138" s="1" t="s">
        <v>12</v>
      </c>
      <c r="C1138">
        <v>1941</v>
      </c>
      <c r="D1138" s="1" t="s">
        <v>196</v>
      </c>
      <c r="E1138" s="1" t="s">
        <v>77</v>
      </c>
      <c r="F1138">
        <v>90</v>
      </c>
      <c r="G1138" s="1" t="s">
        <v>78</v>
      </c>
      <c r="H1138">
        <v>90007</v>
      </c>
      <c r="I1138">
        <v>650</v>
      </c>
      <c r="J1138">
        <v>550</v>
      </c>
      <c r="K1138">
        <v>1019</v>
      </c>
      <c r="L1138">
        <v>1853</v>
      </c>
    </row>
    <row r="1139" spans="1:12" hidden="1" x14ac:dyDescent="0.25">
      <c r="A1139">
        <v>1138</v>
      </c>
      <c r="B1139" s="1" t="s">
        <v>12</v>
      </c>
      <c r="C1139">
        <v>1941</v>
      </c>
      <c r="D1139" s="1" t="s">
        <v>196</v>
      </c>
      <c r="E1139" s="1" t="s">
        <v>77</v>
      </c>
      <c r="F1139">
        <v>90</v>
      </c>
      <c r="G1139" s="1" t="s">
        <v>92</v>
      </c>
      <c r="H1139">
        <v>90056</v>
      </c>
      <c r="I1139">
        <v>600</v>
      </c>
      <c r="J1139">
        <v>500</v>
      </c>
      <c r="K1139">
        <v>800</v>
      </c>
      <c r="L1139">
        <v>1600</v>
      </c>
    </row>
    <row r="1140" spans="1:12" hidden="1" x14ac:dyDescent="0.25">
      <c r="A1140">
        <v>1139</v>
      </c>
      <c r="B1140" s="1" t="s">
        <v>12</v>
      </c>
      <c r="C1140">
        <v>1941</v>
      </c>
      <c r="D1140" s="1" t="s">
        <v>196</v>
      </c>
      <c r="E1140" s="1" t="s">
        <v>77</v>
      </c>
      <c r="F1140">
        <v>90</v>
      </c>
      <c r="G1140" s="1" t="s">
        <v>91</v>
      </c>
      <c r="H1140">
        <v>90014</v>
      </c>
      <c r="I1140">
        <v>480</v>
      </c>
      <c r="J1140">
        <v>480</v>
      </c>
      <c r="K1140">
        <v>960</v>
      </c>
      <c r="L1140">
        <v>2000</v>
      </c>
    </row>
    <row r="1141" spans="1:12" hidden="1" x14ac:dyDescent="0.25">
      <c r="A1141">
        <v>1140</v>
      </c>
      <c r="B1141" s="1" t="s">
        <v>12</v>
      </c>
      <c r="C1141">
        <v>1941</v>
      </c>
      <c r="D1141" s="1" t="s">
        <v>196</v>
      </c>
      <c r="E1141" s="1" t="s">
        <v>77</v>
      </c>
      <c r="F1141">
        <v>90</v>
      </c>
      <c r="G1141" s="1" t="s">
        <v>90</v>
      </c>
      <c r="H1141">
        <v>90112</v>
      </c>
      <c r="I1141">
        <v>100</v>
      </c>
      <c r="J1141">
        <v>85</v>
      </c>
      <c r="K1141">
        <v>144</v>
      </c>
      <c r="L1141">
        <v>1694</v>
      </c>
    </row>
    <row r="1142" spans="1:12" hidden="1" x14ac:dyDescent="0.25">
      <c r="A1142">
        <v>1141</v>
      </c>
      <c r="B1142" s="1" t="s">
        <v>12</v>
      </c>
      <c r="C1142">
        <v>1941</v>
      </c>
      <c r="D1142" s="1" t="s">
        <v>196</v>
      </c>
      <c r="E1142" s="1" t="s">
        <v>77</v>
      </c>
      <c r="F1142">
        <v>90</v>
      </c>
      <c r="G1142" s="1" t="s">
        <v>95</v>
      </c>
      <c r="H1142">
        <v>90035</v>
      </c>
      <c r="I1142">
        <v>40</v>
      </c>
      <c r="J1142">
        <v>35</v>
      </c>
      <c r="K1142">
        <v>42</v>
      </c>
      <c r="L1142">
        <v>1200</v>
      </c>
    </row>
    <row r="1143" spans="1:12" hidden="1" x14ac:dyDescent="0.25">
      <c r="A1143">
        <v>1142</v>
      </c>
      <c r="B1143" s="1" t="s">
        <v>12</v>
      </c>
      <c r="C1143">
        <v>1941</v>
      </c>
      <c r="D1143" s="1" t="s">
        <v>196</v>
      </c>
      <c r="E1143" s="1" t="s">
        <v>77</v>
      </c>
      <c r="F1143">
        <v>90</v>
      </c>
      <c r="G1143" s="1" t="s">
        <v>109</v>
      </c>
      <c r="H1143">
        <v>90077</v>
      </c>
      <c r="I1143">
        <v>25</v>
      </c>
      <c r="J1143">
        <v>20</v>
      </c>
      <c r="K1143">
        <v>24</v>
      </c>
      <c r="L1143">
        <v>1200</v>
      </c>
    </row>
    <row r="1144" spans="1:12" hidden="1" x14ac:dyDescent="0.25">
      <c r="A1144">
        <v>1143</v>
      </c>
      <c r="B1144" s="1" t="s">
        <v>12</v>
      </c>
      <c r="C1144">
        <v>1941</v>
      </c>
      <c r="D1144" s="1" t="s">
        <v>196</v>
      </c>
      <c r="E1144" s="1" t="s">
        <v>77</v>
      </c>
      <c r="F1144">
        <v>90</v>
      </c>
      <c r="G1144" s="1" t="s">
        <v>89</v>
      </c>
      <c r="H1144">
        <v>90028</v>
      </c>
      <c r="I1144">
        <v>20</v>
      </c>
      <c r="J1144">
        <v>20</v>
      </c>
      <c r="K1144">
        <v>20</v>
      </c>
      <c r="L1144">
        <v>1000</v>
      </c>
    </row>
    <row r="1145" spans="1:12" hidden="1" x14ac:dyDescent="0.25">
      <c r="A1145">
        <v>1144</v>
      </c>
      <c r="B1145" s="1" t="s">
        <v>12</v>
      </c>
      <c r="C1145">
        <v>1941</v>
      </c>
      <c r="D1145" s="1" t="s">
        <v>196</v>
      </c>
      <c r="E1145" s="1" t="s">
        <v>77</v>
      </c>
      <c r="F1145">
        <v>90</v>
      </c>
      <c r="G1145" s="1" t="s">
        <v>93</v>
      </c>
      <c r="H1145">
        <v>90070</v>
      </c>
      <c r="I1145">
        <v>20</v>
      </c>
      <c r="J1145">
        <v>15</v>
      </c>
      <c r="K1145">
        <v>15</v>
      </c>
      <c r="L1145">
        <v>1000</v>
      </c>
    </row>
    <row r="1146" spans="1:12" hidden="1" x14ac:dyDescent="0.25">
      <c r="A1146">
        <v>1145</v>
      </c>
      <c r="B1146" s="1" t="s">
        <v>12</v>
      </c>
      <c r="C1146">
        <v>1941</v>
      </c>
      <c r="D1146" s="1" t="s">
        <v>196</v>
      </c>
      <c r="E1146" s="1" t="s">
        <v>77</v>
      </c>
      <c r="F1146">
        <v>90</v>
      </c>
      <c r="G1146" s="1" t="s">
        <v>110</v>
      </c>
      <c r="H1146">
        <v>90021</v>
      </c>
      <c r="I1146">
        <v>10</v>
      </c>
      <c r="J1146">
        <v>10</v>
      </c>
      <c r="K1146">
        <v>10</v>
      </c>
      <c r="L1146">
        <v>1000</v>
      </c>
    </row>
    <row r="1147" spans="1:12" hidden="1" x14ac:dyDescent="0.25">
      <c r="A1147">
        <v>1146</v>
      </c>
      <c r="B1147" s="1" t="s">
        <v>12</v>
      </c>
      <c r="C1147">
        <v>1941</v>
      </c>
      <c r="D1147" s="1" t="s">
        <v>196</v>
      </c>
      <c r="E1147" s="1" t="s">
        <v>77</v>
      </c>
      <c r="F1147">
        <v>90</v>
      </c>
      <c r="G1147" s="1" t="s">
        <v>28</v>
      </c>
      <c r="H1147">
        <v>90084</v>
      </c>
      <c r="I1147">
        <v>5</v>
      </c>
      <c r="J1147">
        <v>5</v>
      </c>
      <c r="K1147">
        <v>8</v>
      </c>
      <c r="L1147">
        <v>1600</v>
      </c>
    </row>
    <row r="1148" spans="1:12" hidden="1" x14ac:dyDescent="0.25">
      <c r="A1148">
        <v>1147</v>
      </c>
      <c r="B1148" s="1" t="s">
        <v>12</v>
      </c>
      <c r="C1148">
        <v>1941</v>
      </c>
      <c r="D1148" s="1" t="s">
        <v>196</v>
      </c>
      <c r="E1148" s="1" t="s">
        <v>77</v>
      </c>
      <c r="F1148">
        <v>90</v>
      </c>
      <c r="G1148" s="1" t="s">
        <v>94</v>
      </c>
      <c r="H1148">
        <v>90105</v>
      </c>
      <c r="I1148">
        <v>5</v>
      </c>
      <c r="J1148">
        <v>5</v>
      </c>
      <c r="K1148">
        <v>8</v>
      </c>
      <c r="L1148">
        <v>1600</v>
      </c>
    </row>
    <row r="1149" spans="1:12" hidden="1" x14ac:dyDescent="0.25">
      <c r="A1149">
        <v>1148</v>
      </c>
      <c r="B1149" s="1" t="s">
        <v>12</v>
      </c>
      <c r="C1149">
        <v>1942</v>
      </c>
      <c r="D1149" s="1" t="s">
        <v>197</v>
      </c>
      <c r="E1149" s="1" t="s">
        <v>14</v>
      </c>
      <c r="F1149">
        <v>22</v>
      </c>
      <c r="G1149" s="1" t="s">
        <v>15</v>
      </c>
      <c r="H1149">
        <v>22105</v>
      </c>
      <c r="I1149">
        <v>427</v>
      </c>
      <c r="J1149">
        <v>400</v>
      </c>
      <c r="K1149">
        <v>269</v>
      </c>
      <c r="L1149">
        <v>672</v>
      </c>
    </row>
    <row r="1150" spans="1:12" hidden="1" x14ac:dyDescent="0.25">
      <c r="A1150">
        <v>1149</v>
      </c>
      <c r="B1150" s="1" t="s">
        <v>12</v>
      </c>
      <c r="C1150">
        <v>1942</v>
      </c>
      <c r="D1150" s="1" t="s">
        <v>197</v>
      </c>
      <c r="E1150" s="1" t="s">
        <v>14</v>
      </c>
      <c r="F1150">
        <v>22</v>
      </c>
      <c r="G1150" s="1" t="s">
        <v>16</v>
      </c>
      <c r="H1150">
        <v>22049</v>
      </c>
      <c r="I1150">
        <v>340</v>
      </c>
      <c r="J1150">
        <v>200</v>
      </c>
      <c r="K1150">
        <v>84</v>
      </c>
      <c r="L1150">
        <v>420</v>
      </c>
    </row>
    <row r="1151" spans="1:12" hidden="1" x14ac:dyDescent="0.25">
      <c r="A1151">
        <v>1150</v>
      </c>
      <c r="B1151" s="1" t="s">
        <v>12</v>
      </c>
      <c r="C1151">
        <v>1942</v>
      </c>
      <c r="D1151" s="1" t="s">
        <v>197</v>
      </c>
      <c r="E1151" s="1" t="s">
        <v>14</v>
      </c>
      <c r="F1151">
        <v>22</v>
      </c>
      <c r="G1151" s="1" t="s">
        <v>17</v>
      </c>
      <c r="H1151">
        <v>22140</v>
      </c>
      <c r="I1151">
        <v>128</v>
      </c>
      <c r="J1151">
        <v>105</v>
      </c>
      <c r="K1151">
        <v>48</v>
      </c>
      <c r="L1151">
        <v>457</v>
      </c>
    </row>
    <row r="1152" spans="1:12" hidden="1" x14ac:dyDescent="0.25">
      <c r="A1152">
        <v>1151</v>
      </c>
      <c r="B1152" s="1" t="s">
        <v>12</v>
      </c>
      <c r="C1152">
        <v>1942</v>
      </c>
      <c r="D1152" s="1" t="s">
        <v>197</v>
      </c>
      <c r="E1152" s="1" t="s">
        <v>14</v>
      </c>
      <c r="F1152">
        <v>22</v>
      </c>
      <c r="G1152" s="1" t="s">
        <v>20</v>
      </c>
      <c r="H1152">
        <v>22091</v>
      </c>
      <c r="I1152">
        <v>85</v>
      </c>
      <c r="J1152">
        <v>70</v>
      </c>
      <c r="K1152">
        <v>32</v>
      </c>
      <c r="L1152">
        <v>457</v>
      </c>
    </row>
    <row r="1153" spans="1:12" hidden="1" x14ac:dyDescent="0.25">
      <c r="A1153">
        <v>1152</v>
      </c>
      <c r="B1153" s="1" t="s">
        <v>12</v>
      </c>
      <c r="C1153">
        <v>1942</v>
      </c>
      <c r="D1153" s="1" t="s">
        <v>197</v>
      </c>
      <c r="E1153" s="1" t="s">
        <v>14</v>
      </c>
      <c r="F1153">
        <v>22</v>
      </c>
      <c r="G1153" s="1" t="s">
        <v>19</v>
      </c>
      <c r="H1153">
        <v>22014</v>
      </c>
      <c r="I1153">
        <v>76</v>
      </c>
      <c r="J1153">
        <v>63</v>
      </c>
      <c r="K1153">
        <v>26</v>
      </c>
      <c r="L1153">
        <v>412</v>
      </c>
    </row>
    <row r="1154" spans="1:12" hidden="1" x14ac:dyDescent="0.25">
      <c r="A1154">
        <v>1153</v>
      </c>
      <c r="B1154" s="1" t="s">
        <v>12</v>
      </c>
      <c r="C1154">
        <v>1942</v>
      </c>
      <c r="D1154" s="1" t="s">
        <v>197</v>
      </c>
      <c r="E1154" s="1" t="s">
        <v>14</v>
      </c>
      <c r="F1154">
        <v>22</v>
      </c>
      <c r="G1154" s="1" t="s">
        <v>18</v>
      </c>
      <c r="H1154">
        <v>22084</v>
      </c>
      <c r="I1154">
        <v>42</v>
      </c>
      <c r="J1154">
        <v>35</v>
      </c>
      <c r="K1154">
        <v>14</v>
      </c>
      <c r="L1154">
        <v>400</v>
      </c>
    </row>
    <row r="1155" spans="1:12" hidden="1" x14ac:dyDescent="0.25">
      <c r="A1155">
        <v>1154</v>
      </c>
      <c r="B1155" s="1" t="s">
        <v>12</v>
      </c>
      <c r="C1155">
        <v>1942</v>
      </c>
      <c r="D1155" s="1" t="s">
        <v>197</v>
      </c>
      <c r="E1155" s="1" t="s">
        <v>14</v>
      </c>
      <c r="F1155">
        <v>22</v>
      </c>
      <c r="G1155" s="1" t="s">
        <v>168</v>
      </c>
      <c r="H1155">
        <v>22063</v>
      </c>
      <c r="I1155">
        <v>42</v>
      </c>
      <c r="J1155">
        <v>40</v>
      </c>
      <c r="K1155">
        <v>17</v>
      </c>
      <c r="L1155">
        <v>425</v>
      </c>
    </row>
    <row r="1156" spans="1:12" hidden="1" x14ac:dyDescent="0.25">
      <c r="A1156">
        <v>1155</v>
      </c>
      <c r="B1156" s="1" t="s">
        <v>12</v>
      </c>
      <c r="C1156">
        <v>1942</v>
      </c>
      <c r="D1156" s="1" t="s">
        <v>197</v>
      </c>
      <c r="E1156" s="1" t="s">
        <v>14</v>
      </c>
      <c r="F1156">
        <v>22</v>
      </c>
      <c r="G1156" s="1" t="s">
        <v>21</v>
      </c>
      <c r="H1156">
        <v>22161</v>
      </c>
      <c r="I1156">
        <v>25</v>
      </c>
      <c r="J1156">
        <v>21</v>
      </c>
      <c r="K1156">
        <v>10</v>
      </c>
      <c r="L1156">
        <v>476</v>
      </c>
    </row>
    <row r="1157" spans="1:12" hidden="1" x14ac:dyDescent="0.25">
      <c r="A1157">
        <v>1156</v>
      </c>
      <c r="B1157" s="1" t="s">
        <v>12</v>
      </c>
      <c r="C1157">
        <v>1942</v>
      </c>
      <c r="D1157" s="1" t="s">
        <v>197</v>
      </c>
      <c r="E1157" s="1" t="s">
        <v>22</v>
      </c>
      <c r="F1157">
        <v>14</v>
      </c>
      <c r="G1157" s="1" t="s">
        <v>23</v>
      </c>
      <c r="H1157">
        <v>14147</v>
      </c>
      <c r="I1157">
        <v>29218</v>
      </c>
      <c r="J1157">
        <v>27358</v>
      </c>
      <c r="K1157">
        <v>21902</v>
      </c>
      <c r="L1157">
        <v>801</v>
      </c>
    </row>
    <row r="1158" spans="1:12" hidden="1" x14ac:dyDescent="0.25">
      <c r="A1158">
        <v>1157</v>
      </c>
      <c r="B1158" s="1" t="s">
        <v>12</v>
      </c>
      <c r="C1158">
        <v>1942</v>
      </c>
      <c r="D1158" s="1" t="s">
        <v>197</v>
      </c>
      <c r="E1158" s="1" t="s">
        <v>22</v>
      </c>
      <c r="F1158">
        <v>14</v>
      </c>
      <c r="G1158" s="1" t="s">
        <v>24</v>
      </c>
      <c r="H1158">
        <v>14119</v>
      </c>
      <c r="I1158">
        <v>28086</v>
      </c>
      <c r="J1158">
        <v>26272</v>
      </c>
      <c r="K1158">
        <v>21053</v>
      </c>
      <c r="L1158">
        <v>801</v>
      </c>
    </row>
    <row r="1159" spans="1:12" hidden="1" x14ac:dyDescent="0.25">
      <c r="A1159">
        <v>1158</v>
      </c>
      <c r="B1159" s="1" t="s">
        <v>12</v>
      </c>
      <c r="C1159">
        <v>1942</v>
      </c>
      <c r="D1159" s="1" t="s">
        <v>197</v>
      </c>
      <c r="E1159" s="1" t="s">
        <v>22</v>
      </c>
      <c r="F1159">
        <v>14</v>
      </c>
      <c r="G1159" s="1" t="s">
        <v>183</v>
      </c>
      <c r="H1159">
        <v>14007</v>
      </c>
      <c r="I1159">
        <v>21008</v>
      </c>
      <c r="J1159">
        <v>19182</v>
      </c>
      <c r="K1159">
        <v>17316</v>
      </c>
      <c r="L1159">
        <v>903</v>
      </c>
    </row>
    <row r="1160" spans="1:12" hidden="1" x14ac:dyDescent="0.25">
      <c r="A1160">
        <v>1159</v>
      </c>
      <c r="B1160" s="1" t="s">
        <v>12</v>
      </c>
      <c r="C1160">
        <v>1942</v>
      </c>
      <c r="D1160" s="1" t="s">
        <v>197</v>
      </c>
      <c r="E1160" s="1" t="s">
        <v>22</v>
      </c>
      <c r="F1160">
        <v>14</v>
      </c>
      <c r="G1160" s="1" t="s">
        <v>97</v>
      </c>
      <c r="H1160">
        <v>14007</v>
      </c>
      <c r="I1160">
        <v>5617</v>
      </c>
      <c r="J1160">
        <v>5247</v>
      </c>
      <c r="K1160">
        <v>4210</v>
      </c>
      <c r="L1160">
        <v>802</v>
      </c>
    </row>
    <row r="1161" spans="1:12" hidden="1" x14ac:dyDescent="0.25">
      <c r="A1161">
        <v>1160</v>
      </c>
      <c r="B1161" s="1" t="s">
        <v>12</v>
      </c>
      <c r="C1161">
        <v>1942</v>
      </c>
      <c r="D1161" s="1" t="s">
        <v>197</v>
      </c>
      <c r="E1161" s="1" t="s">
        <v>22</v>
      </c>
      <c r="F1161">
        <v>14</v>
      </c>
      <c r="G1161" s="1" t="s">
        <v>25</v>
      </c>
      <c r="H1161">
        <v>14105</v>
      </c>
      <c r="I1161">
        <v>3370</v>
      </c>
      <c r="J1161">
        <v>3151</v>
      </c>
      <c r="K1161">
        <v>2210</v>
      </c>
      <c r="L1161">
        <v>701</v>
      </c>
    </row>
    <row r="1162" spans="1:12" hidden="1" x14ac:dyDescent="0.25">
      <c r="A1162">
        <v>1161</v>
      </c>
      <c r="B1162" s="1" t="s">
        <v>12</v>
      </c>
      <c r="C1162">
        <v>1942</v>
      </c>
      <c r="D1162" s="1" t="s">
        <v>197</v>
      </c>
      <c r="E1162" s="1" t="s">
        <v>22</v>
      </c>
      <c r="F1162">
        <v>14</v>
      </c>
      <c r="G1162" s="1" t="s">
        <v>29</v>
      </c>
      <c r="H1162">
        <v>14098</v>
      </c>
      <c r="I1162">
        <v>2246</v>
      </c>
      <c r="J1162">
        <v>2098</v>
      </c>
      <c r="K1162">
        <v>1368</v>
      </c>
      <c r="L1162">
        <v>652</v>
      </c>
    </row>
    <row r="1163" spans="1:12" hidden="1" x14ac:dyDescent="0.25">
      <c r="A1163">
        <v>1162</v>
      </c>
      <c r="B1163" s="1" t="s">
        <v>12</v>
      </c>
      <c r="C1163">
        <v>1942</v>
      </c>
      <c r="D1163" s="1" t="s">
        <v>197</v>
      </c>
      <c r="E1163" s="1" t="s">
        <v>22</v>
      </c>
      <c r="F1163">
        <v>14</v>
      </c>
      <c r="G1163" s="1" t="s">
        <v>67</v>
      </c>
      <c r="H1163">
        <v>14140</v>
      </c>
      <c r="I1163">
        <v>1685</v>
      </c>
      <c r="J1163">
        <v>1685</v>
      </c>
      <c r="K1163">
        <v>1403</v>
      </c>
      <c r="L1163">
        <v>832</v>
      </c>
    </row>
    <row r="1164" spans="1:12" hidden="1" x14ac:dyDescent="0.25">
      <c r="A1164">
        <v>1163</v>
      </c>
      <c r="B1164" s="1" t="s">
        <v>12</v>
      </c>
      <c r="C1164">
        <v>1942</v>
      </c>
      <c r="D1164" s="1" t="s">
        <v>197</v>
      </c>
      <c r="E1164" s="1" t="s">
        <v>22</v>
      </c>
      <c r="F1164">
        <v>14</v>
      </c>
      <c r="G1164" s="1" t="s">
        <v>28</v>
      </c>
      <c r="H1164">
        <v>14014</v>
      </c>
      <c r="I1164">
        <v>896</v>
      </c>
      <c r="J1164">
        <v>896</v>
      </c>
      <c r="K1164">
        <v>935</v>
      </c>
      <c r="L1164">
        <v>1044</v>
      </c>
    </row>
    <row r="1165" spans="1:12" hidden="1" x14ac:dyDescent="0.25">
      <c r="A1165">
        <v>1164</v>
      </c>
      <c r="B1165" s="1" t="s">
        <v>12</v>
      </c>
      <c r="C1165">
        <v>1942</v>
      </c>
      <c r="D1165" s="1" t="s">
        <v>197</v>
      </c>
      <c r="E1165" s="1" t="s">
        <v>22</v>
      </c>
      <c r="F1165">
        <v>14</v>
      </c>
      <c r="G1165" s="1" t="s">
        <v>184</v>
      </c>
      <c r="H1165">
        <v>14042</v>
      </c>
      <c r="I1165">
        <v>561</v>
      </c>
      <c r="J1165">
        <v>524</v>
      </c>
      <c r="K1165">
        <v>473</v>
      </c>
      <c r="L1165">
        <v>902</v>
      </c>
    </row>
    <row r="1166" spans="1:12" hidden="1" x14ac:dyDescent="0.25">
      <c r="A1166">
        <v>1165</v>
      </c>
      <c r="B1166" s="1" t="s">
        <v>12</v>
      </c>
      <c r="C1166">
        <v>1942</v>
      </c>
      <c r="D1166" s="1" t="s">
        <v>197</v>
      </c>
      <c r="E1166" s="1" t="s">
        <v>22</v>
      </c>
      <c r="F1166">
        <v>14</v>
      </c>
      <c r="G1166" s="1" t="s">
        <v>143</v>
      </c>
      <c r="H1166">
        <v>14056</v>
      </c>
      <c r="I1166">
        <v>303</v>
      </c>
      <c r="J1166">
        <v>283</v>
      </c>
      <c r="K1166">
        <v>156</v>
      </c>
      <c r="L1166">
        <v>551</v>
      </c>
    </row>
    <row r="1167" spans="1:12" hidden="1" x14ac:dyDescent="0.25">
      <c r="A1167">
        <v>1166</v>
      </c>
      <c r="B1167" s="1" t="s">
        <v>12</v>
      </c>
      <c r="C1167">
        <v>1942</v>
      </c>
      <c r="D1167" s="1" t="s">
        <v>197</v>
      </c>
      <c r="E1167" s="1" t="s">
        <v>22</v>
      </c>
      <c r="F1167">
        <v>14</v>
      </c>
      <c r="G1167" s="1" t="s">
        <v>27</v>
      </c>
      <c r="H1167">
        <v>14021</v>
      </c>
      <c r="I1167">
        <v>101</v>
      </c>
      <c r="J1167">
        <v>101</v>
      </c>
      <c r="K1167">
        <v>99</v>
      </c>
      <c r="L1167">
        <v>980</v>
      </c>
    </row>
    <row r="1168" spans="1:12" hidden="1" x14ac:dyDescent="0.25">
      <c r="A1168">
        <v>1167</v>
      </c>
      <c r="B1168" s="1" t="s">
        <v>12</v>
      </c>
      <c r="C1168">
        <v>1942</v>
      </c>
      <c r="D1168" s="1" t="s">
        <v>197</v>
      </c>
      <c r="E1168" s="1" t="s">
        <v>22</v>
      </c>
      <c r="F1168">
        <v>14</v>
      </c>
      <c r="G1168" s="1" t="s">
        <v>169</v>
      </c>
      <c r="H1168">
        <v>14126</v>
      </c>
      <c r="I1168">
        <v>89</v>
      </c>
      <c r="J1168">
        <v>81</v>
      </c>
      <c r="K1168">
        <v>90</v>
      </c>
      <c r="L1168">
        <v>1111</v>
      </c>
    </row>
    <row r="1169" spans="1:12" hidden="1" x14ac:dyDescent="0.25">
      <c r="A1169">
        <v>1168</v>
      </c>
      <c r="B1169" s="1" t="s">
        <v>12</v>
      </c>
      <c r="C1169">
        <v>1942</v>
      </c>
      <c r="D1169" s="1" t="s">
        <v>197</v>
      </c>
      <c r="E1169" s="1" t="s">
        <v>22</v>
      </c>
      <c r="F1169">
        <v>14</v>
      </c>
      <c r="G1169" s="1" t="s">
        <v>62</v>
      </c>
      <c r="H1169">
        <v>14133</v>
      </c>
      <c r="I1169">
        <v>67</v>
      </c>
      <c r="J1169">
        <v>64</v>
      </c>
      <c r="K1169">
        <v>77</v>
      </c>
      <c r="L1169">
        <v>1203</v>
      </c>
    </row>
    <row r="1170" spans="1:12" hidden="1" x14ac:dyDescent="0.25">
      <c r="A1170">
        <v>1169</v>
      </c>
      <c r="B1170" s="1" t="s">
        <v>12</v>
      </c>
      <c r="C1170">
        <v>1942</v>
      </c>
      <c r="D1170" s="1" t="s">
        <v>197</v>
      </c>
      <c r="E1170" s="1" t="s">
        <v>22</v>
      </c>
      <c r="F1170">
        <v>14</v>
      </c>
      <c r="G1170" s="1" t="s">
        <v>194</v>
      </c>
      <c r="H1170">
        <v>14077</v>
      </c>
      <c r="I1170">
        <v>22</v>
      </c>
      <c r="J1170">
        <v>17</v>
      </c>
      <c r="K1170">
        <v>17</v>
      </c>
      <c r="L1170">
        <v>1000</v>
      </c>
    </row>
    <row r="1171" spans="1:12" hidden="1" x14ac:dyDescent="0.25">
      <c r="A1171">
        <v>1170</v>
      </c>
      <c r="B1171" s="1" t="s">
        <v>12</v>
      </c>
      <c r="C1171">
        <v>1942</v>
      </c>
      <c r="D1171" s="1" t="s">
        <v>197</v>
      </c>
      <c r="E1171" s="1" t="s">
        <v>22</v>
      </c>
      <c r="F1171">
        <v>14</v>
      </c>
      <c r="G1171" s="1" t="s">
        <v>173</v>
      </c>
      <c r="H1171">
        <v>14028</v>
      </c>
      <c r="I1171">
        <v>20</v>
      </c>
      <c r="J1171">
        <v>11</v>
      </c>
      <c r="K1171">
        <v>7</v>
      </c>
      <c r="L1171">
        <v>636</v>
      </c>
    </row>
    <row r="1172" spans="1:12" hidden="1" x14ac:dyDescent="0.25">
      <c r="A1172">
        <v>1171</v>
      </c>
      <c r="B1172" s="1" t="s">
        <v>12</v>
      </c>
      <c r="C1172">
        <v>1942</v>
      </c>
      <c r="D1172" s="1" t="s">
        <v>197</v>
      </c>
      <c r="E1172" s="1" t="s">
        <v>22</v>
      </c>
      <c r="F1172">
        <v>14</v>
      </c>
      <c r="G1172" s="1" t="s">
        <v>186</v>
      </c>
      <c r="H1172">
        <v>14175</v>
      </c>
      <c r="I1172">
        <v>11</v>
      </c>
      <c r="J1172">
        <v>11</v>
      </c>
      <c r="K1172">
        <v>7</v>
      </c>
      <c r="L1172">
        <v>636</v>
      </c>
    </row>
    <row r="1173" spans="1:12" hidden="1" x14ac:dyDescent="0.25">
      <c r="A1173">
        <v>1172</v>
      </c>
      <c r="B1173" s="1" t="s">
        <v>12</v>
      </c>
      <c r="C1173">
        <v>1942</v>
      </c>
      <c r="D1173" s="1" t="s">
        <v>197</v>
      </c>
      <c r="E1173" s="1" t="s">
        <v>30</v>
      </c>
      <c r="F1173">
        <v>18</v>
      </c>
      <c r="G1173" s="1" t="s">
        <v>32</v>
      </c>
      <c r="H1173">
        <v>18112</v>
      </c>
      <c r="I1173">
        <v>850</v>
      </c>
      <c r="J1173">
        <v>500</v>
      </c>
      <c r="K1173">
        <v>675</v>
      </c>
      <c r="L1173">
        <v>1350</v>
      </c>
    </row>
    <row r="1174" spans="1:12" hidden="1" x14ac:dyDescent="0.25">
      <c r="A1174">
        <v>1173</v>
      </c>
      <c r="B1174" s="1" t="s">
        <v>12</v>
      </c>
      <c r="C1174">
        <v>1942</v>
      </c>
      <c r="D1174" s="1" t="s">
        <v>197</v>
      </c>
      <c r="E1174" s="1" t="s">
        <v>30</v>
      </c>
      <c r="F1174">
        <v>18</v>
      </c>
      <c r="G1174" s="1" t="s">
        <v>34</v>
      </c>
      <c r="H1174">
        <v>18042</v>
      </c>
      <c r="I1174">
        <v>595</v>
      </c>
      <c r="J1174">
        <v>370</v>
      </c>
      <c r="K1174">
        <v>481</v>
      </c>
      <c r="L1174">
        <v>1300</v>
      </c>
    </row>
    <row r="1175" spans="1:12" hidden="1" x14ac:dyDescent="0.25">
      <c r="A1175">
        <v>1174</v>
      </c>
      <c r="B1175" s="1" t="s">
        <v>12</v>
      </c>
      <c r="C1175">
        <v>1942</v>
      </c>
      <c r="D1175" s="1" t="s">
        <v>197</v>
      </c>
      <c r="E1175" s="1" t="s">
        <v>30</v>
      </c>
      <c r="F1175">
        <v>18</v>
      </c>
      <c r="G1175" s="1" t="s">
        <v>99</v>
      </c>
      <c r="H1175">
        <v>18063</v>
      </c>
      <c r="I1175">
        <v>350</v>
      </c>
      <c r="J1175">
        <v>230</v>
      </c>
      <c r="K1175">
        <v>299</v>
      </c>
      <c r="L1175">
        <v>1300</v>
      </c>
    </row>
    <row r="1176" spans="1:12" hidden="1" x14ac:dyDescent="0.25">
      <c r="A1176">
        <v>1175</v>
      </c>
      <c r="B1176" s="1" t="s">
        <v>12</v>
      </c>
      <c r="C1176">
        <v>1942</v>
      </c>
      <c r="D1176" s="1" t="s">
        <v>197</v>
      </c>
      <c r="E1176" s="1" t="s">
        <v>30</v>
      </c>
      <c r="F1176">
        <v>18</v>
      </c>
      <c r="G1176" s="1" t="s">
        <v>41</v>
      </c>
      <c r="H1176">
        <v>18140</v>
      </c>
      <c r="I1176">
        <v>350</v>
      </c>
      <c r="J1176">
        <v>170</v>
      </c>
      <c r="K1176">
        <v>212</v>
      </c>
      <c r="L1176">
        <v>1250</v>
      </c>
    </row>
    <row r="1177" spans="1:12" hidden="1" x14ac:dyDescent="0.25">
      <c r="A1177">
        <v>1176</v>
      </c>
      <c r="B1177" s="1" t="s">
        <v>12</v>
      </c>
      <c r="C1177">
        <v>1942</v>
      </c>
      <c r="D1177" s="1" t="s">
        <v>197</v>
      </c>
      <c r="E1177" s="1" t="s">
        <v>30</v>
      </c>
      <c r="F1177">
        <v>18</v>
      </c>
      <c r="G1177" s="1" t="s">
        <v>28</v>
      </c>
      <c r="H1177">
        <v>18021</v>
      </c>
      <c r="I1177">
        <v>300</v>
      </c>
      <c r="J1177">
        <v>80</v>
      </c>
      <c r="K1177">
        <v>100</v>
      </c>
      <c r="L1177">
        <v>1250</v>
      </c>
    </row>
    <row r="1178" spans="1:12" hidden="1" x14ac:dyDescent="0.25">
      <c r="A1178">
        <v>1177</v>
      </c>
      <c r="B1178" s="1" t="s">
        <v>12</v>
      </c>
      <c r="C1178">
        <v>1942</v>
      </c>
      <c r="D1178" s="1" t="s">
        <v>197</v>
      </c>
      <c r="E1178" s="1" t="s">
        <v>30</v>
      </c>
      <c r="F1178">
        <v>18</v>
      </c>
      <c r="G1178" s="1" t="s">
        <v>39</v>
      </c>
      <c r="H1178">
        <v>18084</v>
      </c>
      <c r="I1178">
        <v>300</v>
      </c>
      <c r="J1178">
        <v>90</v>
      </c>
      <c r="K1178">
        <v>112</v>
      </c>
      <c r="L1178">
        <v>1250</v>
      </c>
    </row>
    <row r="1179" spans="1:12" hidden="1" x14ac:dyDescent="0.25">
      <c r="A1179">
        <v>1178</v>
      </c>
      <c r="B1179" s="1" t="s">
        <v>12</v>
      </c>
      <c r="C1179">
        <v>1942</v>
      </c>
      <c r="D1179" s="1" t="s">
        <v>197</v>
      </c>
      <c r="E1179" s="1" t="s">
        <v>30</v>
      </c>
      <c r="F1179">
        <v>18</v>
      </c>
      <c r="G1179" s="1" t="s">
        <v>43</v>
      </c>
      <c r="H1179">
        <v>18070</v>
      </c>
      <c r="I1179">
        <v>270</v>
      </c>
      <c r="J1179">
        <v>150</v>
      </c>
      <c r="K1179">
        <v>195</v>
      </c>
      <c r="L1179">
        <v>1300</v>
      </c>
    </row>
    <row r="1180" spans="1:12" hidden="1" x14ac:dyDescent="0.25">
      <c r="A1180">
        <v>1179</v>
      </c>
      <c r="B1180" s="1" t="s">
        <v>12</v>
      </c>
      <c r="C1180">
        <v>1942</v>
      </c>
      <c r="D1180" s="1" t="s">
        <v>197</v>
      </c>
      <c r="E1180" s="1" t="s">
        <v>30</v>
      </c>
      <c r="F1180">
        <v>18</v>
      </c>
      <c r="G1180" s="1" t="s">
        <v>101</v>
      </c>
      <c r="H1180">
        <v>18161</v>
      </c>
      <c r="I1180">
        <v>250</v>
      </c>
      <c r="J1180">
        <v>100</v>
      </c>
      <c r="K1180">
        <v>120</v>
      </c>
      <c r="L1180">
        <v>1200</v>
      </c>
    </row>
    <row r="1181" spans="1:12" hidden="1" x14ac:dyDescent="0.25">
      <c r="A1181">
        <v>1180</v>
      </c>
      <c r="B1181" s="1" t="s">
        <v>12</v>
      </c>
      <c r="C1181">
        <v>1942</v>
      </c>
      <c r="D1181" s="1" t="s">
        <v>197</v>
      </c>
      <c r="E1181" s="1" t="s">
        <v>30</v>
      </c>
      <c r="F1181">
        <v>18</v>
      </c>
      <c r="G1181" s="1" t="s">
        <v>42</v>
      </c>
      <c r="H1181">
        <v>18035</v>
      </c>
      <c r="I1181">
        <v>200</v>
      </c>
      <c r="J1181">
        <v>120</v>
      </c>
      <c r="K1181">
        <v>156</v>
      </c>
      <c r="L1181">
        <v>1300</v>
      </c>
    </row>
    <row r="1182" spans="1:12" hidden="1" x14ac:dyDescent="0.25">
      <c r="A1182">
        <v>1181</v>
      </c>
      <c r="B1182" s="1" t="s">
        <v>12</v>
      </c>
      <c r="C1182">
        <v>1942</v>
      </c>
      <c r="D1182" s="1" t="s">
        <v>197</v>
      </c>
      <c r="E1182" s="1" t="s">
        <v>30</v>
      </c>
      <c r="F1182">
        <v>18</v>
      </c>
      <c r="G1182" s="1" t="s">
        <v>36</v>
      </c>
      <c r="H1182">
        <v>18133</v>
      </c>
      <c r="I1182">
        <v>200</v>
      </c>
      <c r="J1182">
        <v>50</v>
      </c>
      <c r="K1182">
        <v>55</v>
      </c>
      <c r="L1182">
        <v>1100</v>
      </c>
    </row>
    <row r="1183" spans="1:12" hidden="1" x14ac:dyDescent="0.25">
      <c r="A1183">
        <v>1182</v>
      </c>
      <c r="B1183" s="1" t="s">
        <v>12</v>
      </c>
      <c r="C1183">
        <v>1942</v>
      </c>
      <c r="D1183" s="1" t="s">
        <v>197</v>
      </c>
      <c r="E1183" s="1" t="s">
        <v>30</v>
      </c>
      <c r="F1183">
        <v>18</v>
      </c>
      <c r="G1183" s="1" t="s">
        <v>40</v>
      </c>
      <c r="H1183">
        <v>18126</v>
      </c>
      <c r="I1183">
        <v>150</v>
      </c>
      <c r="J1183">
        <v>50</v>
      </c>
      <c r="K1183">
        <v>50</v>
      </c>
      <c r="L1183">
        <v>1000</v>
      </c>
    </row>
    <row r="1184" spans="1:12" hidden="1" x14ac:dyDescent="0.25">
      <c r="A1184">
        <v>1183</v>
      </c>
      <c r="B1184" s="1" t="s">
        <v>12</v>
      </c>
      <c r="C1184">
        <v>1942</v>
      </c>
      <c r="D1184" s="1" t="s">
        <v>197</v>
      </c>
      <c r="E1184" s="1" t="s">
        <v>30</v>
      </c>
      <c r="F1184">
        <v>18</v>
      </c>
      <c r="G1184" s="1" t="s">
        <v>35</v>
      </c>
      <c r="H1184">
        <v>18049</v>
      </c>
      <c r="I1184">
        <v>130</v>
      </c>
      <c r="J1184">
        <v>60</v>
      </c>
      <c r="K1184">
        <v>54</v>
      </c>
      <c r="L1184">
        <v>900</v>
      </c>
    </row>
    <row r="1185" spans="1:12" hidden="1" x14ac:dyDescent="0.25">
      <c r="A1185">
        <v>1184</v>
      </c>
      <c r="B1185" s="1" t="s">
        <v>12</v>
      </c>
      <c r="C1185">
        <v>1942</v>
      </c>
      <c r="D1185" s="1" t="s">
        <v>197</v>
      </c>
      <c r="E1185" s="1" t="s">
        <v>30</v>
      </c>
      <c r="F1185">
        <v>18</v>
      </c>
      <c r="G1185" s="1" t="s">
        <v>33</v>
      </c>
      <c r="H1185">
        <v>18091</v>
      </c>
      <c r="I1185">
        <v>130</v>
      </c>
      <c r="J1185">
        <v>60</v>
      </c>
      <c r="K1185">
        <v>48</v>
      </c>
      <c r="L1185">
        <v>800</v>
      </c>
    </row>
    <row r="1186" spans="1:12" hidden="1" x14ac:dyDescent="0.25">
      <c r="A1186">
        <v>1185</v>
      </c>
      <c r="B1186" s="1" t="s">
        <v>12</v>
      </c>
      <c r="C1186">
        <v>1942</v>
      </c>
      <c r="D1186" s="1" t="s">
        <v>197</v>
      </c>
      <c r="E1186" s="1" t="s">
        <v>30</v>
      </c>
      <c r="F1186">
        <v>18</v>
      </c>
      <c r="G1186" s="1" t="s">
        <v>103</v>
      </c>
      <c r="H1186">
        <v>18154</v>
      </c>
      <c r="I1186">
        <v>130</v>
      </c>
      <c r="J1186">
        <v>40</v>
      </c>
      <c r="K1186">
        <v>36</v>
      </c>
      <c r="L1186">
        <v>900</v>
      </c>
    </row>
    <row r="1187" spans="1:12" hidden="1" x14ac:dyDescent="0.25">
      <c r="A1187">
        <v>1186</v>
      </c>
      <c r="B1187" s="1" t="s">
        <v>12</v>
      </c>
      <c r="C1187">
        <v>1942</v>
      </c>
      <c r="D1187" s="1" t="s">
        <v>197</v>
      </c>
      <c r="E1187" s="1" t="s">
        <v>30</v>
      </c>
      <c r="F1187">
        <v>18</v>
      </c>
      <c r="G1187" s="1" t="s">
        <v>98</v>
      </c>
      <c r="H1187">
        <v>18098</v>
      </c>
      <c r="I1187">
        <v>120</v>
      </c>
      <c r="J1187">
        <v>30</v>
      </c>
      <c r="K1187">
        <v>27</v>
      </c>
      <c r="L1187">
        <v>900</v>
      </c>
    </row>
    <row r="1188" spans="1:12" hidden="1" x14ac:dyDescent="0.25">
      <c r="A1188">
        <v>1187</v>
      </c>
      <c r="B1188" s="1" t="s">
        <v>12</v>
      </c>
      <c r="C1188">
        <v>1942</v>
      </c>
      <c r="D1188" s="1" t="s">
        <v>197</v>
      </c>
      <c r="E1188" s="1" t="s">
        <v>30</v>
      </c>
      <c r="F1188">
        <v>18</v>
      </c>
      <c r="G1188" s="1" t="s">
        <v>63</v>
      </c>
      <c r="H1188">
        <v>18028</v>
      </c>
      <c r="I1188">
        <v>100</v>
      </c>
      <c r="J1188">
        <v>40</v>
      </c>
      <c r="K1188">
        <v>44</v>
      </c>
      <c r="L1188">
        <v>1100</v>
      </c>
    </row>
    <row r="1189" spans="1:12" hidden="1" x14ac:dyDescent="0.25">
      <c r="A1189">
        <v>1188</v>
      </c>
      <c r="B1189" s="1" t="s">
        <v>12</v>
      </c>
      <c r="C1189">
        <v>1942</v>
      </c>
      <c r="D1189" s="1" t="s">
        <v>197</v>
      </c>
      <c r="E1189" s="1" t="s">
        <v>30</v>
      </c>
      <c r="F1189">
        <v>18</v>
      </c>
      <c r="G1189" s="1" t="s">
        <v>38</v>
      </c>
      <c r="H1189">
        <v>18007</v>
      </c>
      <c r="I1189">
        <v>35</v>
      </c>
      <c r="J1189">
        <v>25</v>
      </c>
      <c r="K1189">
        <v>17</v>
      </c>
      <c r="L1189">
        <v>700</v>
      </c>
    </row>
    <row r="1190" spans="1:12" hidden="1" x14ac:dyDescent="0.25">
      <c r="A1190">
        <v>1189</v>
      </c>
      <c r="B1190" s="1" t="s">
        <v>12</v>
      </c>
      <c r="C1190">
        <v>1942</v>
      </c>
      <c r="D1190" s="1" t="s">
        <v>197</v>
      </c>
      <c r="E1190" s="1" t="s">
        <v>30</v>
      </c>
      <c r="F1190">
        <v>18</v>
      </c>
      <c r="G1190" s="1" t="s">
        <v>100</v>
      </c>
      <c r="H1190">
        <v>18077</v>
      </c>
      <c r="I1190">
        <v>20</v>
      </c>
      <c r="J1190">
        <v>10</v>
      </c>
      <c r="K1190">
        <v>9</v>
      </c>
      <c r="L1190">
        <v>900</v>
      </c>
    </row>
    <row r="1191" spans="1:12" hidden="1" x14ac:dyDescent="0.25">
      <c r="A1191">
        <v>1190</v>
      </c>
      <c r="B1191" s="1" t="s">
        <v>12</v>
      </c>
      <c r="C1191">
        <v>1942</v>
      </c>
      <c r="D1191" s="1" t="s">
        <v>197</v>
      </c>
      <c r="E1191" s="1" t="s">
        <v>30</v>
      </c>
      <c r="F1191">
        <v>18</v>
      </c>
      <c r="G1191" s="1" t="s">
        <v>102</v>
      </c>
      <c r="H1191">
        <v>18014</v>
      </c>
      <c r="I1191">
        <v>10</v>
      </c>
      <c r="J1191">
        <v>5</v>
      </c>
      <c r="K1191">
        <v>5</v>
      </c>
      <c r="L1191">
        <v>1000</v>
      </c>
    </row>
    <row r="1192" spans="1:12" hidden="1" x14ac:dyDescent="0.25">
      <c r="A1192">
        <v>1191</v>
      </c>
      <c r="B1192" s="1" t="s">
        <v>12</v>
      </c>
      <c r="C1192">
        <v>1942</v>
      </c>
      <c r="D1192" s="1" t="s">
        <v>197</v>
      </c>
      <c r="E1192" s="1" t="s">
        <v>30</v>
      </c>
      <c r="F1192">
        <v>18</v>
      </c>
      <c r="G1192" s="1" t="s">
        <v>86</v>
      </c>
      <c r="H1192">
        <v>18175</v>
      </c>
      <c r="I1192">
        <v>10</v>
      </c>
      <c r="J1192">
        <v>7</v>
      </c>
      <c r="K1192">
        <v>5</v>
      </c>
      <c r="L1192">
        <v>700</v>
      </c>
    </row>
    <row r="1193" spans="1:12" hidden="1" x14ac:dyDescent="0.25">
      <c r="A1193">
        <v>1192</v>
      </c>
      <c r="B1193" s="1" t="s">
        <v>12</v>
      </c>
      <c r="C1193">
        <v>1942</v>
      </c>
      <c r="D1193" s="1" t="s">
        <v>197</v>
      </c>
      <c r="E1193" s="1" t="s">
        <v>45</v>
      </c>
      <c r="F1193">
        <v>30</v>
      </c>
      <c r="G1193" s="1" t="s">
        <v>46</v>
      </c>
      <c r="H1193">
        <v>30028</v>
      </c>
      <c r="I1193">
        <v>6522</v>
      </c>
      <c r="J1193">
        <v>3862</v>
      </c>
      <c r="K1193">
        <v>3200</v>
      </c>
      <c r="L1193">
        <v>828</v>
      </c>
    </row>
    <row r="1194" spans="1:12" hidden="1" x14ac:dyDescent="0.25">
      <c r="A1194">
        <v>1193</v>
      </c>
      <c r="B1194" s="1" t="s">
        <v>12</v>
      </c>
      <c r="C1194">
        <v>1942</v>
      </c>
      <c r="D1194" s="1" t="s">
        <v>197</v>
      </c>
      <c r="E1194" s="1" t="s">
        <v>45</v>
      </c>
      <c r="F1194">
        <v>30</v>
      </c>
      <c r="G1194" s="1" t="s">
        <v>47</v>
      </c>
      <c r="H1194">
        <v>30015</v>
      </c>
      <c r="I1194">
        <v>3260</v>
      </c>
      <c r="J1194">
        <v>2222</v>
      </c>
      <c r="K1194">
        <v>2760</v>
      </c>
      <c r="L1194">
        <v>1242</v>
      </c>
    </row>
    <row r="1195" spans="1:12" hidden="1" x14ac:dyDescent="0.25">
      <c r="A1195">
        <v>1194</v>
      </c>
      <c r="B1195" s="1" t="s">
        <v>12</v>
      </c>
      <c r="C1195">
        <v>1942</v>
      </c>
      <c r="D1195" s="1" t="s">
        <v>197</v>
      </c>
      <c r="E1195" s="1" t="s">
        <v>45</v>
      </c>
      <c r="F1195">
        <v>30</v>
      </c>
      <c r="G1195" s="1" t="s">
        <v>27</v>
      </c>
      <c r="H1195">
        <v>30008</v>
      </c>
      <c r="I1195">
        <v>536</v>
      </c>
      <c r="J1195">
        <v>452</v>
      </c>
      <c r="K1195">
        <v>375</v>
      </c>
      <c r="L1195">
        <v>830</v>
      </c>
    </row>
    <row r="1196" spans="1:12" hidden="1" x14ac:dyDescent="0.25">
      <c r="A1196">
        <v>1195</v>
      </c>
      <c r="B1196" s="1" t="s">
        <v>12</v>
      </c>
      <c r="C1196">
        <v>1942</v>
      </c>
      <c r="D1196" s="1" t="s">
        <v>197</v>
      </c>
      <c r="E1196" s="1" t="s">
        <v>45</v>
      </c>
      <c r="F1196">
        <v>30</v>
      </c>
      <c r="G1196" s="1" t="s">
        <v>123</v>
      </c>
      <c r="H1196">
        <v>30084</v>
      </c>
      <c r="I1196">
        <v>123</v>
      </c>
      <c r="J1196">
        <v>109</v>
      </c>
      <c r="K1196">
        <v>79</v>
      </c>
      <c r="L1196">
        <v>725</v>
      </c>
    </row>
    <row r="1197" spans="1:12" hidden="1" x14ac:dyDescent="0.25">
      <c r="A1197">
        <v>1196</v>
      </c>
      <c r="B1197" s="1" t="s">
        <v>12</v>
      </c>
      <c r="C1197">
        <v>1942</v>
      </c>
      <c r="D1197" s="1" t="s">
        <v>197</v>
      </c>
      <c r="E1197" s="1" t="s">
        <v>45</v>
      </c>
      <c r="F1197">
        <v>30</v>
      </c>
      <c r="G1197" s="1" t="s">
        <v>144</v>
      </c>
      <c r="H1197">
        <v>30077</v>
      </c>
      <c r="I1197">
        <v>63</v>
      </c>
      <c r="J1197">
        <v>56</v>
      </c>
      <c r="K1197">
        <v>41</v>
      </c>
      <c r="L1197">
        <v>732</v>
      </c>
    </row>
    <row r="1198" spans="1:12" hidden="1" x14ac:dyDescent="0.25">
      <c r="A1198">
        <v>1197</v>
      </c>
      <c r="B1198" s="1" t="s">
        <v>12</v>
      </c>
      <c r="C1198">
        <v>1942</v>
      </c>
      <c r="D1198" s="1" t="s">
        <v>197</v>
      </c>
      <c r="E1198" s="1" t="s">
        <v>45</v>
      </c>
      <c r="F1198">
        <v>30</v>
      </c>
      <c r="G1198" s="1" t="s">
        <v>124</v>
      </c>
      <c r="H1198">
        <v>30070</v>
      </c>
      <c r="I1198">
        <v>57</v>
      </c>
      <c r="J1198">
        <v>50</v>
      </c>
      <c r="K1198">
        <v>36</v>
      </c>
      <c r="L1198">
        <v>720</v>
      </c>
    </row>
    <row r="1199" spans="1:12" hidden="1" x14ac:dyDescent="0.25">
      <c r="A1199">
        <v>1198</v>
      </c>
      <c r="B1199" s="1" t="s">
        <v>12</v>
      </c>
      <c r="C1199">
        <v>1942</v>
      </c>
      <c r="D1199" s="1" t="s">
        <v>197</v>
      </c>
      <c r="E1199" s="1" t="s">
        <v>45</v>
      </c>
      <c r="F1199">
        <v>30</v>
      </c>
      <c r="G1199" s="1" t="s">
        <v>107</v>
      </c>
      <c r="H1199">
        <v>30056</v>
      </c>
      <c r="I1199">
        <v>21</v>
      </c>
      <c r="J1199">
        <v>19</v>
      </c>
      <c r="K1199">
        <v>8</v>
      </c>
      <c r="L1199">
        <v>421</v>
      </c>
    </row>
    <row r="1200" spans="1:12" hidden="1" x14ac:dyDescent="0.25">
      <c r="A1200">
        <v>1199</v>
      </c>
      <c r="B1200" s="1" t="s">
        <v>12</v>
      </c>
      <c r="C1200">
        <v>1942</v>
      </c>
      <c r="D1200" s="1" t="s">
        <v>197</v>
      </c>
      <c r="E1200" s="1" t="s">
        <v>45</v>
      </c>
      <c r="F1200">
        <v>30</v>
      </c>
      <c r="G1200" s="1" t="s">
        <v>149</v>
      </c>
      <c r="H1200">
        <v>30091</v>
      </c>
      <c r="I1200">
        <v>8</v>
      </c>
      <c r="J1200">
        <v>2</v>
      </c>
      <c r="K1200">
        <v>1</v>
      </c>
      <c r="L1200">
        <v>500</v>
      </c>
    </row>
    <row r="1201" spans="1:12" hidden="1" x14ac:dyDescent="0.25">
      <c r="A1201">
        <v>1200</v>
      </c>
      <c r="B1201" s="1" t="s">
        <v>12</v>
      </c>
      <c r="C1201">
        <v>1942</v>
      </c>
      <c r="D1201" s="1" t="s">
        <v>197</v>
      </c>
      <c r="E1201" s="1" t="s">
        <v>45</v>
      </c>
      <c r="F1201">
        <v>30</v>
      </c>
      <c r="G1201" s="1" t="s">
        <v>146</v>
      </c>
      <c r="H1201">
        <v>30042</v>
      </c>
      <c r="I1201">
        <v>4</v>
      </c>
    </row>
    <row r="1202" spans="1:12" hidden="1" x14ac:dyDescent="0.25">
      <c r="A1202">
        <v>1201</v>
      </c>
      <c r="B1202" s="1" t="s">
        <v>12</v>
      </c>
      <c r="C1202">
        <v>1942</v>
      </c>
      <c r="D1202" s="1" t="s">
        <v>197</v>
      </c>
      <c r="E1202" s="1" t="s">
        <v>45</v>
      </c>
      <c r="F1202">
        <v>30</v>
      </c>
      <c r="G1202" s="1" t="s">
        <v>148</v>
      </c>
      <c r="H1202">
        <v>30113</v>
      </c>
      <c r="I1202">
        <v>4</v>
      </c>
    </row>
    <row r="1203" spans="1:12" hidden="1" x14ac:dyDescent="0.25">
      <c r="A1203">
        <v>1202</v>
      </c>
      <c r="B1203" s="1" t="s">
        <v>12</v>
      </c>
      <c r="C1203">
        <v>1942</v>
      </c>
      <c r="D1203" s="1" t="s">
        <v>197</v>
      </c>
      <c r="E1203" s="1" t="s">
        <v>45</v>
      </c>
      <c r="F1203">
        <v>30</v>
      </c>
      <c r="G1203" s="1" t="s">
        <v>147</v>
      </c>
      <c r="H1203">
        <v>30049</v>
      </c>
      <c r="I1203">
        <v>1</v>
      </c>
    </row>
    <row r="1204" spans="1:12" hidden="1" x14ac:dyDescent="0.25">
      <c r="A1204">
        <v>1203</v>
      </c>
      <c r="B1204" s="1" t="s">
        <v>12</v>
      </c>
      <c r="C1204">
        <v>1942</v>
      </c>
      <c r="D1204" s="1" t="s">
        <v>197</v>
      </c>
      <c r="E1204" s="1" t="s">
        <v>45</v>
      </c>
      <c r="F1204">
        <v>30</v>
      </c>
      <c r="G1204" s="1" t="s">
        <v>145</v>
      </c>
      <c r="H1204">
        <v>30105</v>
      </c>
      <c r="I1204">
        <v>1</v>
      </c>
    </row>
    <row r="1205" spans="1:12" hidden="1" x14ac:dyDescent="0.25">
      <c r="A1205">
        <v>1204</v>
      </c>
      <c r="B1205" s="1" t="s">
        <v>12</v>
      </c>
      <c r="C1205">
        <v>1942</v>
      </c>
      <c r="D1205" s="1" t="s">
        <v>197</v>
      </c>
      <c r="E1205" s="1" t="s">
        <v>48</v>
      </c>
      <c r="F1205">
        <v>34</v>
      </c>
      <c r="G1205" s="1" t="s">
        <v>50</v>
      </c>
      <c r="H1205">
        <v>34021</v>
      </c>
      <c r="I1205">
        <v>130</v>
      </c>
      <c r="J1205">
        <v>95</v>
      </c>
      <c r="K1205">
        <v>81</v>
      </c>
      <c r="L1205">
        <v>850</v>
      </c>
    </row>
    <row r="1206" spans="1:12" hidden="1" x14ac:dyDescent="0.25">
      <c r="A1206">
        <v>1205</v>
      </c>
      <c r="B1206" s="1" t="s">
        <v>12</v>
      </c>
      <c r="C1206">
        <v>1942</v>
      </c>
      <c r="D1206" s="1" t="s">
        <v>197</v>
      </c>
      <c r="E1206" s="1" t="s">
        <v>48</v>
      </c>
      <c r="F1206">
        <v>34</v>
      </c>
      <c r="G1206" s="1" t="s">
        <v>49</v>
      </c>
      <c r="H1206">
        <v>34049</v>
      </c>
      <c r="I1206">
        <v>130</v>
      </c>
      <c r="J1206">
        <v>90</v>
      </c>
      <c r="K1206">
        <v>77</v>
      </c>
      <c r="L1206">
        <v>855</v>
      </c>
    </row>
    <row r="1207" spans="1:12" hidden="1" x14ac:dyDescent="0.25">
      <c r="A1207">
        <v>1206</v>
      </c>
      <c r="B1207" s="1" t="s">
        <v>12</v>
      </c>
      <c r="C1207">
        <v>1942</v>
      </c>
      <c r="D1207" s="1" t="s">
        <v>197</v>
      </c>
      <c r="E1207" s="1" t="s">
        <v>48</v>
      </c>
      <c r="F1207">
        <v>34</v>
      </c>
      <c r="G1207" s="1" t="s">
        <v>51</v>
      </c>
      <c r="H1207">
        <v>34056</v>
      </c>
      <c r="I1207">
        <v>130</v>
      </c>
      <c r="J1207">
        <v>95</v>
      </c>
      <c r="K1207">
        <v>81</v>
      </c>
      <c r="L1207">
        <v>850</v>
      </c>
    </row>
    <row r="1208" spans="1:12" hidden="1" x14ac:dyDescent="0.25">
      <c r="A1208">
        <v>1207</v>
      </c>
      <c r="B1208" s="1" t="s">
        <v>12</v>
      </c>
      <c r="C1208">
        <v>1942</v>
      </c>
      <c r="D1208" s="1" t="s">
        <v>197</v>
      </c>
      <c r="E1208" s="1" t="s">
        <v>48</v>
      </c>
      <c r="F1208">
        <v>34</v>
      </c>
      <c r="G1208" s="1" t="s">
        <v>108</v>
      </c>
      <c r="H1208">
        <v>34042</v>
      </c>
      <c r="I1208">
        <v>90</v>
      </c>
      <c r="J1208">
        <v>66</v>
      </c>
      <c r="K1208">
        <v>53</v>
      </c>
      <c r="L1208">
        <v>800</v>
      </c>
    </row>
    <row r="1209" spans="1:12" hidden="1" x14ac:dyDescent="0.25">
      <c r="A1209">
        <v>1208</v>
      </c>
      <c r="B1209" s="1" t="s">
        <v>12</v>
      </c>
      <c r="C1209">
        <v>1942</v>
      </c>
      <c r="D1209" s="1" t="s">
        <v>197</v>
      </c>
      <c r="E1209" s="1" t="s">
        <v>48</v>
      </c>
      <c r="F1209">
        <v>34</v>
      </c>
      <c r="G1209" s="1" t="s">
        <v>52</v>
      </c>
      <c r="H1209">
        <v>34035</v>
      </c>
      <c r="I1209">
        <v>80</v>
      </c>
      <c r="J1209">
        <v>55</v>
      </c>
      <c r="K1209">
        <v>44</v>
      </c>
      <c r="L1209">
        <v>800</v>
      </c>
    </row>
    <row r="1210" spans="1:12" hidden="1" x14ac:dyDescent="0.25">
      <c r="A1210">
        <v>1209</v>
      </c>
      <c r="B1210" s="1" t="s">
        <v>12</v>
      </c>
      <c r="C1210">
        <v>1942</v>
      </c>
      <c r="D1210" s="1" t="s">
        <v>197</v>
      </c>
      <c r="E1210" s="1" t="s">
        <v>48</v>
      </c>
      <c r="F1210">
        <v>34</v>
      </c>
      <c r="G1210" s="1" t="s">
        <v>48</v>
      </c>
      <c r="H1210">
        <v>34014</v>
      </c>
      <c r="I1210">
        <v>44</v>
      </c>
      <c r="J1210">
        <v>30</v>
      </c>
      <c r="K1210">
        <v>24</v>
      </c>
      <c r="L1210">
        <v>800</v>
      </c>
    </row>
    <row r="1211" spans="1:12" hidden="1" x14ac:dyDescent="0.25">
      <c r="A1211">
        <v>1210</v>
      </c>
      <c r="B1211" s="1" t="s">
        <v>12</v>
      </c>
      <c r="C1211">
        <v>1942</v>
      </c>
      <c r="D1211" s="1" t="s">
        <v>197</v>
      </c>
      <c r="E1211" s="1" t="s">
        <v>48</v>
      </c>
      <c r="F1211">
        <v>34</v>
      </c>
      <c r="G1211" s="1" t="s">
        <v>19</v>
      </c>
      <c r="H1211">
        <v>34007</v>
      </c>
      <c r="I1211">
        <v>5</v>
      </c>
      <c r="J1211">
        <v>4</v>
      </c>
      <c r="K1211">
        <v>3</v>
      </c>
      <c r="L1211">
        <v>750</v>
      </c>
    </row>
    <row r="1212" spans="1:12" hidden="1" x14ac:dyDescent="0.25">
      <c r="A1212">
        <v>1211</v>
      </c>
      <c r="B1212" s="1" t="s">
        <v>12</v>
      </c>
      <c r="C1212">
        <v>1942</v>
      </c>
      <c r="D1212" s="1" t="s">
        <v>197</v>
      </c>
      <c r="E1212" s="1" t="s">
        <v>58</v>
      </c>
      <c r="F1212">
        <v>54</v>
      </c>
      <c r="G1212" s="1" t="s">
        <v>60</v>
      </c>
      <c r="H1212">
        <v>54021</v>
      </c>
      <c r="I1212">
        <v>640</v>
      </c>
      <c r="J1212">
        <v>640</v>
      </c>
      <c r="K1212">
        <v>325</v>
      </c>
      <c r="L1212">
        <v>506</v>
      </c>
    </row>
    <row r="1213" spans="1:12" hidden="1" x14ac:dyDescent="0.25">
      <c r="A1213">
        <v>1212</v>
      </c>
      <c r="B1213" s="1" t="s">
        <v>12</v>
      </c>
      <c r="C1213">
        <v>1942</v>
      </c>
      <c r="D1213" s="1" t="s">
        <v>197</v>
      </c>
      <c r="E1213" s="1" t="s">
        <v>58</v>
      </c>
      <c r="F1213">
        <v>54</v>
      </c>
      <c r="G1213" s="1" t="s">
        <v>62</v>
      </c>
      <c r="H1213">
        <v>54105</v>
      </c>
      <c r="I1213">
        <v>300</v>
      </c>
      <c r="J1213">
        <v>300</v>
      </c>
      <c r="K1213">
        <v>120</v>
      </c>
      <c r="L1213">
        <v>400</v>
      </c>
    </row>
    <row r="1214" spans="1:12" hidden="1" x14ac:dyDescent="0.25">
      <c r="A1214">
        <v>1213</v>
      </c>
      <c r="B1214" s="1" t="s">
        <v>12</v>
      </c>
      <c r="C1214">
        <v>1942</v>
      </c>
      <c r="D1214" s="1" t="s">
        <v>197</v>
      </c>
      <c r="E1214" s="1" t="s">
        <v>58</v>
      </c>
      <c r="F1214">
        <v>54</v>
      </c>
      <c r="G1214" s="1" t="s">
        <v>150</v>
      </c>
      <c r="H1214">
        <v>54014</v>
      </c>
      <c r="I1214">
        <v>250</v>
      </c>
      <c r="J1214">
        <v>250</v>
      </c>
      <c r="K1214">
        <v>125</v>
      </c>
      <c r="L1214">
        <v>500</v>
      </c>
    </row>
    <row r="1215" spans="1:12" hidden="1" x14ac:dyDescent="0.25">
      <c r="A1215">
        <v>1214</v>
      </c>
      <c r="B1215" s="1" t="s">
        <v>12</v>
      </c>
      <c r="C1215">
        <v>1942</v>
      </c>
      <c r="D1215" s="1" t="s">
        <v>197</v>
      </c>
      <c r="E1215" s="1" t="s">
        <v>58</v>
      </c>
      <c r="F1215">
        <v>54</v>
      </c>
      <c r="G1215" s="1" t="s">
        <v>59</v>
      </c>
      <c r="H1215">
        <v>54007</v>
      </c>
      <c r="I1215">
        <v>180</v>
      </c>
      <c r="J1215">
        <v>180</v>
      </c>
      <c r="K1215">
        <v>63</v>
      </c>
      <c r="L1215">
        <v>350</v>
      </c>
    </row>
    <row r="1216" spans="1:12" hidden="1" x14ac:dyDescent="0.25">
      <c r="A1216">
        <v>1215</v>
      </c>
      <c r="B1216" s="1" t="s">
        <v>12</v>
      </c>
      <c r="C1216">
        <v>1942</v>
      </c>
      <c r="D1216" s="1" t="s">
        <v>197</v>
      </c>
      <c r="E1216" s="1" t="s">
        <v>58</v>
      </c>
      <c r="F1216">
        <v>54</v>
      </c>
      <c r="G1216" s="1" t="s">
        <v>61</v>
      </c>
      <c r="H1216">
        <v>54098</v>
      </c>
      <c r="I1216">
        <v>121</v>
      </c>
      <c r="J1216">
        <v>100</v>
      </c>
      <c r="K1216">
        <v>50</v>
      </c>
      <c r="L1216">
        <v>500</v>
      </c>
    </row>
    <row r="1217" spans="1:12" hidden="1" x14ac:dyDescent="0.25">
      <c r="A1217">
        <v>1216</v>
      </c>
      <c r="B1217" s="1" t="s">
        <v>12</v>
      </c>
      <c r="C1217">
        <v>1942</v>
      </c>
      <c r="D1217" s="1" t="s">
        <v>197</v>
      </c>
      <c r="E1217" s="1" t="s">
        <v>58</v>
      </c>
      <c r="F1217">
        <v>54</v>
      </c>
      <c r="G1217" s="1" t="s">
        <v>63</v>
      </c>
      <c r="H1217">
        <v>54035</v>
      </c>
      <c r="I1217">
        <v>40</v>
      </c>
      <c r="J1217">
        <v>40</v>
      </c>
      <c r="K1217">
        <v>20</v>
      </c>
      <c r="L1217">
        <v>500</v>
      </c>
    </row>
    <row r="1218" spans="1:12" hidden="1" x14ac:dyDescent="0.25">
      <c r="A1218">
        <v>1217</v>
      </c>
      <c r="B1218" s="1" t="s">
        <v>12</v>
      </c>
      <c r="C1218">
        <v>1942</v>
      </c>
      <c r="D1218" s="1" t="s">
        <v>197</v>
      </c>
      <c r="E1218" s="1" t="s">
        <v>58</v>
      </c>
      <c r="F1218">
        <v>54</v>
      </c>
      <c r="G1218" s="1" t="s">
        <v>178</v>
      </c>
      <c r="H1218">
        <v>54049</v>
      </c>
      <c r="I1218">
        <v>28</v>
      </c>
      <c r="J1218">
        <v>28</v>
      </c>
      <c r="K1218">
        <v>8</v>
      </c>
      <c r="L1218">
        <v>300</v>
      </c>
    </row>
    <row r="1219" spans="1:12" x14ac:dyDescent="0.25">
      <c r="A1219">
        <v>1218</v>
      </c>
      <c r="B1219" s="1" t="s">
        <v>12</v>
      </c>
      <c r="C1219">
        <v>1942</v>
      </c>
      <c r="D1219" s="1" t="s">
        <v>197</v>
      </c>
      <c r="E1219" s="1" t="s">
        <v>58</v>
      </c>
      <c r="F1219">
        <v>54</v>
      </c>
      <c r="G1219" s="1" t="s">
        <v>56</v>
      </c>
      <c r="H1219">
        <v>54112</v>
      </c>
      <c r="I1219">
        <v>17</v>
      </c>
      <c r="J1219">
        <v>17</v>
      </c>
      <c r="K1219">
        <v>10</v>
      </c>
      <c r="L1219">
        <v>600</v>
      </c>
    </row>
    <row r="1220" spans="1:12" hidden="1" x14ac:dyDescent="0.25">
      <c r="A1220">
        <v>1219</v>
      </c>
      <c r="B1220" s="1" t="s">
        <v>12</v>
      </c>
      <c r="C1220">
        <v>1942</v>
      </c>
      <c r="D1220" s="1" t="s">
        <v>197</v>
      </c>
      <c r="E1220" s="1" t="s">
        <v>58</v>
      </c>
      <c r="F1220">
        <v>54</v>
      </c>
      <c r="G1220" s="1" t="s">
        <v>28</v>
      </c>
      <c r="H1220">
        <v>54028</v>
      </c>
      <c r="I1220">
        <v>15</v>
      </c>
    </row>
    <row r="1221" spans="1:12" hidden="1" x14ac:dyDescent="0.25">
      <c r="A1221">
        <v>1220</v>
      </c>
      <c r="B1221" s="1" t="s">
        <v>12</v>
      </c>
      <c r="C1221">
        <v>1942</v>
      </c>
      <c r="D1221" s="1" t="s">
        <v>197</v>
      </c>
      <c r="E1221" s="1" t="s">
        <v>58</v>
      </c>
      <c r="F1221">
        <v>54</v>
      </c>
      <c r="G1221" s="1" t="s">
        <v>152</v>
      </c>
      <c r="H1221">
        <v>54063</v>
      </c>
      <c r="I1221">
        <v>12</v>
      </c>
      <c r="J1221">
        <v>12</v>
      </c>
      <c r="K1221">
        <v>7</v>
      </c>
      <c r="L1221">
        <v>600</v>
      </c>
    </row>
    <row r="1222" spans="1:12" hidden="1" x14ac:dyDescent="0.25">
      <c r="A1222">
        <v>1221</v>
      </c>
      <c r="B1222" s="1" t="s">
        <v>12</v>
      </c>
      <c r="C1222">
        <v>1942</v>
      </c>
      <c r="D1222" s="1" t="s">
        <v>197</v>
      </c>
      <c r="E1222" s="1" t="s">
        <v>58</v>
      </c>
      <c r="F1222">
        <v>54</v>
      </c>
      <c r="G1222" s="1" t="s">
        <v>151</v>
      </c>
      <c r="H1222">
        <v>54056</v>
      </c>
      <c r="I1222">
        <v>2</v>
      </c>
    </row>
    <row r="1223" spans="1:12" hidden="1" x14ac:dyDescent="0.25">
      <c r="A1223">
        <v>1222</v>
      </c>
      <c r="B1223" s="1" t="s">
        <v>12</v>
      </c>
      <c r="C1223">
        <v>1942</v>
      </c>
      <c r="D1223" s="1" t="s">
        <v>197</v>
      </c>
      <c r="E1223" s="1" t="s">
        <v>87</v>
      </c>
      <c r="F1223">
        <v>66</v>
      </c>
      <c r="G1223" s="1" t="s">
        <v>141</v>
      </c>
      <c r="H1223">
        <v>66112</v>
      </c>
      <c r="I1223">
        <v>350</v>
      </c>
      <c r="J1223">
        <v>300</v>
      </c>
      <c r="K1223">
        <v>390</v>
      </c>
      <c r="L1223">
        <v>1300</v>
      </c>
    </row>
    <row r="1224" spans="1:12" hidden="1" x14ac:dyDescent="0.25">
      <c r="A1224">
        <v>1223</v>
      </c>
      <c r="B1224" s="1" t="s">
        <v>12</v>
      </c>
      <c r="C1224">
        <v>1942</v>
      </c>
      <c r="D1224" s="1" t="s">
        <v>197</v>
      </c>
      <c r="E1224" s="1" t="s">
        <v>87</v>
      </c>
      <c r="F1224">
        <v>66</v>
      </c>
      <c r="G1224" s="1" t="s">
        <v>130</v>
      </c>
      <c r="H1224">
        <v>66147</v>
      </c>
      <c r="I1224">
        <v>30</v>
      </c>
      <c r="J1224">
        <v>30</v>
      </c>
      <c r="K1224">
        <v>39</v>
      </c>
      <c r="L1224">
        <v>1300</v>
      </c>
    </row>
    <row r="1225" spans="1:12" hidden="1" x14ac:dyDescent="0.25">
      <c r="A1225">
        <v>1224</v>
      </c>
      <c r="B1225" s="1" t="s">
        <v>12</v>
      </c>
      <c r="C1225">
        <v>1942</v>
      </c>
      <c r="D1225" s="1" t="s">
        <v>197</v>
      </c>
      <c r="E1225" s="1" t="s">
        <v>116</v>
      </c>
      <c r="F1225">
        <v>74</v>
      </c>
      <c r="G1225" s="1" t="s">
        <v>119</v>
      </c>
      <c r="H1225">
        <v>74063</v>
      </c>
      <c r="I1225">
        <v>22</v>
      </c>
      <c r="J1225">
        <v>16</v>
      </c>
      <c r="K1225">
        <v>17</v>
      </c>
      <c r="L1225">
        <v>1062</v>
      </c>
    </row>
    <row r="1226" spans="1:12" hidden="1" x14ac:dyDescent="0.25">
      <c r="A1226">
        <v>1225</v>
      </c>
      <c r="B1226" s="1" t="s">
        <v>12</v>
      </c>
      <c r="C1226">
        <v>1942</v>
      </c>
      <c r="D1226" s="1" t="s">
        <v>197</v>
      </c>
      <c r="E1226" s="1" t="s">
        <v>116</v>
      </c>
      <c r="F1226">
        <v>74</v>
      </c>
      <c r="G1226" s="1" t="s">
        <v>118</v>
      </c>
      <c r="H1226">
        <v>74028</v>
      </c>
      <c r="I1226">
        <v>12</v>
      </c>
      <c r="J1226">
        <v>10</v>
      </c>
      <c r="K1226">
        <v>12</v>
      </c>
      <c r="L1226">
        <v>1200</v>
      </c>
    </row>
    <row r="1227" spans="1:12" hidden="1" x14ac:dyDescent="0.25">
      <c r="A1227">
        <v>1226</v>
      </c>
      <c r="B1227" s="1" t="s">
        <v>12</v>
      </c>
      <c r="C1227">
        <v>1942</v>
      </c>
      <c r="D1227" s="1" t="s">
        <v>197</v>
      </c>
      <c r="E1227" s="1" t="s">
        <v>116</v>
      </c>
      <c r="F1227">
        <v>74</v>
      </c>
      <c r="G1227" s="1" t="s">
        <v>127</v>
      </c>
      <c r="H1227">
        <v>74049</v>
      </c>
      <c r="I1227">
        <v>8</v>
      </c>
      <c r="J1227">
        <v>5</v>
      </c>
      <c r="K1227">
        <v>4</v>
      </c>
      <c r="L1227">
        <v>800</v>
      </c>
    </row>
    <row r="1228" spans="1:12" hidden="1" x14ac:dyDescent="0.25">
      <c r="A1228">
        <v>1227</v>
      </c>
      <c r="B1228" s="1" t="s">
        <v>12</v>
      </c>
      <c r="C1228">
        <v>1942</v>
      </c>
      <c r="D1228" s="1" t="s">
        <v>197</v>
      </c>
      <c r="E1228" s="1" t="s">
        <v>116</v>
      </c>
      <c r="F1228">
        <v>74</v>
      </c>
      <c r="G1228" s="1" t="s">
        <v>126</v>
      </c>
      <c r="H1228">
        <v>74035</v>
      </c>
      <c r="I1228">
        <v>2</v>
      </c>
      <c r="J1228">
        <v>1</v>
      </c>
      <c r="K1228">
        <v>1</v>
      </c>
      <c r="L1228">
        <v>1000</v>
      </c>
    </row>
    <row r="1229" spans="1:12" hidden="1" x14ac:dyDescent="0.25">
      <c r="A1229">
        <v>1228</v>
      </c>
      <c r="B1229" s="1" t="s">
        <v>12</v>
      </c>
      <c r="C1229">
        <v>1942</v>
      </c>
      <c r="D1229" s="1" t="s">
        <v>197</v>
      </c>
      <c r="E1229" s="1" t="s">
        <v>64</v>
      </c>
      <c r="F1229">
        <v>82</v>
      </c>
      <c r="G1229" s="1" t="s">
        <v>66</v>
      </c>
      <c r="H1229">
        <v>82035</v>
      </c>
      <c r="I1229">
        <v>4500</v>
      </c>
      <c r="J1229">
        <v>4250</v>
      </c>
      <c r="K1229">
        <v>7650</v>
      </c>
      <c r="L1229">
        <v>1800</v>
      </c>
    </row>
    <row r="1230" spans="1:12" hidden="1" x14ac:dyDescent="0.25">
      <c r="A1230">
        <v>1229</v>
      </c>
      <c r="B1230" s="1" t="s">
        <v>12</v>
      </c>
      <c r="C1230">
        <v>1942</v>
      </c>
      <c r="D1230" s="1" t="s">
        <v>197</v>
      </c>
      <c r="E1230" s="1" t="s">
        <v>64</v>
      </c>
      <c r="F1230">
        <v>82</v>
      </c>
      <c r="G1230" s="1" t="s">
        <v>65</v>
      </c>
      <c r="H1230">
        <v>82049</v>
      </c>
      <c r="I1230">
        <v>3800</v>
      </c>
      <c r="J1230">
        <v>3000</v>
      </c>
      <c r="K1230">
        <v>3168</v>
      </c>
      <c r="L1230">
        <v>1053</v>
      </c>
    </row>
    <row r="1231" spans="1:12" hidden="1" x14ac:dyDescent="0.25">
      <c r="A1231">
        <v>1230</v>
      </c>
      <c r="B1231" s="1" t="s">
        <v>12</v>
      </c>
      <c r="C1231">
        <v>1942</v>
      </c>
      <c r="D1231" s="1" t="s">
        <v>197</v>
      </c>
      <c r="E1231" s="1" t="s">
        <v>64</v>
      </c>
      <c r="F1231">
        <v>82</v>
      </c>
      <c r="G1231" s="1" t="s">
        <v>62</v>
      </c>
      <c r="H1231">
        <v>82098</v>
      </c>
      <c r="I1231">
        <v>720</v>
      </c>
      <c r="J1231">
        <v>600</v>
      </c>
      <c r="K1231">
        <v>900</v>
      </c>
      <c r="L1231">
        <v>1500</v>
      </c>
    </row>
    <row r="1232" spans="1:12" hidden="1" x14ac:dyDescent="0.25">
      <c r="A1232">
        <v>1231</v>
      </c>
      <c r="B1232" s="1" t="s">
        <v>12</v>
      </c>
      <c r="C1232">
        <v>1942</v>
      </c>
      <c r="D1232" s="1" t="s">
        <v>197</v>
      </c>
      <c r="E1232" s="1" t="s">
        <v>64</v>
      </c>
      <c r="F1232">
        <v>82</v>
      </c>
      <c r="G1232" s="1" t="s">
        <v>28</v>
      </c>
      <c r="H1232">
        <v>82063</v>
      </c>
      <c r="I1232">
        <v>150</v>
      </c>
      <c r="J1232">
        <v>150</v>
      </c>
      <c r="K1232">
        <v>270</v>
      </c>
      <c r="L1232">
        <v>1800</v>
      </c>
    </row>
    <row r="1233" spans="1:12" hidden="1" x14ac:dyDescent="0.25">
      <c r="A1233">
        <v>1232</v>
      </c>
      <c r="B1233" s="1" t="s">
        <v>12</v>
      </c>
      <c r="C1233">
        <v>1942</v>
      </c>
      <c r="D1233" s="1" t="s">
        <v>197</v>
      </c>
      <c r="E1233" s="1" t="s">
        <v>64</v>
      </c>
      <c r="F1233">
        <v>82</v>
      </c>
      <c r="G1233" s="1" t="s">
        <v>67</v>
      </c>
      <c r="H1233">
        <v>82112</v>
      </c>
      <c r="I1233">
        <v>80</v>
      </c>
      <c r="J1233">
        <v>80</v>
      </c>
      <c r="K1233">
        <v>120</v>
      </c>
      <c r="L1233">
        <v>1500</v>
      </c>
    </row>
    <row r="1234" spans="1:12" hidden="1" x14ac:dyDescent="0.25">
      <c r="A1234">
        <v>1233</v>
      </c>
      <c r="B1234" s="1" t="s">
        <v>12</v>
      </c>
      <c r="C1234">
        <v>1942</v>
      </c>
      <c r="D1234" s="1" t="s">
        <v>197</v>
      </c>
      <c r="E1234" s="1" t="s">
        <v>68</v>
      </c>
      <c r="F1234">
        <v>86</v>
      </c>
      <c r="G1234" s="1" t="s">
        <v>156</v>
      </c>
      <c r="H1234">
        <v>86042</v>
      </c>
      <c r="I1234">
        <v>150</v>
      </c>
      <c r="J1234">
        <v>130</v>
      </c>
      <c r="K1234">
        <v>62</v>
      </c>
      <c r="L1234">
        <v>477</v>
      </c>
    </row>
    <row r="1235" spans="1:12" hidden="1" x14ac:dyDescent="0.25">
      <c r="A1235">
        <v>1234</v>
      </c>
      <c r="B1235" s="1" t="s">
        <v>12</v>
      </c>
      <c r="C1235">
        <v>1942</v>
      </c>
      <c r="D1235" s="1" t="s">
        <v>197</v>
      </c>
      <c r="E1235" s="1" t="s">
        <v>68</v>
      </c>
      <c r="F1235">
        <v>86</v>
      </c>
      <c r="G1235" s="1" t="s">
        <v>71</v>
      </c>
      <c r="H1235">
        <v>86112</v>
      </c>
      <c r="I1235">
        <v>60</v>
      </c>
      <c r="J1235">
        <v>50</v>
      </c>
      <c r="K1235">
        <v>23</v>
      </c>
      <c r="L1235">
        <v>460</v>
      </c>
    </row>
    <row r="1236" spans="1:12" hidden="1" x14ac:dyDescent="0.25">
      <c r="A1236">
        <v>1235</v>
      </c>
      <c r="B1236" s="1" t="s">
        <v>12</v>
      </c>
      <c r="C1236">
        <v>1942</v>
      </c>
      <c r="D1236" s="1" t="s">
        <v>197</v>
      </c>
      <c r="E1236" s="1" t="s">
        <v>68</v>
      </c>
      <c r="F1236">
        <v>86</v>
      </c>
      <c r="G1236" s="1" t="s">
        <v>70</v>
      </c>
      <c r="H1236">
        <v>86098</v>
      </c>
      <c r="I1236">
        <v>60</v>
      </c>
      <c r="J1236">
        <v>49</v>
      </c>
      <c r="K1236">
        <v>26</v>
      </c>
      <c r="L1236">
        <v>531</v>
      </c>
    </row>
    <row r="1237" spans="1:12" hidden="1" x14ac:dyDescent="0.25">
      <c r="A1237">
        <v>1236</v>
      </c>
      <c r="B1237" s="1" t="s">
        <v>12</v>
      </c>
      <c r="C1237">
        <v>1942</v>
      </c>
      <c r="D1237" s="1" t="s">
        <v>197</v>
      </c>
      <c r="E1237" s="1" t="s">
        <v>68</v>
      </c>
      <c r="F1237">
        <v>86</v>
      </c>
      <c r="G1237" s="1" t="s">
        <v>75</v>
      </c>
      <c r="H1237">
        <v>86035</v>
      </c>
      <c r="I1237">
        <v>40</v>
      </c>
      <c r="J1237">
        <v>36</v>
      </c>
      <c r="K1237">
        <v>22</v>
      </c>
      <c r="L1237">
        <v>611</v>
      </c>
    </row>
    <row r="1238" spans="1:12" hidden="1" x14ac:dyDescent="0.25">
      <c r="A1238">
        <v>1237</v>
      </c>
      <c r="B1238" s="1" t="s">
        <v>12</v>
      </c>
      <c r="C1238">
        <v>1942</v>
      </c>
      <c r="D1238" s="1" t="s">
        <v>197</v>
      </c>
      <c r="E1238" s="1" t="s">
        <v>68</v>
      </c>
      <c r="F1238">
        <v>86</v>
      </c>
      <c r="G1238" s="1" t="s">
        <v>76</v>
      </c>
      <c r="H1238">
        <v>86161</v>
      </c>
      <c r="I1238">
        <v>30</v>
      </c>
      <c r="J1238">
        <v>24</v>
      </c>
      <c r="K1238">
        <v>14</v>
      </c>
      <c r="L1238">
        <v>583</v>
      </c>
    </row>
    <row r="1239" spans="1:12" hidden="1" x14ac:dyDescent="0.25">
      <c r="A1239">
        <v>1238</v>
      </c>
      <c r="B1239" s="1" t="s">
        <v>12</v>
      </c>
      <c r="C1239">
        <v>1942</v>
      </c>
      <c r="D1239" s="1" t="s">
        <v>197</v>
      </c>
      <c r="E1239" s="1" t="s">
        <v>68</v>
      </c>
      <c r="F1239">
        <v>86</v>
      </c>
      <c r="G1239" s="1" t="s">
        <v>69</v>
      </c>
      <c r="H1239">
        <v>86077</v>
      </c>
      <c r="I1239">
        <v>29</v>
      </c>
      <c r="J1239">
        <v>24</v>
      </c>
      <c r="K1239">
        <v>10</v>
      </c>
      <c r="L1239">
        <v>417</v>
      </c>
    </row>
    <row r="1240" spans="1:12" hidden="1" x14ac:dyDescent="0.25">
      <c r="A1240">
        <v>1239</v>
      </c>
      <c r="B1240" s="1" t="s">
        <v>12</v>
      </c>
      <c r="C1240">
        <v>1942</v>
      </c>
      <c r="D1240" s="1" t="s">
        <v>197</v>
      </c>
      <c r="E1240" s="1" t="s">
        <v>68</v>
      </c>
      <c r="F1240">
        <v>86</v>
      </c>
      <c r="G1240" s="1" t="s">
        <v>28</v>
      </c>
      <c r="H1240">
        <v>86049</v>
      </c>
      <c r="I1240">
        <v>25</v>
      </c>
      <c r="J1240">
        <v>19</v>
      </c>
      <c r="K1240">
        <v>11</v>
      </c>
      <c r="L1240">
        <v>579</v>
      </c>
    </row>
    <row r="1241" spans="1:12" hidden="1" x14ac:dyDescent="0.25">
      <c r="A1241">
        <v>1240</v>
      </c>
      <c r="B1241" s="1" t="s">
        <v>12</v>
      </c>
      <c r="C1241">
        <v>1942</v>
      </c>
      <c r="D1241" s="1" t="s">
        <v>197</v>
      </c>
      <c r="E1241" s="1" t="s">
        <v>68</v>
      </c>
      <c r="F1241">
        <v>86</v>
      </c>
      <c r="G1241" s="1" t="s">
        <v>136</v>
      </c>
      <c r="H1241">
        <v>86091</v>
      </c>
      <c r="I1241">
        <v>20</v>
      </c>
      <c r="J1241">
        <v>17</v>
      </c>
      <c r="K1241">
        <v>11</v>
      </c>
      <c r="L1241">
        <v>647</v>
      </c>
    </row>
    <row r="1242" spans="1:12" hidden="1" x14ac:dyDescent="0.25">
      <c r="A1242">
        <v>1241</v>
      </c>
      <c r="B1242" s="1" t="s">
        <v>12</v>
      </c>
      <c r="C1242">
        <v>1942</v>
      </c>
      <c r="D1242" s="1" t="s">
        <v>197</v>
      </c>
      <c r="E1242" s="1" t="s">
        <v>68</v>
      </c>
      <c r="F1242">
        <v>86</v>
      </c>
      <c r="G1242" s="1" t="s">
        <v>73</v>
      </c>
      <c r="H1242">
        <v>86147</v>
      </c>
      <c r="I1242">
        <v>20</v>
      </c>
      <c r="J1242">
        <v>16</v>
      </c>
      <c r="K1242">
        <v>8</v>
      </c>
      <c r="L1242">
        <v>500</v>
      </c>
    </row>
    <row r="1243" spans="1:12" hidden="1" x14ac:dyDescent="0.25">
      <c r="A1243">
        <v>1242</v>
      </c>
      <c r="B1243" s="1" t="s">
        <v>12</v>
      </c>
      <c r="C1243">
        <v>1942</v>
      </c>
      <c r="D1243" s="1" t="s">
        <v>197</v>
      </c>
      <c r="E1243" s="1" t="s">
        <v>68</v>
      </c>
      <c r="F1243">
        <v>86</v>
      </c>
      <c r="G1243" s="1" t="s">
        <v>198</v>
      </c>
      <c r="H1243">
        <v>86028</v>
      </c>
      <c r="I1243">
        <v>15</v>
      </c>
      <c r="J1243">
        <v>12</v>
      </c>
      <c r="K1243">
        <v>6</v>
      </c>
      <c r="L1243">
        <v>500</v>
      </c>
    </row>
    <row r="1244" spans="1:12" hidden="1" x14ac:dyDescent="0.25">
      <c r="A1244">
        <v>1243</v>
      </c>
      <c r="B1244" s="1" t="s">
        <v>12</v>
      </c>
      <c r="C1244">
        <v>1942</v>
      </c>
      <c r="D1244" s="1" t="s">
        <v>197</v>
      </c>
      <c r="E1244" s="1" t="s">
        <v>68</v>
      </c>
      <c r="F1244">
        <v>86</v>
      </c>
      <c r="G1244" s="1" t="s">
        <v>199</v>
      </c>
      <c r="H1244">
        <v>86189</v>
      </c>
      <c r="I1244">
        <v>15</v>
      </c>
      <c r="J1244">
        <v>13</v>
      </c>
      <c r="K1244">
        <v>7</v>
      </c>
      <c r="L1244">
        <v>533</v>
      </c>
    </row>
    <row r="1245" spans="1:12" hidden="1" x14ac:dyDescent="0.25">
      <c r="A1245">
        <v>1244</v>
      </c>
      <c r="B1245" s="1" t="s">
        <v>12</v>
      </c>
      <c r="C1245">
        <v>1942</v>
      </c>
      <c r="D1245" s="1" t="s">
        <v>197</v>
      </c>
      <c r="E1245" s="1" t="s">
        <v>68</v>
      </c>
      <c r="F1245">
        <v>86</v>
      </c>
      <c r="G1245" s="1" t="s">
        <v>200</v>
      </c>
      <c r="H1245">
        <v>86007</v>
      </c>
      <c r="I1245">
        <v>10</v>
      </c>
      <c r="J1245">
        <v>8</v>
      </c>
      <c r="K1245">
        <v>3</v>
      </c>
      <c r="L1245">
        <v>375</v>
      </c>
    </row>
    <row r="1246" spans="1:12" hidden="1" x14ac:dyDescent="0.25">
      <c r="A1246">
        <v>1245</v>
      </c>
      <c r="B1246" s="1" t="s">
        <v>12</v>
      </c>
      <c r="C1246">
        <v>1942</v>
      </c>
      <c r="D1246" s="1" t="s">
        <v>197</v>
      </c>
      <c r="E1246" s="1" t="s">
        <v>68</v>
      </c>
      <c r="F1246">
        <v>86</v>
      </c>
      <c r="G1246" s="1" t="s">
        <v>201</v>
      </c>
      <c r="H1246">
        <v>86056</v>
      </c>
      <c r="I1246">
        <v>10</v>
      </c>
      <c r="J1246">
        <v>8</v>
      </c>
      <c r="K1246">
        <v>5</v>
      </c>
      <c r="L1246">
        <v>625</v>
      </c>
    </row>
    <row r="1247" spans="1:12" hidden="1" x14ac:dyDescent="0.25">
      <c r="A1247">
        <v>1246</v>
      </c>
      <c r="B1247" s="1" t="s">
        <v>12</v>
      </c>
      <c r="C1247">
        <v>1942</v>
      </c>
      <c r="D1247" s="1" t="s">
        <v>197</v>
      </c>
      <c r="E1247" s="1" t="s">
        <v>68</v>
      </c>
      <c r="F1247">
        <v>86</v>
      </c>
      <c r="G1247" s="1" t="s">
        <v>202</v>
      </c>
      <c r="H1247">
        <v>86014</v>
      </c>
      <c r="I1247">
        <v>5</v>
      </c>
      <c r="J1247">
        <v>4</v>
      </c>
      <c r="K1247">
        <v>1</v>
      </c>
      <c r="L1247">
        <v>250</v>
      </c>
    </row>
    <row r="1248" spans="1:12" hidden="1" x14ac:dyDescent="0.25">
      <c r="A1248">
        <v>1247</v>
      </c>
      <c r="B1248" s="1" t="s">
        <v>12</v>
      </c>
      <c r="C1248">
        <v>1942</v>
      </c>
      <c r="D1248" s="1" t="s">
        <v>197</v>
      </c>
      <c r="E1248" s="1" t="s">
        <v>68</v>
      </c>
      <c r="F1248">
        <v>86</v>
      </c>
      <c r="G1248" s="1" t="s">
        <v>190</v>
      </c>
      <c r="H1248">
        <v>86070</v>
      </c>
      <c r="I1248">
        <v>5</v>
      </c>
      <c r="J1248">
        <v>4</v>
      </c>
      <c r="K1248">
        <v>3</v>
      </c>
      <c r="L1248">
        <v>750</v>
      </c>
    </row>
    <row r="1249" spans="1:12" hidden="1" x14ac:dyDescent="0.25">
      <c r="A1249">
        <v>1248</v>
      </c>
      <c r="B1249" s="1" t="s">
        <v>12</v>
      </c>
      <c r="C1249">
        <v>1942</v>
      </c>
      <c r="D1249" s="1" t="s">
        <v>197</v>
      </c>
      <c r="E1249" s="1" t="s">
        <v>68</v>
      </c>
      <c r="F1249">
        <v>86</v>
      </c>
      <c r="G1249" s="1" t="s">
        <v>191</v>
      </c>
      <c r="H1249">
        <v>86084</v>
      </c>
      <c r="I1249">
        <v>5</v>
      </c>
      <c r="J1249">
        <v>3</v>
      </c>
      <c r="K1249">
        <v>1</v>
      </c>
      <c r="L1249">
        <v>333</v>
      </c>
    </row>
    <row r="1250" spans="1:12" hidden="1" x14ac:dyDescent="0.25">
      <c r="A1250">
        <v>1249</v>
      </c>
      <c r="B1250" s="1" t="s">
        <v>12</v>
      </c>
      <c r="C1250">
        <v>1942</v>
      </c>
      <c r="D1250" s="1" t="s">
        <v>197</v>
      </c>
      <c r="E1250" s="1" t="s">
        <v>68</v>
      </c>
      <c r="F1250">
        <v>86</v>
      </c>
      <c r="G1250" s="1" t="s">
        <v>180</v>
      </c>
      <c r="H1250">
        <v>86126</v>
      </c>
      <c r="I1250">
        <v>5</v>
      </c>
      <c r="J1250">
        <v>4</v>
      </c>
      <c r="K1250">
        <v>2</v>
      </c>
      <c r="L1250">
        <v>500</v>
      </c>
    </row>
    <row r="1251" spans="1:12" hidden="1" x14ac:dyDescent="0.25">
      <c r="A1251">
        <v>1250</v>
      </c>
      <c r="B1251" s="1" t="s">
        <v>12</v>
      </c>
      <c r="C1251">
        <v>1942</v>
      </c>
      <c r="D1251" s="1" t="s">
        <v>197</v>
      </c>
      <c r="E1251" s="1" t="s">
        <v>68</v>
      </c>
      <c r="F1251">
        <v>86</v>
      </c>
      <c r="G1251" s="1" t="s">
        <v>135</v>
      </c>
      <c r="H1251">
        <v>86133</v>
      </c>
      <c r="I1251">
        <v>5</v>
      </c>
      <c r="J1251">
        <v>4</v>
      </c>
      <c r="K1251">
        <v>3</v>
      </c>
      <c r="L1251">
        <v>750</v>
      </c>
    </row>
    <row r="1252" spans="1:12" hidden="1" x14ac:dyDescent="0.25">
      <c r="A1252">
        <v>1251</v>
      </c>
      <c r="B1252" s="1" t="s">
        <v>12</v>
      </c>
      <c r="C1252">
        <v>1942</v>
      </c>
      <c r="D1252" s="1" t="s">
        <v>197</v>
      </c>
      <c r="E1252" s="1" t="s">
        <v>68</v>
      </c>
      <c r="F1252">
        <v>86</v>
      </c>
      <c r="G1252" s="1" t="s">
        <v>192</v>
      </c>
      <c r="H1252">
        <v>86140</v>
      </c>
      <c r="I1252">
        <v>5</v>
      </c>
      <c r="J1252">
        <v>4</v>
      </c>
      <c r="K1252">
        <v>2</v>
      </c>
      <c r="L1252">
        <v>500</v>
      </c>
    </row>
    <row r="1253" spans="1:12" hidden="1" x14ac:dyDescent="0.25">
      <c r="A1253">
        <v>1252</v>
      </c>
      <c r="B1253" s="1" t="s">
        <v>12</v>
      </c>
      <c r="C1253">
        <v>1942</v>
      </c>
      <c r="D1253" s="1" t="s">
        <v>197</v>
      </c>
      <c r="E1253" s="1" t="s">
        <v>68</v>
      </c>
      <c r="F1253">
        <v>86</v>
      </c>
      <c r="G1253" s="1" t="s">
        <v>203</v>
      </c>
      <c r="H1253">
        <v>86168</v>
      </c>
      <c r="I1253">
        <v>3</v>
      </c>
      <c r="J1253">
        <v>3</v>
      </c>
      <c r="K1253">
        <v>1</v>
      </c>
      <c r="L1253">
        <v>333</v>
      </c>
    </row>
    <row r="1254" spans="1:12" hidden="1" x14ac:dyDescent="0.25">
      <c r="A1254">
        <v>1253</v>
      </c>
      <c r="B1254" s="1" t="s">
        <v>12</v>
      </c>
      <c r="C1254">
        <v>1942</v>
      </c>
      <c r="D1254" s="1" t="s">
        <v>197</v>
      </c>
      <c r="E1254" s="1" t="s">
        <v>68</v>
      </c>
      <c r="F1254">
        <v>86</v>
      </c>
      <c r="G1254" s="1" t="s">
        <v>204</v>
      </c>
      <c r="H1254">
        <v>86182</v>
      </c>
      <c r="I1254">
        <v>3</v>
      </c>
      <c r="J1254">
        <v>2</v>
      </c>
      <c r="K1254">
        <v>1</v>
      </c>
      <c r="L1254">
        <v>500</v>
      </c>
    </row>
    <row r="1255" spans="1:12" hidden="1" x14ac:dyDescent="0.25">
      <c r="A1255">
        <v>1254</v>
      </c>
      <c r="B1255" s="1" t="s">
        <v>12</v>
      </c>
      <c r="C1255">
        <v>1942</v>
      </c>
      <c r="D1255" s="1" t="s">
        <v>197</v>
      </c>
      <c r="E1255" s="1" t="s">
        <v>77</v>
      </c>
      <c r="F1255">
        <v>90</v>
      </c>
      <c r="G1255" s="1" t="s">
        <v>92</v>
      </c>
      <c r="H1255">
        <v>90056</v>
      </c>
      <c r="I1255">
        <v>750</v>
      </c>
      <c r="J1255">
        <v>450</v>
      </c>
      <c r="K1255">
        <v>360</v>
      </c>
      <c r="L1255">
        <v>800</v>
      </c>
    </row>
    <row r="1256" spans="1:12" hidden="1" x14ac:dyDescent="0.25">
      <c r="A1256">
        <v>1255</v>
      </c>
      <c r="B1256" s="1" t="s">
        <v>12</v>
      </c>
      <c r="C1256">
        <v>1942</v>
      </c>
      <c r="D1256" s="1" t="s">
        <v>197</v>
      </c>
      <c r="E1256" s="1" t="s">
        <v>77</v>
      </c>
      <c r="F1256">
        <v>90</v>
      </c>
      <c r="G1256" s="1" t="s">
        <v>78</v>
      </c>
      <c r="H1256">
        <v>90007</v>
      </c>
      <c r="I1256">
        <v>428</v>
      </c>
      <c r="J1256">
        <v>428</v>
      </c>
      <c r="K1256">
        <v>435</v>
      </c>
      <c r="L1256">
        <v>1016</v>
      </c>
    </row>
    <row r="1257" spans="1:12" hidden="1" x14ac:dyDescent="0.25">
      <c r="A1257">
        <v>1256</v>
      </c>
      <c r="B1257" s="1" t="s">
        <v>12</v>
      </c>
      <c r="C1257">
        <v>1942</v>
      </c>
      <c r="D1257" s="1" t="s">
        <v>197</v>
      </c>
      <c r="E1257" s="1" t="s">
        <v>77</v>
      </c>
      <c r="F1257">
        <v>90</v>
      </c>
      <c r="G1257" s="1" t="s">
        <v>91</v>
      </c>
      <c r="H1257">
        <v>90014</v>
      </c>
      <c r="I1257">
        <v>250</v>
      </c>
      <c r="J1257">
        <v>250</v>
      </c>
      <c r="K1257">
        <v>250</v>
      </c>
      <c r="L1257">
        <v>1000</v>
      </c>
    </row>
    <row r="1258" spans="1:12" hidden="1" x14ac:dyDescent="0.25">
      <c r="A1258">
        <v>1257</v>
      </c>
      <c r="B1258" s="1" t="s">
        <v>12</v>
      </c>
      <c r="C1258">
        <v>1942</v>
      </c>
      <c r="D1258" s="1" t="s">
        <v>197</v>
      </c>
      <c r="E1258" s="1" t="s">
        <v>77</v>
      </c>
      <c r="F1258">
        <v>90</v>
      </c>
      <c r="G1258" s="1" t="s">
        <v>95</v>
      </c>
      <c r="H1258">
        <v>90035</v>
      </c>
      <c r="I1258">
        <v>50</v>
      </c>
      <c r="J1258">
        <v>30</v>
      </c>
      <c r="K1258">
        <v>21</v>
      </c>
      <c r="L1258">
        <v>700</v>
      </c>
    </row>
    <row r="1259" spans="1:12" hidden="1" x14ac:dyDescent="0.25">
      <c r="A1259">
        <v>1258</v>
      </c>
      <c r="B1259" s="1" t="s">
        <v>12</v>
      </c>
      <c r="C1259">
        <v>1942</v>
      </c>
      <c r="D1259" s="1" t="s">
        <v>197</v>
      </c>
      <c r="E1259" s="1" t="s">
        <v>77</v>
      </c>
      <c r="F1259">
        <v>90</v>
      </c>
      <c r="G1259" s="1" t="s">
        <v>109</v>
      </c>
      <c r="H1259">
        <v>90077</v>
      </c>
      <c r="I1259">
        <v>50</v>
      </c>
      <c r="J1259">
        <v>50</v>
      </c>
      <c r="K1259">
        <v>45</v>
      </c>
      <c r="L1259">
        <v>900</v>
      </c>
    </row>
    <row r="1260" spans="1:12" hidden="1" x14ac:dyDescent="0.25">
      <c r="A1260">
        <v>1259</v>
      </c>
      <c r="B1260" s="1" t="s">
        <v>12</v>
      </c>
      <c r="C1260">
        <v>1942</v>
      </c>
      <c r="D1260" s="1" t="s">
        <v>197</v>
      </c>
      <c r="E1260" s="1" t="s">
        <v>77</v>
      </c>
      <c r="F1260">
        <v>90</v>
      </c>
      <c r="G1260" s="1" t="s">
        <v>89</v>
      </c>
      <c r="H1260">
        <v>90028</v>
      </c>
      <c r="I1260">
        <v>20</v>
      </c>
      <c r="J1260">
        <v>15</v>
      </c>
      <c r="K1260">
        <v>9</v>
      </c>
      <c r="L1260">
        <v>600</v>
      </c>
    </row>
    <row r="1261" spans="1:12" hidden="1" x14ac:dyDescent="0.25">
      <c r="A1261">
        <v>1260</v>
      </c>
      <c r="B1261" s="1" t="s">
        <v>12</v>
      </c>
      <c r="C1261">
        <v>1942</v>
      </c>
      <c r="D1261" s="1" t="s">
        <v>197</v>
      </c>
      <c r="E1261" s="1" t="s">
        <v>77</v>
      </c>
      <c r="F1261">
        <v>90</v>
      </c>
      <c r="G1261" s="1" t="s">
        <v>93</v>
      </c>
      <c r="H1261">
        <v>90070</v>
      </c>
      <c r="I1261">
        <v>20</v>
      </c>
      <c r="J1261">
        <v>20</v>
      </c>
      <c r="K1261">
        <v>10</v>
      </c>
      <c r="L1261">
        <v>500</v>
      </c>
    </row>
    <row r="1262" spans="1:12" hidden="1" x14ac:dyDescent="0.25">
      <c r="A1262">
        <v>1261</v>
      </c>
      <c r="B1262" s="1" t="s">
        <v>12</v>
      </c>
      <c r="C1262">
        <v>1942</v>
      </c>
      <c r="D1262" s="1" t="s">
        <v>197</v>
      </c>
      <c r="E1262" s="1" t="s">
        <v>77</v>
      </c>
      <c r="F1262">
        <v>90</v>
      </c>
      <c r="G1262" s="1" t="s">
        <v>94</v>
      </c>
      <c r="H1262">
        <v>90105</v>
      </c>
      <c r="I1262">
        <v>18</v>
      </c>
      <c r="J1262">
        <v>18</v>
      </c>
      <c r="K1262">
        <v>9</v>
      </c>
      <c r="L1262">
        <v>500</v>
      </c>
    </row>
    <row r="1263" spans="1:12" hidden="1" x14ac:dyDescent="0.25">
      <c r="A1263">
        <v>1262</v>
      </c>
      <c r="B1263" s="1" t="s">
        <v>12</v>
      </c>
      <c r="C1263">
        <v>1942</v>
      </c>
      <c r="D1263" s="1" t="s">
        <v>197</v>
      </c>
      <c r="E1263" s="1" t="s">
        <v>77</v>
      </c>
      <c r="F1263">
        <v>90</v>
      </c>
      <c r="G1263" s="1" t="s">
        <v>110</v>
      </c>
      <c r="H1263">
        <v>90021</v>
      </c>
      <c r="I1263">
        <v>10</v>
      </c>
      <c r="J1263">
        <v>10</v>
      </c>
      <c r="K1263">
        <v>5</v>
      </c>
      <c r="L1263">
        <v>500</v>
      </c>
    </row>
    <row r="1264" spans="1:12" hidden="1" x14ac:dyDescent="0.25">
      <c r="A1264">
        <v>1263</v>
      </c>
      <c r="B1264" s="1" t="s">
        <v>12</v>
      </c>
      <c r="C1264">
        <v>1942</v>
      </c>
      <c r="D1264" s="1" t="s">
        <v>197</v>
      </c>
      <c r="E1264" s="1" t="s">
        <v>77</v>
      </c>
      <c r="F1264">
        <v>90</v>
      </c>
      <c r="G1264" s="1" t="s">
        <v>28</v>
      </c>
      <c r="H1264">
        <v>90084</v>
      </c>
      <c r="I1264">
        <v>8</v>
      </c>
      <c r="J1264">
        <v>8</v>
      </c>
      <c r="K1264">
        <v>3</v>
      </c>
      <c r="L1264">
        <v>375</v>
      </c>
    </row>
    <row r="1265" spans="1:12" hidden="1" x14ac:dyDescent="0.25">
      <c r="A1265">
        <v>1264</v>
      </c>
      <c r="B1265" s="1" t="s">
        <v>12</v>
      </c>
      <c r="C1265">
        <v>1942</v>
      </c>
      <c r="D1265" s="1" t="s">
        <v>197</v>
      </c>
      <c r="E1265" s="1" t="s">
        <v>77</v>
      </c>
      <c r="F1265">
        <v>90</v>
      </c>
      <c r="G1265" s="1" t="s">
        <v>90</v>
      </c>
      <c r="H1265">
        <v>90112</v>
      </c>
      <c r="I1265">
        <v>5</v>
      </c>
      <c r="J1265">
        <v>5</v>
      </c>
      <c r="K1265">
        <v>3</v>
      </c>
      <c r="L1265">
        <v>600</v>
      </c>
    </row>
    <row r="1266" spans="1:12" hidden="1" x14ac:dyDescent="0.25">
      <c r="A1266">
        <v>1265</v>
      </c>
      <c r="B1266" s="1" t="s">
        <v>12</v>
      </c>
      <c r="C1266">
        <v>1943</v>
      </c>
      <c r="D1266" s="1" t="s">
        <v>205</v>
      </c>
      <c r="E1266" s="1" t="s">
        <v>14</v>
      </c>
      <c r="F1266">
        <v>22</v>
      </c>
      <c r="G1266" s="1" t="s">
        <v>17</v>
      </c>
      <c r="H1266">
        <v>22140</v>
      </c>
      <c r="I1266">
        <v>75</v>
      </c>
      <c r="J1266">
        <v>55</v>
      </c>
      <c r="K1266">
        <v>27</v>
      </c>
      <c r="L1266">
        <v>500</v>
      </c>
    </row>
    <row r="1267" spans="1:12" hidden="1" x14ac:dyDescent="0.25">
      <c r="A1267">
        <v>1266</v>
      </c>
      <c r="B1267" s="1" t="s">
        <v>12</v>
      </c>
      <c r="C1267">
        <v>1943</v>
      </c>
      <c r="D1267" s="1" t="s">
        <v>205</v>
      </c>
      <c r="E1267" s="1" t="s">
        <v>14</v>
      </c>
      <c r="F1267">
        <v>22</v>
      </c>
      <c r="G1267" s="1" t="s">
        <v>20</v>
      </c>
      <c r="H1267">
        <v>22091</v>
      </c>
      <c r="I1267">
        <v>50</v>
      </c>
      <c r="J1267">
        <v>35</v>
      </c>
      <c r="K1267">
        <v>21</v>
      </c>
      <c r="L1267">
        <v>600</v>
      </c>
    </row>
    <row r="1268" spans="1:12" hidden="1" x14ac:dyDescent="0.25">
      <c r="A1268">
        <v>1267</v>
      </c>
      <c r="B1268" s="1" t="s">
        <v>12</v>
      </c>
      <c r="C1268">
        <v>1943</v>
      </c>
      <c r="D1268" s="1" t="s">
        <v>205</v>
      </c>
      <c r="E1268" s="1" t="s">
        <v>14</v>
      </c>
      <c r="F1268">
        <v>22</v>
      </c>
      <c r="G1268" s="1" t="s">
        <v>19</v>
      </c>
      <c r="H1268">
        <v>22014</v>
      </c>
      <c r="I1268">
        <v>40</v>
      </c>
      <c r="J1268">
        <v>30</v>
      </c>
      <c r="K1268">
        <v>15</v>
      </c>
      <c r="L1268">
        <v>500</v>
      </c>
    </row>
    <row r="1269" spans="1:12" hidden="1" x14ac:dyDescent="0.25">
      <c r="A1269">
        <v>1268</v>
      </c>
      <c r="B1269" s="1" t="s">
        <v>12</v>
      </c>
      <c r="C1269">
        <v>1943</v>
      </c>
      <c r="D1269" s="1" t="s">
        <v>205</v>
      </c>
      <c r="E1269" s="1" t="s">
        <v>14</v>
      </c>
      <c r="F1269">
        <v>22</v>
      </c>
      <c r="G1269" s="1" t="s">
        <v>18</v>
      </c>
      <c r="H1269">
        <v>22084</v>
      </c>
      <c r="I1269">
        <v>30</v>
      </c>
      <c r="J1269">
        <v>20</v>
      </c>
      <c r="K1269">
        <v>12</v>
      </c>
      <c r="L1269">
        <v>500</v>
      </c>
    </row>
    <row r="1270" spans="1:12" hidden="1" x14ac:dyDescent="0.25">
      <c r="A1270">
        <v>1269</v>
      </c>
      <c r="B1270" s="1" t="s">
        <v>12</v>
      </c>
      <c r="C1270">
        <v>1943</v>
      </c>
      <c r="D1270" s="1" t="s">
        <v>205</v>
      </c>
      <c r="E1270" s="1" t="s">
        <v>14</v>
      </c>
      <c r="F1270">
        <v>22</v>
      </c>
      <c r="G1270" s="1" t="s">
        <v>21</v>
      </c>
      <c r="H1270">
        <v>22161</v>
      </c>
      <c r="I1270">
        <v>20</v>
      </c>
      <c r="J1270">
        <v>15</v>
      </c>
      <c r="K1270">
        <v>6</v>
      </c>
      <c r="L1270">
        <v>400</v>
      </c>
    </row>
    <row r="1271" spans="1:12" hidden="1" x14ac:dyDescent="0.25">
      <c r="A1271">
        <v>1270</v>
      </c>
      <c r="B1271" s="1" t="s">
        <v>12</v>
      </c>
      <c r="C1271">
        <v>1943</v>
      </c>
      <c r="D1271" s="1" t="s">
        <v>205</v>
      </c>
      <c r="E1271" s="1" t="s">
        <v>22</v>
      </c>
      <c r="F1271">
        <v>14</v>
      </c>
      <c r="G1271" s="1" t="s">
        <v>24</v>
      </c>
      <c r="H1271">
        <v>14119</v>
      </c>
      <c r="I1271">
        <v>38592</v>
      </c>
      <c r="J1271">
        <v>36000</v>
      </c>
      <c r="K1271">
        <v>46820</v>
      </c>
      <c r="L1271">
        <v>1300</v>
      </c>
    </row>
    <row r="1272" spans="1:12" hidden="1" x14ac:dyDescent="0.25">
      <c r="A1272">
        <v>1271</v>
      </c>
      <c r="B1272" s="1" t="s">
        <v>12</v>
      </c>
      <c r="C1272">
        <v>1943</v>
      </c>
      <c r="D1272" s="1" t="s">
        <v>205</v>
      </c>
      <c r="E1272" s="1" t="s">
        <v>22</v>
      </c>
      <c r="F1272">
        <v>14</v>
      </c>
      <c r="G1272" s="1" t="s">
        <v>23</v>
      </c>
      <c r="H1272">
        <v>14147</v>
      </c>
      <c r="I1272">
        <v>34000</v>
      </c>
      <c r="J1272">
        <v>30599</v>
      </c>
      <c r="K1272">
        <v>39799</v>
      </c>
      <c r="L1272">
        <v>1301</v>
      </c>
    </row>
    <row r="1273" spans="1:12" hidden="1" x14ac:dyDescent="0.25">
      <c r="A1273">
        <v>1272</v>
      </c>
      <c r="B1273" s="1" t="s">
        <v>12</v>
      </c>
      <c r="C1273">
        <v>1943</v>
      </c>
      <c r="D1273" s="1" t="s">
        <v>205</v>
      </c>
      <c r="E1273" s="1" t="s">
        <v>22</v>
      </c>
      <c r="F1273">
        <v>14</v>
      </c>
      <c r="G1273" s="1" t="s">
        <v>183</v>
      </c>
      <c r="H1273">
        <v>14007</v>
      </c>
      <c r="I1273">
        <v>32325</v>
      </c>
      <c r="J1273">
        <v>30000</v>
      </c>
      <c r="K1273">
        <v>54000</v>
      </c>
      <c r="L1273">
        <v>1800</v>
      </c>
    </row>
    <row r="1274" spans="1:12" hidden="1" x14ac:dyDescent="0.25">
      <c r="A1274">
        <v>1273</v>
      </c>
      <c r="B1274" s="1" t="s">
        <v>12</v>
      </c>
      <c r="C1274">
        <v>1943</v>
      </c>
      <c r="D1274" s="1" t="s">
        <v>205</v>
      </c>
      <c r="E1274" s="1" t="s">
        <v>22</v>
      </c>
      <c r="F1274">
        <v>14</v>
      </c>
      <c r="G1274" s="1" t="s">
        <v>97</v>
      </c>
      <c r="H1274">
        <v>14007</v>
      </c>
      <c r="I1274">
        <v>11940</v>
      </c>
      <c r="J1274">
        <v>11000</v>
      </c>
      <c r="K1274">
        <v>11000</v>
      </c>
      <c r="L1274">
        <v>1000</v>
      </c>
    </row>
    <row r="1275" spans="1:12" hidden="1" x14ac:dyDescent="0.25">
      <c r="A1275">
        <v>1274</v>
      </c>
      <c r="B1275" s="1" t="s">
        <v>12</v>
      </c>
      <c r="C1275">
        <v>1943</v>
      </c>
      <c r="D1275" s="1" t="s">
        <v>205</v>
      </c>
      <c r="E1275" s="1" t="s">
        <v>22</v>
      </c>
      <c r="F1275">
        <v>14</v>
      </c>
      <c r="G1275" s="1" t="s">
        <v>25</v>
      </c>
      <c r="H1275">
        <v>14105</v>
      </c>
      <c r="I1275">
        <v>6656</v>
      </c>
      <c r="J1275">
        <v>6000</v>
      </c>
      <c r="K1275">
        <v>6600</v>
      </c>
      <c r="L1275">
        <v>1100</v>
      </c>
    </row>
    <row r="1276" spans="1:12" hidden="1" x14ac:dyDescent="0.25">
      <c r="A1276">
        <v>1275</v>
      </c>
      <c r="B1276" s="1" t="s">
        <v>12</v>
      </c>
      <c r="C1276">
        <v>1943</v>
      </c>
      <c r="D1276" s="1" t="s">
        <v>205</v>
      </c>
      <c r="E1276" s="1" t="s">
        <v>22</v>
      </c>
      <c r="F1276">
        <v>14</v>
      </c>
      <c r="G1276" s="1" t="s">
        <v>29</v>
      </c>
      <c r="H1276">
        <v>14098</v>
      </c>
      <c r="I1276">
        <v>3980</v>
      </c>
      <c r="J1276">
        <v>3980</v>
      </c>
      <c r="K1276">
        <v>5970</v>
      </c>
      <c r="L1276">
        <v>1500</v>
      </c>
    </row>
    <row r="1277" spans="1:12" hidden="1" x14ac:dyDescent="0.25">
      <c r="A1277">
        <v>1276</v>
      </c>
      <c r="B1277" s="1" t="s">
        <v>12</v>
      </c>
      <c r="C1277">
        <v>1943</v>
      </c>
      <c r="D1277" s="1" t="s">
        <v>205</v>
      </c>
      <c r="E1277" s="1" t="s">
        <v>22</v>
      </c>
      <c r="F1277">
        <v>14</v>
      </c>
      <c r="G1277" s="1" t="s">
        <v>67</v>
      </c>
      <c r="H1277">
        <v>14140</v>
      </c>
      <c r="I1277">
        <v>1800</v>
      </c>
      <c r="J1277">
        <v>1000</v>
      </c>
      <c r="K1277">
        <v>900</v>
      </c>
      <c r="L1277">
        <v>900</v>
      </c>
    </row>
    <row r="1278" spans="1:12" hidden="1" x14ac:dyDescent="0.25">
      <c r="A1278">
        <v>1277</v>
      </c>
      <c r="B1278" s="1" t="s">
        <v>12</v>
      </c>
      <c r="C1278">
        <v>1943</v>
      </c>
      <c r="D1278" s="1" t="s">
        <v>205</v>
      </c>
      <c r="E1278" s="1" t="s">
        <v>22</v>
      </c>
      <c r="F1278">
        <v>14</v>
      </c>
      <c r="G1278" s="1" t="s">
        <v>28</v>
      </c>
      <c r="H1278">
        <v>14014</v>
      </c>
      <c r="I1278">
        <v>1300</v>
      </c>
      <c r="J1278">
        <v>1200</v>
      </c>
      <c r="K1278">
        <v>1560</v>
      </c>
      <c r="L1278">
        <v>1300</v>
      </c>
    </row>
    <row r="1279" spans="1:12" hidden="1" x14ac:dyDescent="0.25">
      <c r="A1279">
        <v>1278</v>
      </c>
      <c r="B1279" s="1" t="s">
        <v>12</v>
      </c>
      <c r="C1279">
        <v>1943</v>
      </c>
      <c r="D1279" s="1" t="s">
        <v>205</v>
      </c>
      <c r="E1279" s="1" t="s">
        <v>22</v>
      </c>
      <c r="F1279">
        <v>14</v>
      </c>
      <c r="G1279" s="1" t="s">
        <v>143</v>
      </c>
      <c r="H1279">
        <v>14056</v>
      </c>
      <c r="I1279">
        <v>1097</v>
      </c>
      <c r="J1279">
        <v>1097</v>
      </c>
      <c r="K1279">
        <v>1097</v>
      </c>
      <c r="L1279">
        <v>1000</v>
      </c>
    </row>
    <row r="1280" spans="1:12" hidden="1" x14ac:dyDescent="0.25">
      <c r="A1280">
        <v>1279</v>
      </c>
      <c r="B1280" s="1" t="s">
        <v>12</v>
      </c>
      <c r="C1280">
        <v>1943</v>
      </c>
      <c r="D1280" s="1" t="s">
        <v>205</v>
      </c>
      <c r="E1280" s="1" t="s">
        <v>22</v>
      </c>
      <c r="F1280">
        <v>14</v>
      </c>
      <c r="G1280" s="1" t="s">
        <v>184</v>
      </c>
      <c r="H1280">
        <v>14042</v>
      </c>
      <c r="I1280">
        <v>500</v>
      </c>
      <c r="J1280">
        <v>500</v>
      </c>
      <c r="K1280">
        <v>775</v>
      </c>
      <c r="L1280">
        <v>1550</v>
      </c>
    </row>
    <row r="1281" spans="1:12" hidden="1" x14ac:dyDescent="0.25">
      <c r="A1281">
        <v>1280</v>
      </c>
      <c r="B1281" s="1" t="s">
        <v>12</v>
      </c>
      <c r="C1281">
        <v>1943</v>
      </c>
      <c r="D1281" s="1" t="s">
        <v>205</v>
      </c>
      <c r="E1281" s="1" t="s">
        <v>22</v>
      </c>
      <c r="F1281">
        <v>14</v>
      </c>
      <c r="G1281" s="1" t="s">
        <v>169</v>
      </c>
      <c r="H1281">
        <v>14126</v>
      </c>
      <c r="I1281">
        <v>244</v>
      </c>
      <c r="J1281">
        <v>244</v>
      </c>
      <c r="K1281">
        <v>268</v>
      </c>
      <c r="L1281">
        <v>1100</v>
      </c>
    </row>
    <row r="1282" spans="1:12" hidden="1" x14ac:dyDescent="0.25">
      <c r="A1282">
        <v>1281</v>
      </c>
      <c r="B1282" s="1" t="s">
        <v>12</v>
      </c>
      <c r="C1282">
        <v>1943</v>
      </c>
      <c r="D1282" s="1" t="s">
        <v>205</v>
      </c>
      <c r="E1282" s="1" t="s">
        <v>22</v>
      </c>
      <c r="F1282">
        <v>14</v>
      </c>
      <c r="G1282" s="1" t="s">
        <v>27</v>
      </c>
      <c r="H1282">
        <v>14021</v>
      </c>
      <c r="I1282">
        <v>200</v>
      </c>
      <c r="J1282">
        <v>180</v>
      </c>
      <c r="K1282">
        <v>180</v>
      </c>
      <c r="L1282">
        <v>1000</v>
      </c>
    </row>
    <row r="1283" spans="1:12" hidden="1" x14ac:dyDescent="0.25">
      <c r="A1283">
        <v>1282</v>
      </c>
      <c r="B1283" s="1" t="s">
        <v>12</v>
      </c>
      <c r="C1283">
        <v>1943</v>
      </c>
      <c r="D1283" s="1" t="s">
        <v>205</v>
      </c>
      <c r="E1283" s="1" t="s">
        <v>22</v>
      </c>
      <c r="F1283">
        <v>14</v>
      </c>
      <c r="G1283" s="1" t="s">
        <v>171</v>
      </c>
      <c r="H1283">
        <v>14112</v>
      </c>
      <c r="I1283">
        <v>100</v>
      </c>
      <c r="J1283">
        <v>90</v>
      </c>
      <c r="K1283">
        <v>76</v>
      </c>
      <c r="L1283">
        <v>850</v>
      </c>
    </row>
    <row r="1284" spans="1:12" hidden="1" x14ac:dyDescent="0.25">
      <c r="A1284">
        <v>1283</v>
      </c>
      <c r="B1284" s="1" t="s">
        <v>12</v>
      </c>
      <c r="C1284">
        <v>1943</v>
      </c>
      <c r="D1284" s="1" t="s">
        <v>205</v>
      </c>
      <c r="E1284" s="1" t="s">
        <v>22</v>
      </c>
      <c r="F1284">
        <v>14</v>
      </c>
      <c r="G1284" s="1" t="s">
        <v>62</v>
      </c>
      <c r="H1284">
        <v>14133</v>
      </c>
      <c r="I1284">
        <v>100</v>
      </c>
      <c r="J1284">
        <v>100</v>
      </c>
      <c r="K1284">
        <v>110</v>
      </c>
      <c r="L1284">
        <v>1100</v>
      </c>
    </row>
    <row r="1285" spans="1:12" hidden="1" x14ac:dyDescent="0.25">
      <c r="A1285">
        <v>1284</v>
      </c>
      <c r="B1285" s="1" t="s">
        <v>12</v>
      </c>
      <c r="C1285">
        <v>1943</v>
      </c>
      <c r="D1285" s="1" t="s">
        <v>205</v>
      </c>
      <c r="E1285" s="1" t="s">
        <v>22</v>
      </c>
      <c r="F1285">
        <v>14</v>
      </c>
      <c r="G1285" s="1" t="s">
        <v>114</v>
      </c>
      <c r="H1285">
        <v>14168</v>
      </c>
      <c r="I1285">
        <v>60</v>
      </c>
      <c r="J1285">
        <v>54</v>
      </c>
      <c r="K1285">
        <v>54</v>
      </c>
      <c r="L1285">
        <v>1000</v>
      </c>
    </row>
    <row r="1286" spans="1:12" hidden="1" x14ac:dyDescent="0.25">
      <c r="A1286">
        <v>1285</v>
      </c>
      <c r="B1286" s="1" t="s">
        <v>12</v>
      </c>
      <c r="C1286">
        <v>1943</v>
      </c>
      <c r="D1286" s="1" t="s">
        <v>205</v>
      </c>
      <c r="E1286" s="1" t="s">
        <v>22</v>
      </c>
      <c r="F1286">
        <v>14</v>
      </c>
      <c r="G1286" s="1" t="s">
        <v>186</v>
      </c>
      <c r="H1286">
        <v>14175</v>
      </c>
      <c r="I1286">
        <v>50</v>
      </c>
      <c r="J1286">
        <v>45</v>
      </c>
      <c r="K1286">
        <v>38</v>
      </c>
      <c r="L1286">
        <v>850</v>
      </c>
    </row>
    <row r="1287" spans="1:12" hidden="1" x14ac:dyDescent="0.25">
      <c r="A1287">
        <v>1286</v>
      </c>
      <c r="B1287" s="1" t="s">
        <v>12</v>
      </c>
      <c r="C1287">
        <v>1943</v>
      </c>
      <c r="D1287" s="1" t="s">
        <v>205</v>
      </c>
      <c r="E1287" s="1" t="s">
        <v>22</v>
      </c>
      <c r="F1287">
        <v>14</v>
      </c>
      <c r="G1287" s="1" t="s">
        <v>206</v>
      </c>
      <c r="H1287">
        <v>14084</v>
      </c>
      <c r="I1287">
        <v>22</v>
      </c>
    </row>
    <row r="1288" spans="1:12" hidden="1" x14ac:dyDescent="0.25">
      <c r="A1288">
        <v>1287</v>
      </c>
      <c r="B1288" s="1" t="s">
        <v>12</v>
      </c>
      <c r="C1288">
        <v>1943</v>
      </c>
      <c r="D1288" s="1" t="s">
        <v>205</v>
      </c>
      <c r="E1288" s="1" t="s">
        <v>22</v>
      </c>
      <c r="F1288">
        <v>14</v>
      </c>
      <c r="G1288" s="1" t="s">
        <v>173</v>
      </c>
      <c r="H1288">
        <v>14028</v>
      </c>
      <c r="I1288">
        <v>20</v>
      </c>
      <c r="J1288">
        <v>18</v>
      </c>
      <c r="K1288">
        <v>18</v>
      </c>
      <c r="L1288">
        <v>1000</v>
      </c>
    </row>
    <row r="1289" spans="1:12" hidden="1" x14ac:dyDescent="0.25">
      <c r="A1289">
        <v>1288</v>
      </c>
      <c r="B1289" s="1" t="s">
        <v>12</v>
      </c>
      <c r="C1289">
        <v>1943</v>
      </c>
      <c r="D1289" s="1" t="s">
        <v>205</v>
      </c>
      <c r="E1289" s="1" t="s">
        <v>22</v>
      </c>
      <c r="F1289">
        <v>14</v>
      </c>
      <c r="G1289" s="1" t="s">
        <v>172</v>
      </c>
      <c r="H1289">
        <v>14091</v>
      </c>
      <c r="I1289">
        <v>12</v>
      </c>
      <c r="J1289">
        <v>10</v>
      </c>
      <c r="K1289">
        <v>10</v>
      </c>
      <c r="L1289">
        <v>1000</v>
      </c>
    </row>
    <row r="1290" spans="1:12" hidden="1" x14ac:dyDescent="0.25">
      <c r="A1290">
        <v>1289</v>
      </c>
      <c r="B1290" s="1" t="s">
        <v>12</v>
      </c>
      <c r="C1290">
        <v>1943</v>
      </c>
      <c r="D1290" s="1" t="s">
        <v>205</v>
      </c>
      <c r="E1290" s="1" t="s">
        <v>22</v>
      </c>
      <c r="F1290">
        <v>14</v>
      </c>
      <c r="G1290" s="1" t="s">
        <v>170</v>
      </c>
      <c r="H1290">
        <v>14049</v>
      </c>
      <c r="I1290">
        <v>10</v>
      </c>
      <c r="J1290">
        <v>9</v>
      </c>
      <c r="K1290">
        <v>9</v>
      </c>
      <c r="L1290">
        <v>1000</v>
      </c>
    </row>
    <row r="1291" spans="1:12" hidden="1" x14ac:dyDescent="0.25">
      <c r="A1291">
        <v>1290</v>
      </c>
      <c r="B1291" s="1" t="s">
        <v>12</v>
      </c>
      <c r="C1291">
        <v>1943</v>
      </c>
      <c r="D1291" s="1" t="s">
        <v>205</v>
      </c>
      <c r="E1291" s="1" t="s">
        <v>22</v>
      </c>
      <c r="F1291">
        <v>14</v>
      </c>
      <c r="G1291" s="1" t="s">
        <v>194</v>
      </c>
      <c r="H1291">
        <v>14077</v>
      </c>
      <c r="I1291">
        <v>4</v>
      </c>
      <c r="J1291">
        <v>4</v>
      </c>
      <c r="K1291">
        <v>4</v>
      </c>
      <c r="L1291">
        <v>1000</v>
      </c>
    </row>
    <row r="1292" spans="1:12" hidden="1" x14ac:dyDescent="0.25">
      <c r="A1292">
        <v>1291</v>
      </c>
      <c r="B1292" s="1" t="s">
        <v>12</v>
      </c>
      <c r="C1292">
        <v>1943</v>
      </c>
      <c r="D1292" s="1" t="s">
        <v>205</v>
      </c>
      <c r="E1292" s="1" t="s">
        <v>30</v>
      </c>
      <c r="F1292">
        <v>18</v>
      </c>
      <c r="G1292" s="1" t="s">
        <v>32</v>
      </c>
      <c r="H1292">
        <v>18112</v>
      </c>
      <c r="I1292">
        <v>600</v>
      </c>
      <c r="J1292">
        <v>570</v>
      </c>
      <c r="K1292">
        <v>513</v>
      </c>
      <c r="L1292">
        <v>900</v>
      </c>
    </row>
    <row r="1293" spans="1:12" hidden="1" x14ac:dyDescent="0.25">
      <c r="A1293">
        <v>1292</v>
      </c>
      <c r="B1293" s="1" t="s">
        <v>12</v>
      </c>
      <c r="C1293">
        <v>1943</v>
      </c>
      <c r="D1293" s="1" t="s">
        <v>205</v>
      </c>
      <c r="E1293" s="1" t="s">
        <v>30</v>
      </c>
      <c r="F1293">
        <v>18</v>
      </c>
      <c r="G1293" s="1" t="s">
        <v>34</v>
      </c>
      <c r="H1293">
        <v>18042</v>
      </c>
      <c r="I1293">
        <v>410</v>
      </c>
      <c r="J1293">
        <v>180</v>
      </c>
      <c r="K1293">
        <v>99</v>
      </c>
      <c r="L1293">
        <v>550</v>
      </c>
    </row>
    <row r="1294" spans="1:12" hidden="1" x14ac:dyDescent="0.25">
      <c r="A1294">
        <v>1293</v>
      </c>
      <c r="B1294" s="1" t="s">
        <v>12</v>
      </c>
      <c r="C1294">
        <v>1943</v>
      </c>
      <c r="D1294" s="1" t="s">
        <v>205</v>
      </c>
      <c r="E1294" s="1" t="s">
        <v>30</v>
      </c>
      <c r="F1294">
        <v>18</v>
      </c>
      <c r="G1294" s="1" t="s">
        <v>99</v>
      </c>
      <c r="H1294">
        <v>18063</v>
      </c>
      <c r="I1294">
        <v>290</v>
      </c>
      <c r="J1294">
        <v>150</v>
      </c>
      <c r="K1294">
        <v>82</v>
      </c>
      <c r="L1294">
        <v>550</v>
      </c>
    </row>
    <row r="1295" spans="1:12" hidden="1" x14ac:dyDescent="0.25">
      <c r="A1295">
        <v>1294</v>
      </c>
      <c r="B1295" s="1" t="s">
        <v>12</v>
      </c>
      <c r="C1295">
        <v>1943</v>
      </c>
      <c r="D1295" s="1" t="s">
        <v>205</v>
      </c>
      <c r="E1295" s="1" t="s">
        <v>30</v>
      </c>
      <c r="F1295">
        <v>18</v>
      </c>
      <c r="G1295" s="1" t="s">
        <v>41</v>
      </c>
      <c r="H1295">
        <v>18140</v>
      </c>
      <c r="I1295">
        <v>210</v>
      </c>
      <c r="J1295">
        <v>70</v>
      </c>
      <c r="K1295">
        <v>35</v>
      </c>
      <c r="L1295">
        <v>500</v>
      </c>
    </row>
    <row r="1296" spans="1:12" hidden="1" x14ac:dyDescent="0.25">
      <c r="A1296">
        <v>1295</v>
      </c>
      <c r="B1296" s="1" t="s">
        <v>12</v>
      </c>
      <c r="C1296">
        <v>1943</v>
      </c>
      <c r="D1296" s="1" t="s">
        <v>205</v>
      </c>
      <c r="E1296" s="1" t="s">
        <v>30</v>
      </c>
      <c r="F1296">
        <v>18</v>
      </c>
      <c r="G1296" s="1" t="s">
        <v>43</v>
      </c>
      <c r="H1296">
        <v>18070</v>
      </c>
      <c r="I1296">
        <v>180</v>
      </c>
      <c r="J1296">
        <v>100</v>
      </c>
      <c r="K1296">
        <v>60</v>
      </c>
      <c r="L1296">
        <v>600</v>
      </c>
    </row>
    <row r="1297" spans="1:12" hidden="1" x14ac:dyDescent="0.25">
      <c r="A1297">
        <v>1296</v>
      </c>
      <c r="B1297" s="1" t="s">
        <v>12</v>
      </c>
      <c r="C1297">
        <v>1943</v>
      </c>
      <c r="D1297" s="1" t="s">
        <v>205</v>
      </c>
      <c r="E1297" s="1" t="s">
        <v>30</v>
      </c>
      <c r="F1297">
        <v>18</v>
      </c>
      <c r="G1297" s="1" t="s">
        <v>28</v>
      </c>
      <c r="H1297">
        <v>18021</v>
      </c>
      <c r="I1297">
        <v>141</v>
      </c>
      <c r="J1297">
        <v>70</v>
      </c>
      <c r="K1297">
        <v>38</v>
      </c>
      <c r="L1297">
        <v>550</v>
      </c>
    </row>
    <row r="1298" spans="1:12" hidden="1" x14ac:dyDescent="0.25">
      <c r="A1298">
        <v>1297</v>
      </c>
      <c r="B1298" s="1" t="s">
        <v>12</v>
      </c>
      <c r="C1298">
        <v>1943</v>
      </c>
      <c r="D1298" s="1" t="s">
        <v>205</v>
      </c>
      <c r="E1298" s="1" t="s">
        <v>30</v>
      </c>
      <c r="F1298">
        <v>18</v>
      </c>
      <c r="G1298" s="1" t="s">
        <v>39</v>
      </c>
      <c r="H1298">
        <v>18084</v>
      </c>
      <c r="I1298">
        <v>140</v>
      </c>
      <c r="J1298">
        <v>75</v>
      </c>
      <c r="K1298">
        <v>41</v>
      </c>
      <c r="L1298">
        <v>550</v>
      </c>
    </row>
    <row r="1299" spans="1:12" hidden="1" x14ac:dyDescent="0.25">
      <c r="A1299">
        <v>1298</v>
      </c>
      <c r="B1299" s="1" t="s">
        <v>12</v>
      </c>
      <c r="C1299">
        <v>1943</v>
      </c>
      <c r="D1299" s="1" t="s">
        <v>205</v>
      </c>
      <c r="E1299" s="1" t="s">
        <v>30</v>
      </c>
      <c r="F1299">
        <v>18</v>
      </c>
      <c r="G1299" s="1" t="s">
        <v>33</v>
      </c>
      <c r="H1299">
        <v>18091</v>
      </c>
      <c r="I1299">
        <v>120</v>
      </c>
      <c r="J1299">
        <v>100</v>
      </c>
      <c r="K1299">
        <v>60</v>
      </c>
      <c r="L1299">
        <v>600</v>
      </c>
    </row>
    <row r="1300" spans="1:12" hidden="1" x14ac:dyDescent="0.25">
      <c r="A1300">
        <v>1299</v>
      </c>
      <c r="B1300" s="1" t="s">
        <v>12</v>
      </c>
      <c r="C1300">
        <v>1943</v>
      </c>
      <c r="D1300" s="1" t="s">
        <v>205</v>
      </c>
      <c r="E1300" s="1" t="s">
        <v>30</v>
      </c>
      <c r="F1300">
        <v>18</v>
      </c>
      <c r="G1300" s="1" t="s">
        <v>35</v>
      </c>
      <c r="H1300">
        <v>18049</v>
      </c>
      <c r="I1300">
        <v>95</v>
      </c>
      <c r="J1300">
        <v>60</v>
      </c>
      <c r="K1300">
        <v>54</v>
      </c>
      <c r="L1300">
        <v>900</v>
      </c>
    </row>
    <row r="1301" spans="1:12" hidden="1" x14ac:dyDescent="0.25">
      <c r="A1301">
        <v>1300</v>
      </c>
      <c r="B1301" s="1" t="s">
        <v>12</v>
      </c>
      <c r="C1301">
        <v>1943</v>
      </c>
      <c r="D1301" s="1" t="s">
        <v>205</v>
      </c>
      <c r="E1301" s="1" t="s">
        <v>30</v>
      </c>
      <c r="F1301">
        <v>18</v>
      </c>
      <c r="G1301" s="1" t="s">
        <v>40</v>
      </c>
      <c r="H1301">
        <v>18126</v>
      </c>
      <c r="I1301">
        <v>90</v>
      </c>
      <c r="J1301">
        <v>35</v>
      </c>
      <c r="K1301">
        <v>17</v>
      </c>
      <c r="L1301">
        <v>500</v>
      </c>
    </row>
    <row r="1302" spans="1:12" hidden="1" x14ac:dyDescent="0.25">
      <c r="A1302">
        <v>1301</v>
      </c>
      <c r="B1302" s="1" t="s">
        <v>12</v>
      </c>
      <c r="C1302">
        <v>1943</v>
      </c>
      <c r="D1302" s="1" t="s">
        <v>205</v>
      </c>
      <c r="E1302" s="1" t="s">
        <v>30</v>
      </c>
      <c r="F1302">
        <v>18</v>
      </c>
      <c r="G1302" s="1" t="s">
        <v>36</v>
      </c>
      <c r="H1302">
        <v>18133</v>
      </c>
      <c r="I1302">
        <v>90</v>
      </c>
      <c r="J1302">
        <v>50</v>
      </c>
      <c r="K1302">
        <v>22</v>
      </c>
      <c r="L1302">
        <v>450</v>
      </c>
    </row>
    <row r="1303" spans="1:12" hidden="1" x14ac:dyDescent="0.25">
      <c r="A1303">
        <v>1302</v>
      </c>
      <c r="B1303" s="1" t="s">
        <v>12</v>
      </c>
      <c r="C1303">
        <v>1943</v>
      </c>
      <c r="D1303" s="1" t="s">
        <v>205</v>
      </c>
      <c r="E1303" s="1" t="s">
        <v>30</v>
      </c>
      <c r="F1303">
        <v>18</v>
      </c>
      <c r="G1303" s="1" t="s">
        <v>103</v>
      </c>
      <c r="H1303">
        <v>18154</v>
      </c>
      <c r="I1303">
        <v>85</v>
      </c>
      <c r="J1303">
        <v>30</v>
      </c>
      <c r="K1303">
        <v>15</v>
      </c>
      <c r="L1303">
        <v>500</v>
      </c>
    </row>
    <row r="1304" spans="1:12" hidden="1" x14ac:dyDescent="0.25">
      <c r="A1304">
        <v>1303</v>
      </c>
      <c r="B1304" s="1" t="s">
        <v>12</v>
      </c>
      <c r="C1304">
        <v>1943</v>
      </c>
      <c r="D1304" s="1" t="s">
        <v>205</v>
      </c>
      <c r="E1304" s="1" t="s">
        <v>30</v>
      </c>
      <c r="F1304">
        <v>18</v>
      </c>
      <c r="G1304" s="1" t="s">
        <v>63</v>
      </c>
      <c r="H1304">
        <v>18028</v>
      </c>
      <c r="I1304">
        <v>65</v>
      </c>
      <c r="J1304">
        <v>25</v>
      </c>
      <c r="K1304">
        <v>13</v>
      </c>
      <c r="L1304">
        <v>550</v>
      </c>
    </row>
    <row r="1305" spans="1:12" hidden="1" x14ac:dyDescent="0.25">
      <c r="A1305">
        <v>1304</v>
      </c>
      <c r="B1305" s="1" t="s">
        <v>12</v>
      </c>
      <c r="C1305">
        <v>1943</v>
      </c>
      <c r="D1305" s="1" t="s">
        <v>205</v>
      </c>
      <c r="E1305" s="1" t="s">
        <v>30</v>
      </c>
      <c r="F1305">
        <v>18</v>
      </c>
      <c r="G1305" s="1" t="s">
        <v>98</v>
      </c>
      <c r="H1305">
        <v>18098</v>
      </c>
      <c r="I1305">
        <v>55</v>
      </c>
      <c r="J1305">
        <v>25</v>
      </c>
      <c r="K1305">
        <v>12</v>
      </c>
      <c r="L1305">
        <v>500</v>
      </c>
    </row>
    <row r="1306" spans="1:12" hidden="1" x14ac:dyDescent="0.25">
      <c r="A1306">
        <v>1305</v>
      </c>
      <c r="B1306" s="1" t="s">
        <v>12</v>
      </c>
      <c r="C1306">
        <v>1943</v>
      </c>
      <c r="D1306" s="1" t="s">
        <v>205</v>
      </c>
      <c r="E1306" s="1" t="s">
        <v>30</v>
      </c>
      <c r="F1306">
        <v>18</v>
      </c>
      <c r="G1306" s="1" t="s">
        <v>42</v>
      </c>
      <c r="H1306">
        <v>18035</v>
      </c>
      <c r="I1306">
        <v>35</v>
      </c>
      <c r="J1306">
        <v>35</v>
      </c>
      <c r="K1306">
        <v>35</v>
      </c>
      <c r="L1306">
        <v>1000</v>
      </c>
    </row>
    <row r="1307" spans="1:12" hidden="1" x14ac:dyDescent="0.25">
      <c r="A1307">
        <v>1306</v>
      </c>
      <c r="B1307" s="1" t="s">
        <v>12</v>
      </c>
      <c r="C1307">
        <v>1943</v>
      </c>
      <c r="D1307" s="1" t="s">
        <v>205</v>
      </c>
      <c r="E1307" s="1" t="s">
        <v>30</v>
      </c>
      <c r="F1307">
        <v>18</v>
      </c>
      <c r="G1307" s="1" t="s">
        <v>38</v>
      </c>
      <c r="H1307">
        <v>18007</v>
      </c>
      <c r="I1307">
        <v>30</v>
      </c>
      <c r="J1307">
        <v>10</v>
      </c>
      <c r="K1307">
        <v>6</v>
      </c>
      <c r="L1307">
        <v>600</v>
      </c>
    </row>
    <row r="1308" spans="1:12" hidden="1" x14ac:dyDescent="0.25">
      <c r="A1308">
        <v>1307</v>
      </c>
      <c r="B1308" s="1" t="s">
        <v>12</v>
      </c>
      <c r="C1308">
        <v>1943</v>
      </c>
      <c r="D1308" s="1" t="s">
        <v>205</v>
      </c>
      <c r="E1308" s="1" t="s">
        <v>30</v>
      </c>
      <c r="F1308">
        <v>18</v>
      </c>
      <c r="G1308" s="1" t="s">
        <v>100</v>
      </c>
      <c r="H1308">
        <v>18077</v>
      </c>
      <c r="I1308">
        <v>15</v>
      </c>
      <c r="J1308">
        <v>7</v>
      </c>
      <c r="K1308">
        <v>3</v>
      </c>
      <c r="L1308">
        <v>400</v>
      </c>
    </row>
    <row r="1309" spans="1:12" hidden="1" x14ac:dyDescent="0.25">
      <c r="A1309">
        <v>1308</v>
      </c>
      <c r="B1309" s="1" t="s">
        <v>12</v>
      </c>
      <c r="C1309">
        <v>1943</v>
      </c>
      <c r="D1309" s="1" t="s">
        <v>205</v>
      </c>
      <c r="E1309" s="1" t="s">
        <v>30</v>
      </c>
      <c r="F1309">
        <v>18</v>
      </c>
      <c r="G1309" s="1" t="s">
        <v>86</v>
      </c>
      <c r="H1309">
        <v>18175</v>
      </c>
      <c r="I1309">
        <v>15</v>
      </c>
      <c r="J1309">
        <v>15</v>
      </c>
      <c r="K1309">
        <v>9</v>
      </c>
      <c r="L1309">
        <v>600</v>
      </c>
    </row>
    <row r="1310" spans="1:12" hidden="1" x14ac:dyDescent="0.25">
      <c r="A1310">
        <v>1309</v>
      </c>
      <c r="B1310" s="1" t="s">
        <v>12</v>
      </c>
      <c r="C1310">
        <v>1943</v>
      </c>
      <c r="D1310" s="1" t="s">
        <v>205</v>
      </c>
      <c r="E1310" s="1" t="s">
        <v>30</v>
      </c>
      <c r="F1310">
        <v>18</v>
      </c>
      <c r="G1310" s="1" t="s">
        <v>105</v>
      </c>
      <c r="H1310">
        <v>18105</v>
      </c>
      <c r="I1310">
        <v>12</v>
      </c>
      <c r="J1310">
        <v>12</v>
      </c>
      <c r="K1310">
        <v>12</v>
      </c>
      <c r="L1310">
        <v>1000</v>
      </c>
    </row>
    <row r="1311" spans="1:12" hidden="1" x14ac:dyDescent="0.25">
      <c r="A1311">
        <v>1310</v>
      </c>
      <c r="B1311" s="1" t="s">
        <v>12</v>
      </c>
      <c r="C1311">
        <v>1943</v>
      </c>
      <c r="D1311" s="1" t="s">
        <v>205</v>
      </c>
      <c r="E1311" s="1" t="s">
        <v>30</v>
      </c>
      <c r="F1311">
        <v>18</v>
      </c>
      <c r="G1311" s="1" t="s">
        <v>102</v>
      </c>
      <c r="H1311">
        <v>18014</v>
      </c>
      <c r="I1311">
        <v>10</v>
      </c>
      <c r="J1311">
        <v>5</v>
      </c>
      <c r="K1311">
        <v>2</v>
      </c>
      <c r="L1311">
        <v>400</v>
      </c>
    </row>
    <row r="1312" spans="1:12" hidden="1" x14ac:dyDescent="0.25">
      <c r="A1312">
        <v>1311</v>
      </c>
      <c r="B1312" s="1" t="s">
        <v>12</v>
      </c>
      <c r="C1312">
        <v>1943</v>
      </c>
      <c r="D1312" s="1" t="s">
        <v>205</v>
      </c>
      <c r="E1312" s="1" t="s">
        <v>30</v>
      </c>
      <c r="F1312">
        <v>18</v>
      </c>
      <c r="G1312" s="1" t="s">
        <v>101</v>
      </c>
      <c r="H1312">
        <v>18161</v>
      </c>
      <c r="I1312">
        <v>10</v>
      </c>
      <c r="J1312">
        <v>5</v>
      </c>
      <c r="K1312">
        <v>3</v>
      </c>
      <c r="L1312">
        <v>600</v>
      </c>
    </row>
    <row r="1313" spans="1:12" hidden="1" x14ac:dyDescent="0.25">
      <c r="A1313">
        <v>1312</v>
      </c>
      <c r="B1313" s="1" t="s">
        <v>12</v>
      </c>
      <c r="C1313">
        <v>1943</v>
      </c>
      <c r="D1313" s="1" t="s">
        <v>205</v>
      </c>
      <c r="E1313" s="1" t="s">
        <v>45</v>
      </c>
      <c r="F1313">
        <v>30</v>
      </c>
      <c r="G1313" s="1" t="s">
        <v>46</v>
      </c>
      <c r="H1313">
        <v>30028</v>
      </c>
      <c r="I1313">
        <v>5000</v>
      </c>
      <c r="J1313">
        <v>5000</v>
      </c>
      <c r="K1313">
        <v>8000</v>
      </c>
      <c r="L1313">
        <v>1600</v>
      </c>
    </row>
    <row r="1314" spans="1:12" hidden="1" x14ac:dyDescent="0.25">
      <c r="A1314">
        <v>1313</v>
      </c>
      <c r="B1314" s="1" t="s">
        <v>12</v>
      </c>
      <c r="C1314">
        <v>1943</v>
      </c>
      <c r="D1314" s="1" t="s">
        <v>205</v>
      </c>
      <c r="E1314" s="1" t="s">
        <v>45</v>
      </c>
      <c r="F1314">
        <v>30</v>
      </c>
      <c r="G1314" s="1" t="s">
        <v>47</v>
      </c>
      <c r="H1314">
        <v>30015</v>
      </c>
      <c r="I1314">
        <v>3600</v>
      </c>
      <c r="J1314">
        <v>3100</v>
      </c>
      <c r="K1314">
        <v>3410</v>
      </c>
      <c r="L1314">
        <v>1100</v>
      </c>
    </row>
    <row r="1315" spans="1:12" hidden="1" x14ac:dyDescent="0.25">
      <c r="A1315">
        <v>1314</v>
      </c>
      <c r="B1315" s="1" t="s">
        <v>12</v>
      </c>
      <c r="C1315">
        <v>1943</v>
      </c>
      <c r="D1315" s="1" t="s">
        <v>205</v>
      </c>
      <c r="E1315" s="1" t="s">
        <v>45</v>
      </c>
      <c r="F1315">
        <v>30</v>
      </c>
      <c r="G1315" s="1" t="s">
        <v>27</v>
      </c>
      <c r="H1315">
        <v>30008</v>
      </c>
      <c r="I1315">
        <v>500</v>
      </c>
      <c r="J1315">
        <v>450</v>
      </c>
      <c r="K1315">
        <v>540</v>
      </c>
      <c r="L1315">
        <v>1200</v>
      </c>
    </row>
    <row r="1316" spans="1:12" hidden="1" x14ac:dyDescent="0.25">
      <c r="A1316">
        <v>1315</v>
      </c>
      <c r="B1316" s="1" t="s">
        <v>12</v>
      </c>
      <c r="C1316">
        <v>1943</v>
      </c>
      <c r="D1316" s="1" t="s">
        <v>205</v>
      </c>
      <c r="E1316" s="1" t="s">
        <v>45</v>
      </c>
      <c r="F1316">
        <v>30</v>
      </c>
      <c r="G1316" s="1" t="s">
        <v>107</v>
      </c>
      <c r="H1316">
        <v>30056</v>
      </c>
      <c r="I1316">
        <v>64</v>
      </c>
      <c r="J1316">
        <v>40</v>
      </c>
      <c r="K1316">
        <v>20</v>
      </c>
      <c r="L1316">
        <v>500</v>
      </c>
    </row>
    <row r="1317" spans="1:12" hidden="1" x14ac:dyDescent="0.25">
      <c r="A1317">
        <v>1316</v>
      </c>
      <c r="B1317" s="1" t="s">
        <v>12</v>
      </c>
      <c r="C1317">
        <v>1943</v>
      </c>
      <c r="D1317" s="1" t="s">
        <v>205</v>
      </c>
      <c r="E1317" s="1" t="s">
        <v>45</v>
      </c>
      <c r="F1317">
        <v>30</v>
      </c>
      <c r="G1317" s="1" t="s">
        <v>149</v>
      </c>
      <c r="H1317">
        <v>30091</v>
      </c>
      <c r="I1317">
        <v>22</v>
      </c>
      <c r="J1317">
        <v>20</v>
      </c>
      <c r="K1317">
        <v>10</v>
      </c>
      <c r="L1317">
        <v>500</v>
      </c>
    </row>
    <row r="1318" spans="1:12" hidden="1" x14ac:dyDescent="0.25">
      <c r="A1318">
        <v>1317</v>
      </c>
      <c r="B1318" s="1" t="s">
        <v>12</v>
      </c>
      <c r="C1318">
        <v>1943</v>
      </c>
      <c r="D1318" s="1" t="s">
        <v>205</v>
      </c>
      <c r="E1318" s="1" t="s">
        <v>45</v>
      </c>
      <c r="F1318">
        <v>30</v>
      </c>
      <c r="G1318" s="1" t="s">
        <v>207</v>
      </c>
      <c r="H1318">
        <v>30021</v>
      </c>
      <c r="I1318">
        <v>10</v>
      </c>
      <c r="J1318">
        <v>10</v>
      </c>
      <c r="K1318">
        <v>7</v>
      </c>
      <c r="L1318">
        <v>700</v>
      </c>
    </row>
    <row r="1319" spans="1:12" hidden="1" x14ac:dyDescent="0.25">
      <c r="A1319">
        <v>1318</v>
      </c>
      <c r="B1319" s="1" t="s">
        <v>12</v>
      </c>
      <c r="C1319">
        <v>1943</v>
      </c>
      <c r="D1319" s="1" t="s">
        <v>205</v>
      </c>
      <c r="E1319" s="1" t="s">
        <v>45</v>
      </c>
      <c r="F1319">
        <v>30</v>
      </c>
      <c r="G1319" s="1" t="s">
        <v>147</v>
      </c>
      <c r="H1319">
        <v>30049</v>
      </c>
      <c r="I1319">
        <v>8</v>
      </c>
      <c r="J1319">
        <v>8</v>
      </c>
      <c r="K1319">
        <v>4</v>
      </c>
      <c r="L1319">
        <v>500</v>
      </c>
    </row>
    <row r="1320" spans="1:12" hidden="1" x14ac:dyDescent="0.25">
      <c r="A1320">
        <v>1319</v>
      </c>
      <c r="B1320" s="1" t="s">
        <v>12</v>
      </c>
      <c r="C1320">
        <v>1943</v>
      </c>
      <c r="D1320" s="1" t="s">
        <v>205</v>
      </c>
      <c r="E1320" s="1" t="s">
        <v>45</v>
      </c>
      <c r="F1320">
        <v>30</v>
      </c>
      <c r="G1320" s="1" t="s">
        <v>124</v>
      </c>
      <c r="H1320">
        <v>30070</v>
      </c>
      <c r="I1320">
        <v>3</v>
      </c>
      <c r="J1320">
        <v>3</v>
      </c>
      <c r="K1320">
        <v>3</v>
      </c>
      <c r="L1320">
        <v>1000</v>
      </c>
    </row>
    <row r="1321" spans="1:12" hidden="1" x14ac:dyDescent="0.25">
      <c r="A1321">
        <v>1320</v>
      </c>
      <c r="B1321" s="1" t="s">
        <v>12</v>
      </c>
      <c r="C1321">
        <v>1943</v>
      </c>
      <c r="D1321" s="1" t="s">
        <v>205</v>
      </c>
      <c r="E1321" s="1" t="s">
        <v>48</v>
      </c>
      <c r="F1321">
        <v>34</v>
      </c>
      <c r="G1321" s="1" t="s">
        <v>52</v>
      </c>
      <c r="H1321">
        <v>34035</v>
      </c>
      <c r="I1321">
        <v>120</v>
      </c>
      <c r="J1321">
        <v>90</v>
      </c>
      <c r="K1321">
        <v>76</v>
      </c>
      <c r="L1321">
        <v>850</v>
      </c>
    </row>
    <row r="1322" spans="1:12" hidden="1" x14ac:dyDescent="0.25">
      <c r="A1322">
        <v>1321</v>
      </c>
      <c r="B1322" s="1" t="s">
        <v>12</v>
      </c>
      <c r="C1322">
        <v>1943</v>
      </c>
      <c r="D1322" s="1" t="s">
        <v>205</v>
      </c>
      <c r="E1322" s="1" t="s">
        <v>48</v>
      </c>
      <c r="F1322">
        <v>34</v>
      </c>
      <c r="G1322" s="1" t="s">
        <v>51</v>
      </c>
      <c r="H1322">
        <v>34056</v>
      </c>
      <c r="I1322">
        <v>115</v>
      </c>
      <c r="J1322">
        <v>100</v>
      </c>
      <c r="K1322">
        <v>80</v>
      </c>
      <c r="L1322">
        <v>800</v>
      </c>
    </row>
    <row r="1323" spans="1:12" hidden="1" x14ac:dyDescent="0.25">
      <c r="A1323">
        <v>1322</v>
      </c>
      <c r="B1323" s="1" t="s">
        <v>12</v>
      </c>
      <c r="C1323">
        <v>1943</v>
      </c>
      <c r="D1323" s="1" t="s">
        <v>205</v>
      </c>
      <c r="E1323" s="1" t="s">
        <v>48</v>
      </c>
      <c r="F1323">
        <v>34</v>
      </c>
      <c r="G1323" s="1" t="s">
        <v>50</v>
      </c>
      <c r="H1323">
        <v>34021</v>
      </c>
      <c r="I1323">
        <v>50</v>
      </c>
      <c r="J1323">
        <v>40</v>
      </c>
      <c r="K1323">
        <v>32</v>
      </c>
      <c r="L1323">
        <v>800</v>
      </c>
    </row>
    <row r="1324" spans="1:12" hidden="1" x14ac:dyDescent="0.25">
      <c r="A1324">
        <v>1323</v>
      </c>
      <c r="B1324" s="1" t="s">
        <v>12</v>
      </c>
      <c r="C1324">
        <v>1943</v>
      </c>
      <c r="D1324" s="1" t="s">
        <v>205</v>
      </c>
      <c r="E1324" s="1" t="s">
        <v>48</v>
      </c>
      <c r="F1324">
        <v>34</v>
      </c>
      <c r="G1324" s="1" t="s">
        <v>108</v>
      </c>
      <c r="H1324">
        <v>34042</v>
      </c>
      <c r="I1324">
        <v>45</v>
      </c>
      <c r="J1324">
        <v>40</v>
      </c>
      <c r="K1324">
        <v>30</v>
      </c>
      <c r="L1324">
        <v>750</v>
      </c>
    </row>
    <row r="1325" spans="1:12" hidden="1" x14ac:dyDescent="0.25">
      <c r="A1325">
        <v>1324</v>
      </c>
      <c r="B1325" s="1" t="s">
        <v>12</v>
      </c>
      <c r="C1325">
        <v>1943</v>
      </c>
      <c r="D1325" s="1" t="s">
        <v>205</v>
      </c>
      <c r="E1325" s="1" t="s">
        <v>48</v>
      </c>
      <c r="F1325">
        <v>34</v>
      </c>
      <c r="G1325" s="1" t="s">
        <v>49</v>
      </c>
      <c r="H1325">
        <v>34049</v>
      </c>
      <c r="I1325">
        <v>15</v>
      </c>
      <c r="J1325">
        <v>13</v>
      </c>
      <c r="K1325">
        <v>10</v>
      </c>
      <c r="L1325">
        <v>800</v>
      </c>
    </row>
    <row r="1326" spans="1:12" hidden="1" x14ac:dyDescent="0.25">
      <c r="A1326">
        <v>1325</v>
      </c>
      <c r="B1326" s="1" t="s">
        <v>12</v>
      </c>
      <c r="C1326">
        <v>1943</v>
      </c>
      <c r="D1326" s="1" t="s">
        <v>205</v>
      </c>
      <c r="E1326" s="1" t="s">
        <v>48</v>
      </c>
      <c r="F1326">
        <v>34</v>
      </c>
      <c r="G1326" s="1" t="s">
        <v>19</v>
      </c>
      <c r="H1326">
        <v>34007</v>
      </c>
      <c r="I1326">
        <v>4</v>
      </c>
      <c r="J1326">
        <v>3</v>
      </c>
      <c r="K1326">
        <v>2</v>
      </c>
      <c r="L1326">
        <v>700</v>
      </c>
    </row>
    <row r="1327" spans="1:12" hidden="1" x14ac:dyDescent="0.25">
      <c r="A1327">
        <v>1326</v>
      </c>
      <c r="B1327" s="1" t="s">
        <v>12</v>
      </c>
      <c r="C1327">
        <v>1943</v>
      </c>
      <c r="D1327" s="1" t="s">
        <v>205</v>
      </c>
      <c r="E1327" s="1" t="s">
        <v>48</v>
      </c>
      <c r="F1327">
        <v>34</v>
      </c>
      <c r="G1327" s="1" t="s">
        <v>208</v>
      </c>
      <c r="H1327">
        <v>34063</v>
      </c>
      <c r="I1327">
        <v>1</v>
      </c>
      <c r="J1327">
        <v>1</v>
      </c>
      <c r="K1327">
        <v>1</v>
      </c>
      <c r="L1327">
        <v>750</v>
      </c>
    </row>
    <row r="1328" spans="1:12" hidden="1" x14ac:dyDescent="0.25">
      <c r="A1328">
        <v>1327</v>
      </c>
      <c r="B1328" s="1" t="s">
        <v>12</v>
      </c>
      <c r="C1328">
        <v>1943</v>
      </c>
      <c r="D1328" s="1" t="s">
        <v>205</v>
      </c>
      <c r="E1328" s="1" t="s">
        <v>58</v>
      </c>
      <c r="F1328">
        <v>54</v>
      </c>
      <c r="G1328" s="1" t="s">
        <v>62</v>
      </c>
      <c r="H1328">
        <v>54105</v>
      </c>
      <c r="I1328">
        <v>209</v>
      </c>
      <c r="J1328">
        <v>186</v>
      </c>
      <c r="K1328">
        <v>137</v>
      </c>
      <c r="L1328">
        <v>737</v>
      </c>
    </row>
    <row r="1329" spans="1:12" hidden="1" x14ac:dyDescent="0.25">
      <c r="A1329">
        <v>1328</v>
      </c>
      <c r="B1329" s="1" t="s">
        <v>12</v>
      </c>
      <c r="C1329">
        <v>1943</v>
      </c>
      <c r="D1329" s="1" t="s">
        <v>205</v>
      </c>
      <c r="E1329" s="1" t="s">
        <v>58</v>
      </c>
      <c r="F1329">
        <v>54</v>
      </c>
      <c r="G1329" s="1" t="s">
        <v>59</v>
      </c>
      <c r="H1329">
        <v>54007</v>
      </c>
      <c r="I1329">
        <v>150</v>
      </c>
      <c r="J1329">
        <v>120</v>
      </c>
      <c r="K1329">
        <v>132</v>
      </c>
      <c r="L1329">
        <v>1100</v>
      </c>
    </row>
    <row r="1330" spans="1:12" hidden="1" x14ac:dyDescent="0.25">
      <c r="A1330">
        <v>1329</v>
      </c>
      <c r="B1330" s="1" t="s">
        <v>12</v>
      </c>
      <c r="C1330">
        <v>1943</v>
      </c>
      <c r="D1330" s="1" t="s">
        <v>205</v>
      </c>
      <c r="E1330" s="1" t="s">
        <v>58</v>
      </c>
      <c r="F1330">
        <v>54</v>
      </c>
      <c r="G1330" s="1" t="s">
        <v>61</v>
      </c>
      <c r="H1330">
        <v>54098</v>
      </c>
      <c r="I1330">
        <v>95</v>
      </c>
      <c r="J1330">
        <v>54</v>
      </c>
      <c r="K1330">
        <v>63</v>
      </c>
      <c r="L1330">
        <v>1177</v>
      </c>
    </row>
    <row r="1331" spans="1:12" hidden="1" x14ac:dyDescent="0.25">
      <c r="A1331">
        <v>1330</v>
      </c>
      <c r="B1331" s="1" t="s">
        <v>12</v>
      </c>
      <c r="C1331">
        <v>1943</v>
      </c>
      <c r="D1331" s="1" t="s">
        <v>205</v>
      </c>
      <c r="E1331" s="1" t="s">
        <v>58</v>
      </c>
      <c r="F1331">
        <v>54</v>
      </c>
      <c r="G1331" s="1" t="s">
        <v>150</v>
      </c>
      <c r="H1331">
        <v>54014</v>
      </c>
      <c r="I1331">
        <v>87</v>
      </c>
      <c r="J1331">
        <v>67</v>
      </c>
      <c r="K1331">
        <v>60</v>
      </c>
      <c r="L1331">
        <v>900</v>
      </c>
    </row>
    <row r="1332" spans="1:12" hidden="1" x14ac:dyDescent="0.25">
      <c r="A1332">
        <v>1331</v>
      </c>
      <c r="B1332" s="1" t="s">
        <v>12</v>
      </c>
      <c r="C1332">
        <v>1943</v>
      </c>
      <c r="D1332" s="1" t="s">
        <v>205</v>
      </c>
      <c r="E1332" s="1" t="s">
        <v>58</v>
      </c>
      <c r="F1332">
        <v>54</v>
      </c>
      <c r="G1332" s="1" t="s">
        <v>63</v>
      </c>
      <c r="H1332">
        <v>54035</v>
      </c>
      <c r="I1332">
        <v>45</v>
      </c>
      <c r="J1332">
        <v>40</v>
      </c>
      <c r="K1332">
        <v>28</v>
      </c>
      <c r="L1332">
        <v>700</v>
      </c>
    </row>
    <row r="1333" spans="1:12" hidden="1" x14ac:dyDescent="0.25">
      <c r="A1333">
        <v>1332</v>
      </c>
      <c r="B1333" s="1" t="s">
        <v>12</v>
      </c>
      <c r="C1333">
        <v>1943</v>
      </c>
      <c r="D1333" s="1" t="s">
        <v>205</v>
      </c>
      <c r="E1333" s="1" t="s">
        <v>58</v>
      </c>
      <c r="F1333">
        <v>54</v>
      </c>
      <c r="G1333" s="1" t="s">
        <v>152</v>
      </c>
      <c r="H1333">
        <v>54063</v>
      </c>
      <c r="I1333">
        <v>45</v>
      </c>
      <c r="J1333">
        <v>40</v>
      </c>
      <c r="K1333">
        <v>48</v>
      </c>
      <c r="L1333">
        <v>1200</v>
      </c>
    </row>
    <row r="1334" spans="1:12" hidden="1" x14ac:dyDescent="0.25">
      <c r="A1334">
        <v>1333</v>
      </c>
      <c r="B1334" s="1" t="s">
        <v>12</v>
      </c>
      <c r="C1334">
        <v>1943</v>
      </c>
      <c r="D1334" s="1" t="s">
        <v>205</v>
      </c>
      <c r="E1334" s="1" t="s">
        <v>58</v>
      </c>
      <c r="F1334">
        <v>54</v>
      </c>
      <c r="G1334" s="1" t="s">
        <v>60</v>
      </c>
      <c r="H1334">
        <v>54021</v>
      </c>
      <c r="I1334">
        <v>43</v>
      </c>
      <c r="J1334">
        <v>42</v>
      </c>
      <c r="K1334">
        <v>42</v>
      </c>
      <c r="L1334">
        <v>992</v>
      </c>
    </row>
    <row r="1335" spans="1:12" hidden="1" x14ac:dyDescent="0.25">
      <c r="A1335">
        <v>1334</v>
      </c>
      <c r="B1335" s="1" t="s">
        <v>12</v>
      </c>
      <c r="C1335">
        <v>1943</v>
      </c>
      <c r="D1335" s="1" t="s">
        <v>205</v>
      </c>
      <c r="E1335" s="1" t="s">
        <v>58</v>
      </c>
      <c r="F1335">
        <v>54</v>
      </c>
      <c r="G1335" s="1" t="s">
        <v>178</v>
      </c>
      <c r="H1335">
        <v>54049</v>
      </c>
      <c r="I1335">
        <v>28</v>
      </c>
      <c r="J1335">
        <v>28</v>
      </c>
      <c r="K1335">
        <v>22</v>
      </c>
      <c r="L1335">
        <v>800</v>
      </c>
    </row>
    <row r="1336" spans="1:12" hidden="1" x14ac:dyDescent="0.25">
      <c r="A1336">
        <v>1335</v>
      </c>
      <c r="B1336" s="1" t="s">
        <v>12</v>
      </c>
      <c r="C1336">
        <v>1943</v>
      </c>
      <c r="D1336" s="1" t="s">
        <v>205</v>
      </c>
      <c r="E1336" s="1" t="s">
        <v>58</v>
      </c>
      <c r="F1336">
        <v>54</v>
      </c>
      <c r="G1336" s="1" t="s">
        <v>28</v>
      </c>
      <c r="H1336">
        <v>54028</v>
      </c>
      <c r="I1336">
        <v>15</v>
      </c>
      <c r="J1336">
        <v>5</v>
      </c>
      <c r="K1336">
        <v>4</v>
      </c>
      <c r="L1336">
        <v>800</v>
      </c>
    </row>
    <row r="1337" spans="1:12" x14ac:dyDescent="0.25">
      <c r="A1337">
        <v>1336</v>
      </c>
      <c r="B1337" s="1" t="s">
        <v>12</v>
      </c>
      <c r="C1337">
        <v>1943</v>
      </c>
      <c r="D1337" s="1" t="s">
        <v>205</v>
      </c>
      <c r="E1337" s="1" t="s">
        <v>58</v>
      </c>
      <c r="F1337">
        <v>54</v>
      </c>
      <c r="G1337" s="1" t="s">
        <v>56</v>
      </c>
      <c r="H1337">
        <v>54112</v>
      </c>
      <c r="I1337">
        <v>10</v>
      </c>
      <c r="J1337">
        <v>8</v>
      </c>
      <c r="K1337">
        <v>10</v>
      </c>
      <c r="L1337">
        <v>1200</v>
      </c>
    </row>
    <row r="1338" spans="1:12" hidden="1" x14ac:dyDescent="0.25">
      <c r="A1338">
        <v>1337</v>
      </c>
      <c r="B1338" s="1" t="s">
        <v>12</v>
      </c>
      <c r="C1338">
        <v>1943</v>
      </c>
      <c r="D1338" s="1" t="s">
        <v>205</v>
      </c>
      <c r="E1338" s="1" t="s">
        <v>58</v>
      </c>
      <c r="F1338">
        <v>54</v>
      </c>
      <c r="G1338" s="1" t="s">
        <v>151</v>
      </c>
      <c r="H1338">
        <v>54056</v>
      </c>
      <c r="I1338">
        <v>2</v>
      </c>
    </row>
    <row r="1339" spans="1:12" hidden="1" x14ac:dyDescent="0.25">
      <c r="A1339">
        <v>1338</v>
      </c>
      <c r="B1339" s="1" t="s">
        <v>12</v>
      </c>
      <c r="C1339">
        <v>1943</v>
      </c>
      <c r="D1339" s="1" t="s">
        <v>205</v>
      </c>
      <c r="E1339" s="1" t="s">
        <v>87</v>
      </c>
      <c r="F1339">
        <v>66</v>
      </c>
      <c r="G1339" s="1" t="s">
        <v>141</v>
      </c>
      <c r="H1339">
        <v>66112</v>
      </c>
      <c r="I1339">
        <v>350</v>
      </c>
      <c r="J1339">
        <v>300</v>
      </c>
      <c r="K1339">
        <v>225</v>
      </c>
      <c r="L1339">
        <v>750</v>
      </c>
    </row>
    <row r="1340" spans="1:12" hidden="1" x14ac:dyDescent="0.25">
      <c r="A1340">
        <v>1339</v>
      </c>
      <c r="B1340" s="1" t="s">
        <v>12</v>
      </c>
      <c r="C1340">
        <v>1943</v>
      </c>
      <c r="D1340" s="1" t="s">
        <v>205</v>
      </c>
      <c r="E1340" s="1" t="s">
        <v>87</v>
      </c>
      <c r="F1340">
        <v>66</v>
      </c>
      <c r="G1340" s="1" t="s">
        <v>188</v>
      </c>
      <c r="H1340">
        <v>66140</v>
      </c>
      <c r="I1340">
        <v>30</v>
      </c>
      <c r="J1340">
        <v>25</v>
      </c>
      <c r="K1340">
        <v>17</v>
      </c>
      <c r="L1340">
        <v>700</v>
      </c>
    </row>
    <row r="1341" spans="1:12" hidden="1" x14ac:dyDescent="0.25">
      <c r="A1341">
        <v>1340</v>
      </c>
      <c r="B1341" s="1" t="s">
        <v>12</v>
      </c>
      <c r="C1341">
        <v>1943</v>
      </c>
      <c r="D1341" s="1" t="s">
        <v>205</v>
      </c>
      <c r="E1341" s="1" t="s">
        <v>116</v>
      </c>
      <c r="F1341">
        <v>74</v>
      </c>
      <c r="G1341" s="1" t="s">
        <v>118</v>
      </c>
      <c r="H1341">
        <v>74028</v>
      </c>
      <c r="I1341">
        <v>14</v>
      </c>
      <c r="J1341">
        <v>12</v>
      </c>
      <c r="K1341">
        <v>12</v>
      </c>
      <c r="L1341">
        <v>1000</v>
      </c>
    </row>
    <row r="1342" spans="1:12" hidden="1" x14ac:dyDescent="0.25">
      <c r="A1342">
        <v>1341</v>
      </c>
      <c r="B1342" s="1" t="s">
        <v>12</v>
      </c>
      <c r="C1342">
        <v>1943</v>
      </c>
      <c r="D1342" s="1" t="s">
        <v>205</v>
      </c>
      <c r="E1342" s="1" t="s">
        <v>116</v>
      </c>
      <c r="F1342">
        <v>74</v>
      </c>
      <c r="G1342" s="1" t="s">
        <v>127</v>
      </c>
      <c r="H1342">
        <v>74049</v>
      </c>
      <c r="I1342">
        <v>8</v>
      </c>
      <c r="J1342">
        <v>6</v>
      </c>
      <c r="K1342">
        <v>6</v>
      </c>
      <c r="L1342">
        <v>1000</v>
      </c>
    </row>
    <row r="1343" spans="1:12" hidden="1" x14ac:dyDescent="0.25">
      <c r="A1343">
        <v>1342</v>
      </c>
      <c r="B1343" s="1" t="s">
        <v>12</v>
      </c>
      <c r="C1343">
        <v>1943</v>
      </c>
      <c r="D1343" s="1" t="s">
        <v>205</v>
      </c>
      <c r="E1343" s="1" t="s">
        <v>116</v>
      </c>
      <c r="F1343">
        <v>74</v>
      </c>
      <c r="G1343" s="1" t="s">
        <v>126</v>
      </c>
      <c r="H1343">
        <v>74035</v>
      </c>
      <c r="I1343">
        <v>7</v>
      </c>
      <c r="J1343">
        <v>4</v>
      </c>
      <c r="K1343">
        <v>4</v>
      </c>
      <c r="L1343">
        <v>1000</v>
      </c>
    </row>
    <row r="1344" spans="1:12" hidden="1" x14ac:dyDescent="0.25">
      <c r="A1344">
        <v>1343</v>
      </c>
      <c r="B1344" s="1" t="s">
        <v>12</v>
      </c>
      <c r="C1344">
        <v>1943</v>
      </c>
      <c r="D1344" s="1" t="s">
        <v>205</v>
      </c>
      <c r="E1344" s="1" t="s">
        <v>116</v>
      </c>
      <c r="F1344">
        <v>74</v>
      </c>
      <c r="G1344" s="1" t="s">
        <v>119</v>
      </c>
      <c r="H1344">
        <v>74063</v>
      </c>
      <c r="I1344">
        <v>5</v>
      </c>
      <c r="J1344">
        <v>4</v>
      </c>
      <c r="K1344">
        <v>4</v>
      </c>
      <c r="L1344">
        <v>1000</v>
      </c>
    </row>
    <row r="1345" spans="1:12" hidden="1" x14ac:dyDescent="0.25">
      <c r="A1345">
        <v>1344</v>
      </c>
      <c r="B1345" s="1" t="s">
        <v>12</v>
      </c>
      <c r="C1345">
        <v>1943</v>
      </c>
      <c r="D1345" s="1" t="s">
        <v>205</v>
      </c>
      <c r="E1345" s="1" t="s">
        <v>116</v>
      </c>
      <c r="F1345">
        <v>74</v>
      </c>
      <c r="G1345" s="1" t="s">
        <v>117</v>
      </c>
      <c r="H1345">
        <v>74021</v>
      </c>
      <c r="I1345">
        <v>1</v>
      </c>
      <c r="J1345">
        <v>1</v>
      </c>
      <c r="K1345">
        <v>1</v>
      </c>
      <c r="L1345">
        <v>1000</v>
      </c>
    </row>
    <row r="1346" spans="1:12" hidden="1" x14ac:dyDescent="0.25">
      <c r="A1346">
        <v>1345</v>
      </c>
      <c r="B1346" s="1" t="s">
        <v>12</v>
      </c>
      <c r="C1346">
        <v>1943</v>
      </c>
      <c r="D1346" s="1" t="s">
        <v>205</v>
      </c>
      <c r="E1346" s="1" t="s">
        <v>64</v>
      </c>
      <c r="F1346">
        <v>82</v>
      </c>
      <c r="G1346" s="1" t="s">
        <v>65</v>
      </c>
      <c r="H1346">
        <v>82049</v>
      </c>
      <c r="I1346">
        <v>5000</v>
      </c>
      <c r="J1346">
        <v>4000</v>
      </c>
      <c r="K1346">
        <v>4000</v>
      </c>
      <c r="L1346">
        <v>1000</v>
      </c>
    </row>
    <row r="1347" spans="1:12" hidden="1" x14ac:dyDescent="0.25">
      <c r="A1347">
        <v>1346</v>
      </c>
      <c r="B1347" s="1" t="s">
        <v>12</v>
      </c>
      <c r="C1347">
        <v>1943</v>
      </c>
      <c r="D1347" s="1" t="s">
        <v>205</v>
      </c>
      <c r="E1347" s="1" t="s">
        <v>64</v>
      </c>
      <c r="F1347">
        <v>82</v>
      </c>
      <c r="G1347" s="1" t="s">
        <v>66</v>
      </c>
      <c r="H1347">
        <v>82035</v>
      </c>
      <c r="I1347">
        <v>4500</v>
      </c>
      <c r="J1347">
        <v>4450</v>
      </c>
      <c r="K1347">
        <v>8010</v>
      </c>
      <c r="L1347">
        <v>1800</v>
      </c>
    </row>
    <row r="1348" spans="1:12" hidden="1" x14ac:dyDescent="0.25">
      <c r="A1348">
        <v>1347</v>
      </c>
      <c r="B1348" s="1" t="s">
        <v>12</v>
      </c>
      <c r="C1348">
        <v>1943</v>
      </c>
      <c r="D1348" s="1" t="s">
        <v>205</v>
      </c>
      <c r="E1348" s="1" t="s">
        <v>64</v>
      </c>
      <c r="F1348">
        <v>82</v>
      </c>
      <c r="G1348" s="1" t="s">
        <v>62</v>
      </c>
      <c r="H1348">
        <v>82098</v>
      </c>
      <c r="I1348">
        <v>1200</v>
      </c>
      <c r="J1348">
        <v>1000</v>
      </c>
      <c r="K1348">
        <v>1160</v>
      </c>
      <c r="L1348">
        <v>1160</v>
      </c>
    </row>
    <row r="1349" spans="1:12" hidden="1" x14ac:dyDescent="0.25">
      <c r="A1349">
        <v>1348</v>
      </c>
      <c r="B1349" s="1" t="s">
        <v>12</v>
      </c>
      <c r="C1349">
        <v>1943</v>
      </c>
      <c r="D1349" s="1" t="s">
        <v>205</v>
      </c>
      <c r="E1349" s="1" t="s">
        <v>64</v>
      </c>
      <c r="F1349">
        <v>82</v>
      </c>
      <c r="G1349" s="1" t="s">
        <v>28</v>
      </c>
      <c r="H1349">
        <v>82063</v>
      </c>
      <c r="I1349">
        <v>150</v>
      </c>
      <c r="J1349">
        <v>130</v>
      </c>
      <c r="K1349">
        <v>234</v>
      </c>
      <c r="L1349">
        <v>1800</v>
      </c>
    </row>
    <row r="1350" spans="1:12" hidden="1" x14ac:dyDescent="0.25">
      <c r="A1350">
        <v>1349</v>
      </c>
      <c r="B1350" s="1" t="s">
        <v>12</v>
      </c>
      <c r="C1350">
        <v>1943</v>
      </c>
      <c r="D1350" s="1" t="s">
        <v>205</v>
      </c>
      <c r="E1350" s="1" t="s">
        <v>64</v>
      </c>
      <c r="F1350">
        <v>82</v>
      </c>
      <c r="G1350" s="1" t="s">
        <v>67</v>
      </c>
      <c r="H1350">
        <v>82112</v>
      </c>
      <c r="I1350">
        <v>100</v>
      </c>
      <c r="J1350">
        <v>80</v>
      </c>
      <c r="K1350">
        <v>120</v>
      </c>
      <c r="L1350">
        <v>1500</v>
      </c>
    </row>
    <row r="1351" spans="1:12" hidden="1" x14ac:dyDescent="0.25">
      <c r="A1351">
        <v>1350</v>
      </c>
      <c r="B1351" s="1" t="s">
        <v>12</v>
      </c>
      <c r="C1351">
        <v>1943</v>
      </c>
      <c r="D1351" s="1" t="s">
        <v>205</v>
      </c>
      <c r="E1351" s="1" t="s">
        <v>68</v>
      </c>
      <c r="F1351">
        <v>86</v>
      </c>
      <c r="G1351" s="1" t="s">
        <v>156</v>
      </c>
      <c r="H1351">
        <v>86042</v>
      </c>
      <c r="I1351">
        <v>130</v>
      </c>
      <c r="J1351">
        <v>120</v>
      </c>
      <c r="K1351">
        <v>54</v>
      </c>
      <c r="L1351">
        <v>450</v>
      </c>
    </row>
    <row r="1352" spans="1:12" hidden="1" x14ac:dyDescent="0.25">
      <c r="A1352">
        <v>1351</v>
      </c>
      <c r="B1352" s="1" t="s">
        <v>12</v>
      </c>
      <c r="C1352">
        <v>1943</v>
      </c>
      <c r="D1352" s="1" t="s">
        <v>205</v>
      </c>
      <c r="E1352" s="1" t="s">
        <v>68</v>
      </c>
      <c r="F1352">
        <v>86</v>
      </c>
      <c r="G1352" s="1" t="s">
        <v>69</v>
      </c>
      <c r="H1352">
        <v>86077</v>
      </c>
      <c r="I1352">
        <v>130</v>
      </c>
      <c r="J1352">
        <v>124</v>
      </c>
      <c r="K1352">
        <v>52</v>
      </c>
      <c r="L1352">
        <v>420</v>
      </c>
    </row>
    <row r="1353" spans="1:12" hidden="1" x14ac:dyDescent="0.25">
      <c r="A1353">
        <v>1352</v>
      </c>
      <c r="B1353" s="1" t="s">
        <v>12</v>
      </c>
      <c r="C1353">
        <v>1943</v>
      </c>
      <c r="D1353" s="1" t="s">
        <v>205</v>
      </c>
      <c r="E1353" s="1" t="s">
        <v>68</v>
      </c>
      <c r="F1353">
        <v>86</v>
      </c>
      <c r="G1353" s="1" t="s">
        <v>71</v>
      </c>
      <c r="H1353">
        <v>86112</v>
      </c>
      <c r="I1353">
        <v>60</v>
      </c>
      <c r="J1353">
        <v>55</v>
      </c>
      <c r="K1353">
        <v>20</v>
      </c>
      <c r="L1353">
        <v>360</v>
      </c>
    </row>
    <row r="1354" spans="1:12" hidden="1" x14ac:dyDescent="0.25">
      <c r="A1354">
        <v>1353</v>
      </c>
      <c r="B1354" s="1" t="s">
        <v>12</v>
      </c>
      <c r="C1354">
        <v>1943</v>
      </c>
      <c r="D1354" s="1" t="s">
        <v>205</v>
      </c>
      <c r="E1354" s="1" t="s">
        <v>68</v>
      </c>
      <c r="F1354">
        <v>86</v>
      </c>
      <c r="G1354" s="1" t="s">
        <v>70</v>
      </c>
      <c r="H1354">
        <v>86098</v>
      </c>
      <c r="I1354">
        <v>30</v>
      </c>
      <c r="J1354">
        <v>30</v>
      </c>
      <c r="K1354">
        <v>11</v>
      </c>
      <c r="L1354">
        <v>360</v>
      </c>
    </row>
    <row r="1355" spans="1:12" hidden="1" x14ac:dyDescent="0.25">
      <c r="A1355">
        <v>1354</v>
      </c>
      <c r="B1355" s="1" t="s">
        <v>12</v>
      </c>
      <c r="C1355">
        <v>1943</v>
      </c>
      <c r="D1355" s="1" t="s">
        <v>205</v>
      </c>
      <c r="E1355" s="1" t="s">
        <v>68</v>
      </c>
      <c r="F1355">
        <v>86</v>
      </c>
      <c r="G1355" s="1" t="s">
        <v>75</v>
      </c>
      <c r="H1355">
        <v>86035</v>
      </c>
      <c r="I1355">
        <v>25</v>
      </c>
      <c r="J1355">
        <v>25</v>
      </c>
      <c r="K1355">
        <v>17</v>
      </c>
      <c r="L1355">
        <v>700</v>
      </c>
    </row>
    <row r="1356" spans="1:12" hidden="1" x14ac:dyDescent="0.25">
      <c r="A1356">
        <v>1355</v>
      </c>
      <c r="B1356" s="1" t="s">
        <v>12</v>
      </c>
      <c r="C1356">
        <v>1943</v>
      </c>
      <c r="D1356" s="1" t="s">
        <v>205</v>
      </c>
      <c r="E1356" s="1" t="s">
        <v>68</v>
      </c>
      <c r="F1356">
        <v>86</v>
      </c>
      <c r="G1356" s="1" t="s">
        <v>76</v>
      </c>
      <c r="H1356">
        <v>86161</v>
      </c>
      <c r="I1356">
        <v>25</v>
      </c>
      <c r="J1356">
        <v>10</v>
      </c>
      <c r="K1356">
        <v>6</v>
      </c>
      <c r="L1356">
        <v>600</v>
      </c>
    </row>
    <row r="1357" spans="1:12" hidden="1" x14ac:dyDescent="0.25">
      <c r="A1357">
        <v>1356</v>
      </c>
      <c r="B1357" s="1" t="s">
        <v>12</v>
      </c>
      <c r="C1357">
        <v>1943</v>
      </c>
      <c r="D1357" s="1" t="s">
        <v>205</v>
      </c>
      <c r="E1357" s="1" t="s">
        <v>68</v>
      </c>
      <c r="F1357">
        <v>86</v>
      </c>
      <c r="G1357" s="1" t="s">
        <v>198</v>
      </c>
      <c r="H1357">
        <v>86028</v>
      </c>
      <c r="I1357">
        <v>20</v>
      </c>
      <c r="J1357">
        <v>18</v>
      </c>
      <c r="K1357">
        <v>7</v>
      </c>
      <c r="L1357">
        <v>400</v>
      </c>
    </row>
    <row r="1358" spans="1:12" hidden="1" x14ac:dyDescent="0.25">
      <c r="A1358">
        <v>1357</v>
      </c>
      <c r="B1358" s="1" t="s">
        <v>12</v>
      </c>
      <c r="C1358">
        <v>1943</v>
      </c>
      <c r="D1358" s="1" t="s">
        <v>205</v>
      </c>
      <c r="E1358" s="1" t="s">
        <v>68</v>
      </c>
      <c r="F1358">
        <v>86</v>
      </c>
      <c r="G1358" s="1" t="s">
        <v>28</v>
      </c>
      <c r="H1358">
        <v>86049</v>
      </c>
      <c r="I1358">
        <v>20</v>
      </c>
      <c r="J1358">
        <v>20</v>
      </c>
      <c r="K1358">
        <v>14</v>
      </c>
      <c r="L1358">
        <v>700</v>
      </c>
    </row>
    <row r="1359" spans="1:12" hidden="1" x14ac:dyDescent="0.25">
      <c r="A1359">
        <v>1358</v>
      </c>
      <c r="B1359" s="1" t="s">
        <v>12</v>
      </c>
      <c r="C1359">
        <v>1943</v>
      </c>
      <c r="D1359" s="1" t="s">
        <v>205</v>
      </c>
      <c r="E1359" s="1" t="s">
        <v>68</v>
      </c>
      <c r="F1359">
        <v>86</v>
      </c>
      <c r="G1359" s="1" t="s">
        <v>73</v>
      </c>
      <c r="H1359">
        <v>86147</v>
      </c>
      <c r="I1359">
        <v>15</v>
      </c>
      <c r="J1359">
        <v>5</v>
      </c>
      <c r="K1359">
        <v>2</v>
      </c>
      <c r="L1359">
        <v>400</v>
      </c>
    </row>
    <row r="1360" spans="1:12" hidden="1" x14ac:dyDescent="0.25">
      <c r="A1360">
        <v>1359</v>
      </c>
      <c r="B1360" s="1" t="s">
        <v>12</v>
      </c>
      <c r="C1360">
        <v>1943</v>
      </c>
      <c r="D1360" s="1" t="s">
        <v>205</v>
      </c>
      <c r="E1360" s="1" t="s">
        <v>68</v>
      </c>
      <c r="F1360">
        <v>86</v>
      </c>
      <c r="G1360" s="1" t="s">
        <v>136</v>
      </c>
      <c r="H1360">
        <v>86091</v>
      </c>
      <c r="I1360">
        <v>10</v>
      </c>
      <c r="J1360">
        <v>3</v>
      </c>
      <c r="K1360">
        <v>2</v>
      </c>
      <c r="L1360">
        <v>600</v>
      </c>
    </row>
    <row r="1361" spans="1:12" hidden="1" x14ac:dyDescent="0.25">
      <c r="A1361">
        <v>1360</v>
      </c>
      <c r="B1361" s="1" t="s">
        <v>12</v>
      </c>
      <c r="C1361">
        <v>1943</v>
      </c>
      <c r="D1361" s="1" t="s">
        <v>205</v>
      </c>
      <c r="E1361" s="1" t="s">
        <v>68</v>
      </c>
      <c r="F1361">
        <v>86</v>
      </c>
      <c r="G1361" s="1" t="s">
        <v>161</v>
      </c>
      <c r="H1361">
        <v>86154</v>
      </c>
      <c r="I1361">
        <v>10</v>
      </c>
      <c r="J1361">
        <v>9</v>
      </c>
      <c r="K1361">
        <v>3</v>
      </c>
      <c r="L1361">
        <v>370</v>
      </c>
    </row>
    <row r="1362" spans="1:12" hidden="1" x14ac:dyDescent="0.25">
      <c r="A1362">
        <v>1361</v>
      </c>
      <c r="B1362" s="1" t="s">
        <v>12</v>
      </c>
      <c r="C1362">
        <v>1943</v>
      </c>
      <c r="D1362" s="1" t="s">
        <v>205</v>
      </c>
      <c r="E1362" s="1" t="s">
        <v>68</v>
      </c>
      <c r="F1362">
        <v>86</v>
      </c>
      <c r="G1362" s="1" t="s">
        <v>199</v>
      </c>
      <c r="H1362">
        <v>86189</v>
      </c>
      <c r="I1362">
        <v>10</v>
      </c>
      <c r="J1362">
        <v>7</v>
      </c>
      <c r="K1362">
        <v>4</v>
      </c>
      <c r="L1362">
        <v>600</v>
      </c>
    </row>
    <row r="1363" spans="1:12" hidden="1" x14ac:dyDescent="0.25">
      <c r="A1363">
        <v>1362</v>
      </c>
      <c r="B1363" s="1" t="s">
        <v>12</v>
      </c>
      <c r="C1363">
        <v>1943</v>
      </c>
      <c r="D1363" s="1" t="s">
        <v>205</v>
      </c>
      <c r="E1363" s="1" t="s">
        <v>68</v>
      </c>
      <c r="F1363">
        <v>86</v>
      </c>
      <c r="G1363" s="1" t="s">
        <v>135</v>
      </c>
      <c r="H1363">
        <v>86133</v>
      </c>
      <c r="I1363">
        <v>7</v>
      </c>
    </row>
    <row r="1364" spans="1:12" hidden="1" x14ac:dyDescent="0.25">
      <c r="A1364">
        <v>1363</v>
      </c>
      <c r="B1364" s="1" t="s">
        <v>12</v>
      </c>
      <c r="C1364">
        <v>1943</v>
      </c>
      <c r="D1364" s="1" t="s">
        <v>205</v>
      </c>
      <c r="E1364" s="1" t="s">
        <v>68</v>
      </c>
      <c r="F1364">
        <v>86</v>
      </c>
      <c r="G1364" s="1" t="s">
        <v>200</v>
      </c>
      <c r="H1364">
        <v>86007</v>
      </c>
      <c r="I1364">
        <v>5</v>
      </c>
      <c r="J1364">
        <v>5</v>
      </c>
      <c r="K1364">
        <v>2</v>
      </c>
      <c r="L1364">
        <v>360</v>
      </c>
    </row>
    <row r="1365" spans="1:12" hidden="1" x14ac:dyDescent="0.25">
      <c r="A1365">
        <v>1364</v>
      </c>
      <c r="B1365" s="1" t="s">
        <v>12</v>
      </c>
      <c r="C1365">
        <v>1943</v>
      </c>
      <c r="D1365" s="1" t="s">
        <v>205</v>
      </c>
      <c r="E1365" s="1" t="s">
        <v>68</v>
      </c>
      <c r="F1365">
        <v>86</v>
      </c>
      <c r="G1365" s="1" t="s">
        <v>201</v>
      </c>
      <c r="H1365">
        <v>86056</v>
      </c>
      <c r="I1365">
        <v>5</v>
      </c>
      <c r="J1365">
        <v>5</v>
      </c>
      <c r="K1365">
        <v>2</v>
      </c>
      <c r="L1365">
        <v>400</v>
      </c>
    </row>
    <row r="1366" spans="1:12" hidden="1" x14ac:dyDescent="0.25">
      <c r="A1366">
        <v>1365</v>
      </c>
      <c r="B1366" s="1" t="s">
        <v>12</v>
      </c>
      <c r="C1366">
        <v>1943</v>
      </c>
      <c r="D1366" s="1" t="s">
        <v>205</v>
      </c>
      <c r="E1366" s="1" t="s">
        <v>68</v>
      </c>
      <c r="F1366">
        <v>86</v>
      </c>
      <c r="G1366" s="1" t="s">
        <v>191</v>
      </c>
      <c r="H1366">
        <v>86084</v>
      </c>
      <c r="I1366">
        <v>5</v>
      </c>
    </row>
    <row r="1367" spans="1:12" hidden="1" x14ac:dyDescent="0.25">
      <c r="A1367">
        <v>1366</v>
      </c>
      <c r="B1367" s="1" t="s">
        <v>12</v>
      </c>
      <c r="C1367">
        <v>1943</v>
      </c>
      <c r="D1367" s="1" t="s">
        <v>205</v>
      </c>
      <c r="E1367" s="1" t="s">
        <v>68</v>
      </c>
      <c r="F1367">
        <v>86</v>
      </c>
      <c r="G1367" s="1" t="s">
        <v>203</v>
      </c>
      <c r="H1367">
        <v>86168</v>
      </c>
      <c r="I1367">
        <v>5</v>
      </c>
    </row>
    <row r="1368" spans="1:12" hidden="1" x14ac:dyDescent="0.25">
      <c r="A1368">
        <v>1367</v>
      </c>
      <c r="B1368" s="1" t="s">
        <v>12</v>
      </c>
      <c r="C1368">
        <v>1943</v>
      </c>
      <c r="D1368" s="1" t="s">
        <v>205</v>
      </c>
      <c r="E1368" s="1" t="s">
        <v>68</v>
      </c>
      <c r="F1368">
        <v>86</v>
      </c>
      <c r="G1368" s="1" t="s">
        <v>190</v>
      </c>
      <c r="H1368">
        <v>86070</v>
      </c>
      <c r="I1368">
        <v>3</v>
      </c>
    </row>
    <row r="1369" spans="1:12" hidden="1" x14ac:dyDescent="0.25">
      <c r="A1369">
        <v>1368</v>
      </c>
      <c r="B1369" s="1" t="s">
        <v>12</v>
      </c>
      <c r="C1369">
        <v>1943</v>
      </c>
      <c r="D1369" s="1" t="s">
        <v>205</v>
      </c>
      <c r="E1369" s="1" t="s">
        <v>68</v>
      </c>
      <c r="F1369">
        <v>86</v>
      </c>
      <c r="G1369" s="1" t="s">
        <v>180</v>
      </c>
      <c r="H1369">
        <v>86126</v>
      </c>
      <c r="I1369">
        <v>3</v>
      </c>
    </row>
    <row r="1370" spans="1:12" hidden="1" x14ac:dyDescent="0.25">
      <c r="A1370">
        <v>1369</v>
      </c>
      <c r="B1370" s="1" t="s">
        <v>12</v>
      </c>
      <c r="C1370">
        <v>1943</v>
      </c>
      <c r="D1370" s="1" t="s">
        <v>205</v>
      </c>
      <c r="E1370" s="1" t="s">
        <v>68</v>
      </c>
      <c r="F1370">
        <v>86</v>
      </c>
      <c r="G1370" s="1" t="s">
        <v>202</v>
      </c>
      <c r="H1370">
        <v>86014</v>
      </c>
      <c r="I1370">
        <v>2</v>
      </c>
      <c r="J1370">
        <v>2</v>
      </c>
      <c r="K1370">
        <v>1</v>
      </c>
      <c r="L1370">
        <v>320</v>
      </c>
    </row>
    <row r="1371" spans="1:12" hidden="1" x14ac:dyDescent="0.25">
      <c r="A1371">
        <v>1370</v>
      </c>
      <c r="B1371" s="1" t="s">
        <v>12</v>
      </c>
      <c r="C1371">
        <v>1943</v>
      </c>
      <c r="D1371" s="1" t="s">
        <v>205</v>
      </c>
      <c r="E1371" s="1" t="s">
        <v>68</v>
      </c>
      <c r="F1371">
        <v>86</v>
      </c>
      <c r="G1371" s="1" t="s">
        <v>204</v>
      </c>
      <c r="H1371">
        <v>86182</v>
      </c>
      <c r="I1371">
        <v>1</v>
      </c>
    </row>
    <row r="1372" spans="1:12" hidden="1" x14ac:dyDescent="0.25">
      <c r="A1372">
        <v>1371</v>
      </c>
      <c r="B1372" s="1" t="s">
        <v>12</v>
      </c>
      <c r="C1372">
        <v>1943</v>
      </c>
      <c r="D1372" s="1" t="s">
        <v>205</v>
      </c>
      <c r="E1372" s="1" t="s">
        <v>77</v>
      </c>
      <c r="F1372">
        <v>90</v>
      </c>
      <c r="G1372" s="1" t="s">
        <v>78</v>
      </c>
      <c r="H1372">
        <v>90007</v>
      </c>
      <c r="I1372">
        <v>1000</v>
      </c>
      <c r="J1372">
        <v>1000</v>
      </c>
      <c r="K1372">
        <v>1300</v>
      </c>
      <c r="L1372">
        <v>1300</v>
      </c>
    </row>
    <row r="1373" spans="1:12" hidden="1" x14ac:dyDescent="0.25">
      <c r="A1373">
        <v>1372</v>
      </c>
      <c r="B1373" s="1" t="s">
        <v>12</v>
      </c>
      <c r="C1373">
        <v>1943</v>
      </c>
      <c r="D1373" s="1" t="s">
        <v>205</v>
      </c>
      <c r="E1373" s="1" t="s">
        <v>77</v>
      </c>
      <c r="F1373">
        <v>90</v>
      </c>
      <c r="G1373" s="1" t="s">
        <v>91</v>
      </c>
      <c r="H1373">
        <v>90014</v>
      </c>
      <c r="I1373">
        <v>150</v>
      </c>
      <c r="J1373">
        <v>150</v>
      </c>
      <c r="K1373">
        <v>180</v>
      </c>
      <c r="L1373">
        <v>1200</v>
      </c>
    </row>
    <row r="1374" spans="1:12" hidden="1" x14ac:dyDescent="0.25">
      <c r="A1374">
        <v>1373</v>
      </c>
      <c r="B1374" s="1" t="s">
        <v>12</v>
      </c>
      <c r="C1374">
        <v>1943</v>
      </c>
      <c r="D1374" s="1" t="s">
        <v>205</v>
      </c>
      <c r="E1374" s="1" t="s">
        <v>77</v>
      </c>
      <c r="F1374">
        <v>90</v>
      </c>
      <c r="G1374" s="1" t="s">
        <v>92</v>
      </c>
      <c r="H1374">
        <v>90056</v>
      </c>
      <c r="I1374">
        <v>50</v>
      </c>
      <c r="J1374">
        <v>50</v>
      </c>
      <c r="K1374">
        <v>60</v>
      </c>
      <c r="L1374">
        <v>1200</v>
      </c>
    </row>
    <row r="1375" spans="1:12" hidden="1" x14ac:dyDescent="0.25">
      <c r="A1375">
        <v>1374</v>
      </c>
      <c r="B1375" s="1" t="s">
        <v>12</v>
      </c>
      <c r="C1375">
        <v>1943</v>
      </c>
      <c r="D1375" s="1" t="s">
        <v>205</v>
      </c>
      <c r="E1375" s="1" t="s">
        <v>77</v>
      </c>
      <c r="F1375">
        <v>90</v>
      </c>
      <c r="G1375" s="1" t="s">
        <v>89</v>
      </c>
      <c r="H1375">
        <v>90028</v>
      </c>
      <c r="I1375">
        <v>20</v>
      </c>
      <c r="J1375">
        <v>20</v>
      </c>
      <c r="K1375">
        <v>16</v>
      </c>
      <c r="L1375">
        <v>800</v>
      </c>
    </row>
    <row r="1376" spans="1:12" hidden="1" x14ac:dyDescent="0.25">
      <c r="A1376">
        <v>1375</v>
      </c>
      <c r="B1376" s="1" t="s">
        <v>12</v>
      </c>
      <c r="C1376">
        <v>1943</v>
      </c>
      <c r="D1376" s="1" t="s">
        <v>205</v>
      </c>
      <c r="E1376" s="1" t="s">
        <v>77</v>
      </c>
      <c r="F1376">
        <v>90</v>
      </c>
      <c r="G1376" s="1" t="s">
        <v>95</v>
      </c>
      <c r="H1376">
        <v>90035</v>
      </c>
      <c r="I1376">
        <v>20</v>
      </c>
      <c r="J1376">
        <v>20</v>
      </c>
      <c r="K1376">
        <v>20</v>
      </c>
      <c r="L1376">
        <v>1000</v>
      </c>
    </row>
    <row r="1377" spans="1:12" hidden="1" x14ac:dyDescent="0.25">
      <c r="A1377">
        <v>1376</v>
      </c>
      <c r="B1377" s="1" t="s">
        <v>12</v>
      </c>
      <c r="C1377">
        <v>1943</v>
      </c>
      <c r="D1377" s="1" t="s">
        <v>205</v>
      </c>
      <c r="E1377" s="1" t="s">
        <v>77</v>
      </c>
      <c r="F1377">
        <v>90</v>
      </c>
      <c r="G1377" s="1" t="s">
        <v>93</v>
      </c>
      <c r="H1377">
        <v>90070</v>
      </c>
      <c r="I1377">
        <v>20</v>
      </c>
      <c r="J1377">
        <v>20</v>
      </c>
      <c r="K1377">
        <v>20</v>
      </c>
      <c r="L1377">
        <v>1000</v>
      </c>
    </row>
    <row r="1378" spans="1:12" hidden="1" x14ac:dyDescent="0.25">
      <c r="A1378">
        <v>1377</v>
      </c>
      <c r="B1378" s="1" t="s">
        <v>12</v>
      </c>
      <c r="C1378">
        <v>1943</v>
      </c>
      <c r="D1378" s="1" t="s">
        <v>205</v>
      </c>
      <c r="E1378" s="1" t="s">
        <v>77</v>
      </c>
      <c r="F1378">
        <v>90</v>
      </c>
      <c r="G1378" s="1" t="s">
        <v>109</v>
      </c>
      <c r="H1378">
        <v>90077</v>
      </c>
      <c r="I1378">
        <v>20</v>
      </c>
      <c r="J1378">
        <v>20</v>
      </c>
      <c r="K1378">
        <v>20</v>
      </c>
      <c r="L1378">
        <v>1000</v>
      </c>
    </row>
    <row r="1379" spans="1:12" hidden="1" x14ac:dyDescent="0.25">
      <c r="A1379">
        <v>1378</v>
      </c>
      <c r="B1379" s="1" t="s">
        <v>12</v>
      </c>
      <c r="C1379">
        <v>1943</v>
      </c>
      <c r="D1379" s="1" t="s">
        <v>205</v>
      </c>
      <c r="E1379" s="1" t="s">
        <v>77</v>
      </c>
      <c r="F1379">
        <v>90</v>
      </c>
      <c r="G1379" s="1" t="s">
        <v>110</v>
      </c>
      <c r="H1379">
        <v>90021</v>
      </c>
      <c r="I1379">
        <v>10</v>
      </c>
      <c r="J1379">
        <v>10</v>
      </c>
      <c r="K1379">
        <v>8</v>
      </c>
      <c r="L1379">
        <v>800</v>
      </c>
    </row>
    <row r="1380" spans="1:12" hidden="1" x14ac:dyDescent="0.25">
      <c r="A1380">
        <v>1379</v>
      </c>
      <c r="B1380" s="1" t="s">
        <v>12</v>
      </c>
      <c r="C1380">
        <v>1943</v>
      </c>
      <c r="D1380" s="1" t="s">
        <v>205</v>
      </c>
      <c r="E1380" s="1" t="s">
        <v>77</v>
      </c>
      <c r="F1380">
        <v>90</v>
      </c>
      <c r="G1380" s="1" t="s">
        <v>94</v>
      </c>
      <c r="H1380">
        <v>90105</v>
      </c>
      <c r="I1380">
        <v>3</v>
      </c>
      <c r="J1380">
        <v>3</v>
      </c>
      <c r="K1380">
        <v>3</v>
      </c>
      <c r="L1380">
        <v>1000</v>
      </c>
    </row>
    <row r="1381" spans="1:12" hidden="1" x14ac:dyDescent="0.25">
      <c r="A1381">
        <v>1380</v>
      </c>
      <c r="B1381" s="1" t="s">
        <v>12</v>
      </c>
      <c r="C1381">
        <v>1944</v>
      </c>
      <c r="D1381" s="1" t="s">
        <v>209</v>
      </c>
      <c r="E1381" s="1" t="s">
        <v>14</v>
      </c>
      <c r="F1381">
        <v>22</v>
      </c>
      <c r="G1381" s="1" t="s">
        <v>17</v>
      </c>
      <c r="H1381">
        <v>22140</v>
      </c>
      <c r="I1381">
        <v>70</v>
      </c>
      <c r="J1381">
        <v>70</v>
      </c>
      <c r="K1381">
        <v>42</v>
      </c>
      <c r="L1381">
        <v>600</v>
      </c>
    </row>
    <row r="1382" spans="1:12" hidden="1" x14ac:dyDescent="0.25">
      <c r="A1382">
        <v>1381</v>
      </c>
      <c r="B1382" s="1" t="s">
        <v>12</v>
      </c>
      <c r="C1382">
        <v>1944</v>
      </c>
      <c r="D1382" s="1" t="s">
        <v>209</v>
      </c>
      <c r="E1382" s="1" t="s">
        <v>14</v>
      </c>
      <c r="F1382">
        <v>22</v>
      </c>
      <c r="G1382" s="1" t="s">
        <v>18</v>
      </c>
      <c r="H1382">
        <v>22084</v>
      </c>
      <c r="I1382">
        <v>30</v>
      </c>
      <c r="J1382">
        <v>30</v>
      </c>
      <c r="K1382">
        <v>18</v>
      </c>
      <c r="L1382">
        <v>600</v>
      </c>
    </row>
    <row r="1383" spans="1:12" hidden="1" x14ac:dyDescent="0.25">
      <c r="A1383">
        <v>1382</v>
      </c>
      <c r="B1383" s="1" t="s">
        <v>12</v>
      </c>
      <c r="C1383">
        <v>1944</v>
      </c>
      <c r="D1383" s="1" t="s">
        <v>209</v>
      </c>
      <c r="E1383" s="1" t="s">
        <v>14</v>
      </c>
      <c r="F1383">
        <v>22</v>
      </c>
      <c r="G1383" s="1" t="s">
        <v>20</v>
      </c>
      <c r="H1383">
        <v>22091</v>
      </c>
      <c r="I1383">
        <v>30</v>
      </c>
      <c r="J1383">
        <v>30</v>
      </c>
      <c r="K1383">
        <v>19</v>
      </c>
      <c r="L1383">
        <v>650</v>
      </c>
    </row>
    <row r="1384" spans="1:12" hidden="1" x14ac:dyDescent="0.25">
      <c r="A1384">
        <v>1383</v>
      </c>
      <c r="B1384" s="1" t="s">
        <v>12</v>
      </c>
      <c r="C1384">
        <v>1944</v>
      </c>
      <c r="D1384" s="1" t="s">
        <v>209</v>
      </c>
      <c r="E1384" s="1" t="s">
        <v>14</v>
      </c>
      <c r="F1384">
        <v>22</v>
      </c>
      <c r="G1384" s="1" t="s">
        <v>19</v>
      </c>
      <c r="H1384">
        <v>22014</v>
      </c>
      <c r="I1384">
        <v>20</v>
      </c>
      <c r="J1384">
        <v>20</v>
      </c>
      <c r="K1384">
        <v>12</v>
      </c>
      <c r="L1384">
        <v>600</v>
      </c>
    </row>
    <row r="1385" spans="1:12" hidden="1" x14ac:dyDescent="0.25">
      <c r="A1385">
        <v>1384</v>
      </c>
      <c r="B1385" s="1" t="s">
        <v>12</v>
      </c>
      <c r="C1385">
        <v>1944</v>
      </c>
      <c r="D1385" s="1" t="s">
        <v>209</v>
      </c>
      <c r="E1385" s="1" t="s">
        <v>14</v>
      </c>
      <c r="F1385">
        <v>22</v>
      </c>
      <c r="G1385" s="1" t="s">
        <v>21</v>
      </c>
      <c r="H1385">
        <v>22161</v>
      </c>
      <c r="I1385">
        <v>20</v>
      </c>
      <c r="J1385">
        <v>20</v>
      </c>
      <c r="K1385">
        <v>10</v>
      </c>
      <c r="L1385">
        <v>500</v>
      </c>
    </row>
    <row r="1386" spans="1:12" hidden="1" x14ac:dyDescent="0.25">
      <c r="A1386">
        <v>1385</v>
      </c>
      <c r="B1386" s="1" t="s">
        <v>12</v>
      </c>
      <c r="C1386">
        <v>1944</v>
      </c>
      <c r="D1386" s="1" t="s">
        <v>209</v>
      </c>
      <c r="E1386" s="1" t="s">
        <v>22</v>
      </c>
      <c r="F1386">
        <v>14</v>
      </c>
      <c r="G1386" s="1" t="s">
        <v>24</v>
      </c>
      <c r="H1386">
        <v>14119</v>
      </c>
      <c r="I1386">
        <v>55491</v>
      </c>
      <c r="J1386">
        <v>49942</v>
      </c>
      <c r="K1386">
        <v>59930</v>
      </c>
      <c r="L1386">
        <v>1200</v>
      </c>
    </row>
    <row r="1387" spans="1:12" hidden="1" x14ac:dyDescent="0.25">
      <c r="A1387">
        <v>1386</v>
      </c>
      <c r="B1387" s="1" t="s">
        <v>12</v>
      </c>
      <c r="C1387">
        <v>1944</v>
      </c>
      <c r="D1387" s="1" t="s">
        <v>209</v>
      </c>
      <c r="E1387" s="1" t="s">
        <v>22</v>
      </c>
      <c r="F1387">
        <v>14</v>
      </c>
      <c r="G1387" s="1" t="s">
        <v>183</v>
      </c>
      <c r="H1387">
        <v>14007</v>
      </c>
      <c r="I1387">
        <v>35700</v>
      </c>
      <c r="J1387">
        <v>32000</v>
      </c>
      <c r="K1387">
        <v>32000</v>
      </c>
      <c r="L1387">
        <v>1000</v>
      </c>
    </row>
    <row r="1388" spans="1:12" hidden="1" x14ac:dyDescent="0.25">
      <c r="A1388">
        <v>1387</v>
      </c>
      <c r="B1388" s="1" t="s">
        <v>12</v>
      </c>
      <c r="C1388">
        <v>1944</v>
      </c>
      <c r="D1388" s="1" t="s">
        <v>209</v>
      </c>
      <c r="E1388" s="1" t="s">
        <v>22</v>
      </c>
      <c r="F1388">
        <v>14</v>
      </c>
      <c r="G1388" s="1" t="s">
        <v>23</v>
      </c>
      <c r="H1388">
        <v>14147</v>
      </c>
      <c r="I1388">
        <v>35100</v>
      </c>
      <c r="J1388">
        <v>24500</v>
      </c>
      <c r="K1388">
        <v>31850</v>
      </c>
      <c r="L1388">
        <v>1300</v>
      </c>
    </row>
    <row r="1389" spans="1:12" hidden="1" x14ac:dyDescent="0.25">
      <c r="A1389">
        <v>1388</v>
      </c>
      <c r="B1389" s="1" t="s">
        <v>12</v>
      </c>
      <c r="C1389">
        <v>1944</v>
      </c>
      <c r="D1389" s="1" t="s">
        <v>209</v>
      </c>
      <c r="E1389" s="1" t="s">
        <v>22</v>
      </c>
      <c r="F1389">
        <v>14</v>
      </c>
      <c r="G1389" s="1" t="s">
        <v>97</v>
      </c>
      <c r="H1389">
        <v>14007</v>
      </c>
      <c r="I1389">
        <v>13100</v>
      </c>
      <c r="J1389">
        <v>10000</v>
      </c>
      <c r="K1389">
        <v>9000</v>
      </c>
      <c r="L1389">
        <v>900</v>
      </c>
    </row>
    <row r="1390" spans="1:12" hidden="1" x14ac:dyDescent="0.25">
      <c r="A1390">
        <v>1389</v>
      </c>
      <c r="B1390" s="1" t="s">
        <v>12</v>
      </c>
      <c r="C1390">
        <v>1944</v>
      </c>
      <c r="D1390" s="1" t="s">
        <v>209</v>
      </c>
      <c r="E1390" s="1" t="s">
        <v>22</v>
      </c>
      <c r="F1390">
        <v>14</v>
      </c>
      <c r="G1390" s="1" t="s">
        <v>25</v>
      </c>
      <c r="H1390">
        <v>14105</v>
      </c>
      <c r="I1390">
        <v>5821</v>
      </c>
      <c r="J1390">
        <v>2898</v>
      </c>
      <c r="K1390">
        <v>3190</v>
      </c>
      <c r="L1390">
        <v>1100</v>
      </c>
    </row>
    <row r="1391" spans="1:12" hidden="1" x14ac:dyDescent="0.25">
      <c r="A1391">
        <v>1390</v>
      </c>
      <c r="B1391" s="1" t="s">
        <v>12</v>
      </c>
      <c r="C1391">
        <v>1944</v>
      </c>
      <c r="D1391" s="1" t="s">
        <v>209</v>
      </c>
      <c r="E1391" s="1" t="s">
        <v>22</v>
      </c>
      <c r="F1391">
        <v>14</v>
      </c>
      <c r="G1391" s="1" t="s">
        <v>29</v>
      </c>
      <c r="H1391">
        <v>14098</v>
      </c>
      <c r="I1391">
        <v>4900</v>
      </c>
      <c r="J1391">
        <v>2450</v>
      </c>
      <c r="K1391">
        <v>3675</v>
      </c>
      <c r="L1391">
        <v>1500</v>
      </c>
    </row>
    <row r="1392" spans="1:12" hidden="1" x14ac:dyDescent="0.25">
      <c r="A1392">
        <v>1391</v>
      </c>
      <c r="B1392" s="1" t="s">
        <v>12</v>
      </c>
      <c r="C1392">
        <v>1944</v>
      </c>
      <c r="D1392" s="1" t="s">
        <v>209</v>
      </c>
      <c r="E1392" s="1" t="s">
        <v>22</v>
      </c>
      <c r="F1392">
        <v>14</v>
      </c>
      <c r="G1392" s="1" t="s">
        <v>143</v>
      </c>
      <c r="H1392">
        <v>14056</v>
      </c>
      <c r="I1392">
        <v>1850</v>
      </c>
      <c r="J1392">
        <v>925</v>
      </c>
      <c r="K1392">
        <v>925</v>
      </c>
      <c r="L1392">
        <v>1000</v>
      </c>
    </row>
    <row r="1393" spans="1:12" hidden="1" x14ac:dyDescent="0.25">
      <c r="A1393">
        <v>1392</v>
      </c>
      <c r="B1393" s="1" t="s">
        <v>12</v>
      </c>
      <c r="C1393">
        <v>1944</v>
      </c>
      <c r="D1393" s="1" t="s">
        <v>209</v>
      </c>
      <c r="E1393" s="1" t="s">
        <v>22</v>
      </c>
      <c r="F1393">
        <v>14</v>
      </c>
      <c r="G1393" s="1" t="s">
        <v>28</v>
      </c>
      <c r="H1393">
        <v>14014</v>
      </c>
      <c r="I1393">
        <v>1168</v>
      </c>
      <c r="J1393">
        <v>850</v>
      </c>
      <c r="K1393">
        <v>1105</v>
      </c>
      <c r="L1393">
        <v>1300</v>
      </c>
    </row>
    <row r="1394" spans="1:12" hidden="1" x14ac:dyDescent="0.25">
      <c r="A1394">
        <v>1393</v>
      </c>
      <c r="B1394" s="1" t="s">
        <v>12</v>
      </c>
      <c r="C1394">
        <v>1944</v>
      </c>
      <c r="D1394" s="1" t="s">
        <v>209</v>
      </c>
      <c r="E1394" s="1" t="s">
        <v>22</v>
      </c>
      <c r="F1394">
        <v>14</v>
      </c>
      <c r="G1394" s="1" t="s">
        <v>67</v>
      </c>
      <c r="H1394">
        <v>14140</v>
      </c>
      <c r="I1394">
        <v>1000</v>
      </c>
      <c r="J1394">
        <v>850</v>
      </c>
      <c r="K1394">
        <v>935</v>
      </c>
      <c r="L1394">
        <v>1100</v>
      </c>
    </row>
    <row r="1395" spans="1:12" hidden="1" x14ac:dyDescent="0.25">
      <c r="A1395">
        <v>1394</v>
      </c>
      <c r="B1395" s="1" t="s">
        <v>12</v>
      </c>
      <c r="C1395">
        <v>1944</v>
      </c>
      <c r="D1395" s="1" t="s">
        <v>209</v>
      </c>
      <c r="E1395" s="1" t="s">
        <v>22</v>
      </c>
      <c r="F1395">
        <v>14</v>
      </c>
      <c r="G1395" s="1" t="s">
        <v>184</v>
      </c>
      <c r="H1395">
        <v>14042</v>
      </c>
      <c r="I1395">
        <v>500</v>
      </c>
      <c r="J1395">
        <v>400</v>
      </c>
      <c r="K1395">
        <v>400</v>
      </c>
      <c r="L1395">
        <v>1000</v>
      </c>
    </row>
    <row r="1396" spans="1:12" hidden="1" x14ac:dyDescent="0.25">
      <c r="A1396">
        <v>1395</v>
      </c>
      <c r="B1396" s="1" t="s">
        <v>12</v>
      </c>
      <c r="C1396">
        <v>1944</v>
      </c>
      <c r="D1396" s="1" t="s">
        <v>209</v>
      </c>
      <c r="E1396" s="1" t="s">
        <v>22</v>
      </c>
      <c r="F1396">
        <v>14</v>
      </c>
      <c r="G1396" s="1" t="s">
        <v>206</v>
      </c>
      <c r="H1396">
        <v>14084</v>
      </c>
      <c r="I1396">
        <v>300</v>
      </c>
      <c r="J1396">
        <v>150</v>
      </c>
      <c r="K1396">
        <v>150</v>
      </c>
      <c r="L1396">
        <v>1000</v>
      </c>
    </row>
    <row r="1397" spans="1:12" hidden="1" x14ac:dyDescent="0.25">
      <c r="A1397">
        <v>1396</v>
      </c>
      <c r="B1397" s="1" t="s">
        <v>12</v>
      </c>
      <c r="C1397">
        <v>1944</v>
      </c>
      <c r="D1397" s="1" t="s">
        <v>209</v>
      </c>
      <c r="E1397" s="1" t="s">
        <v>22</v>
      </c>
      <c r="F1397">
        <v>14</v>
      </c>
      <c r="G1397" s="1" t="s">
        <v>27</v>
      </c>
      <c r="H1397">
        <v>14021</v>
      </c>
      <c r="I1397">
        <v>140</v>
      </c>
      <c r="J1397">
        <v>112</v>
      </c>
      <c r="K1397">
        <v>112</v>
      </c>
      <c r="L1397">
        <v>1000</v>
      </c>
    </row>
    <row r="1398" spans="1:12" hidden="1" x14ac:dyDescent="0.25">
      <c r="A1398">
        <v>1397</v>
      </c>
      <c r="B1398" s="1" t="s">
        <v>12</v>
      </c>
      <c r="C1398">
        <v>1944</v>
      </c>
      <c r="D1398" s="1" t="s">
        <v>209</v>
      </c>
      <c r="E1398" s="1" t="s">
        <v>22</v>
      </c>
      <c r="F1398">
        <v>14</v>
      </c>
      <c r="G1398" s="1" t="s">
        <v>169</v>
      </c>
      <c r="H1398">
        <v>14126</v>
      </c>
      <c r="I1398">
        <v>120</v>
      </c>
      <c r="J1398">
        <v>120</v>
      </c>
      <c r="K1398">
        <v>120</v>
      </c>
      <c r="L1398">
        <v>1000</v>
      </c>
    </row>
    <row r="1399" spans="1:12" hidden="1" x14ac:dyDescent="0.25">
      <c r="A1399">
        <v>1398</v>
      </c>
      <c r="B1399" s="1" t="s">
        <v>12</v>
      </c>
      <c r="C1399">
        <v>1944</v>
      </c>
      <c r="D1399" s="1" t="s">
        <v>209</v>
      </c>
      <c r="E1399" s="1" t="s">
        <v>22</v>
      </c>
      <c r="F1399">
        <v>14</v>
      </c>
      <c r="G1399" s="1" t="s">
        <v>171</v>
      </c>
      <c r="H1399">
        <v>14112</v>
      </c>
      <c r="I1399">
        <v>70</v>
      </c>
      <c r="J1399">
        <v>42</v>
      </c>
      <c r="K1399">
        <v>36</v>
      </c>
      <c r="L1399">
        <v>850</v>
      </c>
    </row>
    <row r="1400" spans="1:12" hidden="1" x14ac:dyDescent="0.25">
      <c r="A1400">
        <v>1399</v>
      </c>
      <c r="B1400" s="1" t="s">
        <v>12</v>
      </c>
      <c r="C1400">
        <v>1944</v>
      </c>
      <c r="D1400" s="1" t="s">
        <v>209</v>
      </c>
      <c r="E1400" s="1" t="s">
        <v>22</v>
      </c>
      <c r="F1400">
        <v>14</v>
      </c>
      <c r="G1400" s="1" t="s">
        <v>62</v>
      </c>
      <c r="H1400">
        <v>14133</v>
      </c>
      <c r="I1400">
        <v>50</v>
      </c>
      <c r="J1400">
        <v>50</v>
      </c>
      <c r="K1400">
        <v>50</v>
      </c>
      <c r="L1400">
        <v>1000</v>
      </c>
    </row>
    <row r="1401" spans="1:12" hidden="1" x14ac:dyDescent="0.25">
      <c r="A1401">
        <v>1400</v>
      </c>
      <c r="B1401" s="1" t="s">
        <v>12</v>
      </c>
      <c r="C1401">
        <v>1944</v>
      </c>
      <c r="D1401" s="1" t="s">
        <v>209</v>
      </c>
      <c r="E1401" s="1" t="s">
        <v>22</v>
      </c>
      <c r="F1401">
        <v>14</v>
      </c>
      <c r="G1401" s="1" t="s">
        <v>114</v>
      </c>
      <c r="H1401">
        <v>14168</v>
      </c>
      <c r="I1401">
        <v>48</v>
      </c>
      <c r="J1401">
        <v>34</v>
      </c>
      <c r="K1401">
        <v>34</v>
      </c>
      <c r="L1401">
        <v>1000</v>
      </c>
    </row>
    <row r="1402" spans="1:12" hidden="1" x14ac:dyDescent="0.25">
      <c r="A1402">
        <v>1401</v>
      </c>
      <c r="B1402" s="1" t="s">
        <v>12</v>
      </c>
      <c r="C1402">
        <v>1944</v>
      </c>
      <c r="D1402" s="1" t="s">
        <v>209</v>
      </c>
      <c r="E1402" s="1" t="s">
        <v>22</v>
      </c>
      <c r="F1402">
        <v>14</v>
      </c>
      <c r="G1402" s="1" t="s">
        <v>186</v>
      </c>
      <c r="H1402">
        <v>14175</v>
      </c>
      <c r="I1402">
        <v>30</v>
      </c>
      <c r="J1402">
        <v>20</v>
      </c>
      <c r="K1402">
        <v>17</v>
      </c>
      <c r="L1402">
        <v>850</v>
      </c>
    </row>
    <row r="1403" spans="1:12" hidden="1" x14ac:dyDescent="0.25">
      <c r="A1403">
        <v>1402</v>
      </c>
      <c r="B1403" s="1" t="s">
        <v>12</v>
      </c>
      <c r="C1403">
        <v>1944</v>
      </c>
      <c r="D1403" s="1" t="s">
        <v>209</v>
      </c>
      <c r="E1403" s="1" t="s">
        <v>22</v>
      </c>
      <c r="F1403">
        <v>14</v>
      </c>
      <c r="G1403" s="1" t="s">
        <v>173</v>
      </c>
      <c r="H1403">
        <v>14028</v>
      </c>
      <c r="I1403">
        <v>14</v>
      </c>
      <c r="J1403">
        <v>10</v>
      </c>
      <c r="K1403">
        <v>10</v>
      </c>
      <c r="L1403">
        <v>1000</v>
      </c>
    </row>
    <row r="1404" spans="1:12" hidden="1" x14ac:dyDescent="0.25">
      <c r="A1404">
        <v>1403</v>
      </c>
      <c r="B1404" s="1" t="s">
        <v>12</v>
      </c>
      <c r="C1404">
        <v>1944</v>
      </c>
      <c r="D1404" s="1" t="s">
        <v>209</v>
      </c>
      <c r="E1404" s="1" t="s">
        <v>22</v>
      </c>
      <c r="F1404">
        <v>14</v>
      </c>
      <c r="G1404" s="1" t="s">
        <v>172</v>
      </c>
      <c r="H1404">
        <v>14091</v>
      </c>
      <c r="I1404">
        <v>8</v>
      </c>
      <c r="J1404">
        <v>5</v>
      </c>
      <c r="K1404">
        <v>5</v>
      </c>
      <c r="L1404">
        <v>1000</v>
      </c>
    </row>
    <row r="1405" spans="1:12" hidden="1" x14ac:dyDescent="0.25">
      <c r="A1405">
        <v>1404</v>
      </c>
      <c r="B1405" s="1" t="s">
        <v>12</v>
      </c>
      <c r="C1405">
        <v>1944</v>
      </c>
      <c r="D1405" s="1" t="s">
        <v>209</v>
      </c>
      <c r="E1405" s="1" t="s">
        <v>22</v>
      </c>
      <c r="F1405">
        <v>14</v>
      </c>
      <c r="G1405" s="1" t="s">
        <v>170</v>
      </c>
      <c r="H1405">
        <v>14049</v>
      </c>
      <c r="I1405">
        <v>7</v>
      </c>
      <c r="J1405">
        <v>6</v>
      </c>
      <c r="K1405">
        <v>6</v>
      </c>
      <c r="L1405">
        <v>1000</v>
      </c>
    </row>
    <row r="1406" spans="1:12" hidden="1" x14ac:dyDescent="0.25">
      <c r="A1406">
        <v>1405</v>
      </c>
      <c r="B1406" s="1" t="s">
        <v>12</v>
      </c>
      <c r="C1406">
        <v>1944</v>
      </c>
      <c r="D1406" s="1" t="s">
        <v>209</v>
      </c>
      <c r="E1406" s="1" t="s">
        <v>22</v>
      </c>
      <c r="F1406">
        <v>14</v>
      </c>
      <c r="G1406" s="1" t="s">
        <v>194</v>
      </c>
      <c r="H1406">
        <v>14077</v>
      </c>
      <c r="I1406">
        <v>3</v>
      </c>
      <c r="J1406">
        <v>3</v>
      </c>
      <c r="K1406">
        <v>3</v>
      </c>
      <c r="L1406">
        <v>1000</v>
      </c>
    </row>
    <row r="1407" spans="1:12" hidden="1" x14ac:dyDescent="0.25">
      <c r="A1407">
        <v>1406</v>
      </c>
      <c r="B1407" s="1" t="s">
        <v>12</v>
      </c>
      <c r="C1407">
        <v>1944</v>
      </c>
      <c r="D1407" s="1" t="s">
        <v>209</v>
      </c>
      <c r="E1407" s="1" t="s">
        <v>30</v>
      </c>
      <c r="F1407">
        <v>18</v>
      </c>
      <c r="G1407" s="1" t="s">
        <v>32</v>
      </c>
      <c r="H1407">
        <v>18112</v>
      </c>
      <c r="I1407">
        <v>600</v>
      </c>
      <c r="J1407">
        <v>600</v>
      </c>
      <c r="K1407">
        <v>780</v>
      </c>
      <c r="L1407">
        <v>1300</v>
      </c>
    </row>
    <row r="1408" spans="1:12" hidden="1" x14ac:dyDescent="0.25">
      <c r="A1408">
        <v>1407</v>
      </c>
      <c r="B1408" s="1" t="s">
        <v>12</v>
      </c>
      <c r="C1408">
        <v>1944</v>
      </c>
      <c r="D1408" s="1" t="s">
        <v>209</v>
      </c>
      <c r="E1408" s="1" t="s">
        <v>30</v>
      </c>
      <c r="F1408">
        <v>18</v>
      </c>
      <c r="G1408" s="1" t="s">
        <v>33</v>
      </c>
      <c r="H1408">
        <v>18091</v>
      </c>
      <c r="I1408">
        <v>150</v>
      </c>
      <c r="J1408">
        <v>50</v>
      </c>
      <c r="K1408">
        <v>25</v>
      </c>
      <c r="L1408">
        <v>500</v>
      </c>
    </row>
    <row r="1409" spans="1:12" hidden="1" x14ac:dyDescent="0.25">
      <c r="A1409">
        <v>1408</v>
      </c>
      <c r="B1409" s="1" t="s">
        <v>12</v>
      </c>
      <c r="C1409">
        <v>1944</v>
      </c>
      <c r="D1409" s="1" t="s">
        <v>209</v>
      </c>
      <c r="E1409" s="1" t="s">
        <v>30</v>
      </c>
      <c r="F1409">
        <v>18</v>
      </c>
      <c r="G1409" s="1" t="s">
        <v>39</v>
      </c>
      <c r="H1409">
        <v>18084</v>
      </c>
      <c r="I1409">
        <v>120</v>
      </c>
    </row>
    <row r="1410" spans="1:12" hidden="1" x14ac:dyDescent="0.25">
      <c r="A1410">
        <v>1409</v>
      </c>
      <c r="B1410" s="1" t="s">
        <v>12</v>
      </c>
      <c r="C1410">
        <v>1944</v>
      </c>
      <c r="D1410" s="1" t="s">
        <v>209</v>
      </c>
      <c r="E1410" s="1" t="s">
        <v>30</v>
      </c>
      <c r="F1410">
        <v>18</v>
      </c>
      <c r="G1410" s="1" t="s">
        <v>43</v>
      </c>
      <c r="H1410">
        <v>18070</v>
      </c>
      <c r="I1410">
        <v>100</v>
      </c>
      <c r="J1410">
        <v>90</v>
      </c>
      <c r="K1410">
        <v>45</v>
      </c>
      <c r="L1410">
        <v>500</v>
      </c>
    </row>
    <row r="1411" spans="1:12" hidden="1" x14ac:dyDescent="0.25">
      <c r="A1411">
        <v>1410</v>
      </c>
      <c r="B1411" s="1" t="s">
        <v>12</v>
      </c>
      <c r="C1411">
        <v>1944</v>
      </c>
      <c r="D1411" s="1" t="s">
        <v>209</v>
      </c>
      <c r="E1411" s="1" t="s">
        <v>30</v>
      </c>
      <c r="F1411">
        <v>18</v>
      </c>
      <c r="G1411" s="1" t="s">
        <v>35</v>
      </c>
      <c r="H1411">
        <v>18049</v>
      </c>
      <c r="I1411">
        <v>52</v>
      </c>
      <c r="J1411">
        <v>40</v>
      </c>
      <c r="K1411">
        <v>30</v>
      </c>
      <c r="L1411">
        <v>750</v>
      </c>
    </row>
    <row r="1412" spans="1:12" hidden="1" x14ac:dyDescent="0.25">
      <c r="A1412">
        <v>1411</v>
      </c>
      <c r="B1412" s="1" t="s">
        <v>12</v>
      </c>
      <c r="C1412">
        <v>1944</v>
      </c>
      <c r="D1412" s="1" t="s">
        <v>209</v>
      </c>
      <c r="E1412" s="1" t="s">
        <v>30</v>
      </c>
      <c r="F1412">
        <v>18</v>
      </c>
      <c r="G1412" s="1" t="s">
        <v>38</v>
      </c>
      <c r="H1412">
        <v>18007</v>
      </c>
      <c r="I1412">
        <v>40</v>
      </c>
      <c r="J1412">
        <v>35</v>
      </c>
      <c r="K1412">
        <v>21</v>
      </c>
      <c r="L1412">
        <v>600</v>
      </c>
    </row>
    <row r="1413" spans="1:12" hidden="1" x14ac:dyDescent="0.25">
      <c r="A1413">
        <v>1412</v>
      </c>
      <c r="B1413" s="1" t="s">
        <v>12</v>
      </c>
      <c r="C1413">
        <v>1944</v>
      </c>
      <c r="D1413" s="1" t="s">
        <v>209</v>
      </c>
      <c r="E1413" s="1" t="s">
        <v>30</v>
      </c>
      <c r="F1413">
        <v>18</v>
      </c>
      <c r="G1413" s="1" t="s">
        <v>28</v>
      </c>
      <c r="H1413">
        <v>18021</v>
      </c>
      <c r="I1413">
        <v>20</v>
      </c>
    </row>
    <row r="1414" spans="1:12" hidden="1" x14ac:dyDescent="0.25">
      <c r="A1414">
        <v>1413</v>
      </c>
      <c r="B1414" s="1" t="s">
        <v>12</v>
      </c>
      <c r="C1414">
        <v>1944</v>
      </c>
      <c r="D1414" s="1" t="s">
        <v>209</v>
      </c>
      <c r="E1414" s="1" t="s">
        <v>30</v>
      </c>
      <c r="F1414">
        <v>18</v>
      </c>
      <c r="G1414" s="1" t="s">
        <v>42</v>
      </c>
      <c r="H1414">
        <v>18035</v>
      </c>
      <c r="I1414">
        <v>20</v>
      </c>
      <c r="J1414">
        <v>20</v>
      </c>
      <c r="K1414">
        <v>22</v>
      </c>
      <c r="L1414">
        <v>1100</v>
      </c>
    </row>
    <row r="1415" spans="1:12" hidden="1" x14ac:dyDescent="0.25">
      <c r="A1415">
        <v>1414</v>
      </c>
      <c r="B1415" s="1" t="s">
        <v>12</v>
      </c>
      <c r="C1415">
        <v>1944</v>
      </c>
      <c r="D1415" s="1" t="s">
        <v>209</v>
      </c>
      <c r="E1415" s="1" t="s">
        <v>30</v>
      </c>
      <c r="F1415">
        <v>18</v>
      </c>
      <c r="G1415" s="1" t="s">
        <v>41</v>
      </c>
      <c r="H1415">
        <v>18140</v>
      </c>
      <c r="I1415">
        <v>15</v>
      </c>
    </row>
    <row r="1416" spans="1:12" hidden="1" x14ac:dyDescent="0.25">
      <c r="A1416">
        <v>1415</v>
      </c>
      <c r="B1416" s="1" t="s">
        <v>12</v>
      </c>
      <c r="C1416">
        <v>1944</v>
      </c>
      <c r="D1416" s="1" t="s">
        <v>209</v>
      </c>
      <c r="E1416" s="1" t="s">
        <v>30</v>
      </c>
      <c r="F1416">
        <v>18</v>
      </c>
      <c r="G1416" s="1" t="s">
        <v>34</v>
      </c>
      <c r="H1416">
        <v>18042</v>
      </c>
      <c r="I1416">
        <v>10</v>
      </c>
    </row>
    <row r="1417" spans="1:12" hidden="1" x14ac:dyDescent="0.25">
      <c r="A1417">
        <v>1416</v>
      </c>
      <c r="B1417" s="1" t="s">
        <v>12</v>
      </c>
      <c r="C1417">
        <v>1944</v>
      </c>
      <c r="D1417" s="1" t="s">
        <v>209</v>
      </c>
      <c r="E1417" s="1" t="s">
        <v>30</v>
      </c>
      <c r="F1417">
        <v>18</v>
      </c>
      <c r="G1417" s="1" t="s">
        <v>99</v>
      </c>
      <c r="H1417">
        <v>18063</v>
      </c>
      <c r="I1417">
        <v>10</v>
      </c>
    </row>
    <row r="1418" spans="1:12" hidden="1" x14ac:dyDescent="0.25">
      <c r="A1418">
        <v>1417</v>
      </c>
      <c r="B1418" s="1" t="s">
        <v>12</v>
      </c>
      <c r="C1418">
        <v>1944</v>
      </c>
      <c r="D1418" s="1" t="s">
        <v>209</v>
      </c>
      <c r="E1418" s="1" t="s">
        <v>30</v>
      </c>
      <c r="F1418">
        <v>18</v>
      </c>
      <c r="G1418" s="1" t="s">
        <v>63</v>
      </c>
      <c r="H1418">
        <v>18028</v>
      </c>
      <c r="I1418">
        <v>5</v>
      </c>
    </row>
    <row r="1419" spans="1:12" hidden="1" x14ac:dyDescent="0.25">
      <c r="A1419">
        <v>1418</v>
      </c>
      <c r="B1419" s="1" t="s">
        <v>12</v>
      </c>
      <c r="C1419">
        <v>1944</v>
      </c>
      <c r="D1419" s="1" t="s">
        <v>209</v>
      </c>
      <c r="E1419" s="1" t="s">
        <v>30</v>
      </c>
      <c r="F1419">
        <v>18</v>
      </c>
      <c r="G1419" s="1" t="s">
        <v>98</v>
      </c>
      <c r="H1419">
        <v>18098</v>
      </c>
      <c r="I1419">
        <v>5</v>
      </c>
    </row>
    <row r="1420" spans="1:12" hidden="1" x14ac:dyDescent="0.25">
      <c r="A1420">
        <v>1419</v>
      </c>
      <c r="B1420" s="1" t="s">
        <v>12</v>
      </c>
      <c r="C1420">
        <v>1944</v>
      </c>
      <c r="D1420" s="1" t="s">
        <v>209</v>
      </c>
      <c r="E1420" s="1" t="s">
        <v>30</v>
      </c>
      <c r="F1420">
        <v>18</v>
      </c>
      <c r="G1420" s="1" t="s">
        <v>40</v>
      </c>
      <c r="H1420">
        <v>18126</v>
      </c>
      <c r="I1420">
        <v>5</v>
      </c>
    </row>
    <row r="1421" spans="1:12" hidden="1" x14ac:dyDescent="0.25">
      <c r="A1421">
        <v>1420</v>
      </c>
      <c r="B1421" s="1" t="s">
        <v>12</v>
      </c>
      <c r="C1421">
        <v>1944</v>
      </c>
      <c r="D1421" s="1" t="s">
        <v>209</v>
      </c>
      <c r="E1421" s="1" t="s">
        <v>30</v>
      </c>
      <c r="F1421">
        <v>18</v>
      </c>
      <c r="G1421" s="1" t="s">
        <v>103</v>
      </c>
      <c r="H1421">
        <v>18154</v>
      </c>
      <c r="I1421">
        <v>5</v>
      </c>
    </row>
    <row r="1422" spans="1:12" hidden="1" x14ac:dyDescent="0.25">
      <c r="A1422">
        <v>1421</v>
      </c>
      <c r="B1422" s="1" t="s">
        <v>12</v>
      </c>
      <c r="C1422">
        <v>1944</v>
      </c>
      <c r="D1422" s="1" t="s">
        <v>209</v>
      </c>
      <c r="E1422" s="1" t="s">
        <v>30</v>
      </c>
      <c r="F1422">
        <v>18</v>
      </c>
      <c r="G1422" s="1" t="s">
        <v>102</v>
      </c>
      <c r="H1422">
        <v>18014</v>
      </c>
      <c r="I1422">
        <v>4</v>
      </c>
    </row>
    <row r="1423" spans="1:12" hidden="1" x14ac:dyDescent="0.25">
      <c r="A1423">
        <v>1422</v>
      </c>
      <c r="B1423" s="1" t="s">
        <v>12</v>
      </c>
      <c r="C1423">
        <v>1944</v>
      </c>
      <c r="D1423" s="1" t="s">
        <v>209</v>
      </c>
      <c r="E1423" s="1" t="s">
        <v>30</v>
      </c>
      <c r="F1423">
        <v>18</v>
      </c>
      <c r="G1423" s="1" t="s">
        <v>36</v>
      </c>
      <c r="H1423">
        <v>18133</v>
      </c>
      <c r="I1423">
        <v>3</v>
      </c>
    </row>
    <row r="1424" spans="1:12" hidden="1" x14ac:dyDescent="0.25">
      <c r="A1424">
        <v>1423</v>
      </c>
      <c r="B1424" s="1" t="s">
        <v>12</v>
      </c>
      <c r="C1424">
        <v>1944</v>
      </c>
      <c r="D1424" s="1" t="s">
        <v>209</v>
      </c>
      <c r="E1424" s="1" t="s">
        <v>30</v>
      </c>
      <c r="F1424">
        <v>18</v>
      </c>
      <c r="G1424" s="1" t="s">
        <v>86</v>
      </c>
      <c r="H1424">
        <v>18175</v>
      </c>
      <c r="I1424">
        <v>3</v>
      </c>
      <c r="J1424">
        <v>2</v>
      </c>
      <c r="K1424">
        <v>2</v>
      </c>
      <c r="L1424">
        <v>1000</v>
      </c>
    </row>
    <row r="1425" spans="1:12" hidden="1" x14ac:dyDescent="0.25">
      <c r="A1425">
        <v>1424</v>
      </c>
      <c r="B1425" s="1" t="s">
        <v>12</v>
      </c>
      <c r="C1425">
        <v>1944</v>
      </c>
      <c r="D1425" s="1" t="s">
        <v>209</v>
      </c>
      <c r="E1425" s="1" t="s">
        <v>30</v>
      </c>
      <c r="F1425">
        <v>18</v>
      </c>
      <c r="G1425" s="1" t="s">
        <v>100</v>
      </c>
      <c r="H1425">
        <v>18077</v>
      </c>
      <c r="I1425">
        <v>2</v>
      </c>
    </row>
    <row r="1426" spans="1:12" hidden="1" x14ac:dyDescent="0.25">
      <c r="A1426">
        <v>1425</v>
      </c>
      <c r="B1426" s="1" t="s">
        <v>12</v>
      </c>
      <c r="C1426">
        <v>1944</v>
      </c>
      <c r="D1426" s="1" t="s">
        <v>209</v>
      </c>
      <c r="E1426" s="1" t="s">
        <v>30</v>
      </c>
      <c r="F1426">
        <v>18</v>
      </c>
      <c r="G1426" s="1" t="s">
        <v>105</v>
      </c>
      <c r="H1426">
        <v>18105</v>
      </c>
      <c r="I1426">
        <v>1</v>
      </c>
      <c r="J1426">
        <v>1</v>
      </c>
      <c r="K1426">
        <v>1</v>
      </c>
      <c r="L1426">
        <v>1000</v>
      </c>
    </row>
    <row r="1427" spans="1:12" hidden="1" x14ac:dyDescent="0.25">
      <c r="A1427">
        <v>1426</v>
      </c>
      <c r="B1427" s="1" t="s">
        <v>12</v>
      </c>
      <c r="C1427">
        <v>1944</v>
      </c>
      <c r="D1427" s="1" t="s">
        <v>209</v>
      </c>
      <c r="E1427" s="1" t="s">
        <v>45</v>
      </c>
      <c r="F1427">
        <v>30</v>
      </c>
      <c r="G1427" s="1" t="s">
        <v>46</v>
      </c>
      <c r="H1427">
        <v>30028</v>
      </c>
      <c r="I1427">
        <v>5500</v>
      </c>
      <c r="J1427">
        <v>4400</v>
      </c>
      <c r="K1427">
        <v>3520</v>
      </c>
      <c r="L1427">
        <v>800</v>
      </c>
    </row>
    <row r="1428" spans="1:12" hidden="1" x14ac:dyDescent="0.25">
      <c r="A1428">
        <v>1427</v>
      </c>
      <c r="B1428" s="1" t="s">
        <v>12</v>
      </c>
      <c r="C1428">
        <v>1944</v>
      </c>
      <c r="D1428" s="1" t="s">
        <v>209</v>
      </c>
      <c r="E1428" s="1" t="s">
        <v>45</v>
      </c>
      <c r="F1428">
        <v>30</v>
      </c>
      <c r="G1428" s="1" t="s">
        <v>47</v>
      </c>
      <c r="H1428">
        <v>30015</v>
      </c>
      <c r="I1428">
        <v>3400</v>
      </c>
      <c r="J1428">
        <v>2600</v>
      </c>
      <c r="K1428">
        <v>2600</v>
      </c>
      <c r="L1428">
        <v>1000</v>
      </c>
    </row>
    <row r="1429" spans="1:12" hidden="1" x14ac:dyDescent="0.25">
      <c r="A1429">
        <v>1428</v>
      </c>
      <c r="B1429" s="1" t="s">
        <v>12</v>
      </c>
      <c r="C1429">
        <v>1944</v>
      </c>
      <c r="D1429" s="1" t="s">
        <v>209</v>
      </c>
      <c r="E1429" s="1" t="s">
        <v>45</v>
      </c>
      <c r="F1429">
        <v>30</v>
      </c>
      <c r="G1429" s="1" t="s">
        <v>27</v>
      </c>
      <c r="H1429">
        <v>30008</v>
      </c>
      <c r="I1429">
        <v>300</v>
      </c>
      <c r="J1429">
        <v>170</v>
      </c>
      <c r="K1429">
        <v>119</v>
      </c>
      <c r="L1429">
        <v>700</v>
      </c>
    </row>
    <row r="1430" spans="1:12" hidden="1" x14ac:dyDescent="0.25">
      <c r="A1430">
        <v>1429</v>
      </c>
      <c r="B1430" s="1" t="s">
        <v>12</v>
      </c>
      <c r="C1430">
        <v>1944</v>
      </c>
      <c r="D1430" s="1" t="s">
        <v>209</v>
      </c>
      <c r="E1430" s="1" t="s">
        <v>45</v>
      </c>
      <c r="F1430">
        <v>30</v>
      </c>
      <c r="G1430" s="1" t="s">
        <v>124</v>
      </c>
      <c r="H1430">
        <v>30070</v>
      </c>
      <c r="I1430">
        <v>50</v>
      </c>
      <c r="J1430">
        <v>5</v>
      </c>
      <c r="K1430">
        <v>2</v>
      </c>
      <c r="L1430">
        <v>400</v>
      </c>
    </row>
    <row r="1431" spans="1:12" hidden="1" x14ac:dyDescent="0.25">
      <c r="A1431">
        <v>1430</v>
      </c>
      <c r="B1431" s="1" t="s">
        <v>12</v>
      </c>
      <c r="C1431">
        <v>1944</v>
      </c>
      <c r="D1431" s="1" t="s">
        <v>209</v>
      </c>
      <c r="E1431" s="1" t="s">
        <v>45</v>
      </c>
      <c r="F1431">
        <v>30</v>
      </c>
      <c r="G1431" s="1" t="s">
        <v>107</v>
      </c>
      <c r="H1431">
        <v>30056</v>
      </c>
      <c r="I1431">
        <v>40</v>
      </c>
    </row>
    <row r="1432" spans="1:12" hidden="1" x14ac:dyDescent="0.25">
      <c r="A1432">
        <v>1431</v>
      </c>
      <c r="B1432" s="1" t="s">
        <v>12</v>
      </c>
      <c r="C1432">
        <v>1944</v>
      </c>
      <c r="D1432" s="1" t="s">
        <v>209</v>
      </c>
      <c r="E1432" s="1" t="s">
        <v>48</v>
      </c>
      <c r="F1432">
        <v>34</v>
      </c>
      <c r="G1432" s="1" t="s">
        <v>88</v>
      </c>
      <c r="I1432">
        <v>190</v>
      </c>
    </row>
    <row r="1433" spans="1:12" hidden="1" x14ac:dyDescent="0.25">
      <c r="A1433">
        <v>1432</v>
      </c>
      <c r="B1433" s="1" t="s">
        <v>12</v>
      </c>
      <c r="C1433">
        <v>1944</v>
      </c>
      <c r="D1433" s="1" t="s">
        <v>209</v>
      </c>
      <c r="E1433" s="1" t="s">
        <v>58</v>
      </c>
      <c r="F1433">
        <v>54</v>
      </c>
      <c r="G1433" s="1" t="s">
        <v>59</v>
      </c>
      <c r="H1433">
        <v>54007</v>
      </c>
      <c r="I1433">
        <v>150</v>
      </c>
      <c r="J1433">
        <v>25</v>
      </c>
      <c r="K1433">
        <v>17</v>
      </c>
      <c r="L1433">
        <v>700</v>
      </c>
    </row>
    <row r="1434" spans="1:12" hidden="1" x14ac:dyDescent="0.25">
      <c r="A1434">
        <v>1433</v>
      </c>
      <c r="B1434" s="1" t="s">
        <v>12</v>
      </c>
      <c r="C1434">
        <v>1944</v>
      </c>
      <c r="D1434" s="1" t="s">
        <v>209</v>
      </c>
      <c r="E1434" s="1" t="s">
        <v>58</v>
      </c>
      <c r="F1434">
        <v>54</v>
      </c>
      <c r="G1434" s="1" t="s">
        <v>62</v>
      </c>
      <c r="H1434">
        <v>54105</v>
      </c>
      <c r="I1434">
        <v>142</v>
      </c>
      <c r="J1434">
        <v>142</v>
      </c>
      <c r="K1434">
        <v>116</v>
      </c>
      <c r="L1434">
        <v>814</v>
      </c>
    </row>
    <row r="1435" spans="1:12" hidden="1" x14ac:dyDescent="0.25">
      <c r="A1435">
        <v>1434</v>
      </c>
      <c r="B1435" s="1" t="s">
        <v>12</v>
      </c>
      <c r="C1435">
        <v>1944</v>
      </c>
      <c r="D1435" s="1" t="s">
        <v>209</v>
      </c>
      <c r="E1435" s="1" t="s">
        <v>58</v>
      </c>
      <c r="F1435">
        <v>54</v>
      </c>
      <c r="G1435" s="1" t="s">
        <v>150</v>
      </c>
      <c r="H1435">
        <v>54014</v>
      </c>
      <c r="I1435">
        <v>84</v>
      </c>
      <c r="J1435">
        <v>81</v>
      </c>
      <c r="K1435">
        <v>76</v>
      </c>
      <c r="L1435">
        <v>935</v>
      </c>
    </row>
    <row r="1436" spans="1:12" hidden="1" x14ac:dyDescent="0.25">
      <c r="A1436">
        <v>1435</v>
      </c>
      <c r="B1436" s="1" t="s">
        <v>12</v>
      </c>
      <c r="C1436">
        <v>1944</v>
      </c>
      <c r="D1436" s="1" t="s">
        <v>209</v>
      </c>
      <c r="E1436" s="1" t="s">
        <v>58</v>
      </c>
      <c r="F1436">
        <v>54</v>
      </c>
      <c r="G1436" s="1" t="s">
        <v>61</v>
      </c>
      <c r="H1436">
        <v>54098</v>
      </c>
      <c r="I1436">
        <v>67</v>
      </c>
      <c r="J1436">
        <v>46</v>
      </c>
      <c r="K1436">
        <v>29</v>
      </c>
      <c r="L1436">
        <v>626</v>
      </c>
    </row>
    <row r="1437" spans="1:12" hidden="1" x14ac:dyDescent="0.25">
      <c r="A1437">
        <v>1436</v>
      </c>
      <c r="B1437" s="1" t="s">
        <v>12</v>
      </c>
      <c r="C1437">
        <v>1944</v>
      </c>
      <c r="D1437" s="1" t="s">
        <v>209</v>
      </c>
      <c r="E1437" s="1" t="s">
        <v>58</v>
      </c>
      <c r="F1437">
        <v>54</v>
      </c>
      <c r="G1437" s="1" t="s">
        <v>60</v>
      </c>
      <c r="H1437">
        <v>54021</v>
      </c>
      <c r="I1437">
        <v>44</v>
      </c>
      <c r="J1437">
        <v>36</v>
      </c>
      <c r="K1437">
        <v>28</v>
      </c>
      <c r="L1437">
        <v>772</v>
      </c>
    </row>
    <row r="1438" spans="1:12" hidden="1" x14ac:dyDescent="0.25">
      <c r="A1438">
        <v>1437</v>
      </c>
      <c r="B1438" s="1" t="s">
        <v>12</v>
      </c>
      <c r="C1438">
        <v>1944</v>
      </c>
      <c r="D1438" s="1" t="s">
        <v>209</v>
      </c>
      <c r="E1438" s="1" t="s">
        <v>58</v>
      </c>
      <c r="F1438">
        <v>54</v>
      </c>
      <c r="G1438" s="1" t="s">
        <v>63</v>
      </c>
      <c r="H1438">
        <v>54035</v>
      </c>
      <c r="I1438">
        <v>40</v>
      </c>
      <c r="J1438">
        <v>40</v>
      </c>
      <c r="K1438">
        <v>28</v>
      </c>
      <c r="L1438">
        <v>700</v>
      </c>
    </row>
    <row r="1439" spans="1:12" hidden="1" x14ac:dyDescent="0.25">
      <c r="A1439">
        <v>1438</v>
      </c>
      <c r="B1439" s="1" t="s">
        <v>12</v>
      </c>
      <c r="C1439">
        <v>1944</v>
      </c>
      <c r="D1439" s="1" t="s">
        <v>209</v>
      </c>
      <c r="E1439" s="1" t="s">
        <v>58</v>
      </c>
      <c r="F1439">
        <v>54</v>
      </c>
      <c r="G1439" s="1" t="s">
        <v>152</v>
      </c>
      <c r="H1439">
        <v>54063</v>
      </c>
      <c r="I1439">
        <v>30</v>
      </c>
      <c r="J1439">
        <v>30</v>
      </c>
      <c r="K1439">
        <v>21</v>
      </c>
      <c r="L1439">
        <v>700</v>
      </c>
    </row>
    <row r="1440" spans="1:12" hidden="1" x14ac:dyDescent="0.25">
      <c r="A1440">
        <v>1439</v>
      </c>
      <c r="B1440" s="1" t="s">
        <v>12</v>
      </c>
      <c r="C1440">
        <v>1944</v>
      </c>
      <c r="D1440" s="1" t="s">
        <v>209</v>
      </c>
      <c r="E1440" s="1" t="s">
        <v>58</v>
      </c>
      <c r="F1440">
        <v>54</v>
      </c>
      <c r="G1440" s="1" t="s">
        <v>178</v>
      </c>
      <c r="H1440">
        <v>54049</v>
      </c>
      <c r="I1440">
        <v>25</v>
      </c>
      <c r="J1440">
        <v>20</v>
      </c>
      <c r="K1440">
        <v>14</v>
      </c>
      <c r="L1440">
        <v>700</v>
      </c>
    </row>
    <row r="1441" spans="1:12" hidden="1" x14ac:dyDescent="0.25">
      <c r="A1441">
        <v>1440</v>
      </c>
      <c r="B1441" s="1" t="s">
        <v>12</v>
      </c>
      <c r="C1441">
        <v>1944</v>
      </c>
      <c r="D1441" s="1" t="s">
        <v>209</v>
      </c>
      <c r="E1441" s="1" t="s">
        <v>58</v>
      </c>
      <c r="F1441">
        <v>54</v>
      </c>
      <c r="G1441" s="1" t="s">
        <v>28</v>
      </c>
      <c r="H1441">
        <v>54028</v>
      </c>
      <c r="I1441">
        <v>10</v>
      </c>
      <c r="J1441">
        <v>10</v>
      </c>
      <c r="K1441">
        <v>8</v>
      </c>
      <c r="L1441">
        <v>800</v>
      </c>
    </row>
    <row r="1442" spans="1:12" x14ac:dyDescent="0.25">
      <c r="A1442">
        <v>1441</v>
      </c>
      <c r="B1442" s="1" t="s">
        <v>12</v>
      </c>
      <c r="C1442">
        <v>1944</v>
      </c>
      <c r="D1442" s="1" t="s">
        <v>209</v>
      </c>
      <c r="E1442" s="1" t="s">
        <v>58</v>
      </c>
      <c r="F1442">
        <v>54</v>
      </c>
      <c r="G1442" s="1" t="s">
        <v>56</v>
      </c>
      <c r="H1442">
        <v>54112</v>
      </c>
      <c r="I1442">
        <v>8</v>
      </c>
      <c r="J1442">
        <v>8</v>
      </c>
      <c r="K1442">
        <v>6</v>
      </c>
      <c r="L1442">
        <v>700</v>
      </c>
    </row>
    <row r="1443" spans="1:12" hidden="1" x14ac:dyDescent="0.25">
      <c r="A1443">
        <v>1442</v>
      </c>
      <c r="B1443" s="1" t="s">
        <v>12</v>
      </c>
      <c r="C1443">
        <v>1944</v>
      </c>
      <c r="D1443" s="1" t="s">
        <v>209</v>
      </c>
      <c r="E1443" s="1" t="s">
        <v>87</v>
      </c>
      <c r="F1443">
        <v>66</v>
      </c>
      <c r="G1443" s="1" t="s">
        <v>141</v>
      </c>
      <c r="H1443">
        <v>66112</v>
      </c>
      <c r="I1443">
        <v>100</v>
      </c>
      <c r="J1443">
        <v>70</v>
      </c>
      <c r="K1443">
        <v>63</v>
      </c>
      <c r="L1443">
        <v>900</v>
      </c>
    </row>
    <row r="1444" spans="1:12" hidden="1" x14ac:dyDescent="0.25">
      <c r="A1444">
        <v>1443</v>
      </c>
      <c r="B1444" s="1" t="s">
        <v>12</v>
      </c>
      <c r="C1444">
        <v>1944</v>
      </c>
      <c r="D1444" s="1" t="s">
        <v>209</v>
      </c>
      <c r="E1444" s="1" t="s">
        <v>87</v>
      </c>
      <c r="F1444">
        <v>66</v>
      </c>
      <c r="G1444" s="1" t="s">
        <v>188</v>
      </c>
      <c r="H1444">
        <v>66140</v>
      </c>
      <c r="I1444">
        <v>90</v>
      </c>
      <c r="J1444">
        <v>70</v>
      </c>
      <c r="K1444">
        <v>63</v>
      </c>
      <c r="L1444">
        <v>900</v>
      </c>
    </row>
    <row r="1445" spans="1:12" hidden="1" x14ac:dyDescent="0.25">
      <c r="A1445">
        <v>1444</v>
      </c>
      <c r="B1445" s="1" t="s">
        <v>12</v>
      </c>
      <c r="C1445">
        <v>1944</v>
      </c>
      <c r="D1445" s="1" t="s">
        <v>209</v>
      </c>
      <c r="E1445" s="1" t="s">
        <v>87</v>
      </c>
      <c r="F1445">
        <v>66</v>
      </c>
      <c r="G1445" s="1" t="s">
        <v>179</v>
      </c>
      <c r="H1445">
        <v>66126</v>
      </c>
      <c r="I1445">
        <v>20</v>
      </c>
      <c r="J1445">
        <v>10</v>
      </c>
      <c r="K1445">
        <v>9</v>
      </c>
      <c r="L1445">
        <v>900</v>
      </c>
    </row>
    <row r="1446" spans="1:12" hidden="1" x14ac:dyDescent="0.25">
      <c r="A1446">
        <v>1445</v>
      </c>
      <c r="B1446" s="1" t="s">
        <v>12</v>
      </c>
      <c r="C1446">
        <v>1944</v>
      </c>
      <c r="D1446" s="1" t="s">
        <v>209</v>
      </c>
      <c r="E1446" s="1" t="s">
        <v>64</v>
      </c>
      <c r="F1446">
        <v>82</v>
      </c>
      <c r="G1446" s="1" t="s">
        <v>66</v>
      </c>
      <c r="H1446">
        <v>82035</v>
      </c>
      <c r="I1446">
        <v>4500</v>
      </c>
      <c r="J1446">
        <v>4500</v>
      </c>
      <c r="K1446">
        <v>4500</v>
      </c>
      <c r="L1446">
        <v>1000</v>
      </c>
    </row>
    <row r="1447" spans="1:12" hidden="1" x14ac:dyDescent="0.25">
      <c r="A1447">
        <v>1446</v>
      </c>
      <c r="B1447" s="1" t="s">
        <v>12</v>
      </c>
      <c r="C1447">
        <v>1944</v>
      </c>
      <c r="D1447" s="1" t="s">
        <v>209</v>
      </c>
      <c r="E1447" s="1" t="s">
        <v>64</v>
      </c>
      <c r="F1447">
        <v>82</v>
      </c>
      <c r="G1447" s="1" t="s">
        <v>65</v>
      </c>
      <c r="H1447">
        <v>82049</v>
      </c>
      <c r="I1447">
        <v>3000</v>
      </c>
      <c r="J1447">
        <v>1800</v>
      </c>
      <c r="K1447">
        <v>1080</v>
      </c>
      <c r="L1447">
        <v>600</v>
      </c>
    </row>
    <row r="1448" spans="1:12" hidden="1" x14ac:dyDescent="0.25">
      <c r="A1448">
        <v>1447</v>
      </c>
      <c r="B1448" s="1" t="s">
        <v>12</v>
      </c>
      <c r="C1448">
        <v>1944</v>
      </c>
      <c r="D1448" s="1" t="s">
        <v>209</v>
      </c>
      <c r="E1448" s="1" t="s">
        <v>64</v>
      </c>
      <c r="F1448">
        <v>82</v>
      </c>
      <c r="G1448" s="1" t="s">
        <v>62</v>
      </c>
      <c r="H1448">
        <v>82098</v>
      </c>
      <c r="I1448">
        <v>400</v>
      </c>
      <c r="J1448">
        <v>120</v>
      </c>
      <c r="K1448">
        <v>142</v>
      </c>
      <c r="L1448">
        <v>1183</v>
      </c>
    </row>
    <row r="1449" spans="1:12" hidden="1" x14ac:dyDescent="0.25">
      <c r="A1449">
        <v>1448</v>
      </c>
      <c r="B1449" s="1" t="s">
        <v>12</v>
      </c>
      <c r="C1449">
        <v>1944</v>
      </c>
      <c r="D1449" s="1" t="s">
        <v>209</v>
      </c>
      <c r="E1449" s="1" t="s">
        <v>64</v>
      </c>
      <c r="F1449">
        <v>82</v>
      </c>
      <c r="G1449" s="1" t="s">
        <v>28</v>
      </c>
      <c r="H1449">
        <v>82063</v>
      </c>
      <c r="I1449">
        <v>150</v>
      </c>
      <c r="J1449">
        <v>80</v>
      </c>
      <c r="K1449">
        <v>80</v>
      </c>
      <c r="L1449">
        <v>1000</v>
      </c>
    </row>
    <row r="1450" spans="1:12" hidden="1" x14ac:dyDescent="0.25">
      <c r="A1450">
        <v>1449</v>
      </c>
      <c r="B1450" s="1" t="s">
        <v>12</v>
      </c>
      <c r="C1450">
        <v>1944</v>
      </c>
      <c r="D1450" s="1" t="s">
        <v>209</v>
      </c>
      <c r="E1450" s="1" t="s">
        <v>64</v>
      </c>
      <c r="F1450">
        <v>82</v>
      </c>
      <c r="G1450" s="1" t="s">
        <v>67</v>
      </c>
      <c r="H1450">
        <v>82112</v>
      </c>
      <c r="I1450">
        <v>100</v>
      </c>
      <c r="J1450">
        <v>80</v>
      </c>
      <c r="K1450">
        <v>56</v>
      </c>
      <c r="L1450">
        <v>700</v>
      </c>
    </row>
    <row r="1451" spans="1:12" hidden="1" x14ac:dyDescent="0.25">
      <c r="A1451">
        <v>1450</v>
      </c>
      <c r="B1451" s="1" t="s">
        <v>12</v>
      </c>
      <c r="C1451">
        <v>1944</v>
      </c>
      <c r="D1451" s="1" t="s">
        <v>209</v>
      </c>
      <c r="E1451" s="1" t="s">
        <v>68</v>
      </c>
      <c r="F1451">
        <v>86</v>
      </c>
      <c r="G1451" s="1" t="s">
        <v>69</v>
      </c>
      <c r="H1451">
        <v>86077</v>
      </c>
      <c r="I1451">
        <v>62</v>
      </c>
      <c r="J1451">
        <v>40</v>
      </c>
      <c r="K1451">
        <v>12</v>
      </c>
      <c r="L1451">
        <v>300</v>
      </c>
    </row>
    <row r="1452" spans="1:12" hidden="1" x14ac:dyDescent="0.25">
      <c r="A1452">
        <v>1451</v>
      </c>
      <c r="B1452" s="1" t="s">
        <v>12</v>
      </c>
      <c r="C1452">
        <v>1944</v>
      </c>
      <c r="D1452" s="1" t="s">
        <v>209</v>
      </c>
      <c r="E1452" s="1" t="s">
        <v>68</v>
      </c>
      <c r="F1452">
        <v>86</v>
      </c>
      <c r="G1452" s="1" t="s">
        <v>156</v>
      </c>
      <c r="H1452">
        <v>86042</v>
      </c>
      <c r="I1452">
        <v>60</v>
      </c>
      <c r="J1452">
        <v>40</v>
      </c>
      <c r="K1452">
        <v>12</v>
      </c>
      <c r="L1452">
        <v>300</v>
      </c>
    </row>
    <row r="1453" spans="1:12" hidden="1" x14ac:dyDescent="0.25">
      <c r="A1453">
        <v>1452</v>
      </c>
      <c r="B1453" s="1" t="s">
        <v>12</v>
      </c>
      <c r="C1453">
        <v>1944</v>
      </c>
      <c r="D1453" s="1" t="s">
        <v>209</v>
      </c>
      <c r="E1453" s="1" t="s">
        <v>68</v>
      </c>
      <c r="F1453">
        <v>86</v>
      </c>
      <c r="G1453" s="1" t="s">
        <v>71</v>
      </c>
      <c r="H1453">
        <v>86112</v>
      </c>
      <c r="I1453">
        <v>30</v>
      </c>
      <c r="J1453">
        <v>20</v>
      </c>
      <c r="K1453">
        <v>5</v>
      </c>
      <c r="L1453">
        <v>250</v>
      </c>
    </row>
    <row r="1454" spans="1:12" hidden="1" x14ac:dyDescent="0.25">
      <c r="A1454">
        <v>1453</v>
      </c>
      <c r="B1454" s="1" t="s">
        <v>12</v>
      </c>
      <c r="C1454">
        <v>1944</v>
      </c>
      <c r="D1454" s="1" t="s">
        <v>209</v>
      </c>
      <c r="E1454" s="1" t="s">
        <v>68</v>
      </c>
      <c r="F1454">
        <v>86</v>
      </c>
      <c r="G1454" s="1" t="s">
        <v>198</v>
      </c>
      <c r="H1454">
        <v>86028</v>
      </c>
      <c r="I1454">
        <v>21</v>
      </c>
      <c r="J1454">
        <v>15</v>
      </c>
      <c r="K1454">
        <v>45</v>
      </c>
      <c r="L1454">
        <v>300</v>
      </c>
    </row>
    <row r="1455" spans="1:12" hidden="1" x14ac:dyDescent="0.25">
      <c r="A1455">
        <v>1454</v>
      </c>
      <c r="B1455" s="1" t="s">
        <v>12</v>
      </c>
      <c r="C1455">
        <v>1944</v>
      </c>
      <c r="D1455" s="1" t="s">
        <v>209</v>
      </c>
      <c r="E1455" s="1" t="s">
        <v>68</v>
      </c>
      <c r="F1455">
        <v>86</v>
      </c>
      <c r="G1455" s="1" t="s">
        <v>70</v>
      </c>
      <c r="H1455">
        <v>86098</v>
      </c>
      <c r="I1455">
        <v>20</v>
      </c>
      <c r="J1455">
        <v>15</v>
      </c>
      <c r="K1455">
        <v>3</v>
      </c>
      <c r="L1455">
        <v>200</v>
      </c>
    </row>
    <row r="1456" spans="1:12" hidden="1" x14ac:dyDescent="0.25">
      <c r="A1456">
        <v>1455</v>
      </c>
      <c r="B1456" s="1" t="s">
        <v>12</v>
      </c>
      <c r="C1456">
        <v>1944</v>
      </c>
      <c r="D1456" s="1" t="s">
        <v>209</v>
      </c>
      <c r="E1456" s="1" t="s">
        <v>68</v>
      </c>
      <c r="F1456">
        <v>86</v>
      </c>
      <c r="G1456" s="1" t="s">
        <v>161</v>
      </c>
      <c r="H1456">
        <v>86154</v>
      </c>
      <c r="I1456">
        <v>7</v>
      </c>
    </row>
    <row r="1457" spans="1:12" hidden="1" x14ac:dyDescent="0.25">
      <c r="A1457">
        <v>1456</v>
      </c>
      <c r="B1457" s="1" t="s">
        <v>12</v>
      </c>
      <c r="C1457">
        <v>1944</v>
      </c>
      <c r="D1457" s="1" t="s">
        <v>209</v>
      </c>
      <c r="E1457" s="1" t="s">
        <v>68</v>
      </c>
      <c r="F1457">
        <v>86</v>
      </c>
      <c r="G1457" s="1" t="s">
        <v>200</v>
      </c>
      <c r="H1457">
        <v>86007</v>
      </c>
      <c r="I1457">
        <v>5</v>
      </c>
      <c r="J1457">
        <v>2</v>
      </c>
      <c r="K1457">
        <v>5</v>
      </c>
      <c r="L1457">
        <v>190</v>
      </c>
    </row>
    <row r="1458" spans="1:12" hidden="1" x14ac:dyDescent="0.25">
      <c r="A1458">
        <v>1457</v>
      </c>
      <c r="B1458" s="1" t="s">
        <v>12</v>
      </c>
      <c r="C1458">
        <v>1944</v>
      </c>
      <c r="D1458" s="1" t="s">
        <v>209</v>
      </c>
      <c r="E1458" s="1" t="s">
        <v>68</v>
      </c>
      <c r="F1458">
        <v>86</v>
      </c>
      <c r="G1458" s="1" t="s">
        <v>201</v>
      </c>
      <c r="H1458">
        <v>86056</v>
      </c>
      <c r="I1458">
        <v>3</v>
      </c>
    </row>
    <row r="1459" spans="1:12" hidden="1" x14ac:dyDescent="0.25">
      <c r="A1459">
        <v>1458</v>
      </c>
      <c r="B1459" s="1" t="s">
        <v>12</v>
      </c>
      <c r="C1459">
        <v>1944</v>
      </c>
      <c r="D1459" s="1" t="s">
        <v>209</v>
      </c>
      <c r="E1459" s="1" t="s">
        <v>68</v>
      </c>
      <c r="F1459">
        <v>86</v>
      </c>
      <c r="G1459" s="1" t="s">
        <v>202</v>
      </c>
      <c r="H1459">
        <v>86014</v>
      </c>
      <c r="I1459">
        <v>2</v>
      </c>
    </row>
    <row r="1460" spans="1:12" hidden="1" x14ac:dyDescent="0.25">
      <c r="A1460">
        <v>1459</v>
      </c>
      <c r="B1460" s="1" t="s">
        <v>12</v>
      </c>
      <c r="C1460">
        <v>1944</v>
      </c>
      <c r="D1460" s="1" t="s">
        <v>209</v>
      </c>
      <c r="E1460" s="1" t="s">
        <v>77</v>
      </c>
      <c r="F1460">
        <v>90</v>
      </c>
      <c r="G1460" s="1" t="s">
        <v>78</v>
      </c>
      <c r="H1460">
        <v>90007</v>
      </c>
      <c r="I1460">
        <v>1000</v>
      </c>
      <c r="J1460">
        <v>900</v>
      </c>
      <c r="K1460">
        <v>810</v>
      </c>
      <c r="L1460">
        <v>900</v>
      </c>
    </row>
    <row r="1461" spans="1:12" hidden="1" x14ac:dyDescent="0.25">
      <c r="A1461">
        <v>1460</v>
      </c>
      <c r="B1461" s="1" t="s">
        <v>12</v>
      </c>
      <c r="C1461">
        <v>1944</v>
      </c>
      <c r="D1461" s="1" t="s">
        <v>209</v>
      </c>
      <c r="E1461" s="1" t="s">
        <v>77</v>
      </c>
      <c r="F1461">
        <v>90</v>
      </c>
      <c r="G1461" s="1" t="s">
        <v>91</v>
      </c>
      <c r="H1461">
        <v>90014</v>
      </c>
      <c r="I1461">
        <v>147</v>
      </c>
      <c r="J1461">
        <v>147</v>
      </c>
      <c r="K1461">
        <v>135</v>
      </c>
      <c r="L1461">
        <v>918</v>
      </c>
    </row>
    <row r="1462" spans="1:12" hidden="1" x14ac:dyDescent="0.25">
      <c r="A1462">
        <v>1461</v>
      </c>
      <c r="B1462" s="1" t="s">
        <v>12</v>
      </c>
      <c r="C1462">
        <v>1944</v>
      </c>
      <c r="D1462" s="1" t="s">
        <v>209</v>
      </c>
      <c r="E1462" s="1" t="s">
        <v>77</v>
      </c>
      <c r="F1462">
        <v>90</v>
      </c>
      <c r="G1462" s="1" t="s">
        <v>92</v>
      </c>
      <c r="H1462">
        <v>90056</v>
      </c>
      <c r="I1462">
        <v>50</v>
      </c>
      <c r="J1462">
        <v>50</v>
      </c>
      <c r="K1462">
        <v>45</v>
      </c>
      <c r="L1462">
        <v>900</v>
      </c>
    </row>
    <row r="1463" spans="1:12" hidden="1" x14ac:dyDescent="0.25">
      <c r="A1463">
        <v>1462</v>
      </c>
      <c r="B1463" s="1" t="s">
        <v>12</v>
      </c>
      <c r="C1463">
        <v>1944</v>
      </c>
      <c r="D1463" s="1" t="s">
        <v>209</v>
      </c>
      <c r="E1463" s="1" t="s">
        <v>77</v>
      </c>
      <c r="F1463">
        <v>90</v>
      </c>
      <c r="G1463" s="1" t="s">
        <v>89</v>
      </c>
      <c r="H1463">
        <v>90028</v>
      </c>
      <c r="I1463">
        <v>20</v>
      </c>
      <c r="J1463">
        <v>20</v>
      </c>
      <c r="K1463">
        <v>18</v>
      </c>
      <c r="L1463">
        <v>900</v>
      </c>
    </row>
    <row r="1464" spans="1:12" hidden="1" x14ac:dyDescent="0.25">
      <c r="A1464">
        <v>1463</v>
      </c>
      <c r="B1464" s="1" t="s">
        <v>12</v>
      </c>
      <c r="C1464">
        <v>1944</v>
      </c>
      <c r="D1464" s="1" t="s">
        <v>209</v>
      </c>
      <c r="E1464" s="1" t="s">
        <v>77</v>
      </c>
      <c r="F1464">
        <v>90</v>
      </c>
      <c r="G1464" s="1" t="s">
        <v>95</v>
      </c>
      <c r="H1464">
        <v>90035</v>
      </c>
      <c r="I1464">
        <v>20</v>
      </c>
    </row>
    <row r="1465" spans="1:12" hidden="1" x14ac:dyDescent="0.25">
      <c r="A1465">
        <v>1464</v>
      </c>
      <c r="B1465" s="1" t="s">
        <v>12</v>
      </c>
      <c r="C1465">
        <v>1944</v>
      </c>
      <c r="D1465" s="1" t="s">
        <v>209</v>
      </c>
      <c r="E1465" s="1" t="s">
        <v>77</v>
      </c>
      <c r="F1465">
        <v>90</v>
      </c>
      <c r="G1465" s="1" t="s">
        <v>93</v>
      </c>
      <c r="H1465">
        <v>90070</v>
      </c>
      <c r="I1465">
        <v>20</v>
      </c>
      <c r="J1465">
        <v>20</v>
      </c>
      <c r="K1465">
        <v>18</v>
      </c>
      <c r="L1465">
        <v>900</v>
      </c>
    </row>
    <row r="1466" spans="1:12" hidden="1" x14ac:dyDescent="0.25">
      <c r="A1466">
        <v>1465</v>
      </c>
      <c r="B1466" s="1" t="s">
        <v>12</v>
      </c>
      <c r="C1466">
        <v>1944</v>
      </c>
      <c r="D1466" s="1" t="s">
        <v>209</v>
      </c>
      <c r="E1466" s="1" t="s">
        <v>77</v>
      </c>
      <c r="F1466">
        <v>90</v>
      </c>
      <c r="G1466" s="1" t="s">
        <v>109</v>
      </c>
      <c r="H1466">
        <v>90077</v>
      </c>
      <c r="I1466">
        <v>20</v>
      </c>
      <c r="J1466">
        <v>20</v>
      </c>
      <c r="K1466">
        <v>18</v>
      </c>
      <c r="L1466">
        <v>900</v>
      </c>
    </row>
    <row r="1467" spans="1:12" hidden="1" x14ac:dyDescent="0.25">
      <c r="A1467">
        <v>1466</v>
      </c>
      <c r="B1467" s="1" t="s">
        <v>12</v>
      </c>
      <c r="C1467">
        <v>1944</v>
      </c>
      <c r="D1467" s="1" t="s">
        <v>209</v>
      </c>
      <c r="E1467" s="1" t="s">
        <v>77</v>
      </c>
      <c r="F1467">
        <v>90</v>
      </c>
      <c r="G1467" s="1" t="s">
        <v>110</v>
      </c>
      <c r="H1467">
        <v>90021</v>
      </c>
      <c r="I1467">
        <v>10</v>
      </c>
      <c r="J1467">
        <v>10</v>
      </c>
      <c r="K1467">
        <v>9</v>
      </c>
      <c r="L1467">
        <v>900</v>
      </c>
    </row>
    <row r="1468" spans="1:12" hidden="1" x14ac:dyDescent="0.25">
      <c r="A1468">
        <v>1467</v>
      </c>
      <c r="B1468" s="1" t="s">
        <v>12</v>
      </c>
      <c r="C1468">
        <v>1944</v>
      </c>
      <c r="D1468" s="1" t="s">
        <v>209</v>
      </c>
      <c r="E1468" s="1" t="s">
        <v>77</v>
      </c>
      <c r="F1468">
        <v>90</v>
      </c>
      <c r="G1468" s="1" t="s">
        <v>94</v>
      </c>
      <c r="H1468">
        <v>90105</v>
      </c>
      <c r="I1468">
        <v>3</v>
      </c>
      <c r="J1468">
        <v>3</v>
      </c>
      <c r="K1468">
        <v>3</v>
      </c>
      <c r="L1468">
        <v>1000</v>
      </c>
    </row>
    <row r="1469" spans="1:12" hidden="1" x14ac:dyDescent="0.25">
      <c r="A1469">
        <v>1468</v>
      </c>
      <c r="B1469" s="1" t="s">
        <v>12</v>
      </c>
      <c r="C1469">
        <v>1945</v>
      </c>
      <c r="D1469" s="1" t="s">
        <v>210</v>
      </c>
      <c r="E1469" s="1" t="s">
        <v>14</v>
      </c>
      <c r="F1469">
        <v>22</v>
      </c>
      <c r="G1469" s="1" t="s">
        <v>17</v>
      </c>
      <c r="H1469">
        <v>22140</v>
      </c>
      <c r="I1469">
        <v>50</v>
      </c>
      <c r="J1469">
        <v>50</v>
      </c>
      <c r="K1469">
        <v>40</v>
      </c>
      <c r="L1469">
        <v>800</v>
      </c>
    </row>
    <row r="1470" spans="1:12" hidden="1" x14ac:dyDescent="0.25">
      <c r="A1470">
        <v>1469</v>
      </c>
      <c r="B1470" s="1" t="s">
        <v>12</v>
      </c>
      <c r="C1470">
        <v>1945</v>
      </c>
      <c r="D1470" s="1" t="s">
        <v>210</v>
      </c>
      <c r="E1470" s="1" t="s">
        <v>14</v>
      </c>
      <c r="F1470">
        <v>22</v>
      </c>
      <c r="G1470" s="1" t="s">
        <v>18</v>
      </c>
      <c r="H1470">
        <v>22084</v>
      </c>
      <c r="I1470">
        <v>20</v>
      </c>
      <c r="J1470">
        <v>20</v>
      </c>
      <c r="K1470">
        <v>14</v>
      </c>
      <c r="L1470">
        <v>700</v>
      </c>
    </row>
    <row r="1471" spans="1:12" hidden="1" x14ac:dyDescent="0.25">
      <c r="A1471">
        <v>1470</v>
      </c>
      <c r="B1471" s="1" t="s">
        <v>12</v>
      </c>
      <c r="C1471">
        <v>1945</v>
      </c>
      <c r="D1471" s="1" t="s">
        <v>210</v>
      </c>
      <c r="E1471" s="1" t="s">
        <v>14</v>
      </c>
      <c r="F1471">
        <v>22</v>
      </c>
      <c r="G1471" s="1" t="s">
        <v>20</v>
      </c>
      <c r="H1471">
        <v>22091</v>
      </c>
      <c r="I1471">
        <v>20</v>
      </c>
      <c r="J1471">
        <v>20</v>
      </c>
      <c r="K1471">
        <v>16</v>
      </c>
      <c r="L1471">
        <v>800</v>
      </c>
    </row>
    <row r="1472" spans="1:12" hidden="1" x14ac:dyDescent="0.25">
      <c r="A1472">
        <v>1471</v>
      </c>
      <c r="B1472" s="1" t="s">
        <v>12</v>
      </c>
      <c r="C1472">
        <v>1945</v>
      </c>
      <c r="D1472" s="1" t="s">
        <v>210</v>
      </c>
      <c r="E1472" s="1" t="s">
        <v>14</v>
      </c>
      <c r="F1472">
        <v>22</v>
      </c>
      <c r="G1472" s="1" t="s">
        <v>19</v>
      </c>
      <c r="H1472">
        <v>22014</v>
      </c>
      <c r="I1472">
        <v>15</v>
      </c>
      <c r="J1472">
        <v>15</v>
      </c>
      <c r="K1472">
        <v>12</v>
      </c>
      <c r="L1472">
        <v>800</v>
      </c>
    </row>
    <row r="1473" spans="1:12" hidden="1" x14ac:dyDescent="0.25">
      <c r="A1473">
        <v>1472</v>
      </c>
      <c r="B1473" s="1" t="s">
        <v>12</v>
      </c>
      <c r="C1473">
        <v>1945</v>
      </c>
      <c r="D1473" s="1" t="s">
        <v>210</v>
      </c>
      <c r="E1473" s="1" t="s">
        <v>14</v>
      </c>
      <c r="F1473">
        <v>22</v>
      </c>
      <c r="G1473" s="1" t="s">
        <v>21</v>
      </c>
      <c r="H1473">
        <v>22161</v>
      </c>
      <c r="I1473">
        <v>10</v>
      </c>
      <c r="J1473">
        <v>10</v>
      </c>
      <c r="K1473">
        <v>6</v>
      </c>
      <c r="L1473">
        <v>600</v>
      </c>
    </row>
    <row r="1474" spans="1:12" hidden="1" x14ac:dyDescent="0.25">
      <c r="A1474">
        <v>1473</v>
      </c>
      <c r="B1474" s="1" t="s">
        <v>12</v>
      </c>
      <c r="C1474">
        <v>1945</v>
      </c>
      <c r="D1474" s="1" t="s">
        <v>210</v>
      </c>
      <c r="E1474" s="1" t="s">
        <v>22</v>
      </c>
      <c r="F1474">
        <v>14</v>
      </c>
      <c r="G1474" s="1" t="s">
        <v>24</v>
      </c>
      <c r="H1474">
        <v>14119</v>
      </c>
      <c r="I1474">
        <v>60000</v>
      </c>
      <c r="J1474">
        <v>51000</v>
      </c>
      <c r="K1474">
        <v>51000</v>
      </c>
      <c r="L1474">
        <v>1000</v>
      </c>
    </row>
    <row r="1475" spans="1:12" hidden="1" x14ac:dyDescent="0.25">
      <c r="A1475">
        <v>1474</v>
      </c>
      <c r="B1475" s="1" t="s">
        <v>12</v>
      </c>
      <c r="C1475">
        <v>1945</v>
      </c>
      <c r="D1475" s="1" t="s">
        <v>210</v>
      </c>
      <c r="E1475" s="1" t="s">
        <v>22</v>
      </c>
      <c r="F1475">
        <v>14</v>
      </c>
      <c r="G1475" s="1" t="s">
        <v>183</v>
      </c>
      <c r="H1475">
        <v>14007</v>
      </c>
      <c r="I1475">
        <v>40000</v>
      </c>
      <c r="J1475">
        <v>34000</v>
      </c>
      <c r="K1475">
        <v>33340</v>
      </c>
      <c r="L1475">
        <v>980</v>
      </c>
    </row>
    <row r="1476" spans="1:12" hidden="1" x14ac:dyDescent="0.25">
      <c r="A1476">
        <v>1475</v>
      </c>
      <c r="B1476" s="1" t="s">
        <v>12</v>
      </c>
      <c r="C1476">
        <v>1945</v>
      </c>
      <c r="D1476" s="1" t="s">
        <v>210</v>
      </c>
      <c r="E1476" s="1" t="s">
        <v>22</v>
      </c>
      <c r="F1476">
        <v>14</v>
      </c>
      <c r="G1476" s="1" t="s">
        <v>23</v>
      </c>
      <c r="H1476">
        <v>14147</v>
      </c>
      <c r="I1476">
        <v>35000</v>
      </c>
      <c r="J1476">
        <v>29000</v>
      </c>
      <c r="K1476">
        <v>29690</v>
      </c>
      <c r="L1476">
        <v>1024</v>
      </c>
    </row>
    <row r="1477" spans="1:12" hidden="1" x14ac:dyDescent="0.25">
      <c r="A1477">
        <v>1476</v>
      </c>
      <c r="B1477" s="1" t="s">
        <v>12</v>
      </c>
      <c r="C1477">
        <v>1945</v>
      </c>
      <c r="D1477" s="1" t="s">
        <v>210</v>
      </c>
      <c r="E1477" s="1" t="s">
        <v>22</v>
      </c>
      <c r="F1477">
        <v>14</v>
      </c>
      <c r="G1477" s="1" t="s">
        <v>97</v>
      </c>
      <c r="H1477">
        <v>14007</v>
      </c>
      <c r="I1477">
        <v>10000</v>
      </c>
      <c r="J1477">
        <v>9200</v>
      </c>
      <c r="K1477">
        <v>8280</v>
      </c>
      <c r="L1477">
        <v>900</v>
      </c>
    </row>
    <row r="1478" spans="1:12" hidden="1" x14ac:dyDescent="0.25">
      <c r="A1478">
        <v>1477</v>
      </c>
      <c r="B1478" s="1" t="s">
        <v>12</v>
      </c>
      <c r="C1478">
        <v>1945</v>
      </c>
      <c r="D1478" s="1" t="s">
        <v>210</v>
      </c>
      <c r="E1478" s="1" t="s">
        <v>22</v>
      </c>
      <c r="F1478">
        <v>14</v>
      </c>
      <c r="G1478" s="1" t="s">
        <v>25</v>
      </c>
      <c r="H1478">
        <v>14105</v>
      </c>
      <c r="I1478">
        <v>5900</v>
      </c>
      <c r="J1478">
        <v>5100</v>
      </c>
      <c r="K1478">
        <v>4845</v>
      </c>
      <c r="L1478">
        <v>950</v>
      </c>
    </row>
    <row r="1479" spans="1:12" hidden="1" x14ac:dyDescent="0.25">
      <c r="A1479">
        <v>1478</v>
      </c>
      <c r="B1479" s="1" t="s">
        <v>12</v>
      </c>
      <c r="C1479">
        <v>1945</v>
      </c>
      <c r="D1479" s="1" t="s">
        <v>210</v>
      </c>
      <c r="E1479" s="1" t="s">
        <v>22</v>
      </c>
      <c r="F1479">
        <v>14</v>
      </c>
      <c r="G1479" s="1" t="s">
        <v>29</v>
      </c>
      <c r="H1479">
        <v>14098</v>
      </c>
      <c r="I1479">
        <v>5000</v>
      </c>
      <c r="J1479">
        <v>3000</v>
      </c>
      <c r="K1479">
        <v>2850</v>
      </c>
      <c r="L1479">
        <v>950</v>
      </c>
    </row>
    <row r="1480" spans="1:12" hidden="1" x14ac:dyDescent="0.25">
      <c r="A1480">
        <v>1479</v>
      </c>
      <c r="B1480" s="1" t="s">
        <v>12</v>
      </c>
      <c r="C1480">
        <v>1945</v>
      </c>
      <c r="D1480" s="1" t="s">
        <v>210</v>
      </c>
      <c r="E1480" s="1" t="s">
        <v>22</v>
      </c>
      <c r="F1480">
        <v>14</v>
      </c>
      <c r="G1480" s="1" t="s">
        <v>143</v>
      </c>
      <c r="H1480">
        <v>14056</v>
      </c>
      <c r="I1480">
        <v>1850</v>
      </c>
      <c r="J1480">
        <v>1000</v>
      </c>
      <c r="K1480">
        <v>950</v>
      </c>
      <c r="L1480">
        <v>950</v>
      </c>
    </row>
    <row r="1481" spans="1:12" hidden="1" x14ac:dyDescent="0.25">
      <c r="A1481">
        <v>1480</v>
      </c>
      <c r="B1481" s="1" t="s">
        <v>12</v>
      </c>
      <c r="C1481">
        <v>1945</v>
      </c>
      <c r="D1481" s="1" t="s">
        <v>210</v>
      </c>
      <c r="E1481" s="1" t="s">
        <v>22</v>
      </c>
      <c r="F1481">
        <v>14</v>
      </c>
      <c r="G1481" s="1" t="s">
        <v>28</v>
      </c>
      <c r="H1481">
        <v>14014</v>
      </c>
      <c r="I1481">
        <v>1150</v>
      </c>
      <c r="J1481">
        <v>1050</v>
      </c>
      <c r="K1481">
        <v>1260</v>
      </c>
      <c r="L1481">
        <v>1200</v>
      </c>
    </row>
    <row r="1482" spans="1:12" hidden="1" x14ac:dyDescent="0.25">
      <c r="A1482">
        <v>1481</v>
      </c>
      <c r="B1482" s="1" t="s">
        <v>12</v>
      </c>
      <c r="C1482">
        <v>1945</v>
      </c>
      <c r="D1482" s="1" t="s">
        <v>210</v>
      </c>
      <c r="E1482" s="1" t="s">
        <v>22</v>
      </c>
      <c r="F1482">
        <v>14</v>
      </c>
      <c r="G1482" s="1" t="s">
        <v>67</v>
      </c>
      <c r="H1482">
        <v>14140</v>
      </c>
      <c r="I1482">
        <v>1000</v>
      </c>
      <c r="J1482">
        <v>700</v>
      </c>
      <c r="K1482">
        <v>560</v>
      </c>
      <c r="L1482">
        <v>800</v>
      </c>
    </row>
    <row r="1483" spans="1:12" hidden="1" x14ac:dyDescent="0.25">
      <c r="A1483">
        <v>1482</v>
      </c>
      <c r="B1483" s="1" t="s">
        <v>12</v>
      </c>
      <c r="C1483">
        <v>1945</v>
      </c>
      <c r="D1483" s="1" t="s">
        <v>210</v>
      </c>
      <c r="E1483" s="1" t="s">
        <v>22</v>
      </c>
      <c r="F1483">
        <v>14</v>
      </c>
      <c r="G1483" s="1" t="s">
        <v>184</v>
      </c>
      <c r="H1483">
        <v>14042</v>
      </c>
      <c r="I1483">
        <v>600</v>
      </c>
      <c r="J1483">
        <v>550</v>
      </c>
      <c r="K1483">
        <v>385</v>
      </c>
      <c r="L1483">
        <v>700</v>
      </c>
    </row>
    <row r="1484" spans="1:12" hidden="1" x14ac:dyDescent="0.25">
      <c r="A1484">
        <v>1483</v>
      </c>
      <c r="B1484" s="1" t="s">
        <v>12</v>
      </c>
      <c r="C1484">
        <v>1945</v>
      </c>
      <c r="D1484" s="1" t="s">
        <v>210</v>
      </c>
      <c r="E1484" s="1" t="s">
        <v>22</v>
      </c>
      <c r="F1484">
        <v>14</v>
      </c>
      <c r="G1484" s="1" t="s">
        <v>206</v>
      </c>
      <c r="H1484">
        <v>14084</v>
      </c>
      <c r="I1484">
        <v>300</v>
      </c>
    </row>
    <row r="1485" spans="1:12" hidden="1" x14ac:dyDescent="0.25">
      <c r="A1485">
        <v>1484</v>
      </c>
      <c r="B1485" s="1" t="s">
        <v>12</v>
      </c>
      <c r="C1485">
        <v>1945</v>
      </c>
      <c r="D1485" s="1" t="s">
        <v>210</v>
      </c>
      <c r="E1485" s="1" t="s">
        <v>22</v>
      </c>
      <c r="F1485">
        <v>14</v>
      </c>
      <c r="G1485" s="1" t="s">
        <v>27</v>
      </c>
      <c r="H1485">
        <v>14021</v>
      </c>
      <c r="I1485">
        <v>140</v>
      </c>
      <c r="J1485">
        <v>130</v>
      </c>
      <c r="K1485">
        <v>143</v>
      </c>
      <c r="L1485">
        <v>1100</v>
      </c>
    </row>
    <row r="1486" spans="1:12" hidden="1" x14ac:dyDescent="0.25">
      <c r="A1486">
        <v>1485</v>
      </c>
      <c r="B1486" s="1" t="s">
        <v>12</v>
      </c>
      <c r="C1486">
        <v>1945</v>
      </c>
      <c r="D1486" s="1" t="s">
        <v>210</v>
      </c>
      <c r="E1486" s="1" t="s">
        <v>22</v>
      </c>
      <c r="F1486">
        <v>14</v>
      </c>
      <c r="G1486" s="1" t="s">
        <v>169</v>
      </c>
      <c r="H1486">
        <v>14126</v>
      </c>
      <c r="I1486">
        <v>100</v>
      </c>
      <c r="J1486">
        <v>90</v>
      </c>
      <c r="K1486">
        <v>99</v>
      </c>
      <c r="L1486">
        <v>1100</v>
      </c>
    </row>
    <row r="1487" spans="1:12" hidden="1" x14ac:dyDescent="0.25">
      <c r="A1487">
        <v>1486</v>
      </c>
      <c r="B1487" s="1" t="s">
        <v>12</v>
      </c>
      <c r="C1487">
        <v>1945</v>
      </c>
      <c r="D1487" s="1" t="s">
        <v>210</v>
      </c>
      <c r="E1487" s="1" t="s">
        <v>22</v>
      </c>
      <c r="F1487">
        <v>14</v>
      </c>
      <c r="G1487" s="1" t="s">
        <v>62</v>
      </c>
      <c r="H1487">
        <v>14133</v>
      </c>
      <c r="I1487">
        <v>80</v>
      </c>
      <c r="J1487">
        <v>72</v>
      </c>
      <c r="K1487">
        <v>79</v>
      </c>
      <c r="L1487">
        <v>1100</v>
      </c>
    </row>
    <row r="1488" spans="1:12" hidden="1" x14ac:dyDescent="0.25">
      <c r="A1488">
        <v>1487</v>
      </c>
      <c r="B1488" s="1" t="s">
        <v>12</v>
      </c>
      <c r="C1488">
        <v>1945</v>
      </c>
      <c r="D1488" s="1" t="s">
        <v>210</v>
      </c>
      <c r="E1488" s="1" t="s">
        <v>22</v>
      </c>
      <c r="F1488">
        <v>14</v>
      </c>
      <c r="G1488" s="1" t="s">
        <v>171</v>
      </c>
      <c r="H1488">
        <v>14112</v>
      </c>
      <c r="I1488">
        <v>70</v>
      </c>
      <c r="J1488">
        <v>70</v>
      </c>
      <c r="K1488">
        <v>70</v>
      </c>
      <c r="L1488">
        <v>1000</v>
      </c>
    </row>
    <row r="1489" spans="1:12" hidden="1" x14ac:dyDescent="0.25">
      <c r="A1489">
        <v>1488</v>
      </c>
      <c r="B1489" s="1" t="s">
        <v>12</v>
      </c>
      <c r="C1489">
        <v>1945</v>
      </c>
      <c r="D1489" s="1" t="s">
        <v>210</v>
      </c>
      <c r="E1489" s="1" t="s">
        <v>22</v>
      </c>
      <c r="F1489">
        <v>14</v>
      </c>
      <c r="G1489" s="1" t="s">
        <v>114</v>
      </c>
      <c r="H1489">
        <v>14168</v>
      </c>
      <c r="I1489">
        <v>50</v>
      </c>
      <c r="J1489">
        <v>37</v>
      </c>
      <c r="K1489">
        <v>37</v>
      </c>
      <c r="L1489">
        <v>1000</v>
      </c>
    </row>
    <row r="1490" spans="1:12" hidden="1" x14ac:dyDescent="0.25">
      <c r="A1490">
        <v>1489</v>
      </c>
      <c r="B1490" s="1" t="s">
        <v>12</v>
      </c>
      <c r="C1490">
        <v>1945</v>
      </c>
      <c r="D1490" s="1" t="s">
        <v>210</v>
      </c>
      <c r="E1490" s="1" t="s">
        <v>22</v>
      </c>
      <c r="F1490">
        <v>14</v>
      </c>
      <c r="G1490" s="1" t="s">
        <v>186</v>
      </c>
      <c r="H1490">
        <v>14175</v>
      </c>
      <c r="I1490">
        <v>30</v>
      </c>
      <c r="J1490">
        <v>23</v>
      </c>
      <c r="K1490">
        <v>18</v>
      </c>
      <c r="L1490">
        <v>800</v>
      </c>
    </row>
    <row r="1491" spans="1:12" hidden="1" x14ac:dyDescent="0.25">
      <c r="A1491">
        <v>1490</v>
      </c>
      <c r="B1491" s="1" t="s">
        <v>12</v>
      </c>
      <c r="C1491">
        <v>1945</v>
      </c>
      <c r="D1491" s="1" t="s">
        <v>210</v>
      </c>
      <c r="E1491" s="1" t="s">
        <v>22</v>
      </c>
      <c r="F1491">
        <v>14</v>
      </c>
      <c r="G1491" s="1" t="s">
        <v>173</v>
      </c>
      <c r="H1491">
        <v>14028</v>
      </c>
      <c r="I1491">
        <v>15</v>
      </c>
      <c r="J1491">
        <v>14</v>
      </c>
      <c r="K1491">
        <v>14</v>
      </c>
      <c r="L1491">
        <v>1000</v>
      </c>
    </row>
    <row r="1492" spans="1:12" hidden="1" x14ac:dyDescent="0.25">
      <c r="A1492">
        <v>1491</v>
      </c>
      <c r="B1492" s="1" t="s">
        <v>12</v>
      </c>
      <c r="C1492">
        <v>1945</v>
      </c>
      <c r="D1492" s="1" t="s">
        <v>210</v>
      </c>
      <c r="E1492" s="1" t="s">
        <v>22</v>
      </c>
      <c r="F1492">
        <v>14</v>
      </c>
      <c r="G1492" s="1" t="s">
        <v>172</v>
      </c>
      <c r="H1492">
        <v>14091</v>
      </c>
      <c r="I1492">
        <v>8</v>
      </c>
      <c r="J1492">
        <v>7</v>
      </c>
      <c r="K1492">
        <v>6</v>
      </c>
      <c r="L1492">
        <v>900</v>
      </c>
    </row>
    <row r="1493" spans="1:12" hidden="1" x14ac:dyDescent="0.25">
      <c r="A1493">
        <v>1492</v>
      </c>
      <c r="B1493" s="1" t="s">
        <v>12</v>
      </c>
      <c r="C1493">
        <v>1945</v>
      </c>
      <c r="D1493" s="1" t="s">
        <v>210</v>
      </c>
      <c r="E1493" s="1" t="s">
        <v>22</v>
      </c>
      <c r="F1493">
        <v>14</v>
      </c>
      <c r="G1493" s="1" t="s">
        <v>170</v>
      </c>
      <c r="H1493">
        <v>14049</v>
      </c>
      <c r="I1493">
        <v>7</v>
      </c>
      <c r="J1493">
        <v>7</v>
      </c>
      <c r="K1493">
        <v>7</v>
      </c>
      <c r="L1493">
        <v>1000</v>
      </c>
    </row>
    <row r="1494" spans="1:12" hidden="1" x14ac:dyDescent="0.25">
      <c r="A1494">
        <v>1493</v>
      </c>
      <c r="B1494" s="1" t="s">
        <v>12</v>
      </c>
      <c r="C1494">
        <v>1945</v>
      </c>
      <c r="D1494" s="1" t="s">
        <v>210</v>
      </c>
      <c r="E1494" s="1" t="s">
        <v>30</v>
      </c>
      <c r="F1494">
        <v>18</v>
      </c>
      <c r="G1494" s="1" t="s">
        <v>32</v>
      </c>
      <c r="H1494">
        <v>18112</v>
      </c>
      <c r="I1494">
        <v>580</v>
      </c>
      <c r="J1494">
        <v>550</v>
      </c>
      <c r="K1494">
        <v>550</v>
      </c>
      <c r="L1494">
        <v>1000</v>
      </c>
    </row>
    <row r="1495" spans="1:12" hidden="1" x14ac:dyDescent="0.25">
      <c r="A1495">
        <v>1494</v>
      </c>
      <c r="B1495" s="1" t="s">
        <v>12</v>
      </c>
      <c r="C1495">
        <v>1945</v>
      </c>
      <c r="D1495" s="1" t="s">
        <v>210</v>
      </c>
      <c r="E1495" s="1" t="s">
        <v>30</v>
      </c>
      <c r="F1495">
        <v>18</v>
      </c>
      <c r="G1495" s="1" t="s">
        <v>33</v>
      </c>
      <c r="H1495">
        <v>18091</v>
      </c>
      <c r="I1495">
        <v>110</v>
      </c>
      <c r="J1495">
        <v>100</v>
      </c>
      <c r="K1495">
        <v>80</v>
      </c>
      <c r="L1495">
        <v>800</v>
      </c>
    </row>
    <row r="1496" spans="1:12" hidden="1" x14ac:dyDescent="0.25">
      <c r="A1496">
        <v>1495</v>
      </c>
      <c r="B1496" s="1" t="s">
        <v>12</v>
      </c>
      <c r="C1496">
        <v>1945</v>
      </c>
      <c r="D1496" s="1" t="s">
        <v>210</v>
      </c>
      <c r="E1496" s="1" t="s">
        <v>30</v>
      </c>
      <c r="F1496">
        <v>18</v>
      </c>
      <c r="G1496" s="1" t="s">
        <v>40</v>
      </c>
      <c r="H1496">
        <v>18126</v>
      </c>
      <c r="I1496">
        <v>110</v>
      </c>
      <c r="J1496">
        <v>99</v>
      </c>
      <c r="K1496">
        <v>50</v>
      </c>
      <c r="L1496">
        <v>555</v>
      </c>
    </row>
    <row r="1497" spans="1:12" hidden="1" x14ac:dyDescent="0.25">
      <c r="A1497">
        <v>1496</v>
      </c>
      <c r="B1497" s="1" t="s">
        <v>12</v>
      </c>
      <c r="C1497">
        <v>1945</v>
      </c>
      <c r="D1497" s="1" t="s">
        <v>210</v>
      </c>
      <c r="E1497" s="1" t="s">
        <v>30</v>
      </c>
      <c r="F1497">
        <v>18</v>
      </c>
      <c r="G1497" s="1" t="s">
        <v>35</v>
      </c>
      <c r="H1497">
        <v>18049</v>
      </c>
      <c r="I1497">
        <v>92</v>
      </c>
      <c r="J1497">
        <v>80</v>
      </c>
      <c r="K1497">
        <v>60</v>
      </c>
      <c r="L1497">
        <v>750</v>
      </c>
    </row>
    <row r="1498" spans="1:12" hidden="1" x14ac:dyDescent="0.25">
      <c r="A1498">
        <v>1497</v>
      </c>
      <c r="B1498" s="1" t="s">
        <v>12</v>
      </c>
      <c r="C1498">
        <v>1945</v>
      </c>
      <c r="D1498" s="1" t="s">
        <v>210</v>
      </c>
      <c r="E1498" s="1" t="s">
        <v>30</v>
      </c>
      <c r="F1498">
        <v>18</v>
      </c>
      <c r="G1498" s="1" t="s">
        <v>43</v>
      </c>
      <c r="H1498">
        <v>18070</v>
      </c>
      <c r="I1498">
        <v>90</v>
      </c>
      <c r="J1498">
        <v>85</v>
      </c>
      <c r="K1498">
        <v>64</v>
      </c>
      <c r="L1498">
        <v>750</v>
      </c>
    </row>
    <row r="1499" spans="1:12" hidden="1" x14ac:dyDescent="0.25">
      <c r="A1499">
        <v>1498</v>
      </c>
      <c r="B1499" s="1" t="s">
        <v>12</v>
      </c>
      <c r="C1499">
        <v>1945</v>
      </c>
      <c r="D1499" s="1" t="s">
        <v>210</v>
      </c>
      <c r="E1499" s="1" t="s">
        <v>30</v>
      </c>
      <c r="F1499">
        <v>18</v>
      </c>
      <c r="G1499" s="1" t="s">
        <v>38</v>
      </c>
      <c r="H1499">
        <v>18007</v>
      </c>
      <c r="I1499">
        <v>60</v>
      </c>
      <c r="J1499">
        <v>55</v>
      </c>
      <c r="K1499">
        <v>55</v>
      </c>
      <c r="L1499">
        <v>1000</v>
      </c>
    </row>
    <row r="1500" spans="1:12" hidden="1" x14ac:dyDescent="0.25">
      <c r="A1500">
        <v>1499</v>
      </c>
      <c r="B1500" s="1" t="s">
        <v>12</v>
      </c>
      <c r="C1500">
        <v>1945</v>
      </c>
      <c r="D1500" s="1" t="s">
        <v>210</v>
      </c>
      <c r="E1500" s="1" t="s">
        <v>30</v>
      </c>
      <c r="F1500">
        <v>18</v>
      </c>
      <c r="G1500" s="1" t="s">
        <v>28</v>
      </c>
      <c r="H1500">
        <v>18021</v>
      </c>
      <c r="I1500">
        <v>20</v>
      </c>
      <c r="J1500">
        <v>20</v>
      </c>
      <c r="K1500">
        <v>10</v>
      </c>
      <c r="L1500">
        <v>500</v>
      </c>
    </row>
    <row r="1501" spans="1:12" hidden="1" x14ac:dyDescent="0.25">
      <c r="A1501">
        <v>1500</v>
      </c>
      <c r="B1501" s="1" t="s">
        <v>12</v>
      </c>
      <c r="C1501">
        <v>1945</v>
      </c>
      <c r="D1501" s="1" t="s">
        <v>210</v>
      </c>
      <c r="E1501" s="1" t="s">
        <v>30</v>
      </c>
      <c r="F1501">
        <v>18</v>
      </c>
      <c r="G1501" s="1" t="s">
        <v>41</v>
      </c>
      <c r="H1501">
        <v>18140</v>
      </c>
      <c r="I1501">
        <v>20</v>
      </c>
      <c r="J1501">
        <v>20</v>
      </c>
      <c r="K1501">
        <v>10</v>
      </c>
      <c r="L1501">
        <v>500</v>
      </c>
    </row>
    <row r="1502" spans="1:12" hidden="1" x14ac:dyDescent="0.25">
      <c r="A1502">
        <v>1501</v>
      </c>
      <c r="B1502" s="1" t="s">
        <v>12</v>
      </c>
      <c r="C1502">
        <v>1945</v>
      </c>
      <c r="D1502" s="1" t="s">
        <v>210</v>
      </c>
      <c r="E1502" s="1" t="s">
        <v>30</v>
      </c>
      <c r="F1502">
        <v>18</v>
      </c>
      <c r="G1502" s="1" t="s">
        <v>42</v>
      </c>
      <c r="H1502">
        <v>18035</v>
      </c>
      <c r="I1502">
        <v>15</v>
      </c>
      <c r="J1502">
        <v>9</v>
      </c>
      <c r="K1502">
        <v>7</v>
      </c>
      <c r="L1502">
        <v>800</v>
      </c>
    </row>
    <row r="1503" spans="1:12" hidden="1" x14ac:dyDescent="0.25">
      <c r="A1503">
        <v>1502</v>
      </c>
      <c r="B1503" s="1" t="s">
        <v>12</v>
      </c>
      <c r="C1503">
        <v>1945</v>
      </c>
      <c r="D1503" s="1" t="s">
        <v>210</v>
      </c>
      <c r="E1503" s="1" t="s">
        <v>30</v>
      </c>
      <c r="F1503">
        <v>18</v>
      </c>
      <c r="G1503" s="1" t="s">
        <v>101</v>
      </c>
      <c r="H1503">
        <v>18161</v>
      </c>
      <c r="I1503">
        <v>15</v>
      </c>
      <c r="J1503">
        <v>13</v>
      </c>
      <c r="K1503">
        <v>10</v>
      </c>
      <c r="L1503">
        <v>800</v>
      </c>
    </row>
    <row r="1504" spans="1:12" hidden="1" x14ac:dyDescent="0.25">
      <c r="A1504">
        <v>1503</v>
      </c>
      <c r="B1504" s="1" t="s">
        <v>12</v>
      </c>
      <c r="C1504">
        <v>1945</v>
      </c>
      <c r="D1504" s="1" t="s">
        <v>210</v>
      </c>
      <c r="E1504" s="1" t="s">
        <v>30</v>
      </c>
      <c r="F1504">
        <v>18</v>
      </c>
      <c r="G1504" s="1" t="s">
        <v>34</v>
      </c>
      <c r="H1504">
        <v>18042</v>
      </c>
      <c r="I1504">
        <v>12</v>
      </c>
      <c r="J1504">
        <v>12</v>
      </c>
      <c r="K1504">
        <v>6</v>
      </c>
      <c r="L1504">
        <v>500</v>
      </c>
    </row>
    <row r="1505" spans="1:12" hidden="1" x14ac:dyDescent="0.25">
      <c r="A1505">
        <v>1504</v>
      </c>
      <c r="B1505" s="1" t="s">
        <v>12</v>
      </c>
      <c r="C1505">
        <v>1945</v>
      </c>
      <c r="D1505" s="1" t="s">
        <v>210</v>
      </c>
      <c r="E1505" s="1" t="s">
        <v>30</v>
      </c>
      <c r="F1505">
        <v>18</v>
      </c>
      <c r="G1505" s="1" t="s">
        <v>99</v>
      </c>
      <c r="H1505">
        <v>18063</v>
      </c>
      <c r="I1505">
        <v>10</v>
      </c>
      <c r="J1505">
        <v>10</v>
      </c>
      <c r="K1505">
        <v>5</v>
      </c>
      <c r="L1505">
        <v>500</v>
      </c>
    </row>
    <row r="1506" spans="1:12" hidden="1" x14ac:dyDescent="0.25">
      <c r="A1506">
        <v>1505</v>
      </c>
      <c r="B1506" s="1" t="s">
        <v>12</v>
      </c>
      <c r="C1506">
        <v>1945</v>
      </c>
      <c r="D1506" s="1" t="s">
        <v>210</v>
      </c>
      <c r="E1506" s="1" t="s">
        <v>30</v>
      </c>
      <c r="F1506">
        <v>18</v>
      </c>
      <c r="G1506" s="1" t="s">
        <v>37</v>
      </c>
      <c r="H1506">
        <v>18147</v>
      </c>
      <c r="I1506">
        <v>6</v>
      </c>
      <c r="J1506">
        <v>4</v>
      </c>
      <c r="K1506">
        <v>3</v>
      </c>
      <c r="L1506">
        <v>700</v>
      </c>
    </row>
    <row r="1507" spans="1:12" hidden="1" x14ac:dyDescent="0.25">
      <c r="A1507">
        <v>1506</v>
      </c>
      <c r="B1507" s="1" t="s">
        <v>12</v>
      </c>
      <c r="C1507">
        <v>1945</v>
      </c>
      <c r="D1507" s="1" t="s">
        <v>210</v>
      </c>
      <c r="E1507" s="1" t="s">
        <v>30</v>
      </c>
      <c r="F1507">
        <v>18</v>
      </c>
      <c r="G1507" s="1" t="s">
        <v>63</v>
      </c>
      <c r="H1507">
        <v>18028</v>
      </c>
      <c r="I1507">
        <v>5</v>
      </c>
      <c r="J1507">
        <v>5</v>
      </c>
      <c r="K1507">
        <v>2</v>
      </c>
      <c r="L1507">
        <v>400</v>
      </c>
    </row>
    <row r="1508" spans="1:12" hidden="1" x14ac:dyDescent="0.25">
      <c r="A1508">
        <v>1507</v>
      </c>
      <c r="B1508" s="1" t="s">
        <v>12</v>
      </c>
      <c r="C1508">
        <v>1945</v>
      </c>
      <c r="D1508" s="1" t="s">
        <v>210</v>
      </c>
      <c r="E1508" s="1" t="s">
        <v>30</v>
      </c>
      <c r="F1508">
        <v>18</v>
      </c>
      <c r="G1508" s="1" t="s">
        <v>39</v>
      </c>
      <c r="H1508">
        <v>18084</v>
      </c>
      <c r="I1508">
        <v>5</v>
      </c>
      <c r="J1508">
        <v>5</v>
      </c>
      <c r="K1508">
        <v>4</v>
      </c>
      <c r="L1508">
        <v>800</v>
      </c>
    </row>
    <row r="1509" spans="1:12" hidden="1" x14ac:dyDescent="0.25">
      <c r="A1509">
        <v>1508</v>
      </c>
      <c r="B1509" s="1" t="s">
        <v>12</v>
      </c>
      <c r="C1509">
        <v>1945</v>
      </c>
      <c r="D1509" s="1" t="s">
        <v>210</v>
      </c>
      <c r="E1509" s="1" t="s">
        <v>30</v>
      </c>
      <c r="F1509">
        <v>18</v>
      </c>
      <c r="G1509" s="1" t="s">
        <v>98</v>
      </c>
      <c r="H1509">
        <v>18098</v>
      </c>
      <c r="I1509">
        <v>5</v>
      </c>
      <c r="J1509">
        <v>5</v>
      </c>
      <c r="K1509">
        <v>2</v>
      </c>
      <c r="L1509">
        <v>400</v>
      </c>
    </row>
    <row r="1510" spans="1:12" hidden="1" x14ac:dyDescent="0.25">
      <c r="A1510">
        <v>1509</v>
      </c>
      <c r="B1510" s="1" t="s">
        <v>12</v>
      </c>
      <c r="C1510">
        <v>1945</v>
      </c>
      <c r="D1510" s="1" t="s">
        <v>210</v>
      </c>
      <c r="E1510" s="1" t="s">
        <v>30</v>
      </c>
      <c r="F1510">
        <v>18</v>
      </c>
      <c r="G1510" s="1" t="s">
        <v>104</v>
      </c>
      <c r="H1510">
        <v>18119</v>
      </c>
      <c r="I1510">
        <v>5</v>
      </c>
      <c r="J1510">
        <v>1</v>
      </c>
      <c r="K1510">
        <v>1</v>
      </c>
      <c r="L1510">
        <v>1000</v>
      </c>
    </row>
    <row r="1511" spans="1:12" hidden="1" x14ac:dyDescent="0.25">
      <c r="A1511">
        <v>1510</v>
      </c>
      <c r="B1511" s="1" t="s">
        <v>12</v>
      </c>
      <c r="C1511">
        <v>1945</v>
      </c>
      <c r="D1511" s="1" t="s">
        <v>210</v>
      </c>
      <c r="E1511" s="1" t="s">
        <v>30</v>
      </c>
      <c r="F1511">
        <v>18</v>
      </c>
      <c r="G1511" s="1" t="s">
        <v>103</v>
      </c>
      <c r="H1511">
        <v>18154</v>
      </c>
      <c r="I1511">
        <v>5</v>
      </c>
      <c r="J1511">
        <v>5</v>
      </c>
      <c r="K1511">
        <v>2</v>
      </c>
      <c r="L1511">
        <v>400</v>
      </c>
    </row>
    <row r="1512" spans="1:12" hidden="1" x14ac:dyDescent="0.25">
      <c r="A1512">
        <v>1511</v>
      </c>
      <c r="B1512" s="1" t="s">
        <v>12</v>
      </c>
      <c r="C1512">
        <v>1945</v>
      </c>
      <c r="D1512" s="1" t="s">
        <v>210</v>
      </c>
      <c r="E1512" s="1" t="s">
        <v>30</v>
      </c>
      <c r="F1512">
        <v>18</v>
      </c>
      <c r="G1512" s="1" t="s">
        <v>102</v>
      </c>
      <c r="H1512">
        <v>18014</v>
      </c>
      <c r="I1512">
        <v>4</v>
      </c>
      <c r="J1512">
        <v>4</v>
      </c>
      <c r="K1512">
        <v>2</v>
      </c>
      <c r="L1512">
        <v>500</v>
      </c>
    </row>
    <row r="1513" spans="1:12" hidden="1" x14ac:dyDescent="0.25">
      <c r="A1513">
        <v>1512</v>
      </c>
      <c r="B1513" s="1" t="s">
        <v>12</v>
      </c>
      <c r="C1513">
        <v>1945</v>
      </c>
      <c r="D1513" s="1" t="s">
        <v>210</v>
      </c>
      <c r="E1513" s="1" t="s">
        <v>30</v>
      </c>
      <c r="F1513">
        <v>18</v>
      </c>
      <c r="G1513" s="1" t="s">
        <v>36</v>
      </c>
      <c r="H1513">
        <v>18133</v>
      </c>
      <c r="I1513">
        <v>4</v>
      </c>
      <c r="J1513">
        <v>4</v>
      </c>
      <c r="K1513">
        <v>2</v>
      </c>
      <c r="L1513">
        <v>500</v>
      </c>
    </row>
    <row r="1514" spans="1:12" hidden="1" x14ac:dyDescent="0.25">
      <c r="A1514">
        <v>1513</v>
      </c>
      <c r="B1514" s="1" t="s">
        <v>12</v>
      </c>
      <c r="C1514">
        <v>1945</v>
      </c>
      <c r="D1514" s="1" t="s">
        <v>210</v>
      </c>
      <c r="E1514" s="1" t="s">
        <v>30</v>
      </c>
      <c r="F1514">
        <v>18</v>
      </c>
      <c r="G1514" s="1" t="s">
        <v>100</v>
      </c>
      <c r="H1514">
        <v>18077</v>
      </c>
      <c r="I1514">
        <v>3</v>
      </c>
      <c r="J1514">
        <v>3</v>
      </c>
      <c r="K1514">
        <v>1</v>
      </c>
      <c r="L1514">
        <v>500</v>
      </c>
    </row>
    <row r="1515" spans="1:12" hidden="1" x14ac:dyDescent="0.25">
      <c r="A1515">
        <v>1514</v>
      </c>
      <c r="B1515" s="1" t="s">
        <v>12</v>
      </c>
      <c r="C1515">
        <v>1945</v>
      </c>
      <c r="D1515" s="1" t="s">
        <v>210</v>
      </c>
      <c r="E1515" s="1" t="s">
        <v>30</v>
      </c>
      <c r="F1515">
        <v>18</v>
      </c>
      <c r="G1515" s="1" t="s">
        <v>86</v>
      </c>
      <c r="H1515">
        <v>18175</v>
      </c>
      <c r="I1515">
        <v>3</v>
      </c>
    </row>
    <row r="1516" spans="1:12" hidden="1" x14ac:dyDescent="0.25">
      <c r="A1516">
        <v>1515</v>
      </c>
      <c r="B1516" s="1" t="s">
        <v>12</v>
      </c>
      <c r="C1516">
        <v>1945</v>
      </c>
      <c r="D1516" s="1" t="s">
        <v>210</v>
      </c>
      <c r="E1516" s="1" t="s">
        <v>30</v>
      </c>
      <c r="F1516">
        <v>18</v>
      </c>
      <c r="G1516" s="1" t="s">
        <v>105</v>
      </c>
      <c r="H1516">
        <v>18105</v>
      </c>
      <c r="I1516">
        <v>1</v>
      </c>
      <c r="J1516">
        <v>1</v>
      </c>
      <c r="K1516">
        <v>1</v>
      </c>
      <c r="L1516">
        <v>1000</v>
      </c>
    </row>
    <row r="1517" spans="1:12" hidden="1" x14ac:dyDescent="0.25">
      <c r="A1517">
        <v>1516</v>
      </c>
      <c r="B1517" s="1" t="s">
        <v>12</v>
      </c>
      <c r="C1517">
        <v>1945</v>
      </c>
      <c r="D1517" s="1" t="s">
        <v>210</v>
      </c>
      <c r="E1517" s="1" t="s">
        <v>45</v>
      </c>
      <c r="F1517">
        <v>30</v>
      </c>
      <c r="G1517" s="1" t="s">
        <v>46</v>
      </c>
      <c r="H1517">
        <v>30028</v>
      </c>
      <c r="I1517">
        <v>5800</v>
      </c>
      <c r="J1517">
        <v>5500</v>
      </c>
      <c r="K1517">
        <v>6875</v>
      </c>
      <c r="L1517">
        <v>1250</v>
      </c>
    </row>
    <row r="1518" spans="1:12" hidden="1" x14ac:dyDescent="0.25">
      <c r="A1518">
        <v>1517</v>
      </c>
      <c r="B1518" s="1" t="s">
        <v>12</v>
      </c>
      <c r="C1518">
        <v>1945</v>
      </c>
      <c r="D1518" s="1" t="s">
        <v>210</v>
      </c>
      <c r="E1518" s="1" t="s">
        <v>45</v>
      </c>
      <c r="F1518">
        <v>30</v>
      </c>
      <c r="G1518" s="1" t="s">
        <v>47</v>
      </c>
      <c r="H1518">
        <v>30015</v>
      </c>
      <c r="I1518">
        <v>3500</v>
      </c>
      <c r="J1518">
        <v>3000</v>
      </c>
      <c r="K1518">
        <v>3600</v>
      </c>
      <c r="L1518">
        <v>1200</v>
      </c>
    </row>
    <row r="1519" spans="1:12" hidden="1" x14ac:dyDescent="0.25">
      <c r="A1519">
        <v>1518</v>
      </c>
      <c r="B1519" s="1" t="s">
        <v>12</v>
      </c>
      <c r="C1519">
        <v>1945</v>
      </c>
      <c r="D1519" s="1" t="s">
        <v>210</v>
      </c>
      <c r="E1519" s="1" t="s">
        <v>45</v>
      </c>
      <c r="F1519">
        <v>30</v>
      </c>
      <c r="G1519" s="1" t="s">
        <v>27</v>
      </c>
      <c r="H1519">
        <v>30008</v>
      </c>
      <c r="I1519">
        <v>130</v>
      </c>
      <c r="J1519">
        <v>100</v>
      </c>
      <c r="K1519">
        <v>70</v>
      </c>
      <c r="L1519">
        <v>700</v>
      </c>
    </row>
    <row r="1520" spans="1:12" hidden="1" x14ac:dyDescent="0.25">
      <c r="A1520">
        <v>1519</v>
      </c>
      <c r="B1520" s="1" t="s">
        <v>12</v>
      </c>
      <c r="C1520">
        <v>1945</v>
      </c>
      <c r="D1520" s="1" t="s">
        <v>210</v>
      </c>
      <c r="E1520" s="1" t="s">
        <v>45</v>
      </c>
      <c r="F1520">
        <v>30</v>
      </c>
      <c r="G1520" s="1" t="s">
        <v>107</v>
      </c>
      <c r="H1520">
        <v>30056</v>
      </c>
      <c r="I1520">
        <v>30</v>
      </c>
    </row>
    <row r="1521" spans="1:12" hidden="1" x14ac:dyDescent="0.25">
      <c r="A1521">
        <v>1520</v>
      </c>
      <c r="B1521" s="1" t="s">
        <v>12</v>
      </c>
      <c r="C1521">
        <v>1945</v>
      </c>
      <c r="D1521" s="1" t="s">
        <v>210</v>
      </c>
      <c r="E1521" s="1" t="s">
        <v>45</v>
      </c>
      <c r="F1521">
        <v>30</v>
      </c>
      <c r="G1521" s="1" t="s">
        <v>124</v>
      </c>
      <c r="H1521">
        <v>30070</v>
      </c>
      <c r="I1521">
        <v>15</v>
      </c>
    </row>
    <row r="1522" spans="1:12" hidden="1" x14ac:dyDescent="0.25">
      <c r="A1522">
        <v>1521</v>
      </c>
      <c r="B1522" s="1" t="s">
        <v>12</v>
      </c>
      <c r="C1522">
        <v>1945</v>
      </c>
      <c r="D1522" s="1" t="s">
        <v>210</v>
      </c>
      <c r="E1522" s="1" t="s">
        <v>58</v>
      </c>
      <c r="F1522">
        <v>54</v>
      </c>
      <c r="G1522" s="1" t="s">
        <v>59</v>
      </c>
      <c r="H1522">
        <v>54007</v>
      </c>
      <c r="I1522">
        <v>120</v>
      </c>
      <c r="J1522">
        <v>90</v>
      </c>
      <c r="K1522">
        <v>90</v>
      </c>
      <c r="L1522">
        <v>1000</v>
      </c>
    </row>
    <row r="1523" spans="1:12" hidden="1" x14ac:dyDescent="0.25">
      <c r="A1523">
        <v>1522</v>
      </c>
      <c r="B1523" s="1" t="s">
        <v>12</v>
      </c>
      <c r="C1523">
        <v>1945</v>
      </c>
      <c r="D1523" s="1" t="s">
        <v>210</v>
      </c>
      <c r="E1523" s="1" t="s">
        <v>58</v>
      </c>
      <c r="F1523">
        <v>54</v>
      </c>
      <c r="G1523" s="1" t="s">
        <v>61</v>
      </c>
      <c r="H1523">
        <v>54098</v>
      </c>
      <c r="I1523">
        <v>68</v>
      </c>
      <c r="J1523">
        <v>25</v>
      </c>
      <c r="K1523">
        <v>22</v>
      </c>
      <c r="L1523">
        <v>880</v>
      </c>
    </row>
    <row r="1524" spans="1:12" hidden="1" x14ac:dyDescent="0.25">
      <c r="A1524">
        <v>1523</v>
      </c>
      <c r="B1524" s="1" t="s">
        <v>12</v>
      </c>
      <c r="C1524">
        <v>1945</v>
      </c>
      <c r="D1524" s="1" t="s">
        <v>210</v>
      </c>
      <c r="E1524" s="1" t="s">
        <v>58</v>
      </c>
      <c r="F1524">
        <v>54</v>
      </c>
      <c r="G1524" s="1" t="s">
        <v>150</v>
      </c>
      <c r="H1524">
        <v>54014</v>
      </c>
      <c r="I1524">
        <v>50</v>
      </c>
      <c r="J1524">
        <v>43</v>
      </c>
      <c r="K1524">
        <v>34</v>
      </c>
      <c r="L1524">
        <v>800</v>
      </c>
    </row>
    <row r="1525" spans="1:12" hidden="1" x14ac:dyDescent="0.25">
      <c r="A1525">
        <v>1524</v>
      </c>
      <c r="B1525" s="1" t="s">
        <v>12</v>
      </c>
      <c r="C1525">
        <v>1945</v>
      </c>
      <c r="D1525" s="1" t="s">
        <v>210</v>
      </c>
      <c r="E1525" s="1" t="s">
        <v>58</v>
      </c>
      <c r="F1525">
        <v>54</v>
      </c>
      <c r="G1525" s="1" t="s">
        <v>60</v>
      </c>
      <c r="H1525">
        <v>54021</v>
      </c>
      <c r="I1525">
        <v>45</v>
      </c>
      <c r="J1525">
        <v>42</v>
      </c>
      <c r="K1525">
        <v>42</v>
      </c>
      <c r="L1525">
        <v>1000</v>
      </c>
    </row>
    <row r="1526" spans="1:12" hidden="1" x14ac:dyDescent="0.25">
      <c r="A1526">
        <v>1525</v>
      </c>
      <c r="B1526" s="1" t="s">
        <v>12</v>
      </c>
      <c r="C1526">
        <v>1945</v>
      </c>
      <c r="D1526" s="1" t="s">
        <v>210</v>
      </c>
      <c r="E1526" s="1" t="s">
        <v>58</v>
      </c>
      <c r="F1526">
        <v>54</v>
      </c>
      <c r="G1526" s="1" t="s">
        <v>63</v>
      </c>
      <c r="H1526">
        <v>54035</v>
      </c>
      <c r="I1526">
        <v>40</v>
      </c>
      <c r="J1526">
        <v>33</v>
      </c>
      <c r="K1526">
        <v>33</v>
      </c>
      <c r="L1526">
        <v>1000</v>
      </c>
    </row>
    <row r="1527" spans="1:12" hidden="1" x14ac:dyDescent="0.25">
      <c r="A1527">
        <v>1526</v>
      </c>
      <c r="B1527" s="1" t="s">
        <v>12</v>
      </c>
      <c r="C1527">
        <v>1945</v>
      </c>
      <c r="D1527" s="1" t="s">
        <v>210</v>
      </c>
      <c r="E1527" s="1" t="s">
        <v>58</v>
      </c>
      <c r="F1527">
        <v>54</v>
      </c>
      <c r="G1527" s="1" t="s">
        <v>62</v>
      </c>
      <c r="H1527">
        <v>54105</v>
      </c>
      <c r="I1527">
        <v>39</v>
      </c>
      <c r="J1527">
        <v>35</v>
      </c>
      <c r="K1527">
        <v>32</v>
      </c>
      <c r="L1527">
        <v>914</v>
      </c>
    </row>
    <row r="1528" spans="1:12" hidden="1" x14ac:dyDescent="0.25">
      <c r="A1528">
        <v>1527</v>
      </c>
      <c r="B1528" s="1" t="s">
        <v>12</v>
      </c>
      <c r="C1528">
        <v>1945</v>
      </c>
      <c r="D1528" s="1" t="s">
        <v>210</v>
      </c>
      <c r="E1528" s="1" t="s">
        <v>58</v>
      </c>
      <c r="F1528">
        <v>54</v>
      </c>
      <c r="G1528" s="1" t="s">
        <v>152</v>
      </c>
      <c r="H1528">
        <v>54063</v>
      </c>
      <c r="I1528">
        <v>30</v>
      </c>
      <c r="J1528">
        <v>20</v>
      </c>
      <c r="K1528">
        <v>16</v>
      </c>
      <c r="L1528">
        <v>800</v>
      </c>
    </row>
    <row r="1529" spans="1:12" x14ac:dyDescent="0.25">
      <c r="A1529">
        <v>1528</v>
      </c>
      <c r="B1529" s="1" t="s">
        <v>12</v>
      </c>
      <c r="C1529">
        <v>1945</v>
      </c>
      <c r="D1529" s="1" t="s">
        <v>210</v>
      </c>
      <c r="E1529" s="1" t="s">
        <v>58</v>
      </c>
      <c r="F1529">
        <v>54</v>
      </c>
      <c r="G1529" s="1" t="s">
        <v>56</v>
      </c>
      <c r="H1529">
        <v>54112</v>
      </c>
      <c r="I1529">
        <v>8</v>
      </c>
      <c r="J1529">
        <v>8</v>
      </c>
      <c r="K1529">
        <v>6</v>
      </c>
      <c r="L1529">
        <v>800</v>
      </c>
    </row>
    <row r="1530" spans="1:12" hidden="1" x14ac:dyDescent="0.25">
      <c r="A1530">
        <v>1529</v>
      </c>
      <c r="B1530" s="1" t="s">
        <v>12</v>
      </c>
      <c r="C1530">
        <v>1945</v>
      </c>
      <c r="D1530" s="1" t="s">
        <v>210</v>
      </c>
      <c r="E1530" s="1" t="s">
        <v>87</v>
      </c>
      <c r="F1530">
        <v>66</v>
      </c>
      <c r="G1530" s="1" t="s">
        <v>141</v>
      </c>
      <c r="H1530">
        <v>66112</v>
      </c>
      <c r="I1530">
        <v>100</v>
      </c>
      <c r="J1530">
        <v>48</v>
      </c>
      <c r="K1530">
        <v>72</v>
      </c>
      <c r="L1530">
        <v>1500</v>
      </c>
    </row>
    <row r="1531" spans="1:12" hidden="1" x14ac:dyDescent="0.25">
      <c r="A1531">
        <v>1530</v>
      </c>
      <c r="B1531" s="1" t="s">
        <v>12</v>
      </c>
      <c r="C1531">
        <v>1945</v>
      </c>
      <c r="D1531" s="1" t="s">
        <v>210</v>
      </c>
      <c r="E1531" s="1" t="s">
        <v>87</v>
      </c>
      <c r="F1531">
        <v>66</v>
      </c>
      <c r="G1531" s="1" t="s">
        <v>188</v>
      </c>
      <c r="H1531">
        <v>66140</v>
      </c>
      <c r="I1531">
        <v>90</v>
      </c>
      <c r="J1531">
        <v>40</v>
      </c>
      <c r="K1531">
        <v>48</v>
      </c>
      <c r="L1531">
        <v>1200</v>
      </c>
    </row>
    <row r="1532" spans="1:12" hidden="1" x14ac:dyDescent="0.25">
      <c r="A1532">
        <v>1531</v>
      </c>
      <c r="B1532" s="1" t="s">
        <v>12</v>
      </c>
      <c r="C1532">
        <v>1945</v>
      </c>
      <c r="D1532" s="1" t="s">
        <v>210</v>
      </c>
      <c r="E1532" s="1" t="s">
        <v>64</v>
      </c>
      <c r="F1532">
        <v>82</v>
      </c>
      <c r="G1532" s="1" t="s">
        <v>66</v>
      </c>
      <c r="H1532">
        <v>82035</v>
      </c>
      <c r="I1532">
        <v>4500</v>
      </c>
      <c r="J1532">
        <v>4365</v>
      </c>
      <c r="K1532">
        <v>6111</v>
      </c>
      <c r="L1532">
        <v>1400</v>
      </c>
    </row>
    <row r="1533" spans="1:12" hidden="1" x14ac:dyDescent="0.25">
      <c r="A1533">
        <v>1532</v>
      </c>
      <c r="B1533" s="1" t="s">
        <v>12</v>
      </c>
      <c r="C1533">
        <v>1945</v>
      </c>
      <c r="D1533" s="1" t="s">
        <v>210</v>
      </c>
      <c r="E1533" s="1" t="s">
        <v>64</v>
      </c>
      <c r="F1533">
        <v>82</v>
      </c>
      <c r="G1533" s="1" t="s">
        <v>65</v>
      </c>
      <c r="H1533">
        <v>82049</v>
      </c>
      <c r="I1533">
        <v>2900</v>
      </c>
      <c r="J1533">
        <v>2800</v>
      </c>
      <c r="K1533">
        <v>2800</v>
      </c>
      <c r="L1533">
        <v>1000</v>
      </c>
    </row>
    <row r="1534" spans="1:12" hidden="1" x14ac:dyDescent="0.25">
      <c r="A1534">
        <v>1533</v>
      </c>
      <c r="B1534" s="1" t="s">
        <v>12</v>
      </c>
      <c r="C1534">
        <v>1945</v>
      </c>
      <c r="D1534" s="1" t="s">
        <v>210</v>
      </c>
      <c r="E1534" s="1" t="s">
        <v>64</v>
      </c>
      <c r="F1534">
        <v>82</v>
      </c>
      <c r="G1534" s="1" t="s">
        <v>28</v>
      </c>
      <c r="H1534">
        <v>82063</v>
      </c>
      <c r="I1534">
        <v>150</v>
      </c>
      <c r="J1534">
        <v>130</v>
      </c>
      <c r="K1534">
        <v>169</v>
      </c>
      <c r="L1534">
        <v>1300</v>
      </c>
    </row>
    <row r="1535" spans="1:12" hidden="1" x14ac:dyDescent="0.25">
      <c r="A1535">
        <v>1534</v>
      </c>
      <c r="B1535" s="1" t="s">
        <v>12</v>
      </c>
      <c r="C1535">
        <v>1945</v>
      </c>
      <c r="D1535" s="1" t="s">
        <v>210</v>
      </c>
      <c r="E1535" s="1" t="s">
        <v>64</v>
      </c>
      <c r="F1535">
        <v>82</v>
      </c>
      <c r="G1535" s="1" t="s">
        <v>62</v>
      </c>
      <c r="H1535">
        <v>82098</v>
      </c>
      <c r="I1535">
        <v>150</v>
      </c>
      <c r="J1535">
        <v>100</v>
      </c>
      <c r="K1535">
        <v>100</v>
      </c>
      <c r="L1535">
        <v>1000</v>
      </c>
    </row>
    <row r="1536" spans="1:12" hidden="1" x14ac:dyDescent="0.25">
      <c r="A1536">
        <v>1535</v>
      </c>
      <c r="B1536" s="1" t="s">
        <v>12</v>
      </c>
      <c r="C1536">
        <v>1945</v>
      </c>
      <c r="D1536" s="1" t="s">
        <v>210</v>
      </c>
      <c r="E1536" s="1" t="s">
        <v>68</v>
      </c>
      <c r="F1536">
        <v>86</v>
      </c>
      <c r="G1536" s="1" t="s">
        <v>69</v>
      </c>
      <c r="H1536">
        <v>86077</v>
      </c>
      <c r="I1536">
        <v>90</v>
      </c>
      <c r="J1536">
        <v>50</v>
      </c>
      <c r="K1536">
        <v>15</v>
      </c>
      <c r="L1536">
        <v>300</v>
      </c>
    </row>
    <row r="1537" spans="1:12" hidden="1" x14ac:dyDescent="0.25">
      <c r="A1537">
        <v>1536</v>
      </c>
      <c r="B1537" s="1" t="s">
        <v>12</v>
      </c>
      <c r="C1537">
        <v>1945</v>
      </c>
      <c r="D1537" s="1" t="s">
        <v>210</v>
      </c>
      <c r="E1537" s="1" t="s">
        <v>68</v>
      </c>
      <c r="F1537">
        <v>86</v>
      </c>
      <c r="G1537" s="1" t="s">
        <v>156</v>
      </c>
      <c r="H1537">
        <v>86042</v>
      </c>
      <c r="I1537">
        <v>80</v>
      </c>
      <c r="J1537">
        <v>50</v>
      </c>
      <c r="K1537">
        <v>15</v>
      </c>
      <c r="L1537">
        <v>300</v>
      </c>
    </row>
    <row r="1538" spans="1:12" hidden="1" x14ac:dyDescent="0.25">
      <c r="A1538">
        <v>1537</v>
      </c>
      <c r="B1538" s="1" t="s">
        <v>12</v>
      </c>
      <c r="C1538">
        <v>1945</v>
      </c>
      <c r="D1538" s="1" t="s">
        <v>210</v>
      </c>
      <c r="E1538" s="1" t="s">
        <v>77</v>
      </c>
      <c r="F1538">
        <v>90</v>
      </c>
      <c r="G1538" s="1" t="s">
        <v>78</v>
      </c>
      <c r="H1538">
        <v>90007</v>
      </c>
      <c r="I1538">
        <v>1000</v>
      </c>
      <c r="J1538">
        <v>900</v>
      </c>
      <c r="K1538">
        <v>960</v>
      </c>
      <c r="L1538">
        <v>1067</v>
      </c>
    </row>
    <row r="1539" spans="1:12" hidden="1" x14ac:dyDescent="0.25">
      <c r="A1539">
        <v>1538</v>
      </c>
      <c r="B1539" s="1" t="s">
        <v>12</v>
      </c>
      <c r="C1539">
        <v>1945</v>
      </c>
      <c r="D1539" s="1" t="s">
        <v>210</v>
      </c>
      <c r="E1539" s="1" t="s">
        <v>77</v>
      </c>
      <c r="F1539">
        <v>90</v>
      </c>
      <c r="G1539" s="1" t="s">
        <v>91</v>
      </c>
      <c r="H1539">
        <v>90014</v>
      </c>
      <c r="I1539">
        <v>400</v>
      </c>
      <c r="J1539">
        <v>350</v>
      </c>
      <c r="K1539">
        <v>385</v>
      </c>
      <c r="L1539">
        <v>1100</v>
      </c>
    </row>
    <row r="1540" spans="1:12" hidden="1" x14ac:dyDescent="0.25">
      <c r="A1540">
        <v>1539</v>
      </c>
      <c r="B1540" s="1" t="s">
        <v>12</v>
      </c>
      <c r="C1540">
        <v>1945</v>
      </c>
      <c r="D1540" s="1" t="s">
        <v>210</v>
      </c>
      <c r="E1540" s="1" t="s">
        <v>77</v>
      </c>
      <c r="F1540">
        <v>90</v>
      </c>
      <c r="G1540" s="1" t="s">
        <v>92</v>
      </c>
      <c r="H1540">
        <v>90056</v>
      </c>
      <c r="I1540">
        <v>30</v>
      </c>
      <c r="J1540">
        <v>25</v>
      </c>
      <c r="K1540">
        <v>22</v>
      </c>
      <c r="L1540">
        <v>900</v>
      </c>
    </row>
    <row r="1541" spans="1:12" hidden="1" x14ac:dyDescent="0.25">
      <c r="A1541">
        <v>1540</v>
      </c>
      <c r="B1541" s="1" t="s">
        <v>12</v>
      </c>
      <c r="C1541">
        <v>1945</v>
      </c>
      <c r="D1541" s="1" t="s">
        <v>210</v>
      </c>
      <c r="E1541" s="1" t="s">
        <v>77</v>
      </c>
      <c r="F1541">
        <v>90</v>
      </c>
      <c r="G1541" s="1" t="s">
        <v>89</v>
      </c>
      <c r="H1541">
        <v>90028</v>
      </c>
      <c r="I1541">
        <v>20</v>
      </c>
      <c r="J1541">
        <v>20</v>
      </c>
      <c r="K1541">
        <v>20</v>
      </c>
      <c r="L1541">
        <v>1000</v>
      </c>
    </row>
    <row r="1542" spans="1:12" hidden="1" x14ac:dyDescent="0.25">
      <c r="A1542">
        <v>1541</v>
      </c>
      <c r="B1542" s="1" t="s">
        <v>12</v>
      </c>
      <c r="C1542">
        <v>1945</v>
      </c>
      <c r="D1542" s="1" t="s">
        <v>210</v>
      </c>
      <c r="E1542" s="1" t="s">
        <v>77</v>
      </c>
      <c r="F1542">
        <v>90</v>
      </c>
      <c r="G1542" s="1" t="s">
        <v>95</v>
      </c>
      <c r="H1542">
        <v>90035</v>
      </c>
      <c r="I1542">
        <v>10</v>
      </c>
    </row>
    <row r="1543" spans="1:12" hidden="1" x14ac:dyDescent="0.25">
      <c r="A1543">
        <v>1542</v>
      </c>
      <c r="B1543" s="1" t="s">
        <v>12</v>
      </c>
      <c r="C1543">
        <v>1945</v>
      </c>
      <c r="D1543" s="1" t="s">
        <v>210</v>
      </c>
      <c r="E1543" s="1" t="s">
        <v>77</v>
      </c>
      <c r="F1543">
        <v>90</v>
      </c>
      <c r="G1543" s="1" t="s">
        <v>90</v>
      </c>
      <c r="H1543">
        <v>90112</v>
      </c>
      <c r="I1543">
        <v>10</v>
      </c>
      <c r="J1543">
        <v>10</v>
      </c>
      <c r="K1543">
        <v>15</v>
      </c>
      <c r="L1543">
        <v>1500</v>
      </c>
    </row>
    <row r="1544" spans="1:12" hidden="1" x14ac:dyDescent="0.25">
      <c r="A1544">
        <v>1543</v>
      </c>
      <c r="B1544" s="1" t="s">
        <v>12</v>
      </c>
      <c r="C1544">
        <v>1946</v>
      </c>
      <c r="D1544" s="1" t="s">
        <v>211</v>
      </c>
      <c r="E1544" s="1" t="s">
        <v>14</v>
      </c>
      <c r="F1544">
        <v>22</v>
      </c>
      <c r="G1544" s="1" t="s">
        <v>17</v>
      </c>
      <c r="H1544">
        <v>22140</v>
      </c>
      <c r="I1544">
        <v>50</v>
      </c>
      <c r="J1544">
        <v>45</v>
      </c>
      <c r="K1544">
        <v>40</v>
      </c>
      <c r="L1544">
        <v>900</v>
      </c>
    </row>
    <row r="1545" spans="1:12" hidden="1" x14ac:dyDescent="0.25">
      <c r="A1545">
        <v>1544</v>
      </c>
      <c r="B1545" s="1" t="s">
        <v>12</v>
      </c>
      <c r="C1545">
        <v>1946</v>
      </c>
      <c r="D1545" s="1" t="s">
        <v>211</v>
      </c>
      <c r="E1545" s="1" t="s">
        <v>14</v>
      </c>
      <c r="F1545">
        <v>22</v>
      </c>
      <c r="G1545" s="1" t="s">
        <v>18</v>
      </c>
      <c r="H1545">
        <v>22084</v>
      </c>
      <c r="I1545">
        <v>20</v>
      </c>
      <c r="J1545">
        <v>20</v>
      </c>
      <c r="K1545">
        <v>14</v>
      </c>
      <c r="L1545">
        <v>700</v>
      </c>
    </row>
    <row r="1546" spans="1:12" hidden="1" x14ac:dyDescent="0.25">
      <c r="A1546">
        <v>1545</v>
      </c>
      <c r="B1546" s="1" t="s">
        <v>12</v>
      </c>
      <c r="C1546">
        <v>1946</v>
      </c>
      <c r="D1546" s="1" t="s">
        <v>211</v>
      </c>
      <c r="E1546" s="1" t="s">
        <v>14</v>
      </c>
      <c r="F1546">
        <v>22</v>
      </c>
      <c r="G1546" s="1" t="s">
        <v>20</v>
      </c>
      <c r="H1546">
        <v>22091</v>
      </c>
      <c r="I1546">
        <v>20</v>
      </c>
      <c r="J1546">
        <v>20</v>
      </c>
      <c r="K1546">
        <v>16</v>
      </c>
      <c r="L1546">
        <v>800</v>
      </c>
    </row>
    <row r="1547" spans="1:12" hidden="1" x14ac:dyDescent="0.25">
      <c r="A1547">
        <v>1546</v>
      </c>
      <c r="B1547" s="1" t="s">
        <v>12</v>
      </c>
      <c r="C1547">
        <v>1946</v>
      </c>
      <c r="D1547" s="1" t="s">
        <v>211</v>
      </c>
      <c r="E1547" s="1" t="s">
        <v>14</v>
      </c>
      <c r="F1547">
        <v>22</v>
      </c>
      <c r="G1547" s="1" t="s">
        <v>19</v>
      </c>
      <c r="H1547">
        <v>22014</v>
      </c>
      <c r="I1547">
        <v>15</v>
      </c>
      <c r="J1547">
        <v>15</v>
      </c>
      <c r="K1547">
        <v>12</v>
      </c>
      <c r="L1547">
        <v>800</v>
      </c>
    </row>
    <row r="1548" spans="1:12" hidden="1" x14ac:dyDescent="0.25">
      <c r="A1548">
        <v>1547</v>
      </c>
      <c r="B1548" s="1" t="s">
        <v>12</v>
      </c>
      <c r="C1548">
        <v>1946</v>
      </c>
      <c r="D1548" s="1" t="s">
        <v>211</v>
      </c>
      <c r="E1548" s="1" t="s">
        <v>22</v>
      </c>
      <c r="F1548">
        <v>14</v>
      </c>
      <c r="G1548" s="1" t="s">
        <v>183</v>
      </c>
      <c r="H1548">
        <v>14007</v>
      </c>
      <c r="I1548">
        <v>40000</v>
      </c>
      <c r="J1548">
        <v>26000</v>
      </c>
      <c r="K1548">
        <v>23295</v>
      </c>
      <c r="L1548">
        <v>896</v>
      </c>
    </row>
    <row r="1549" spans="1:12" hidden="1" x14ac:dyDescent="0.25">
      <c r="A1549">
        <v>1548</v>
      </c>
      <c r="B1549" s="1" t="s">
        <v>12</v>
      </c>
      <c r="C1549">
        <v>1946</v>
      </c>
      <c r="D1549" s="1" t="s">
        <v>211</v>
      </c>
      <c r="E1549" s="1" t="s">
        <v>22</v>
      </c>
      <c r="F1549">
        <v>14</v>
      </c>
      <c r="G1549" s="1" t="s">
        <v>24</v>
      </c>
      <c r="H1549">
        <v>14119</v>
      </c>
      <c r="I1549">
        <v>34000</v>
      </c>
      <c r="J1549">
        <v>27300</v>
      </c>
      <c r="K1549">
        <v>27191</v>
      </c>
      <c r="L1549">
        <v>996</v>
      </c>
    </row>
    <row r="1550" spans="1:12" hidden="1" x14ac:dyDescent="0.25">
      <c r="A1550">
        <v>1549</v>
      </c>
      <c r="B1550" s="1" t="s">
        <v>12</v>
      </c>
      <c r="C1550">
        <v>1946</v>
      </c>
      <c r="D1550" s="1" t="s">
        <v>211</v>
      </c>
      <c r="E1550" s="1" t="s">
        <v>22</v>
      </c>
      <c r="F1550">
        <v>14</v>
      </c>
      <c r="G1550" s="1" t="s">
        <v>23</v>
      </c>
      <c r="H1550">
        <v>14147</v>
      </c>
      <c r="I1550">
        <v>30000</v>
      </c>
      <c r="J1550">
        <v>29000</v>
      </c>
      <c r="K1550">
        <v>30817</v>
      </c>
      <c r="L1550">
        <v>1063</v>
      </c>
    </row>
    <row r="1551" spans="1:12" hidden="1" x14ac:dyDescent="0.25">
      <c r="A1551">
        <v>1550</v>
      </c>
      <c r="B1551" s="1" t="s">
        <v>12</v>
      </c>
      <c r="C1551">
        <v>1946</v>
      </c>
      <c r="D1551" s="1" t="s">
        <v>211</v>
      </c>
      <c r="E1551" s="1" t="s">
        <v>22</v>
      </c>
      <c r="F1551">
        <v>14</v>
      </c>
      <c r="G1551" s="1" t="s">
        <v>97</v>
      </c>
      <c r="H1551">
        <v>14007</v>
      </c>
      <c r="I1551">
        <v>8000</v>
      </c>
      <c r="J1551">
        <v>6400</v>
      </c>
      <c r="K1551">
        <v>6656</v>
      </c>
      <c r="L1551">
        <v>1040</v>
      </c>
    </row>
    <row r="1552" spans="1:12" hidden="1" x14ac:dyDescent="0.25">
      <c r="A1552">
        <v>1551</v>
      </c>
      <c r="B1552" s="1" t="s">
        <v>12</v>
      </c>
      <c r="C1552">
        <v>1946</v>
      </c>
      <c r="D1552" s="1" t="s">
        <v>211</v>
      </c>
      <c r="E1552" s="1" t="s">
        <v>22</v>
      </c>
      <c r="F1552">
        <v>14</v>
      </c>
      <c r="G1552" s="1" t="s">
        <v>25</v>
      </c>
      <c r="H1552">
        <v>14105</v>
      </c>
      <c r="I1552">
        <v>5200</v>
      </c>
      <c r="J1552">
        <v>3900</v>
      </c>
      <c r="K1552">
        <v>3900</v>
      </c>
      <c r="L1552">
        <v>1000</v>
      </c>
    </row>
    <row r="1553" spans="1:12" hidden="1" x14ac:dyDescent="0.25">
      <c r="A1553">
        <v>1552</v>
      </c>
      <c r="B1553" s="1" t="s">
        <v>12</v>
      </c>
      <c r="C1553">
        <v>1946</v>
      </c>
      <c r="D1553" s="1" t="s">
        <v>211</v>
      </c>
      <c r="E1553" s="1" t="s">
        <v>22</v>
      </c>
      <c r="F1553">
        <v>14</v>
      </c>
      <c r="G1553" s="1" t="s">
        <v>29</v>
      </c>
      <c r="H1553">
        <v>14098</v>
      </c>
      <c r="I1553">
        <v>4000</v>
      </c>
      <c r="J1553">
        <v>1600</v>
      </c>
      <c r="K1553">
        <v>1584</v>
      </c>
      <c r="L1553">
        <v>990</v>
      </c>
    </row>
    <row r="1554" spans="1:12" hidden="1" x14ac:dyDescent="0.25">
      <c r="A1554">
        <v>1553</v>
      </c>
      <c r="B1554" s="1" t="s">
        <v>12</v>
      </c>
      <c r="C1554">
        <v>1946</v>
      </c>
      <c r="D1554" s="1" t="s">
        <v>211</v>
      </c>
      <c r="E1554" s="1" t="s">
        <v>22</v>
      </c>
      <c r="F1554">
        <v>14</v>
      </c>
      <c r="G1554" s="1" t="s">
        <v>67</v>
      </c>
      <c r="H1554">
        <v>14140</v>
      </c>
      <c r="I1554">
        <v>1100</v>
      </c>
      <c r="J1554">
        <v>500</v>
      </c>
      <c r="K1554">
        <v>450</v>
      </c>
      <c r="L1554">
        <v>900</v>
      </c>
    </row>
    <row r="1555" spans="1:12" hidden="1" x14ac:dyDescent="0.25">
      <c r="A1555">
        <v>1554</v>
      </c>
      <c r="B1555" s="1" t="s">
        <v>12</v>
      </c>
      <c r="C1555">
        <v>1946</v>
      </c>
      <c r="D1555" s="1" t="s">
        <v>211</v>
      </c>
      <c r="E1555" s="1" t="s">
        <v>22</v>
      </c>
      <c r="F1555">
        <v>14</v>
      </c>
      <c r="G1555" s="1" t="s">
        <v>143</v>
      </c>
      <c r="H1555">
        <v>14056</v>
      </c>
      <c r="I1555">
        <v>1000</v>
      </c>
      <c r="J1555">
        <v>100</v>
      </c>
      <c r="K1555">
        <v>70</v>
      </c>
      <c r="L1555">
        <v>700</v>
      </c>
    </row>
    <row r="1556" spans="1:12" hidden="1" x14ac:dyDescent="0.25">
      <c r="A1556">
        <v>1555</v>
      </c>
      <c r="B1556" s="1" t="s">
        <v>12</v>
      </c>
      <c r="C1556">
        <v>1946</v>
      </c>
      <c r="D1556" s="1" t="s">
        <v>211</v>
      </c>
      <c r="E1556" s="1" t="s">
        <v>22</v>
      </c>
      <c r="F1556">
        <v>14</v>
      </c>
      <c r="G1556" s="1" t="s">
        <v>28</v>
      </c>
      <c r="H1556">
        <v>14014</v>
      </c>
      <c r="I1556">
        <v>950</v>
      </c>
      <c r="J1556">
        <v>900</v>
      </c>
      <c r="K1556">
        <v>990</v>
      </c>
      <c r="L1556">
        <v>1100</v>
      </c>
    </row>
    <row r="1557" spans="1:12" hidden="1" x14ac:dyDescent="0.25">
      <c r="A1557">
        <v>1556</v>
      </c>
      <c r="B1557" s="1" t="s">
        <v>12</v>
      </c>
      <c r="C1557">
        <v>1946</v>
      </c>
      <c r="D1557" s="1" t="s">
        <v>211</v>
      </c>
      <c r="E1557" s="1" t="s">
        <v>22</v>
      </c>
      <c r="F1557">
        <v>14</v>
      </c>
      <c r="G1557" s="1" t="s">
        <v>184</v>
      </c>
      <c r="H1557">
        <v>14042</v>
      </c>
      <c r="I1557">
        <v>500</v>
      </c>
      <c r="J1557">
        <v>250</v>
      </c>
      <c r="K1557">
        <v>200</v>
      </c>
      <c r="L1557">
        <v>800</v>
      </c>
    </row>
    <row r="1558" spans="1:12" hidden="1" x14ac:dyDescent="0.25">
      <c r="A1558">
        <v>1557</v>
      </c>
      <c r="B1558" s="1" t="s">
        <v>12</v>
      </c>
      <c r="C1558">
        <v>1946</v>
      </c>
      <c r="D1558" s="1" t="s">
        <v>211</v>
      </c>
      <c r="E1558" s="1" t="s">
        <v>22</v>
      </c>
      <c r="F1558">
        <v>14</v>
      </c>
      <c r="G1558" s="1" t="s">
        <v>27</v>
      </c>
      <c r="H1558">
        <v>14021</v>
      </c>
      <c r="I1558">
        <v>400</v>
      </c>
      <c r="J1558">
        <v>300</v>
      </c>
      <c r="K1558">
        <v>270</v>
      </c>
      <c r="L1558">
        <v>900</v>
      </c>
    </row>
    <row r="1559" spans="1:12" hidden="1" x14ac:dyDescent="0.25">
      <c r="A1559">
        <v>1558</v>
      </c>
      <c r="B1559" s="1" t="s">
        <v>12</v>
      </c>
      <c r="C1559">
        <v>1946</v>
      </c>
      <c r="D1559" s="1" t="s">
        <v>211</v>
      </c>
      <c r="E1559" s="1" t="s">
        <v>22</v>
      </c>
      <c r="F1559">
        <v>14</v>
      </c>
      <c r="G1559" s="1" t="s">
        <v>206</v>
      </c>
      <c r="H1559">
        <v>14084</v>
      </c>
      <c r="I1559">
        <v>150</v>
      </c>
      <c r="J1559">
        <v>60</v>
      </c>
      <c r="K1559">
        <v>36</v>
      </c>
      <c r="L1559">
        <v>600</v>
      </c>
    </row>
    <row r="1560" spans="1:12" hidden="1" x14ac:dyDescent="0.25">
      <c r="A1560">
        <v>1559</v>
      </c>
      <c r="B1560" s="1" t="s">
        <v>12</v>
      </c>
      <c r="C1560">
        <v>1946</v>
      </c>
      <c r="D1560" s="1" t="s">
        <v>211</v>
      </c>
      <c r="E1560" s="1" t="s">
        <v>22</v>
      </c>
      <c r="F1560">
        <v>14</v>
      </c>
      <c r="G1560" s="1" t="s">
        <v>114</v>
      </c>
      <c r="H1560">
        <v>14168</v>
      </c>
      <c r="I1560">
        <v>80</v>
      </c>
      <c r="J1560">
        <v>55</v>
      </c>
      <c r="K1560">
        <v>55</v>
      </c>
      <c r="L1560">
        <v>1000</v>
      </c>
    </row>
    <row r="1561" spans="1:12" hidden="1" x14ac:dyDescent="0.25">
      <c r="A1561">
        <v>1560</v>
      </c>
      <c r="B1561" s="1" t="s">
        <v>12</v>
      </c>
      <c r="C1561">
        <v>1946</v>
      </c>
      <c r="D1561" s="1" t="s">
        <v>211</v>
      </c>
      <c r="E1561" s="1" t="s">
        <v>22</v>
      </c>
      <c r="F1561">
        <v>14</v>
      </c>
      <c r="G1561" s="1" t="s">
        <v>171</v>
      </c>
      <c r="H1561">
        <v>14112</v>
      </c>
      <c r="I1561">
        <v>70</v>
      </c>
      <c r="J1561">
        <v>50</v>
      </c>
      <c r="K1561">
        <v>40</v>
      </c>
      <c r="L1561">
        <v>800</v>
      </c>
    </row>
    <row r="1562" spans="1:12" hidden="1" x14ac:dyDescent="0.25">
      <c r="A1562">
        <v>1561</v>
      </c>
      <c r="B1562" s="1" t="s">
        <v>12</v>
      </c>
      <c r="C1562">
        <v>1946</v>
      </c>
      <c r="D1562" s="1" t="s">
        <v>211</v>
      </c>
      <c r="E1562" s="1" t="s">
        <v>22</v>
      </c>
      <c r="F1562">
        <v>14</v>
      </c>
      <c r="G1562" s="1" t="s">
        <v>169</v>
      </c>
      <c r="H1562">
        <v>14126</v>
      </c>
      <c r="I1562">
        <v>40</v>
      </c>
      <c r="J1562">
        <v>25</v>
      </c>
      <c r="K1562">
        <v>20</v>
      </c>
      <c r="L1562">
        <v>800</v>
      </c>
    </row>
    <row r="1563" spans="1:12" hidden="1" x14ac:dyDescent="0.25">
      <c r="A1563">
        <v>1562</v>
      </c>
      <c r="B1563" s="1" t="s">
        <v>12</v>
      </c>
      <c r="C1563">
        <v>1946</v>
      </c>
      <c r="D1563" s="1" t="s">
        <v>211</v>
      </c>
      <c r="E1563" s="1" t="s">
        <v>22</v>
      </c>
      <c r="F1563">
        <v>14</v>
      </c>
      <c r="G1563" s="1" t="s">
        <v>186</v>
      </c>
      <c r="H1563">
        <v>14175</v>
      </c>
      <c r="I1563">
        <v>30</v>
      </c>
      <c r="J1563">
        <v>20</v>
      </c>
      <c r="K1563">
        <v>19</v>
      </c>
      <c r="L1563">
        <v>950</v>
      </c>
    </row>
    <row r="1564" spans="1:12" hidden="1" x14ac:dyDescent="0.25">
      <c r="A1564">
        <v>1563</v>
      </c>
      <c r="B1564" s="1" t="s">
        <v>12</v>
      </c>
      <c r="C1564">
        <v>1946</v>
      </c>
      <c r="D1564" s="1" t="s">
        <v>211</v>
      </c>
      <c r="E1564" s="1" t="s">
        <v>22</v>
      </c>
      <c r="F1564">
        <v>14</v>
      </c>
      <c r="G1564" s="1" t="s">
        <v>62</v>
      </c>
      <c r="H1564">
        <v>14133</v>
      </c>
      <c r="I1564">
        <v>20</v>
      </c>
      <c r="J1564">
        <v>10</v>
      </c>
      <c r="K1564">
        <v>9</v>
      </c>
      <c r="L1564">
        <v>900</v>
      </c>
    </row>
    <row r="1565" spans="1:12" hidden="1" x14ac:dyDescent="0.25">
      <c r="A1565">
        <v>1564</v>
      </c>
      <c r="B1565" s="1" t="s">
        <v>12</v>
      </c>
      <c r="C1565">
        <v>1946</v>
      </c>
      <c r="D1565" s="1" t="s">
        <v>211</v>
      </c>
      <c r="E1565" s="1" t="s">
        <v>22</v>
      </c>
      <c r="F1565">
        <v>14</v>
      </c>
      <c r="G1565" s="1" t="s">
        <v>173</v>
      </c>
      <c r="H1565">
        <v>14028</v>
      </c>
      <c r="I1565">
        <v>15</v>
      </c>
      <c r="J1565">
        <v>10</v>
      </c>
      <c r="K1565">
        <v>8</v>
      </c>
      <c r="L1565">
        <v>800</v>
      </c>
    </row>
    <row r="1566" spans="1:12" hidden="1" x14ac:dyDescent="0.25">
      <c r="A1566">
        <v>1565</v>
      </c>
      <c r="B1566" s="1" t="s">
        <v>12</v>
      </c>
      <c r="C1566">
        <v>1946</v>
      </c>
      <c r="D1566" s="1" t="s">
        <v>211</v>
      </c>
      <c r="E1566" s="1" t="s">
        <v>22</v>
      </c>
      <c r="F1566">
        <v>14</v>
      </c>
      <c r="G1566" s="1" t="s">
        <v>172</v>
      </c>
      <c r="H1566">
        <v>14091</v>
      </c>
      <c r="I1566">
        <v>8</v>
      </c>
      <c r="J1566">
        <v>5</v>
      </c>
      <c r="K1566">
        <v>4</v>
      </c>
      <c r="L1566">
        <v>800</v>
      </c>
    </row>
    <row r="1567" spans="1:12" hidden="1" x14ac:dyDescent="0.25">
      <c r="A1567">
        <v>1566</v>
      </c>
      <c r="B1567" s="1" t="s">
        <v>12</v>
      </c>
      <c r="C1567">
        <v>1946</v>
      </c>
      <c r="D1567" s="1" t="s">
        <v>211</v>
      </c>
      <c r="E1567" s="1" t="s">
        <v>22</v>
      </c>
      <c r="F1567">
        <v>14</v>
      </c>
      <c r="G1567" s="1" t="s">
        <v>170</v>
      </c>
      <c r="H1567">
        <v>14049</v>
      </c>
      <c r="I1567">
        <v>7</v>
      </c>
      <c r="J1567">
        <v>5</v>
      </c>
      <c r="K1567">
        <v>4</v>
      </c>
      <c r="L1567">
        <v>800</v>
      </c>
    </row>
    <row r="1568" spans="1:12" hidden="1" x14ac:dyDescent="0.25">
      <c r="A1568">
        <v>1567</v>
      </c>
      <c r="B1568" s="1" t="s">
        <v>12</v>
      </c>
      <c r="C1568">
        <v>1946</v>
      </c>
      <c r="D1568" s="1" t="s">
        <v>211</v>
      </c>
      <c r="E1568" s="1" t="s">
        <v>30</v>
      </c>
      <c r="F1568">
        <v>18</v>
      </c>
      <c r="G1568" s="1" t="s">
        <v>32</v>
      </c>
      <c r="H1568">
        <v>18112</v>
      </c>
      <c r="I1568">
        <v>500</v>
      </c>
      <c r="J1568">
        <v>475</v>
      </c>
      <c r="K1568">
        <v>4276</v>
      </c>
      <c r="L1568">
        <v>900</v>
      </c>
    </row>
    <row r="1569" spans="1:12" hidden="1" x14ac:dyDescent="0.25">
      <c r="A1569">
        <v>1568</v>
      </c>
      <c r="B1569" s="1" t="s">
        <v>12</v>
      </c>
      <c r="C1569">
        <v>1946</v>
      </c>
      <c r="D1569" s="1" t="s">
        <v>211</v>
      </c>
      <c r="E1569" s="1" t="s">
        <v>30</v>
      </c>
      <c r="F1569">
        <v>18</v>
      </c>
      <c r="G1569" s="1" t="s">
        <v>35</v>
      </c>
      <c r="H1569">
        <v>18049</v>
      </c>
      <c r="I1569">
        <v>120</v>
      </c>
      <c r="J1569">
        <v>100</v>
      </c>
      <c r="K1569">
        <v>90</v>
      </c>
      <c r="L1569">
        <v>900</v>
      </c>
    </row>
    <row r="1570" spans="1:12" hidden="1" x14ac:dyDescent="0.25">
      <c r="A1570">
        <v>1569</v>
      </c>
      <c r="B1570" s="1" t="s">
        <v>12</v>
      </c>
      <c r="C1570">
        <v>1946</v>
      </c>
      <c r="D1570" s="1" t="s">
        <v>211</v>
      </c>
      <c r="E1570" s="1" t="s">
        <v>30</v>
      </c>
      <c r="F1570">
        <v>18</v>
      </c>
      <c r="G1570" s="1" t="s">
        <v>33</v>
      </c>
      <c r="H1570">
        <v>18091</v>
      </c>
      <c r="I1570">
        <v>110</v>
      </c>
      <c r="J1570">
        <v>100</v>
      </c>
      <c r="K1570">
        <v>90</v>
      </c>
      <c r="L1570">
        <v>900</v>
      </c>
    </row>
    <row r="1571" spans="1:12" hidden="1" x14ac:dyDescent="0.25">
      <c r="A1571">
        <v>1570</v>
      </c>
      <c r="B1571" s="1" t="s">
        <v>12</v>
      </c>
      <c r="C1571">
        <v>1946</v>
      </c>
      <c r="D1571" s="1" t="s">
        <v>211</v>
      </c>
      <c r="E1571" s="1" t="s">
        <v>30</v>
      </c>
      <c r="F1571">
        <v>18</v>
      </c>
      <c r="G1571" s="1" t="s">
        <v>40</v>
      </c>
      <c r="H1571">
        <v>18126</v>
      </c>
      <c r="I1571">
        <v>110</v>
      </c>
      <c r="J1571">
        <v>90</v>
      </c>
      <c r="K1571">
        <v>63</v>
      </c>
      <c r="L1571">
        <v>700</v>
      </c>
    </row>
    <row r="1572" spans="1:12" hidden="1" x14ac:dyDescent="0.25">
      <c r="A1572">
        <v>1571</v>
      </c>
      <c r="B1572" s="1" t="s">
        <v>12</v>
      </c>
      <c r="C1572">
        <v>1946</v>
      </c>
      <c r="D1572" s="1" t="s">
        <v>211</v>
      </c>
      <c r="E1572" s="1" t="s">
        <v>30</v>
      </c>
      <c r="F1572">
        <v>18</v>
      </c>
      <c r="G1572" s="1" t="s">
        <v>43</v>
      </c>
      <c r="H1572">
        <v>18070</v>
      </c>
      <c r="I1572">
        <v>100</v>
      </c>
      <c r="J1572">
        <v>90</v>
      </c>
      <c r="K1572">
        <v>81</v>
      </c>
      <c r="L1572">
        <v>900</v>
      </c>
    </row>
    <row r="1573" spans="1:12" hidden="1" x14ac:dyDescent="0.25">
      <c r="A1573">
        <v>1572</v>
      </c>
      <c r="B1573" s="1" t="s">
        <v>12</v>
      </c>
      <c r="C1573">
        <v>1946</v>
      </c>
      <c r="D1573" s="1" t="s">
        <v>211</v>
      </c>
      <c r="E1573" s="1" t="s">
        <v>30</v>
      </c>
      <c r="F1573">
        <v>18</v>
      </c>
      <c r="G1573" s="1" t="s">
        <v>38</v>
      </c>
      <c r="H1573">
        <v>18007</v>
      </c>
      <c r="I1573">
        <v>80</v>
      </c>
      <c r="J1573">
        <v>70</v>
      </c>
      <c r="K1573">
        <v>56</v>
      </c>
      <c r="L1573">
        <v>800</v>
      </c>
    </row>
    <row r="1574" spans="1:12" hidden="1" x14ac:dyDescent="0.25">
      <c r="A1574">
        <v>1573</v>
      </c>
      <c r="B1574" s="1" t="s">
        <v>12</v>
      </c>
      <c r="C1574">
        <v>1946</v>
      </c>
      <c r="D1574" s="1" t="s">
        <v>211</v>
      </c>
      <c r="E1574" s="1" t="s">
        <v>30</v>
      </c>
      <c r="F1574">
        <v>18</v>
      </c>
      <c r="G1574" s="1" t="s">
        <v>28</v>
      </c>
      <c r="H1574">
        <v>18021</v>
      </c>
      <c r="I1574">
        <v>30</v>
      </c>
      <c r="J1574">
        <v>27</v>
      </c>
      <c r="K1574">
        <v>216</v>
      </c>
      <c r="L1574">
        <v>800</v>
      </c>
    </row>
    <row r="1575" spans="1:12" hidden="1" x14ac:dyDescent="0.25">
      <c r="A1575">
        <v>1574</v>
      </c>
      <c r="B1575" s="1" t="s">
        <v>12</v>
      </c>
      <c r="C1575">
        <v>1946</v>
      </c>
      <c r="D1575" s="1" t="s">
        <v>211</v>
      </c>
      <c r="E1575" s="1" t="s">
        <v>30</v>
      </c>
      <c r="F1575">
        <v>18</v>
      </c>
      <c r="G1575" s="1" t="s">
        <v>41</v>
      </c>
      <c r="H1575">
        <v>18140</v>
      </c>
      <c r="I1575">
        <v>25</v>
      </c>
      <c r="J1575">
        <v>24</v>
      </c>
      <c r="K1575">
        <v>192</v>
      </c>
      <c r="L1575">
        <v>800</v>
      </c>
    </row>
    <row r="1576" spans="1:12" hidden="1" x14ac:dyDescent="0.25">
      <c r="A1576">
        <v>1575</v>
      </c>
      <c r="B1576" s="1" t="s">
        <v>12</v>
      </c>
      <c r="C1576">
        <v>1946</v>
      </c>
      <c r="D1576" s="1" t="s">
        <v>211</v>
      </c>
      <c r="E1576" s="1" t="s">
        <v>30</v>
      </c>
      <c r="F1576">
        <v>18</v>
      </c>
      <c r="G1576" s="1" t="s">
        <v>42</v>
      </c>
      <c r="H1576">
        <v>18035</v>
      </c>
      <c r="I1576">
        <v>20</v>
      </c>
      <c r="J1576">
        <v>14</v>
      </c>
      <c r="K1576">
        <v>98</v>
      </c>
      <c r="L1576">
        <v>700</v>
      </c>
    </row>
    <row r="1577" spans="1:12" hidden="1" x14ac:dyDescent="0.25">
      <c r="A1577">
        <v>1576</v>
      </c>
      <c r="B1577" s="1" t="s">
        <v>12</v>
      </c>
      <c r="C1577">
        <v>1946</v>
      </c>
      <c r="D1577" s="1" t="s">
        <v>211</v>
      </c>
      <c r="E1577" s="1" t="s">
        <v>30</v>
      </c>
      <c r="F1577">
        <v>18</v>
      </c>
      <c r="G1577" s="1" t="s">
        <v>34</v>
      </c>
      <c r="H1577">
        <v>18042</v>
      </c>
      <c r="I1577">
        <v>20</v>
      </c>
      <c r="J1577">
        <v>20</v>
      </c>
      <c r="K1577">
        <v>16</v>
      </c>
      <c r="L1577">
        <v>800</v>
      </c>
    </row>
    <row r="1578" spans="1:12" hidden="1" x14ac:dyDescent="0.25">
      <c r="A1578">
        <v>1577</v>
      </c>
      <c r="B1578" s="1" t="s">
        <v>12</v>
      </c>
      <c r="C1578">
        <v>1946</v>
      </c>
      <c r="D1578" s="1" t="s">
        <v>211</v>
      </c>
      <c r="E1578" s="1" t="s">
        <v>30</v>
      </c>
      <c r="F1578">
        <v>18</v>
      </c>
      <c r="G1578" s="1" t="s">
        <v>101</v>
      </c>
      <c r="H1578">
        <v>18161</v>
      </c>
      <c r="I1578">
        <v>20</v>
      </c>
      <c r="J1578">
        <v>20</v>
      </c>
      <c r="K1578">
        <v>16</v>
      </c>
      <c r="L1578">
        <v>800</v>
      </c>
    </row>
    <row r="1579" spans="1:12" hidden="1" x14ac:dyDescent="0.25">
      <c r="A1579">
        <v>1578</v>
      </c>
      <c r="B1579" s="1" t="s">
        <v>12</v>
      </c>
      <c r="C1579">
        <v>1946</v>
      </c>
      <c r="D1579" s="1" t="s">
        <v>211</v>
      </c>
      <c r="E1579" s="1" t="s">
        <v>30</v>
      </c>
      <c r="F1579">
        <v>18</v>
      </c>
      <c r="G1579" s="1" t="s">
        <v>99</v>
      </c>
      <c r="H1579">
        <v>18063</v>
      </c>
      <c r="I1579">
        <v>10</v>
      </c>
      <c r="J1579">
        <v>10</v>
      </c>
      <c r="K1579">
        <v>7</v>
      </c>
      <c r="L1579">
        <v>700</v>
      </c>
    </row>
    <row r="1580" spans="1:12" hidden="1" x14ac:dyDescent="0.25">
      <c r="A1580">
        <v>1579</v>
      </c>
      <c r="B1580" s="1" t="s">
        <v>12</v>
      </c>
      <c r="C1580">
        <v>1946</v>
      </c>
      <c r="D1580" s="1" t="s">
        <v>211</v>
      </c>
      <c r="E1580" s="1" t="s">
        <v>30</v>
      </c>
      <c r="F1580">
        <v>18</v>
      </c>
      <c r="G1580" s="1" t="s">
        <v>36</v>
      </c>
      <c r="H1580">
        <v>18133</v>
      </c>
      <c r="I1580">
        <v>8</v>
      </c>
      <c r="J1580">
        <v>8</v>
      </c>
      <c r="K1580">
        <v>64</v>
      </c>
      <c r="L1580">
        <v>800</v>
      </c>
    </row>
    <row r="1581" spans="1:12" hidden="1" x14ac:dyDescent="0.25">
      <c r="A1581">
        <v>1580</v>
      </c>
      <c r="B1581" s="1" t="s">
        <v>12</v>
      </c>
      <c r="C1581">
        <v>1946</v>
      </c>
      <c r="D1581" s="1" t="s">
        <v>211</v>
      </c>
      <c r="E1581" s="1" t="s">
        <v>30</v>
      </c>
      <c r="F1581">
        <v>18</v>
      </c>
      <c r="G1581" s="1" t="s">
        <v>98</v>
      </c>
      <c r="H1581">
        <v>18098</v>
      </c>
      <c r="I1581">
        <v>7</v>
      </c>
      <c r="J1581">
        <v>7</v>
      </c>
      <c r="K1581">
        <v>56</v>
      </c>
      <c r="L1581">
        <v>800</v>
      </c>
    </row>
    <row r="1582" spans="1:12" hidden="1" x14ac:dyDescent="0.25">
      <c r="A1582">
        <v>1581</v>
      </c>
      <c r="B1582" s="1" t="s">
        <v>12</v>
      </c>
      <c r="C1582">
        <v>1946</v>
      </c>
      <c r="D1582" s="1" t="s">
        <v>211</v>
      </c>
      <c r="E1582" s="1" t="s">
        <v>30</v>
      </c>
      <c r="F1582">
        <v>18</v>
      </c>
      <c r="G1582" s="1" t="s">
        <v>102</v>
      </c>
      <c r="H1582">
        <v>18014</v>
      </c>
      <c r="I1582">
        <v>6</v>
      </c>
      <c r="J1582">
        <v>6</v>
      </c>
      <c r="K1582">
        <v>48</v>
      </c>
      <c r="L1582">
        <v>800</v>
      </c>
    </row>
    <row r="1583" spans="1:12" hidden="1" x14ac:dyDescent="0.25">
      <c r="A1583">
        <v>1582</v>
      </c>
      <c r="B1583" s="1" t="s">
        <v>12</v>
      </c>
      <c r="C1583">
        <v>1946</v>
      </c>
      <c r="D1583" s="1" t="s">
        <v>211</v>
      </c>
      <c r="E1583" s="1" t="s">
        <v>30</v>
      </c>
      <c r="F1583">
        <v>18</v>
      </c>
      <c r="G1583" s="1" t="s">
        <v>37</v>
      </c>
      <c r="H1583">
        <v>18147</v>
      </c>
      <c r="I1583">
        <v>6</v>
      </c>
      <c r="J1583">
        <v>6</v>
      </c>
      <c r="K1583">
        <v>42</v>
      </c>
      <c r="L1583">
        <v>700</v>
      </c>
    </row>
    <row r="1584" spans="1:12" hidden="1" x14ac:dyDescent="0.25">
      <c r="A1584">
        <v>1583</v>
      </c>
      <c r="B1584" s="1" t="s">
        <v>12</v>
      </c>
      <c r="C1584">
        <v>1946</v>
      </c>
      <c r="D1584" s="1" t="s">
        <v>211</v>
      </c>
      <c r="E1584" s="1" t="s">
        <v>30</v>
      </c>
      <c r="F1584">
        <v>18</v>
      </c>
      <c r="G1584" s="1" t="s">
        <v>103</v>
      </c>
      <c r="H1584">
        <v>18154</v>
      </c>
      <c r="I1584">
        <v>6</v>
      </c>
      <c r="J1584">
        <v>6</v>
      </c>
      <c r="K1584">
        <v>48</v>
      </c>
      <c r="L1584">
        <v>800</v>
      </c>
    </row>
    <row r="1585" spans="1:12" hidden="1" x14ac:dyDescent="0.25">
      <c r="A1585">
        <v>1584</v>
      </c>
      <c r="B1585" s="1" t="s">
        <v>12</v>
      </c>
      <c r="C1585">
        <v>1946</v>
      </c>
      <c r="D1585" s="1" t="s">
        <v>211</v>
      </c>
      <c r="E1585" s="1" t="s">
        <v>30</v>
      </c>
      <c r="F1585">
        <v>18</v>
      </c>
      <c r="G1585" s="1" t="s">
        <v>63</v>
      </c>
      <c r="H1585">
        <v>18028</v>
      </c>
      <c r="I1585">
        <v>5</v>
      </c>
      <c r="J1585">
        <v>5</v>
      </c>
      <c r="K1585">
        <v>4</v>
      </c>
      <c r="L1585">
        <v>800</v>
      </c>
    </row>
    <row r="1586" spans="1:12" hidden="1" x14ac:dyDescent="0.25">
      <c r="A1586">
        <v>1585</v>
      </c>
      <c r="B1586" s="1" t="s">
        <v>12</v>
      </c>
      <c r="C1586">
        <v>1946</v>
      </c>
      <c r="D1586" s="1" t="s">
        <v>211</v>
      </c>
      <c r="E1586" s="1" t="s">
        <v>30</v>
      </c>
      <c r="F1586">
        <v>18</v>
      </c>
      <c r="G1586" s="1" t="s">
        <v>100</v>
      </c>
      <c r="H1586">
        <v>18077</v>
      </c>
      <c r="I1586">
        <v>5</v>
      </c>
      <c r="J1586">
        <v>5</v>
      </c>
      <c r="K1586">
        <v>4</v>
      </c>
      <c r="L1586">
        <v>800</v>
      </c>
    </row>
    <row r="1587" spans="1:12" hidden="1" x14ac:dyDescent="0.25">
      <c r="A1587">
        <v>1586</v>
      </c>
      <c r="B1587" s="1" t="s">
        <v>12</v>
      </c>
      <c r="C1587">
        <v>1946</v>
      </c>
      <c r="D1587" s="1" t="s">
        <v>211</v>
      </c>
      <c r="E1587" s="1" t="s">
        <v>30</v>
      </c>
      <c r="F1587">
        <v>18</v>
      </c>
      <c r="G1587" s="1" t="s">
        <v>86</v>
      </c>
      <c r="H1587">
        <v>18175</v>
      </c>
      <c r="I1587">
        <v>5</v>
      </c>
      <c r="J1587">
        <v>5</v>
      </c>
      <c r="K1587">
        <v>4</v>
      </c>
      <c r="L1587">
        <v>800</v>
      </c>
    </row>
    <row r="1588" spans="1:12" hidden="1" x14ac:dyDescent="0.25">
      <c r="A1588">
        <v>1587</v>
      </c>
      <c r="B1588" s="1" t="s">
        <v>12</v>
      </c>
      <c r="C1588">
        <v>1946</v>
      </c>
      <c r="D1588" s="1" t="s">
        <v>211</v>
      </c>
      <c r="E1588" s="1" t="s">
        <v>30</v>
      </c>
      <c r="F1588">
        <v>18</v>
      </c>
      <c r="G1588" s="1" t="s">
        <v>44</v>
      </c>
      <c r="H1588">
        <v>18168</v>
      </c>
      <c r="I1588">
        <v>3</v>
      </c>
      <c r="J1588">
        <v>3</v>
      </c>
      <c r="K1588">
        <v>2</v>
      </c>
      <c r="L1588">
        <v>700</v>
      </c>
    </row>
    <row r="1589" spans="1:12" hidden="1" x14ac:dyDescent="0.25">
      <c r="A1589">
        <v>1588</v>
      </c>
      <c r="B1589" s="1" t="s">
        <v>12</v>
      </c>
      <c r="C1589">
        <v>1946</v>
      </c>
      <c r="D1589" s="1" t="s">
        <v>211</v>
      </c>
      <c r="E1589" s="1" t="s">
        <v>30</v>
      </c>
      <c r="F1589">
        <v>18</v>
      </c>
      <c r="G1589" s="1" t="s">
        <v>105</v>
      </c>
      <c r="H1589">
        <v>18105</v>
      </c>
      <c r="I1589">
        <v>2</v>
      </c>
      <c r="J1589">
        <v>2</v>
      </c>
      <c r="K1589">
        <v>2</v>
      </c>
      <c r="L1589">
        <v>1000</v>
      </c>
    </row>
    <row r="1590" spans="1:12" hidden="1" x14ac:dyDescent="0.25">
      <c r="A1590">
        <v>1589</v>
      </c>
      <c r="B1590" s="1" t="s">
        <v>12</v>
      </c>
      <c r="C1590">
        <v>1946</v>
      </c>
      <c r="D1590" s="1" t="s">
        <v>211</v>
      </c>
      <c r="E1590" s="1" t="s">
        <v>45</v>
      </c>
      <c r="F1590">
        <v>30</v>
      </c>
      <c r="G1590" s="1" t="s">
        <v>46</v>
      </c>
      <c r="H1590">
        <v>30028</v>
      </c>
      <c r="I1590">
        <v>6000</v>
      </c>
      <c r="J1590">
        <v>5520</v>
      </c>
      <c r="K1590">
        <v>5410</v>
      </c>
      <c r="L1590">
        <v>980</v>
      </c>
    </row>
    <row r="1591" spans="1:12" hidden="1" x14ac:dyDescent="0.25">
      <c r="A1591">
        <v>1590</v>
      </c>
      <c r="B1591" s="1" t="s">
        <v>12</v>
      </c>
      <c r="C1591">
        <v>1946</v>
      </c>
      <c r="D1591" s="1" t="s">
        <v>211</v>
      </c>
      <c r="E1591" s="1" t="s">
        <v>45</v>
      </c>
      <c r="F1591">
        <v>30</v>
      </c>
      <c r="G1591" s="1" t="s">
        <v>47</v>
      </c>
      <c r="H1591">
        <v>30015</v>
      </c>
      <c r="I1591">
        <v>3850</v>
      </c>
      <c r="J1591">
        <v>3542</v>
      </c>
      <c r="K1591">
        <v>3188</v>
      </c>
      <c r="L1591">
        <v>900</v>
      </c>
    </row>
    <row r="1592" spans="1:12" hidden="1" x14ac:dyDescent="0.25">
      <c r="A1592">
        <v>1591</v>
      </c>
      <c r="B1592" s="1" t="s">
        <v>12</v>
      </c>
      <c r="C1592">
        <v>1946</v>
      </c>
      <c r="D1592" s="1" t="s">
        <v>211</v>
      </c>
      <c r="E1592" s="1" t="s">
        <v>45</v>
      </c>
      <c r="F1592">
        <v>30</v>
      </c>
      <c r="G1592" s="1" t="s">
        <v>27</v>
      </c>
      <c r="H1592">
        <v>30008</v>
      </c>
      <c r="I1592">
        <v>160</v>
      </c>
      <c r="J1592">
        <v>130</v>
      </c>
      <c r="K1592">
        <v>117</v>
      </c>
      <c r="L1592">
        <v>900</v>
      </c>
    </row>
    <row r="1593" spans="1:12" hidden="1" x14ac:dyDescent="0.25">
      <c r="A1593">
        <v>1592</v>
      </c>
      <c r="B1593" s="1" t="s">
        <v>12</v>
      </c>
      <c r="C1593">
        <v>1946</v>
      </c>
      <c r="D1593" s="1" t="s">
        <v>211</v>
      </c>
      <c r="E1593" s="1" t="s">
        <v>45</v>
      </c>
      <c r="F1593">
        <v>30</v>
      </c>
      <c r="G1593" s="1" t="s">
        <v>146</v>
      </c>
      <c r="H1593">
        <v>30042</v>
      </c>
      <c r="I1593">
        <v>5</v>
      </c>
    </row>
    <row r="1594" spans="1:12" hidden="1" x14ac:dyDescent="0.25">
      <c r="A1594">
        <v>1593</v>
      </c>
      <c r="B1594" s="1" t="s">
        <v>12</v>
      </c>
      <c r="C1594">
        <v>1946</v>
      </c>
      <c r="D1594" s="1" t="s">
        <v>211</v>
      </c>
      <c r="E1594" s="1" t="s">
        <v>45</v>
      </c>
      <c r="F1594">
        <v>30</v>
      </c>
      <c r="G1594" s="1" t="s">
        <v>124</v>
      </c>
      <c r="H1594">
        <v>30070</v>
      </c>
      <c r="I1594">
        <v>5</v>
      </c>
    </row>
    <row r="1595" spans="1:12" hidden="1" x14ac:dyDescent="0.25">
      <c r="A1595">
        <v>1594</v>
      </c>
      <c r="B1595" s="1" t="s">
        <v>12</v>
      </c>
      <c r="C1595">
        <v>1946</v>
      </c>
      <c r="D1595" s="1" t="s">
        <v>211</v>
      </c>
      <c r="E1595" s="1" t="s">
        <v>45</v>
      </c>
      <c r="F1595">
        <v>30</v>
      </c>
      <c r="G1595" s="1" t="s">
        <v>148</v>
      </c>
      <c r="H1595">
        <v>30113</v>
      </c>
      <c r="I1595">
        <v>1</v>
      </c>
    </row>
    <row r="1596" spans="1:12" hidden="1" x14ac:dyDescent="0.25">
      <c r="A1596">
        <v>1595</v>
      </c>
      <c r="B1596" s="1" t="s">
        <v>12</v>
      </c>
      <c r="C1596">
        <v>1946</v>
      </c>
      <c r="D1596" s="1" t="s">
        <v>211</v>
      </c>
      <c r="E1596" s="1" t="s">
        <v>48</v>
      </c>
      <c r="F1596">
        <v>34</v>
      </c>
      <c r="G1596" s="1" t="s">
        <v>51</v>
      </c>
      <c r="H1596">
        <v>34056</v>
      </c>
      <c r="I1596">
        <v>30</v>
      </c>
      <c r="J1596">
        <v>25</v>
      </c>
      <c r="K1596">
        <v>225</v>
      </c>
      <c r="L1596">
        <v>900</v>
      </c>
    </row>
    <row r="1597" spans="1:12" hidden="1" x14ac:dyDescent="0.25">
      <c r="A1597">
        <v>1596</v>
      </c>
      <c r="B1597" s="1" t="s">
        <v>12</v>
      </c>
      <c r="C1597">
        <v>1946</v>
      </c>
      <c r="D1597" s="1" t="s">
        <v>211</v>
      </c>
      <c r="E1597" s="1" t="s">
        <v>48</v>
      </c>
      <c r="F1597">
        <v>34</v>
      </c>
      <c r="G1597" s="1" t="s">
        <v>52</v>
      </c>
      <c r="H1597">
        <v>34035</v>
      </c>
      <c r="I1597">
        <v>20</v>
      </c>
      <c r="J1597">
        <v>15</v>
      </c>
      <c r="K1597">
        <v>105</v>
      </c>
      <c r="L1597">
        <v>700</v>
      </c>
    </row>
    <row r="1598" spans="1:12" hidden="1" x14ac:dyDescent="0.25">
      <c r="A1598">
        <v>1597</v>
      </c>
      <c r="B1598" s="1" t="s">
        <v>12</v>
      </c>
      <c r="C1598">
        <v>1946</v>
      </c>
      <c r="D1598" s="1" t="s">
        <v>211</v>
      </c>
      <c r="E1598" s="1" t="s">
        <v>48</v>
      </c>
      <c r="F1598">
        <v>34</v>
      </c>
      <c r="G1598" s="1" t="s">
        <v>50</v>
      </c>
      <c r="H1598">
        <v>34021</v>
      </c>
      <c r="I1598">
        <v>15</v>
      </c>
      <c r="J1598">
        <v>15</v>
      </c>
      <c r="K1598">
        <v>15</v>
      </c>
      <c r="L1598">
        <v>1000</v>
      </c>
    </row>
    <row r="1599" spans="1:12" hidden="1" x14ac:dyDescent="0.25">
      <c r="A1599">
        <v>1598</v>
      </c>
      <c r="B1599" s="1" t="s">
        <v>12</v>
      </c>
      <c r="C1599">
        <v>1946</v>
      </c>
      <c r="D1599" s="1" t="s">
        <v>211</v>
      </c>
      <c r="E1599" s="1" t="s">
        <v>48</v>
      </c>
      <c r="F1599">
        <v>34</v>
      </c>
      <c r="G1599" s="1" t="s">
        <v>49</v>
      </c>
      <c r="H1599">
        <v>34049</v>
      </c>
      <c r="I1599">
        <v>15</v>
      </c>
      <c r="J1599">
        <v>15</v>
      </c>
      <c r="K1599">
        <v>15</v>
      </c>
      <c r="L1599">
        <v>1000</v>
      </c>
    </row>
    <row r="1600" spans="1:12" hidden="1" x14ac:dyDescent="0.25">
      <c r="A1600">
        <v>1599</v>
      </c>
      <c r="B1600" s="1" t="s">
        <v>12</v>
      </c>
      <c r="C1600">
        <v>1946</v>
      </c>
      <c r="D1600" s="1" t="s">
        <v>211</v>
      </c>
      <c r="E1600" s="1" t="s">
        <v>48</v>
      </c>
      <c r="F1600">
        <v>34</v>
      </c>
      <c r="G1600" s="1" t="s">
        <v>48</v>
      </c>
      <c r="H1600">
        <v>34014</v>
      </c>
      <c r="I1600">
        <v>8</v>
      </c>
      <c r="J1600">
        <v>8</v>
      </c>
      <c r="K1600">
        <v>8</v>
      </c>
      <c r="L1600">
        <v>1000</v>
      </c>
    </row>
    <row r="1601" spans="1:12" hidden="1" x14ac:dyDescent="0.25">
      <c r="A1601">
        <v>1600</v>
      </c>
      <c r="B1601" s="1" t="s">
        <v>12</v>
      </c>
      <c r="C1601">
        <v>1946</v>
      </c>
      <c r="D1601" s="1" t="s">
        <v>211</v>
      </c>
      <c r="E1601" s="1" t="s">
        <v>48</v>
      </c>
      <c r="F1601">
        <v>34</v>
      </c>
      <c r="G1601" s="1" t="s">
        <v>108</v>
      </c>
      <c r="H1601">
        <v>34042</v>
      </c>
      <c r="I1601">
        <v>5</v>
      </c>
      <c r="J1601">
        <v>5</v>
      </c>
      <c r="K1601">
        <v>6</v>
      </c>
      <c r="L1601">
        <v>1200</v>
      </c>
    </row>
    <row r="1602" spans="1:12" hidden="1" x14ac:dyDescent="0.25">
      <c r="A1602">
        <v>1601</v>
      </c>
      <c r="B1602" s="1" t="s">
        <v>12</v>
      </c>
      <c r="C1602">
        <v>1946</v>
      </c>
      <c r="D1602" s="1" t="s">
        <v>211</v>
      </c>
      <c r="E1602" s="1" t="s">
        <v>58</v>
      </c>
      <c r="F1602">
        <v>54</v>
      </c>
      <c r="G1602" s="1" t="s">
        <v>59</v>
      </c>
      <c r="H1602">
        <v>54007</v>
      </c>
      <c r="I1602">
        <v>120</v>
      </c>
      <c r="J1602">
        <v>90</v>
      </c>
      <c r="K1602">
        <v>81</v>
      </c>
      <c r="L1602">
        <v>900</v>
      </c>
    </row>
    <row r="1603" spans="1:12" hidden="1" x14ac:dyDescent="0.25">
      <c r="A1603">
        <v>1602</v>
      </c>
      <c r="B1603" s="1" t="s">
        <v>12</v>
      </c>
      <c r="C1603">
        <v>1946</v>
      </c>
      <c r="D1603" s="1" t="s">
        <v>211</v>
      </c>
      <c r="E1603" s="1" t="s">
        <v>58</v>
      </c>
      <c r="F1603">
        <v>54</v>
      </c>
      <c r="G1603" s="1" t="s">
        <v>61</v>
      </c>
      <c r="H1603">
        <v>54098</v>
      </c>
      <c r="I1603">
        <v>68</v>
      </c>
      <c r="J1603">
        <v>26</v>
      </c>
      <c r="K1603">
        <v>24</v>
      </c>
      <c r="L1603">
        <v>923</v>
      </c>
    </row>
    <row r="1604" spans="1:12" hidden="1" x14ac:dyDescent="0.25">
      <c r="A1604">
        <v>1603</v>
      </c>
      <c r="B1604" s="1" t="s">
        <v>12</v>
      </c>
      <c r="C1604">
        <v>1946</v>
      </c>
      <c r="D1604" s="1" t="s">
        <v>211</v>
      </c>
      <c r="E1604" s="1" t="s">
        <v>58</v>
      </c>
      <c r="F1604">
        <v>54</v>
      </c>
      <c r="G1604" s="1" t="s">
        <v>60</v>
      </c>
      <c r="H1604">
        <v>54021</v>
      </c>
      <c r="I1604">
        <v>45</v>
      </c>
      <c r="J1604">
        <v>42</v>
      </c>
      <c r="K1604">
        <v>42</v>
      </c>
      <c r="L1604">
        <v>1000</v>
      </c>
    </row>
    <row r="1605" spans="1:12" hidden="1" x14ac:dyDescent="0.25">
      <c r="A1605">
        <v>1604</v>
      </c>
      <c r="B1605" s="1" t="s">
        <v>12</v>
      </c>
      <c r="C1605">
        <v>1946</v>
      </c>
      <c r="D1605" s="1" t="s">
        <v>211</v>
      </c>
      <c r="E1605" s="1" t="s">
        <v>58</v>
      </c>
      <c r="F1605">
        <v>54</v>
      </c>
      <c r="G1605" s="1" t="s">
        <v>150</v>
      </c>
      <c r="H1605">
        <v>54014</v>
      </c>
      <c r="I1605">
        <v>42</v>
      </c>
      <c r="J1605">
        <v>37</v>
      </c>
      <c r="K1605">
        <v>31</v>
      </c>
      <c r="L1605">
        <v>838</v>
      </c>
    </row>
    <row r="1606" spans="1:12" hidden="1" x14ac:dyDescent="0.25">
      <c r="A1606">
        <v>1605</v>
      </c>
      <c r="B1606" s="1" t="s">
        <v>12</v>
      </c>
      <c r="C1606">
        <v>1946</v>
      </c>
      <c r="D1606" s="1" t="s">
        <v>211</v>
      </c>
      <c r="E1606" s="1" t="s">
        <v>58</v>
      </c>
      <c r="F1606">
        <v>54</v>
      </c>
      <c r="G1606" s="1" t="s">
        <v>63</v>
      </c>
      <c r="H1606">
        <v>54035</v>
      </c>
      <c r="I1606">
        <v>40</v>
      </c>
      <c r="J1606">
        <v>33</v>
      </c>
      <c r="K1606">
        <v>33</v>
      </c>
      <c r="L1606">
        <v>1000</v>
      </c>
    </row>
    <row r="1607" spans="1:12" hidden="1" x14ac:dyDescent="0.25">
      <c r="A1607">
        <v>1606</v>
      </c>
      <c r="B1607" s="1" t="s">
        <v>12</v>
      </c>
      <c r="C1607">
        <v>1946</v>
      </c>
      <c r="D1607" s="1" t="s">
        <v>211</v>
      </c>
      <c r="E1607" s="1" t="s">
        <v>58</v>
      </c>
      <c r="F1607">
        <v>54</v>
      </c>
      <c r="G1607" s="1" t="s">
        <v>152</v>
      </c>
      <c r="H1607">
        <v>54063</v>
      </c>
      <c r="I1607">
        <v>30</v>
      </c>
      <c r="J1607">
        <v>20</v>
      </c>
      <c r="K1607">
        <v>16</v>
      </c>
      <c r="L1607">
        <v>800</v>
      </c>
    </row>
    <row r="1608" spans="1:12" hidden="1" x14ac:dyDescent="0.25">
      <c r="A1608">
        <v>1607</v>
      </c>
      <c r="B1608" s="1" t="s">
        <v>12</v>
      </c>
      <c r="C1608">
        <v>1946</v>
      </c>
      <c r="D1608" s="1" t="s">
        <v>211</v>
      </c>
      <c r="E1608" s="1" t="s">
        <v>58</v>
      </c>
      <c r="F1608">
        <v>54</v>
      </c>
      <c r="G1608" s="1" t="s">
        <v>62</v>
      </c>
      <c r="H1608">
        <v>54105</v>
      </c>
      <c r="I1608">
        <v>29</v>
      </c>
      <c r="J1608">
        <v>27</v>
      </c>
      <c r="K1608">
        <v>29</v>
      </c>
      <c r="L1608">
        <v>1074</v>
      </c>
    </row>
    <row r="1609" spans="1:12" x14ac:dyDescent="0.25">
      <c r="A1609">
        <v>1608</v>
      </c>
      <c r="B1609" s="1" t="s">
        <v>12</v>
      </c>
      <c r="C1609">
        <v>1946</v>
      </c>
      <c r="D1609" s="1" t="s">
        <v>211</v>
      </c>
      <c r="E1609" s="1" t="s">
        <v>58</v>
      </c>
      <c r="F1609">
        <v>54</v>
      </c>
      <c r="G1609" s="1" t="s">
        <v>56</v>
      </c>
      <c r="H1609">
        <v>54112</v>
      </c>
      <c r="I1609">
        <v>8</v>
      </c>
      <c r="J1609">
        <v>8</v>
      </c>
      <c r="K1609">
        <v>6</v>
      </c>
      <c r="L1609">
        <v>750</v>
      </c>
    </row>
    <row r="1610" spans="1:12" hidden="1" x14ac:dyDescent="0.25">
      <c r="A1610">
        <v>1609</v>
      </c>
      <c r="B1610" s="1" t="s">
        <v>12</v>
      </c>
      <c r="C1610">
        <v>1946</v>
      </c>
      <c r="D1610" s="1" t="s">
        <v>211</v>
      </c>
      <c r="E1610" s="1" t="s">
        <v>87</v>
      </c>
      <c r="F1610">
        <v>66</v>
      </c>
      <c r="G1610" s="1" t="s">
        <v>141</v>
      </c>
      <c r="H1610">
        <v>66112</v>
      </c>
      <c r="I1610">
        <v>50</v>
      </c>
      <c r="J1610">
        <v>50</v>
      </c>
      <c r="K1610">
        <v>90</v>
      </c>
      <c r="L1610">
        <v>1800</v>
      </c>
    </row>
    <row r="1611" spans="1:12" hidden="1" x14ac:dyDescent="0.25">
      <c r="A1611">
        <v>1610</v>
      </c>
      <c r="B1611" s="1" t="s">
        <v>12</v>
      </c>
      <c r="C1611">
        <v>1946</v>
      </c>
      <c r="D1611" s="1" t="s">
        <v>211</v>
      </c>
      <c r="E1611" s="1" t="s">
        <v>87</v>
      </c>
      <c r="F1611">
        <v>66</v>
      </c>
      <c r="G1611" s="1" t="s">
        <v>188</v>
      </c>
      <c r="H1611">
        <v>66140</v>
      </c>
      <c r="I1611">
        <v>40</v>
      </c>
      <c r="J1611">
        <v>40</v>
      </c>
      <c r="K1611">
        <v>68</v>
      </c>
      <c r="L1611">
        <v>1700</v>
      </c>
    </row>
    <row r="1612" spans="1:12" hidden="1" x14ac:dyDescent="0.25">
      <c r="A1612">
        <v>1611</v>
      </c>
      <c r="B1612" s="1" t="s">
        <v>12</v>
      </c>
      <c r="C1612">
        <v>1946</v>
      </c>
      <c r="D1612" s="1" t="s">
        <v>211</v>
      </c>
      <c r="E1612" s="1" t="s">
        <v>64</v>
      </c>
      <c r="F1612">
        <v>82</v>
      </c>
      <c r="G1612" s="1" t="s">
        <v>66</v>
      </c>
      <c r="H1612">
        <v>82035</v>
      </c>
      <c r="I1612">
        <v>3900</v>
      </c>
      <c r="J1612">
        <v>2500</v>
      </c>
      <c r="K1612">
        <v>3000</v>
      </c>
      <c r="L1612">
        <v>1200</v>
      </c>
    </row>
    <row r="1613" spans="1:12" hidden="1" x14ac:dyDescent="0.25">
      <c r="A1613">
        <v>1612</v>
      </c>
      <c r="B1613" s="1" t="s">
        <v>12</v>
      </c>
      <c r="C1613">
        <v>1946</v>
      </c>
      <c r="D1613" s="1" t="s">
        <v>211</v>
      </c>
      <c r="E1613" s="1" t="s">
        <v>64</v>
      </c>
      <c r="F1613">
        <v>82</v>
      </c>
      <c r="G1613" s="1" t="s">
        <v>65</v>
      </c>
      <c r="H1613">
        <v>82049</v>
      </c>
      <c r="I1613">
        <v>3200</v>
      </c>
      <c r="J1613">
        <v>3000</v>
      </c>
      <c r="K1613">
        <v>3090</v>
      </c>
      <c r="L1613">
        <v>1030</v>
      </c>
    </row>
    <row r="1614" spans="1:12" hidden="1" x14ac:dyDescent="0.25">
      <c r="A1614">
        <v>1613</v>
      </c>
      <c r="B1614" s="1" t="s">
        <v>12</v>
      </c>
      <c r="C1614">
        <v>1946</v>
      </c>
      <c r="D1614" s="1" t="s">
        <v>211</v>
      </c>
      <c r="E1614" s="1" t="s">
        <v>64</v>
      </c>
      <c r="F1614">
        <v>82</v>
      </c>
      <c r="G1614" s="1" t="s">
        <v>62</v>
      </c>
      <c r="H1614">
        <v>82098</v>
      </c>
      <c r="I1614">
        <v>350</v>
      </c>
      <c r="J1614">
        <v>300</v>
      </c>
      <c r="K1614">
        <v>360</v>
      </c>
      <c r="L1614">
        <v>1200</v>
      </c>
    </row>
    <row r="1615" spans="1:12" hidden="1" x14ac:dyDescent="0.25">
      <c r="A1615">
        <v>1614</v>
      </c>
      <c r="B1615" s="1" t="s">
        <v>12</v>
      </c>
      <c r="C1615">
        <v>1946</v>
      </c>
      <c r="D1615" s="1" t="s">
        <v>211</v>
      </c>
      <c r="E1615" s="1" t="s">
        <v>64</v>
      </c>
      <c r="F1615">
        <v>82</v>
      </c>
      <c r="G1615" s="1" t="s">
        <v>28</v>
      </c>
      <c r="H1615">
        <v>82063</v>
      </c>
      <c r="I1615">
        <v>90</v>
      </c>
      <c r="J1615">
        <v>80</v>
      </c>
      <c r="K1615">
        <v>96</v>
      </c>
      <c r="L1615">
        <v>1200</v>
      </c>
    </row>
    <row r="1616" spans="1:12" hidden="1" x14ac:dyDescent="0.25">
      <c r="A1616">
        <v>1615</v>
      </c>
      <c r="B1616" s="1" t="s">
        <v>12</v>
      </c>
      <c r="C1616">
        <v>1946</v>
      </c>
      <c r="D1616" s="1" t="s">
        <v>211</v>
      </c>
      <c r="E1616" s="1" t="s">
        <v>64</v>
      </c>
      <c r="F1616">
        <v>82</v>
      </c>
      <c r="G1616" s="1" t="s">
        <v>155</v>
      </c>
      <c r="H1616">
        <v>82021</v>
      </c>
      <c r="I1616">
        <v>30</v>
      </c>
      <c r="J1616">
        <v>20</v>
      </c>
      <c r="K1616">
        <v>20</v>
      </c>
      <c r="L1616">
        <v>1000</v>
      </c>
    </row>
    <row r="1617" spans="1:12" hidden="1" x14ac:dyDescent="0.25">
      <c r="A1617">
        <v>1616</v>
      </c>
      <c r="B1617" s="1" t="s">
        <v>12</v>
      </c>
      <c r="C1617">
        <v>1946</v>
      </c>
      <c r="D1617" s="1" t="s">
        <v>211</v>
      </c>
      <c r="E1617" s="1" t="s">
        <v>64</v>
      </c>
      <c r="F1617">
        <v>82</v>
      </c>
      <c r="G1617" s="1" t="s">
        <v>212</v>
      </c>
      <c r="H1617">
        <v>82105</v>
      </c>
      <c r="I1617">
        <v>10</v>
      </c>
    </row>
    <row r="1618" spans="1:12" hidden="1" x14ac:dyDescent="0.25">
      <c r="A1618">
        <v>1617</v>
      </c>
      <c r="B1618" s="1" t="s">
        <v>12</v>
      </c>
      <c r="C1618">
        <v>1946</v>
      </c>
      <c r="D1618" s="1" t="s">
        <v>211</v>
      </c>
      <c r="E1618" s="1" t="s">
        <v>64</v>
      </c>
      <c r="F1618">
        <v>82</v>
      </c>
      <c r="G1618" s="1" t="s">
        <v>67</v>
      </c>
      <c r="H1618">
        <v>82112</v>
      </c>
      <c r="I1618">
        <v>10</v>
      </c>
      <c r="J1618">
        <v>10</v>
      </c>
      <c r="K1618">
        <v>12</v>
      </c>
      <c r="L1618">
        <v>1200</v>
      </c>
    </row>
    <row r="1619" spans="1:12" hidden="1" x14ac:dyDescent="0.25">
      <c r="A1619">
        <v>1618</v>
      </c>
      <c r="B1619" s="1" t="s">
        <v>12</v>
      </c>
      <c r="C1619">
        <v>1946</v>
      </c>
      <c r="D1619" s="1" t="s">
        <v>211</v>
      </c>
      <c r="E1619" s="1" t="s">
        <v>68</v>
      </c>
      <c r="F1619">
        <v>86</v>
      </c>
      <c r="G1619" s="1" t="s">
        <v>69</v>
      </c>
      <c r="H1619">
        <v>86077</v>
      </c>
      <c r="I1619">
        <v>40</v>
      </c>
      <c r="J1619">
        <v>30</v>
      </c>
      <c r="K1619">
        <v>18</v>
      </c>
      <c r="L1619">
        <v>600</v>
      </c>
    </row>
    <row r="1620" spans="1:12" hidden="1" x14ac:dyDescent="0.25">
      <c r="A1620">
        <v>1619</v>
      </c>
      <c r="B1620" s="1" t="s">
        <v>12</v>
      </c>
      <c r="C1620">
        <v>1946</v>
      </c>
      <c r="D1620" s="1" t="s">
        <v>211</v>
      </c>
      <c r="E1620" s="1" t="s">
        <v>68</v>
      </c>
      <c r="F1620">
        <v>86</v>
      </c>
      <c r="G1620" s="1" t="s">
        <v>156</v>
      </c>
      <c r="H1620">
        <v>86042</v>
      </c>
      <c r="I1620">
        <v>30</v>
      </c>
      <c r="J1620">
        <v>24</v>
      </c>
      <c r="K1620">
        <v>14</v>
      </c>
      <c r="L1620">
        <v>600</v>
      </c>
    </row>
    <row r="1621" spans="1:12" hidden="1" x14ac:dyDescent="0.25">
      <c r="A1621">
        <v>1620</v>
      </c>
      <c r="B1621" s="1" t="s">
        <v>12</v>
      </c>
      <c r="C1621">
        <v>1946</v>
      </c>
      <c r="D1621" s="1" t="s">
        <v>211</v>
      </c>
      <c r="E1621" s="1" t="s">
        <v>77</v>
      </c>
      <c r="F1621">
        <v>90</v>
      </c>
      <c r="G1621" s="1" t="s">
        <v>78</v>
      </c>
      <c r="H1621">
        <v>90007</v>
      </c>
      <c r="I1621">
        <v>400</v>
      </c>
      <c r="J1621">
        <v>180</v>
      </c>
      <c r="K1621">
        <v>180</v>
      </c>
      <c r="L1621">
        <v>1000</v>
      </c>
    </row>
    <row r="1622" spans="1:12" hidden="1" x14ac:dyDescent="0.25">
      <c r="A1622">
        <v>1621</v>
      </c>
      <c r="B1622" s="1" t="s">
        <v>12</v>
      </c>
      <c r="C1622">
        <v>1946</v>
      </c>
      <c r="D1622" s="1" t="s">
        <v>211</v>
      </c>
      <c r="E1622" s="1" t="s">
        <v>77</v>
      </c>
      <c r="F1622">
        <v>90</v>
      </c>
      <c r="G1622" s="1" t="s">
        <v>91</v>
      </c>
      <c r="H1622">
        <v>90014</v>
      </c>
      <c r="I1622">
        <v>150</v>
      </c>
      <c r="J1622">
        <v>120</v>
      </c>
      <c r="K1622">
        <v>120</v>
      </c>
      <c r="L1622">
        <v>1000</v>
      </c>
    </row>
    <row r="1623" spans="1:12" hidden="1" x14ac:dyDescent="0.25">
      <c r="A1623">
        <v>1622</v>
      </c>
      <c r="B1623" s="1" t="s">
        <v>12</v>
      </c>
      <c r="C1623">
        <v>1946</v>
      </c>
      <c r="D1623" s="1" t="s">
        <v>211</v>
      </c>
      <c r="E1623" s="1" t="s">
        <v>77</v>
      </c>
      <c r="F1623">
        <v>90</v>
      </c>
      <c r="G1623" s="1" t="s">
        <v>89</v>
      </c>
      <c r="H1623">
        <v>90028</v>
      </c>
      <c r="I1623">
        <v>15</v>
      </c>
      <c r="J1623">
        <v>15</v>
      </c>
      <c r="K1623">
        <v>15</v>
      </c>
      <c r="L1623">
        <v>1000</v>
      </c>
    </row>
    <row r="1624" spans="1:12" hidden="1" x14ac:dyDescent="0.25">
      <c r="A1624">
        <v>1623</v>
      </c>
      <c r="B1624" s="1" t="s">
        <v>12</v>
      </c>
      <c r="C1624">
        <v>1946</v>
      </c>
      <c r="D1624" s="1" t="s">
        <v>211</v>
      </c>
      <c r="E1624" s="1" t="s">
        <v>77</v>
      </c>
      <c r="F1624">
        <v>90</v>
      </c>
      <c r="G1624" s="1" t="s">
        <v>92</v>
      </c>
      <c r="H1624">
        <v>90056</v>
      </c>
      <c r="I1624">
        <v>10</v>
      </c>
      <c r="J1624">
        <v>10</v>
      </c>
      <c r="K1624">
        <v>14</v>
      </c>
      <c r="L1624">
        <v>1400</v>
      </c>
    </row>
    <row r="1625" spans="1:12" hidden="1" x14ac:dyDescent="0.25">
      <c r="A1625">
        <v>1624</v>
      </c>
      <c r="B1625" s="1" t="s">
        <v>12</v>
      </c>
      <c r="C1625">
        <v>1946</v>
      </c>
      <c r="D1625" s="1" t="s">
        <v>211</v>
      </c>
      <c r="E1625" s="1" t="s">
        <v>77</v>
      </c>
      <c r="F1625">
        <v>90</v>
      </c>
      <c r="G1625" s="1" t="s">
        <v>90</v>
      </c>
      <c r="H1625">
        <v>90112</v>
      </c>
      <c r="I1625">
        <v>10</v>
      </c>
      <c r="J1625">
        <v>10</v>
      </c>
      <c r="K1625">
        <v>10</v>
      </c>
      <c r="L1625">
        <v>1000</v>
      </c>
    </row>
    <row r="1626" spans="1:12" hidden="1" x14ac:dyDescent="0.25">
      <c r="A1626">
        <v>1625</v>
      </c>
      <c r="B1626" s="1" t="s">
        <v>12</v>
      </c>
      <c r="C1626">
        <v>1947</v>
      </c>
      <c r="D1626" s="1" t="s">
        <v>213</v>
      </c>
      <c r="E1626" s="1" t="s">
        <v>14</v>
      </c>
      <c r="F1626">
        <v>22</v>
      </c>
      <c r="G1626" s="1" t="s">
        <v>17</v>
      </c>
      <c r="H1626">
        <v>22140</v>
      </c>
      <c r="I1626">
        <v>50</v>
      </c>
      <c r="J1626">
        <v>45</v>
      </c>
      <c r="K1626">
        <v>30</v>
      </c>
      <c r="L1626">
        <v>667</v>
      </c>
    </row>
    <row r="1627" spans="1:12" hidden="1" x14ac:dyDescent="0.25">
      <c r="A1627">
        <v>1626</v>
      </c>
      <c r="B1627" s="1" t="s">
        <v>12</v>
      </c>
      <c r="C1627">
        <v>1947</v>
      </c>
      <c r="D1627" s="1" t="s">
        <v>213</v>
      </c>
      <c r="E1627" s="1" t="s">
        <v>14</v>
      </c>
      <c r="F1627">
        <v>22</v>
      </c>
      <c r="G1627" s="1" t="s">
        <v>18</v>
      </c>
      <c r="H1627">
        <v>22084</v>
      </c>
      <c r="I1627">
        <v>20</v>
      </c>
      <c r="J1627">
        <v>20</v>
      </c>
      <c r="K1627">
        <v>13</v>
      </c>
      <c r="L1627">
        <v>650</v>
      </c>
    </row>
    <row r="1628" spans="1:12" hidden="1" x14ac:dyDescent="0.25">
      <c r="A1628">
        <v>1627</v>
      </c>
      <c r="B1628" s="1" t="s">
        <v>12</v>
      </c>
      <c r="C1628">
        <v>1947</v>
      </c>
      <c r="D1628" s="1" t="s">
        <v>213</v>
      </c>
      <c r="E1628" s="1" t="s">
        <v>14</v>
      </c>
      <c r="F1628">
        <v>22</v>
      </c>
      <c r="G1628" s="1" t="s">
        <v>20</v>
      </c>
      <c r="H1628">
        <v>22091</v>
      </c>
      <c r="I1628">
        <v>20</v>
      </c>
      <c r="J1628">
        <v>20</v>
      </c>
      <c r="K1628">
        <v>15</v>
      </c>
      <c r="L1628">
        <v>750</v>
      </c>
    </row>
    <row r="1629" spans="1:12" hidden="1" x14ac:dyDescent="0.25">
      <c r="A1629">
        <v>1628</v>
      </c>
      <c r="B1629" s="1" t="s">
        <v>12</v>
      </c>
      <c r="C1629">
        <v>1947</v>
      </c>
      <c r="D1629" s="1" t="s">
        <v>213</v>
      </c>
      <c r="E1629" s="1" t="s">
        <v>14</v>
      </c>
      <c r="F1629">
        <v>22</v>
      </c>
      <c r="G1629" s="1" t="s">
        <v>19</v>
      </c>
      <c r="H1629">
        <v>22014</v>
      </c>
      <c r="I1629">
        <v>15</v>
      </c>
      <c r="J1629">
        <v>15</v>
      </c>
      <c r="K1629">
        <v>12</v>
      </c>
      <c r="L1629">
        <v>800</v>
      </c>
    </row>
    <row r="1630" spans="1:12" hidden="1" x14ac:dyDescent="0.25">
      <c r="A1630">
        <v>1629</v>
      </c>
      <c r="B1630" s="1" t="s">
        <v>12</v>
      </c>
      <c r="C1630">
        <v>1947</v>
      </c>
      <c r="D1630" s="1" t="s">
        <v>213</v>
      </c>
      <c r="E1630" s="1" t="s">
        <v>22</v>
      </c>
      <c r="F1630">
        <v>14</v>
      </c>
      <c r="G1630" s="1" t="s">
        <v>24</v>
      </c>
      <c r="H1630">
        <v>14119</v>
      </c>
      <c r="I1630">
        <v>32000</v>
      </c>
      <c r="J1630">
        <v>27155</v>
      </c>
      <c r="K1630">
        <v>21724</v>
      </c>
      <c r="L1630">
        <v>800</v>
      </c>
    </row>
    <row r="1631" spans="1:12" hidden="1" x14ac:dyDescent="0.25">
      <c r="A1631">
        <v>1630</v>
      </c>
      <c r="B1631" s="1" t="s">
        <v>12</v>
      </c>
      <c r="C1631">
        <v>1947</v>
      </c>
      <c r="D1631" s="1" t="s">
        <v>213</v>
      </c>
      <c r="E1631" s="1" t="s">
        <v>22</v>
      </c>
      <c r="F1631">
        <v>14</v>
      </c>
      <c r="G1631" s="1" t="s">
        <v>183</v>
      </c>
      <c r="H1631">
        <v>14007</v>
      </c>
      <c r="I1631">
        <v>30000</v>
      </c>
      <c r="J1631">
        <v>27000</v>
      </c>
      <c r="K1631">
        <v>29700</v>
      </c>
      <c r="L1631">
        <v>1100</v>
      </c>
    </row>
    <row r="1632" spans="1:12" hidden="1" x14ac:dyDescent="0.25">
      <c r="A1632">
        <v>1631</v>
      </c>
      <c r="B1632" s="1" t="s">
        <v>12</v>
      </c>
      <c r="C1632">
        <v>1947</v>
      </c>
      <c r="D1632" s="1" t="s">
        <v>213</v>
      </c>
      <c r="E1632" s="1" t="s">
        <v>22</v>
      </c>
      <c r="F1632">
        <v>14</v>
      </c>
      <c r="G1632" s="1" t="s">
        <v>23</v>
      </c>
      <c r="H1632">
        <v>14147</v>
      </c>
      <c r="I1632">
        <v>27000</v>
      </c>
      <c r="J1632">
        <v>24850</v>
      </c>
      <c r="K1632">
        <v>24850</v>
      </c>
      <c r="L1632">
        <v>1000</v>
      </c>
    </row>
    <row r="1633" spans="1:12" hidden="1" x14ac:dyDescent="0.25">
      <c r="A1633">
        <v>1632</v>
      </c>
      <c r="B1633" s="1" t="s">
        <v>12</v>
      </c>
      <c r="C1633">
        <v>1947</v>
      </c>
      <c r="D1633" s="1" t="s">
        <v>213</v>
      </c>
      <c r="E1633" s="1" t="s">
        <v>22</v>
      </c>
      <c r="F1633">
        <v>14</v>
      </c>
      <c r="G1633" s="1" t="s">
        <v>97</v>
      </c>
      <c r="H1633">
        <v>14007</v>
      </c>
      <c r="I1633">
        <v>7000</v>
      </c>
      <c r="J1633">
        <v>6300</v>
      </c>
      <c r="K1633">
        <v>6615</v>
      </c>
      <c r="L1633">
        <v>1050</v>
      </c>
    </row>
    <row r="1634" spans="1:12" hidden="1" x14ac:dyDescent="0.25">
      <c r="A1634">
        <v>1633</v>
      </c>
      <c r="B1634" s="1" t="s">
        <v>12</v>
      </c>
      <c r="C1634">
        <v>1947</v>
      </c>
      <c r="D1634" s="1" t="s">
        <v>213</v>
      </c>
      <c r="E1634" s="1" t="s">
        <v>22</v>
      </c>
      <c r="F1634">
        <v>14</v>
      </c>
      <c r="G1634" s="1" t="s">
        <v>25</v>
      </c>
      <c r="H1634">
        <v>14105</v>
      </c>
      <c r="I1634">
        <v>4700</v>
      </c>
      <c r="J1634">
        <v>3995</v>
      </c>
      <c r="K1634">
        <v>2796</v>
      </c>
      <c r="L1634">
        <v>700</v>
      </c>
    </row>
    <row r="1635" spans="1:12" hidden="1" x14ac:dyDescent="0.25">
      <c r="A1635">
        <v>1634</v>
      </c>
      <c r="B1635" s="1" t="s">
        <v>12</v>
      </c>
      <c r="C1635">
        <v>1947</v>
      </c>
      <c r="D1635" s="1" t="s">
        <v>213</v>
      </c>
      <c r="E1635" s="1" t="s">
        <v>22</v>
      </c>
      <c r="F1635">
        <v>14</v>
      </c>
      <c r="G1635" s="1" t="s">
        <v>29</v>
      </c>
      <c r="H1635">
        <v>14098</v>
      </c>
      <c r="I1635">
        <v>4000</v>
      </c>
      <c r="J1635">
        <v>3200</v>
      </c>
      <c r="K1635">
        <v>3200</v>
      </c>
      <c r="L1635">
        <v>1000</v>
      </c>
    </row>
    <row r="1636" spans="1:12" hidden="1" x14ac:dyDescent="0.25">
      <c r="A1636">
        <v>1635</v>
      </c>
      <c r="B1636" s="1" t="s">
        <v>12</v>
      </c>
      <c r="C1636">
        <v>1947</v>
      </c>
      <c r="D1636" s="1" t="s">
        <v>213</v>
      </c>
      <c r="E1636" s="1" t="s">
        <v>22</v>
      </c>
      <c r="F1636">
        <v>14</v>
      </c>
      <c r="G1636" s="1" t="s">
        <v>143</v>
      </c>
      <c r="H1636">
        <v>14056</v>
      </c>
      <c r="I1636">
        <v>1000</v>
      </c>
      <c r="J1636">
        <v>800</v>
      </c>
      <c r="K1636">
        <v>760</v>
      </c>
      <c r="L1636">
        <v>950</v>
      </c>
    </row>
    <row r="1637" spans="1:12" hidden="1" x14ac:dyDescent="0.25">
      <c r="A1637">
        <v>1636</v>
      </c>
      <c r="B1637" s="1" t="s">
        <v>12</v>
      </c>
      <c r="C1637">
        <v>1947</v>
      </c>
      <c r="D1637" s="1" t="s">
        <v>213</v>
      </c>
      <c r="E1637" s="1" t="s">
        <v>22</v>
      </c>
      <c r="F1637">
        <v>14</v>
      </c>
      <c r="G1637" s="1" t="s">
        <v>28</v>
      </c>
      <c r="H1637">
        <v>14014</v>
      </c>
      <c r="I1637">
        <v>900</v>
      </c>
      <c r="J1637">
        <v>810</v>
      </c>
      <c r="K1637">
        <v>972</v>
      </c>
      <c r="L1637">
        <v>1200</v>
      </c>
    </row>
    <row r="1638" spans="1:12" hidden="1" x14ac:dyDescent="0.25">
      <c r="A1638">
        <v>1637</v>
      </c>
      <c r="B1638" s="1" t="s">
        <v>12</v>
      </c>
      <c r="C1638">
        <v>1947</v>
      </c>
      <c r="D1638" s="1" t="s">
        <v>213</v>
      </c>
      <c r="E1638" s="1" t="s">
        <v>22</v>
      </c>
      <c r="F1638">
        <v>14</v>
      </c>
      <c r="G1638" s="1" t="s">
        <v>67</v>
      </c>
      <c r="H1638">
        <v>14140</v>
      </c>
      <c r="I1638">
        <v>800</v>
      </c>
      <c r="J1638">
        <v>680</v>
      </c>
      <c r="K1638">
        <v>476</v>
      </c>
      <c r="L1638">
        <v>700</v>
      </c>
    </row>
    <row r="1639" spans="1:12" hidden="1" x14ac:dyDescent="0.25">
      <c r="A1639">
        <v>1638</v>
      </c>
      <c r="B1639" s="1" t="s">
        <v>12</v>
      </c>
      <c r="C1639">
        <v>1947</v>
      </c>
      <c r="D1639" s="1" t="s">
        <v>213</v>
      </c>
      <c r="E1639" s="1" t="s">
        <v>22</v>
      </c>
      <c r="F1639">
        <v>14</v>
      </c>
      <c r="G1639" s="1" t="s">
        <v>27</v>
      </c>
      <c r="H1639">
        <v>14021</v>
      </c>
      <c r="I1639">
        <v>400</v>
      </c>
      <c r="J1639">
        <v>380</v>
      </c>
      <c r="K1639">
        <v>342</v>
      </c>
      <c r="L1639">
        <v>900</v>
      </c>
    </row>
    <row r="1640" spans="1:12" hidden="1" x14ac:dyDescent="0.25">
      <c r="A1640">
        <v>1639</v>
      </c>
      <c r="B1640" s="1" t="s">
        <v>12</v>
      </c>
      <c r="C1640">
        <v>1947</v>
      </c>
      <c r="D1640" s="1" t="s">
        <v>213</v>
      </c>
      <c r="E1640" s="1" t="s">
        <v>22</v>
      </c>
      <c r="F1640">
        <v>14</v>
      </c>
      <c r="G1640" s="1" t="s">
        <v>184</v>
      </c>
      <c r="H1640">
        <v>14042</v>
      </c>
      <c r="I1640">
        <v>300</v>
      </c>
      <c r="J1640">
        <v>280</v>
      </c>
      <c r="K1640">
        <v>263</v>
      </c>
      <c r="L1640">
        <v>939</v>
      </c>
    </row>
    <row r="1641" spans="1:12" hidden="1" x14ac:dyDescent="0.25">
      <c r="A1641">
        <v>1640</v>
      </c>
      <c r="B1641" s="1" t="s">
        <v>12</v>
      </c>
      <c r="C1641">
        <v>1947</v>
      </c>
      <c r="D1641" s="1" t="s">
        <v>213</v>
      </c>
      <c r="E1641" s="1" t="s">
        <v>22</v>
      </c>
      <c r="F1641">
        <v>14</v>
      </c>
      <c r="G1641" s="1" t="s">
        <v>206</v>
      </c>
      <c r="H1641">
        <v>14084</v>
      </c>
      <c r="I1641">
        <v>150</v>
      </c>
      <c r="J1641">
        <v>100</v>
      </c>
      <c r="K1641">
        <v>90</v>
      </c>
      <c r="L1641">
        <v>900</v>
      </c>
    </row>
    <row r="1642" spans="1:12" hidden="1" x14ac:dyDescent="0.25">
      <c r="A1642">
        <v>1641</v>
      </c>
      <c r="B1642" s="1" t="s">
        <v>12</v>
      </c>
      <c r="C1642">
        <v>1947</v>
      </c>
      <c r="D1642" s="1" t="s">
        <v>213</v>
      </c>
      <c r="E1642" s="1" t="s">
        <v>22</v>
      </c>
      <c r="F1642">
        <v>14</v>
      </c>
      <c r="G1642" s="1" t="s">
        <v>114</v>
      </c>
      <c r="H1642">
        <v>14168</v>
      </c>
      <c r="I1642">
        <v>80</v>
      </c>
      <c r="J1642">
        <v>75</v>
      </c>
      <c r="K1642">
        <v>64</v>
      </c>
      <c r="L1642">
        <v>800</v>
      </c>
    </row>
    <row r="1643" spans="1:12" hidden="1" x14ac:dyDescent="0.25">
      <c r="A1643">
        <v>1642</v>
      </c>
      <c r="B1643" s="1" t="s">
        <v>12</v>
      </c>
      <c r="C1643">
        <v>1947</v>
      </c>
      <c r="D1643" s="1" t="s">
        <v>213</v>
      </c>
      <c r="E1643" s="1" t="s">
        <v>22</v>
      </c>
      <c r="F1643">
        <v>14</v>
      </c>
      <c r="G1643" s="1" t="s">
        <v>171</v>
      </c>
      <c r="H1643">
        <v>14112</v>
      </c>
      <c r="I1643">
        <v>70</v>
      </c>
      <c r="J1643">
        <v>66</v>
      </c>
      <c r="K1643">
        <v>46</v>
      </c>
      <c r="L1643">
        <v>700</v>
      </c>
    </row>
    <row r="1644" spans="1:12" hidden="1" x14ac:dyDescent="0.25">
      <c r="A1644">
        <v>1643</v>
      </c>
      <c r="B1644" s="1" t="s">
        <v>12</v>
      </c>
      <c r="C1644">
        <v>1947</v>
      </c>
      <c r="D1644" s="1" t="s">
        <v>213</v>
      </c>
      <c r="E1644" s="1" t="s">
        <v>22</v>
      </c>
      <c r="F1644">
        <v>14</v>
      </c>
      <c r="G1644" s="1" t="s">
        <v>186</v>
      </c>
      <c r="H1644">
        <v>14175</v>
      </c>
      <c r="I1644">
        <v>30</v>
      </c>
      <c r="J1644">
        <v>27</v>
      </c>
      <c r="K1644">
        <v>24</v>
      </c>
      <c r="L1644">
        <v>800</v>
      </c>
    </row>
    <row r="1645" spans="1:12" hidden="1" x14ac:dyDescent="0.25">
      <c r="A1645">
        <v>1644</v>
      </c>
      <c r="B1645" s="1" t="s">
        <v>12</v>
      </c>
      <c r="C1645">
        <v>1947</v>
      </c>
      <c r="D1645" s="1" t="s">
        <v>213</v>
      </c>
      <c r="E1645" s="1" t="s">
        <v>22</v>
      </c>
      <c r="F1645">
        <v>14</v>
      </c>
      <c r="G1645" s="1" t="s">
        <v>169</v>
      </c>
      <c r="H1645">
        <v>14126</v>
      </c>
      <c r="I1645">
        <v>25</v>
      </c>
      <c r="J1645">
        <v>24</v>
      </c>
      <c r="K1645">
        <v>22</v>
      </c>
      <c r="L1645">
        <v>900</v>
      </c>
    </row>
    <row r="1646" spans="1:12" hidden="1" x14ac:dyDescent="0.25">
      <c r="A1646">
        <v>1645</v>
      </c>
      <c r="B1646" s="1" t="s">
        <v>12</v>
      </c>
      <c r="C1646">
        <v>1947</v>
      </c>
      <c r="D1646" s="1" t="s">
        <v>213</v>
      </c>
      <c r="E1646" s="1" t="s">
        <v>22</v>
      </c>
      <c r="F1646">
        <v>14</v>
      </c>
      <c r="G1646" s="1" t="s">
        <v>173</v>
      </c>
      <c r="H1646">
        <v>14028</v>
      </c>
      <c r="I1646">
        <v>15</v>
      </c>
      <c r="J1646">
        <v>13</v>
      </c>
      <c r="K1646">
        <v>10</v>
      </c>
      <c r="L1646">
        <v>800</v>
      </c>
    </row>
    <row r="1647" spans="1:12" hidden="1" x14ac:dyDescent="0.25">
      <c r="A1647">
        <v>1646</v>
      </c>
      <c r="B1647" s="1" t="s">
        <v>12</v>
      </c>
      <c r="C1647">
        <v>1947</v>
      </c>
      <c r="D1647" s="1" t="s">
        <v>213</v>
      </c>
      <c r="E1647" s="1" t="s">
        <v>22</v>
      </c>
      <c r="F1647">
        <v>14</v>
      </c>
      <c r="G1647" s="1" t="s">
        <v>62</v>
      </c>
      <c r="H1647">
        <v>14133</v>
      </c>
      <c r="I1647">
        <v>10</v>
      </c>
      <c r="J1647">
        <v>10</v>
      </c>
      <c r="K1647">
        <v>10</v>
      </c>
      <c r="L1647">
        <v>1000</v>
      </c>
    </row>
    <row r="1648" spans="1:12" hidden="1" x14ac:dyDescent="0.25">
      <c r="A1648">
        <v>1647</v>
      </c>
      <c r="B1648" s="1" t="s">
        <v>12</v>
      </c>
      <c r="C1648">
        <v>1947</v>
      </c>
      <c r="D1648" s="1" t="s">
        <v>213</v>
      </c>
      <c r="E1648" s="1" t="s">
        <v>22</v>
      </c>
      <c r="F1648">
        <v>14</v>
      </c>
      <c r="G1648" s="1" t="s">
        <v>172</v>
      </c>
      <c r="H1648">
        <v>14091</v>
      </c>
      <c r="I1648">
        <v>8</v>
      </c>
      <c r="J1648">
        <v>8</v>
      </c>
      <c r="K1648">
        <v>6</v>
      </c>
      <c r="L1648">
        <v>800</v>
      </c>
    </row>
    <row r="1649" spans="1:12" hidden="1" x14ac:dyDescent="0.25">
      <c r="A1649">
        <v>1648</v>
      </c>
      <c r="B1649" s="1" t="s">
        <v>12</v>
      </c>
      <c r="C1649">
        <v>1947</v>
      </c>
      <c r="D1649" s="1" t="s">
        <v>213</v>
      </c>
      <c r="E1649" s="1" t="s">
        <v>30</v>
      </c>
      <c r="F1649">
        <v>18</v>
      </c>
      <c r="G1649" s="1" t="s">
        <v>35</v>
      </c>
      <c r="H1649">
        <v>18049</v>
      </c>
      <c r="I1649">
        <v>150</v>
      </c>
      <c r="J1649">
        <v>120</v>
      </c>
      <c r="K1649">
        <v>96</v>
      </c>
      <c r="L1649">
        <v>800</v>
      </c>
    </row>
    <row r="1650" spans="1:12" hidden="1" x14ac:dyDescent="0.25">
      <c r="A1650">
        <v>1649</v>
      </c>
      <c r="B1650" s="1" t="s">
        <v>12</v>
      </c>
      <c r="C1650">
        <v>1947</v>
      </c>
      <c r="D1650" s="1" t="s">
        <v>213</v>
      </c>
      <c r="E1650" s="1" t="s">
        <v>30</v>
      </c>
      <c r="F1650">
        <v>18</v>
      </c>
      <c r="G1650" s="1" t="s">
        <v>40</v>
      </c>
      <c r="H1650">
        <v>18126</v>
      </c>
      <c r="I1650">
        <v>150</v>
      </c>
      <c r="J1650">
        <v>130</v>
      </c>
      <c r="K1650">
        <v>91</v>
      </c>
      <c r="L1650">
        <v>700</v>
      </c>
    </row>
    <row r="1651" spans="1:12" hidden="1" x14ac:dyDescent="0.25">
      <c r="A1651">
        <v>1650</v>
      </c>
      <c r="B1651" s="1" t="s">
        <v>12</v>
      </c>
      <c r="C1651">
        <v>1947</v>
      </c>
      <c r="D1651" s="1" t="s">
        <v>213</v>
      </c>
      <c r="E1651" s="1" t="s">
        <v>30</v>
      </c>
      <c r="F1651">
        <v>18</v>
      </c>
      <c r="G1651" s="1" t="s">
        <v>33</v>
      </c>
      <c r="H1651">
        <v>18091</v>
      </c>
      <c r="I1651">
        <v>110</v>
      </c>
      <c r="J1651">
        <v>90</v>
      </c>
      <c r="K1651">
        <v>81</v>
      </c>
      <c r="L1651">
        <v>900</v>
      </c>
    </row>
    <row r="1652" spans="1:12" hidden="1" x14ac:dyDescent="0.25">
      <c r="A1652">
        <v>1651</v>
      </c>
      <c r="B1652" s="1" t="s">
        <v>12</v>
      </c>
      <c r="C1652">
        <v>1947</v>
      </c>
      <c r="D1652" s="1" t="s">
        <v>213</v>
      </c>
      <c r="E1652" s="1" t="s">
        <v>30</v>
      </c>
      <c r="F1652">
        <v>18</v>
      </c>
      <c r="G1652" s="1" t="s">
        <v>43</v>
      </c>
      <c r="H1652">
        <v>18070</v>
      </c>
      <c r="I1652">
        <v>100</v>
      </c>
      <c r="J1652">
        <v>90</v>
      </c>
      <c r="K1652">
        <v>72</v>
      </c>
      <c r="L1652">
        <v>800</v>
      </c>
    </row>
    <row r="1653" spans="1:12" hidden="1" x14ac:dyDescent="0.25">
      <c r="A1653">
        <v>1652</v>
      </c>
      <c r="B1653" s="1" t="s">
        <v>12</v>
      </c>
      <c r="C1653">
        <v>1947</v>
      </c>
      <c r="D1653" s="1" t="s">
        <v>213</v>
      </c>
      <c r="E1653" s="1" t="s">
        <v>30</v>
      </c>
      <c r="F1653">
        <v>18</v>
      </c>
      <c r="G1653" s="1" t="s">
        <v>32</v>
      </c>
      <c r="H1653">
        <v>18112</v>
      </c>
      <c r="I1653">
        <v>100</v>
      </c>
      <c r="J1653">
        <v>85</v>
      </c>
      <c r="K1653">
        <v>68</v>
      </c>
      <c r="L1653">
        <v>900</v>
      </c>
    </row>
    <row r="1654" spans="1:12" hidden="1" x14ac:dyDescent="0.25">
      <c r="A1654">
        <v>1653</v>
      </c>
      <c r="B1654" s="1" t="s">
        <v>12</v>
      </c>
      <c r="C1654">
        <v>1947</v>
      </c>
      <c r="D1654" s="1" t="s">
        <v>213</v>
      </c>
      <c r="E1654" s="1" t="s">
        <v>30</v>
      </c>
      <c r="F1654">
        <v>18</v>
      </c>
      <c r="G1654" s="1" t="s">
        <v>38</v>
      </c>
      <c r="H1654">
        <v>18007</v>
      </c>
      <c r="I1654">
        <v>80</v>
      </c>
      <c r="J1654">
        <v>70</v>
      </c>
      <c r="K1654">
        <v>56</v>
      </c>
      <c r="L1654">
        <v>800</v>
      </c>
    </row>
    <row r="1655" spans="1:12" hidden="1" x14ac:dyDescent="0.25">
      <c r="A1655">
        <v>1654</v>
      </c>
      <c r="B1655" s="1" t="s">
        <v>12</v>
      </c>
      <c r="C1655">
        <v>1947</v>
      </c>
      <c r="D1655" s="1" t="s">
        <v>213</v>
      </c>
      <c r="E1655" s="1" t="s">
        <v>30</v>
      </c>
      <c r="F1655">
        <v>18</v>
      </c>
      <c r="G1655" s="1" t="s">
        <v>101</v>
      </c>
      <c r="H1655">
        <v>18161</v>
      </c>
      <c r="I1655">
        <v>20</v>
      </c>
      <c r="J1655">
        <v>20</v>
      </c>
      <c r="K1655">
        <v>16</v>
      </c>
      <c r="L1655">
        <v>800</v>
      </c>
    </row>
    <row r="1656" spans="1:12" hidden="1" x14ac:dyDescent="0.25">
      <c r="A1656">
        <v>1655</v>
      </c>
      <c r="B1656" s="1" t="s">
        <v>12</v>
      </c>
      <c r="C1656">
        <v>1947</v>
      </c>
      <c r="D1656" s="1" t="s">
        <v>213</v>
      </c>
      <c r="E1656" s="1" t="s">
        <v>30</v>
      </c>
      <c r="F1656">
        <v>18</v>
      </c>
      <c r="G1656" s="1" t="s">
        <v>42</v>
      </c>
      <c r="H1656">
        <v>18035</v>
      </c>
      <c r="I1656">
        <v>10</v>
      </c>
      <c r="J1656">
        <v>10</v>
      </c>
      <c r="K1656">
        <v>8</v>
      </c>
      <c r="L1656">
        <v>800</v>
      </c>
    </row>
    <row r="1657" spans="1:12" hidden="1" x14ac:dyDescent="0.25">
      <c r="A1657">
        <v>1656</v>
      </c>
      <c r="B1657" s="1" t="s">
        <v>12</v>
      </c>
      <c r="C1657">
        <v>1947</v>
      </c>
      <c r="D1657" s="1" t="s">
        <v>213</v>
      </c>
      <c r="E1657" s="1" t="s">
        <v>30</v>
      </c>
      <c r="F1657">
        <v>18</v>
      </c>
      <c r="G1657" s="1" t="s">
        <v>37</v>
      </c>
      <c r="H1657">
        <v>18147</v>
      </c>
      <c r="I1657">
        <v>5</v>
      </c>
      <c r="J1657">
        <v>5</v>
      </c>
      <c r="K1657">
        <v>4</v>
      </c>
      <c r="L1657">
        <v>750</v>
      </c>
    </row>
    <row r="1658" spans="1:12" hidden="1" x14ac:dyDescent="0.25">
      <c r="A1658">
        <v>1657</v>
      </c>
      <c r="B1658" s="1" t="s">
        <v>12</v>
      </c>
      <c r="C1658">
        <v>1947</v>
      </c>
      <c r="D1658" s="1" t="s">
        <v>213</v>
      </c>
      <c r="E1658" s="1" t="s">
        <v>30</v>
      </c>
      <c r="F1658">
        <v>18</v>
      </c>
      <c r="G1658" s="1" t="s">
        <v>86</v>
      </c>
      <c r="H1658">
        <v>18175</v>
      </c>
      <c r="I1658">
        <v>5</v>
      </c>
      <c r="J1658">
        <v>5</v>
      </c>
      <c r="K1658">
        <v>4</v>
      </c>
      <c r="L1658">
        <v>800</v>
      </c>
    </row>
    <row r="1659" spans="1:12" hidden="1" x14ac:dyDescent="0.25">
      <c r="A1659">
        <v>1658</v>
      </c>
      <c r="B1659" s="1" t="s">
        <v>12</v>
      </c>
      <c r="C1659">
        <v>1947</v>
      </c>
      <c r="D1659" s="1" t="s">
        <v>213</v>
      </c>
      <c r="E1659" s="1" t="s">
        <v>30</v>
      </c>
      <c r="F1659">
        <v>18</v>
      </c>
      <c r="G1659" s="1" t="s">
        <v>105</v>
      </c>
      <c r="H1659">
        <v>18105</v>
      </c>
      <c r="I1659">
        <v>2</v>
      </c>
      <c r="J1659">
        <v>2</v>
      </c>
      <c r="K1659">
        <v>2</v>
      </c>
      <c r="L1659">
        <v>900</v>
      </c>
    </row>
    <row r="1660" spans="1:12" hidden="1" x14ac:dyDescent="0.25">
      <c r="A1660">
        <v>1659</v>
      </c>
      <c r="B1660" s="1" t="s">
        <v>12</v>
      </c>
      <c r="C1660">
        <v>1947</v>
      </c>
      <c r="D1660" s="1" t="s">
        <v>213</v>
      </c>
      <c r="E1660" s="1" t="s">
        <v>30</v>
      </c>
      <c r="F1660">
        <v>18</v>
      </c>
      <c r="G1660" s="1" t="s">
        <v>104</v>
      </c>
      <c r="H1660">
        <v>18119</v>
      </c>
      <c r="I1660">
        <v>2</v>
      </c>
      <c r="J1660">
        <v>2</v>
      </c>
      <c r="K1660">
        <v>2</v>
      </c>
      <c r="L1660">
        <v>800</v>
      </c>
    </row>
    <row r="1661" spans="1:12" hidden="1" x14ac:dyDescent="0.25">
      <c r="A1661">
        <v>1660</v>
      </c>
      <c r="B1661" s="1" t="s">
        <v>12</v>
      </c>
      <c r="C1661">
        <v>1947</v>
      </c>
      <c r="D1661" s="1" t="s">
        <v>213</v>
      </c>
      <c r="E1661" s="1" t="s">
        <v>45</v>
      </c>
      <c r="F1661">
        <v>30</v>
      </c>
      <c r="G1661" s="1" t="s">
        <v>46</v>
      </c>
      <c r="H1661">
        <v>30028</v>
      </c>
      <c r="I1661">
        <v>4000</v>
      </c>
      <c r="J1661">
        <v>3200</v>
      </c>
      <c r="K1661">
        <v>3200</v>
      </c>
      <c r="L1661">
        <v>1000</v>
      </c>
    </row>
    <row r="1662" spans="1:12" hidden="1" x14ac:dyDescent="0.25">
      <c r="A1662">
        <v>1661</v>
      </c>
      <c r="B1662" s="1" t="s">
        <v>12</v>
      </c>
      <c r="C1662">
        <v>1947</v>
      </c>
      <c r="D1662" s="1" t="s">
        <v>213</v>
      </c>
      <c r="E1662" s="1" t="s">
        <v>45</v>
      </c>
      <c r="F1662">
        <v>30</v>
      </c>
      <c r="G1662" s="1" t="s">
        <v>47</v>
      </c>
      <c r="H1662">
        <v>30015</v>
      </c>
      <c r="I1662">
        <v>3000</v>
      </c>
      <c r="J1662">
        <v>2600</v>
      </c>
      <c r="K1662">
        <v>2600</v>
      </c>
      <c r="L1662">
        <v>1000</v>
      </c>
    </row>
    <row r="1663" spans="1:12" hidden="1" x14ac:dyDescent="0.25">
      <c r="A1663">
        <v>1662</v>
      </c>
      <c r="B1663" s="1" t="s">
        <v>12</v>
      </c>
      <c r="C1663">
        <v>1947</v>
      </c>
      <c r="D1663" s="1" t="s">
        <v>213</v>
      </c>
      <c r="E1663" s="1" t="s">
        <v>45</v>
      </c>
      <c r="F1663">
        <v>30</v>
      </c>
      <c r="G1663" s="1" t="s">
        <v>27</v>
      </c>
      <c r="H1663">
        <v>30008</v>
      </c>
      <c r="I1663">
        <v>160</v>
      </c>
      <c r="J1663">
        <v>140</v>
      </c>
      <c r="K1663">
        <v>109</v>
      </c>
      <c r="L1663">
        <v>779</v>
      </c>
    </row>
    <row r="1664" spans="1:12" hidden="1" x14ac:dyDescent="0.25">
      <c r="A1664">
        <v>1663</v>
      </c>
      <c r="B1664" s="1" t="s">
        <v>12</v>
      </c>
      <c r="C1664">
        <v>1947</v>
      </c>
      <c r="D1664" s="1" t="s">
        <v>213</v>
      </c>
      <c r="E1664" s="1" t="s">
        <v>45</v>
      </c>
      <c r="F1664">
        <v>30</v>
      </c>
      <c r="G1664" s="1" t="s">
        <v>124</v>
      </c>
      <c r="H1664">
        <v>30070</v>
      </c>
      <c r="I1664">
        <v>5</v>
      </c>
      <c r="J1664">
        <v>1</v>
      </c>
      <c r="K1664">
        <v>1</v>
      </c>
      <c r="L1664">
        <v>600</v>
      </c>
    </row>
    <row r="1665" spans="1:12" hidden="1" x14ac:dyDescent="0.25">
      <c r="A1665">
        <v>1664</v>
      </c>
      <c r="B1665" s="1" t="s">
        <v>12</v>
      </c>
      <c r="C1665">
        <v>1947</v>
      </c>
      <c r="D1665" s="1" t="s">
        <v>213</v>
      </c>
      <c r="E1665" s="1" t="s">
        <v>48</v>
      </c>
      <c r="F1665">
        <v>34</v>
      </c>
      <c r="G1665" s="1" t="s">
        <v>51</v>
      </c>
      <c r="H1665">
        <v>34056</v>
      </c>
      <c r="I1665">
        <v>40</v>
      </c>
      <c r="J1665">
        <v>36</v>
      </c>
      <c r="K1665">
        <v>42</v>
      </c>
      <c r="L1665">
        <v>1167</v>
      </c>
    </row>
    <row r="1666" spans="1:12" hidden="1" x14ac:dyDescent="0.25">
      <c r="A1666">
        <v>1665</v>
      </c>
      <c r="B1666" s="1" t="s">
        <v>12</v>
      </c>
      <c r="C1666">
        <v>1947</v>
      </c>
      <c r="D1666" s="1" t="s">
        <v>213</v>
      </c>
      <c r="E1666" s="1" t="s">
        <v>48</v>
      </c>
      <c r="F1666">
        <v>34</v>
      </c>
      <c r="G1666" s="1" t="s">
        <v>52</v>
      </c>
      <c r="H1666">
        <v>34035</v>
      </c>
      <c r="I1666">
        <v>30</v>
      </c>
      <c r="J1666">
        <v>30</v>
      </c>
      <c r="K1666">
        <v>30</v>
      </c>
      <c r="L1666">
        <v>1000</v>
      </c>
    </row>
    <row r="1667" spans="1:12" hidden="1" x14ac:dyDescent="0.25">
      <c r="A1667">
        <v>1666</v>
      </c>
      <c r="B1667" s="1" t="s">
        <v>12</v>
      </c>
      <c r="C1667">
        <v>1947</v>
      </c>
      <c r="D1667" s="1" t="s">
        <v>213</v>
      </c>
      <c r="E1667" s="1" t="s">
        <v>48</v>
      </c>
      <c r="F1667">
        <v>34</v>
      </c>
      <c r="G1667" s="1" t="s">
        <v>50</v>
      </c>
      <c r="H1667">
        <v>34021</v>
      </c>
      <c r="I1667">
        <v>15</v>
      </c>
      <c r="J1667">
        <v>12</v>
      </c>
      <c r="K1667">
        <v>14</v>
      </c>
      <c r="L1667">
        <v>1166</v>
      </c>
    </row>
    <row r="1668" spans="1:12" hidden="1" x14ac:dyDescent="0.25">
      <c r="A1668">
        <v>1667</v>
      </c>
      <c r="B1668" s="1" t="s">
        <v>12</v>
      </c>
      <c r="C1668">
        <v>1947</v>
      </c>
      <c r="D1668" s="1" t="s">
        <v>213</v>
      </c>
      <c r="E1668" s="1" t="s">
        <v>48</v>
      </c>
      <c r="F1668">
        <v>34</v>
      </c>
      <c r="G1668" s="1" t="s">
        <v>49</v>
      </c>
      <c r="H1668">
        <v>34049</v>
      </c>
      <c r="I1668">
        <v>15</v>
      </c>
      <c r="J1668">
        <v>12</v>
      </c>
      <c r="K1668">
        <v>14</v>
      </c>
      <c r="L1668">
        <v>1166</v>
      </c>
    </row>
    <row r="1669" spans="1:12" hidden="1" x14ac:dyDescent="0.25">
      <c r="A1669">
        <v>1668</v>
      </c>
      <c r="B1669" s="1" t="s">
        <v>12</v>
      </c>
      <c r="C1669">
        <v>1947</v>
      </c>
      <c r="D1669" s="1" t="s">
        <v>213</v>
      </c>
      <c r="E1669" s="1" t="s">
        <v>48</v>
      </c>
      <c r="F1669">
        <v>34</v>
      </c>
      <c r="G1669" s="1" t="s">
        <v>48</v>
      </c>
      <c r="H1669">
        <v>34014</v>
      </c>
      <c r="I1669">
        <v>8</v>
      </c>
      <c r="J1669">
        <v>8</v>
      </c>
      <c r="K1669">
        <v>10</v>
      </c>
      <c r="L1669">
        <v>1250</v>
      </c>
    </row>
    <row r="1670" spans="1:12" hidden="1" x14ac:dyDescent="0.25">
      <c r="A1670">
        <v>1669</v>
      </c>
      <c r="B1670" s="1" t="s">
        <v>12</v>
      </c>
      <c r="C1670">
        <v>1947</v>
      </c>
      <c r="D1670" s="1" t="s">
        <v>213</v>
      </c>
      <c r="E1670" s="1" t="s">
        <v>48</v>
      </c>
      <c r="F1670">
        <v>34</v>
      </c>
      <c r="G1670" s="1" t="s">
        <v>108</v>
      </c>
      <c r="H1670">
        <v>34042</v>
      </c>
      <c r="I1670">
        <v>8</v>
      </c>
      <c r="J1670">
        <v>8</v>
      </c>
      <c r="K1670">
        <v>10</v>
      </c>
      <c r="L1670">
        <v>1250</v>
      </c>
    </row>
    <row r="1671" spans="1:12" hidden="1" x14ac:dyDescent="0.25">
      <c r="A1671">
        <v>1670</v>
      </c>
      <c r="B1671" s="1" t="s">
        <v>12</v>
      </c>
      <c r="C1671">
        <v>1947</v>
      </c>
      <c r="D1671" s="1" t="s">
        <v>213</v>
      </c>
      <c r="E1671" s="1" t="s">
        <v>58</v>
      </c>
      <c r="F1671">
        <v>54</v>
      </c>
      <c r="G1671" s="1" t="s">
        <v>60</v>
      </c>
      <c r="H1671">
        <v>54021</v>
      </c>
      <c r="I1671">
        <v>60</v>
      </c>
      <c r="J1671">
        <v>42</v>
      </c>
      <c r="K1671">
        <v>30</v>
      </c>
      <c r="L1671">
        <v>714</v>
      </c>
    </row>
    <row r="1672" spans="1:12" hidden="1" x14ac:dyDescent="0.25">
      <c r="A1672">
        <v>1671</v>
      </c>
      <c r="B1672" s="1" t="s">
        <v>12</v>
      </c>
      <c r="C1672">
        <v>1947</v>
      </c>
      <c r="D1672" s="1" t="s">
        <v>213</v>
      </c>
      <c r="E1672" s="1" t="s">
        <v>58</v>
      </c>
      <c r="F1672">
        <v>54</v>
      </c>
      <c r="G1672" s="1" t="s">
        <v>61</v>
      </c>
      <c r="H1672">
        <v>54098</v>
      </c>
      <c r="I1672">
        <v>40</v>
      </c>
      <c r="J1672">
        <v>24</v>
      </c>
      <c r="K1672">
        <v>19</v>
      </c>
      <c r="L1672">
        <v>800</v>
      </c>
    </row>
    <row r="1673" spans="1:12" hidden="1" x14ac:dyDescent="0.25">
      <c r="A1673">
        <v>1672</v>
      </c>
      <c r="B1673" s="1" t="s">
        <v>12</v>
      </c>
      <c r="C1673">
        <v>1947</v>
      </c>
      <c r="D1673" s="1" t="s">
        <v>213</v>
      </c>
      <c r="E1673" s="1" t="s">
        <v>58</v>
      </c>
      <c r="F1673">
        <v>54</v>
      </c>
      <c r="G1673" s="1" t="s">
        <v>150</v>
      </c>
      <c r="H1673">
        <v>54014</v>
      </c>
      <c r="I1673">
        <v>30</v>
      </c>
      <c r="J1673">
        <v>5</v>
      </c>
      <c r="K1673">
        <v>2</v>
      </c>
      <c r="L1673">
        <v>400</v>
      </c>
    </row>
    <row r="1674" spans="1:12" hidden="1" x14ac:dyDescent="0.25">
      <c r="A1674">
        <v>1673</v>
      </c>
      <c r="B1674" s="1" t="s">
        <v>12</v>
      </c>
      <c r="C1674">
        <v>1947</v>
      </c>
      <c r="D1674" s="1" t="s">
        <v>213</v>
      </c>
      <c r="E1674" s="1" t="s">
        <v>58</v>
      </c>
      <c r="F1674">
        <v>54</v>
      </c>
      <c r="G1674" s="1" t="s">
        <v>62</v>
      </c>
      <c r="H1674">
        <v>54105</v>
      </c>
      <c r="I1674">
        <v>30</v>
      </c>
      <c r="J1674">
        <v>14</v>
      </c>
      <c r="K1674">
        <v>11</v>
      </c>
      <c r="L1674">
        <v>800</v>
      </c>
    </row>
    <row r="1675" spans="1:12" hidden="1" x14ac:dyDescent="0.25">
      <c r="A1675">
        <v>1674</v>
      </c>
      <c r="B1675" s="1" t="s">
        <v>12</v>
      </c>
      <c r="C1675">
        <v>1947</v>
      </c>
      <c r="D1675" s="1" t="s">
        <v>213</v>
      </c>
      <c r="E1675" s="1" t="s">
        <v>58</v>
      </c>
      <c r="F1675">
        <v>54</v>
      </c>
      <c r="G1675" s="1" t="s">
        <v>59</v>
      </c>
      <c r="H1675">
        <v>54007</v>
      </c>
      <c r="I1675">
        <v>25</v>
      </c>
      <c r="J1675">
        <v>10</v>
      </c>
      <c r="K1675">
        <v>4</v>
      </c>
      <c r="L1675">
        <v>400</v>
      </c>
    </row>
    <row r="1676" spans="1:12" hidden="1" x14ac:dyDescent="0.25">
      <c r="A1676">
        <v>1675</v>
      </c>
      <c r="B1676" s="1" t="s">
        <v>12</v>
      </c>
      <c r="C1676">
        <v>1947</v>
      </c>
      <c r="D1676" s="1" t="s">
        <v>213</v>
      </c>
      <c r="E1676" s="1" t="s">
        <v>58</v>
      </c>
      <c r="F1676">
        <v>54</v>
      </c>
      <c r="G1676" s="1" t="s">
        <v>152</v>
      </c>
      <c r="H1676">
        <v>54063</v>
      </c>
      <c r="I1676">
        <v>25</v>
      </c>
      <c r="J1676">
        <v>20</v>
      </c>
      <c r="K1676">
        <v>18</v>
      </c>
      <c r="L1676">
        <v>900</v>
      </c>
    </row>
    <row r="1677" spans="1:12" hidden="1" x14ac:dyDescent="0.25">
      <c r="A1677">
        <v>1676</v>
      </c>
      <c r="B1677" s="1" t="s">
        <v>12</v>
      </c>
      <c r="C1677">
        <v>1947</v>
      </c>
      <c r="D1677" s="1" t="s">
        <v>213</v>
      </c>
      <c r="E1677" s="1" t="s">
        <v>58</v>
      </c>
      <c r="F1677">
        <v>54</v>
      </c>
      <c r="G1677" s="1" t="s">
        <v>63</v>
      </c>
      <c r="H1677">
        <v>54035</v>
      </c>
      <c r="I1677">
        <v>20</v>
      </c>
      <c r="J1677">
        <v>8</v>
      </c>
      <c r="K1677">
        <v>4</v>
      </c>
      <c r="L1677">
        <v>500</v>
      </c>
    </row>
    <row r="1678" spans="1:12" x14ac:dyDescent="0.25">
      <c r="A1678">
        <v>1677</v>
      </c>
      <c r="B1678" s="1" t="s">
        <v>12</v>
      </c>
      <c r="C1678">
        <v>1947</v>
      </c>
      <c r="D1678" s="1" t="s">
        <v>213</v>
      </c>
      <c r="E1678" s="1" t="s">
        <v>58</v>
      </c>
      <c r="F1678">
        <v>54</v>
      </c>
      <c r="G1678" s="1" t="s">
        <v>56</v>
      </c>
      <c r="H1678">
        <v>54112</v>
      </c>
      <c r="I1678">
        <v>5</v>
      </c>
      <c r="J1678">
        <v>4</v>
      </c>
      <c r="K1678">
        <v>3</v>
      </c>
      <c r="L1678">
        <v>750</v>
      </c>
    </row>
    <row r="1679" spans="1:12" hidden="1" x14ac:dyDescent="0.25">
      <c r="A1679">
        <v>1678</v>
      </c>
      <c r="B1679" s="1" t="s">
        <v>12</v>
      </c>
      <c r="C1679">
        <v>1947</v>
      </c>
      <c r="D1679" s="1" t="s">
        <v>213</v>
      </c>
      <c r="E1679" s="1" t="s">
        <v>58</v>
      </c>
      <c r="F1679">
        <v>54</v>
      </c>
      <c r="G1679" s="1" t="s">
        <v>28</v>
      </c>
      <c r="H1679">
        <v>54028</v>
      </c>
      <c r="I1679">
        <v>1</v>
      </c>
    </row>
    <row r="1680" spans="1:12" hidden="1" x14ac:dyDescent="0.25">
      <c r="A1680">
        <v>1679</v>
      </c>
      <c r="B1680" s="1" t="s">
        <v>12</v>
      </c>
      <c r="C1680">
        <v>1947</v>
      </c>
      <c r="D1680" s="1" t="s">
        <v>213</v>
      </c>
      <c r="E1680" s="1" t="s">
        <v>58</v>
      </c>
      <c r="F1680">
        <v>54</v>
      </c>
      <c r="G1680" s="1" t="s">
        <v>151</v>
      </c>
      <c r="H1680">
        <v>54056</v>
      </c>
      <c r="I1680">
        <v>1</v>
      </c>
      <c r="J1680">
        <v>1</v>
      </c>
      <c r="K1680">
        <v>1</v>
      </c>
      <c r="L1680">
        <v>1000</v>
      </c>
    </row>
    <row r="1681" spans="1:12" hidden="1" x14ac:dyDescent="0.25">
      <c r="A1681">
        <v>1680</v>
      </c>
      <c r="B1681" s="1" t="s">
        <v>12</v>
      </c>
      <c r="C1681">
        <v>1947</v>
      </c>
      <c r="D1681" s="1" t="s">
        <v>213</v>
      </c>
      <c r="E1681" s="1" t="s">
        <v>87</v>
      </c>
      <c r="F1681">
        <v>66</v>
      </c>
      <c r="G1681" s="1" t="s">
        <v>141</v>
      </c>
      <c r="H1681">
        <v>66112</v>
      </c>
      <c r="I1681">
        <v>20</v>
      </c>
      <c r="J1681">
        <v>18</v>
      </c>
      <c r="K1681">
        <v>18</v>
      </c>
      <c r="L1681">
        <v>1000</v>
      </c>
    </row>
    <row r="1682" spans="1:12" hidden="1" x14ac:dyDescent="0.25">
      <c r="A1682">
        <v>1681</v>
      </c>
      <c r="B1682" s="1" t="s">
        <v>12</v>
      </c>
      <c r="C1682">
        <v>1947</v>
      </c>
      <c r="D1682" s="1" t="s">
        <v>213</v>
      </c>
      <c r="E1682" s="1" t="s">
        <v>87</v>
      </c>
      <c r="F1682">
        <v>66</v>
      </c>
      <c r="G1682" s="1" t="s">
        <v>188</v>
      </c>
      <c r="H1682">
        <v>66140</v>
      </c>
      <c r="I1682">
        <v>15</v>
      </c>
    </row>
    <row r="1683" spans="1:12" hidden="1" x14ac:dyDescent="0.25">
      <c r="A1683">
        <v>1682</v>
      </c>
      <c r="B1683" s="1" t="s">
        <v>12</v>
      </c>
      <c r="C1683">
        <v>1947</v>
      </c>
      <c r="D1683" s="1" t="s">
        <v>213</v>
      </c>
      <c r="E1683" s="1" t="s">
        <v>64</v>
      </c>
      <c r="F1683">
        <v>82</v>
      </c>
      <c r="G1683" s="1" t="s">
        <v>65</v>
      </c>
      <c r="H1683">
        <v>82049</v>
      </c>
      <c r="I1683">
        <v>2700</v>
      </c>
      <c r="J1683">
        <v>2500</v>
      </c>
      <c r="K1683">
        <v>3000</v>
      </c>
      <c r="L1683">
        <v>1200</v>
      </c>
    </row>
    <row r="1684" spans="1:12" hidden="1" x14ac:dyDescent="0.25">
      <c r="A1684">
        <v>1683</v>
      </c>
      <c r="B1684" s="1" t="s">
        <v>12</v>
      </c>
      <c r="C1684">
        <v>1947</v>
      </c>
      <c r="D1684" s="1" t="s">
        <v>213</v>
      </c>
      <c r="E1684" s="1" t="s">
        <v>64</v>
      </c>
      <c r="F1684">
        <v>82</v>
      </c>
      <c r="G1684" s="1" t="s">
        <v>66</v>
      </c>
      <c r="H1684">
        <v>82035</v>
      </c>
      <c r="I1684">
        <v>1700</v>
      </c>
      <c r="J1684">
        <v>1600</v>
      </c>
      <c r="K1684">
        <v>2320</v>
      </c>
      <c r="L1684">
        <v>1450</v>
      </c>
    </row>
    <row r="1685" spans="1:12" hidden="1" x14ac:dyDescent="0.25">
      <c r="A1685">
        <v>1684</v>
      </c>
      <c r="B1685" s="1" t="s">
        <v>12</v>
      </c>
      <c r="C1685">
        <v>1947</v>
      </c>
      <c r="D1685" s="1" t="s">
        <v>213</v>
      </c>
      <c r="E1685" s="1" t="s">
        <v>64</v>
      </c>
      <c r="F1685">
        <v>82</v>
      </c>
      <c r="G1685" s="1" t="s">
        <v>62</v>
      </c>
      <c r="H1685">
        <v>82098</v>
      </c>
      <c r="I1685">
        <v>200</v>
      </c>
      <c r="J1685">
        <v>180</v>
      </c>
      <c r="K1685">
        <v>252</v>
      </c>
      <c r="L1685">
        <v>1400</v>
      </c>
    </row>
    <row r="1686" spans="1:12" hidden="1" x14ac:dyDescent="0.25">
      <c r="A1686">
        <v>1685</v>
      </c>
      <c r="B1686" s="1" t="s">
        <v>12</v>
      </c>
      <c r="C1686">
        <v>1947</v>
      </c>
      <c r="D1686" s="1" t="s">
        <v>213</v>
      </c>
      <c r="E1686" s="1" t="s">
        <v>64</v>
      </c>
      <c r="F1686">
        <v>82</v>
      </c>
      <c r="G1686" s="1" t="s">
        <v>28</v>
      </c>
      <c r="H1686">
        <v>82063</v>
      </c>
      <c r="I1686">
        <v>10</v>
      </c>
      <c r="J1686">
        <v>10</v>
      </c>
      <c r="K1686">
        <v>14</v>
      </c>
      <c r="L1686">
        <v>1400</v>
      </c>
    </row>
    <row r="1687" spans="1:12" hidden="1" x14ac:dyDescent="0.25">
      <c r="A1687">
        <v>1686</v>
      </c>
      <c r="B1687" s="1" t="s">
        <v>12</v>
      </c>
      <c r="C1687">
        <v>1947</v>
      </c>
      <c r="D1687" s="1" t="s">
        <v>213</v>
      </c>
      <c r="E1687" s="1" t="s">
        <v>64</v>
      </c>
      <c r="F1687">
        <v>82</v>
      </c>
      <c r="G1687" s="1" t="s">
        <v>67</v>
      </c>
      <c r="H1687">
        <v>82112</v>
      </c>
      <c r="I1687">
        <v>10</v>
      </c>
      <c r="J1687">
        <v>10</v>
      </c>
      <c r="K1687">
        <v>14</v>
      </c>
      <c r="L1687">
        <v>1400</v>
      </c>
    </row>
    <row r="1688" spans="1:12" hidden="1" x14ac:dyDescent="0.25">
      <c r="A1688">
        <v>1687</v>
      </c>
      <c r="B1688" s="1" t="s">
        <v>12</v>
      </c>
      <c r="C1688">
        <v>1947</v>
      </c>
      <c r="D1688" s="1" t="s">
        <v>213</v>
      </c>
      <c r="E1688" s="1" t="s">
        <v>68</v>
      </c>
      <c r="F1688">
        <v>86</v>
      </c>
      <c r="G1688" s="1" t="s">
        <v>69</v>
      </c>
      <c r="H1688">
        <v>86077</v>
      </c>
      <c r="I1688">
        <v>40</v>
      </c>
      <c r="J1688">
        <v>32</v>
      </c>
      <c r="K1688">
        <v>18</v>
      </c>
      <c r="L1688">
        <v>600</v>
      </c>
    </row>
    <row r="1689" spans="1:12" hidden="1" x14ac:dyDescent="0.25">
      <c r="A1689">
        <v>1688</v>
      </c>
      <c r="B1689" s="1" t="s">
        <v>12</v>
      </c>
      <c r="C1689">
        <v>1947</v>
      </c>
      <c r="D1689" s="1" t="s">
        <v>213</v>
      </c>
      <c r="E1689" s="1" t="s">
        <v>68</v>
      </c>
      <c r="F1689">
        <v>86</v>
      </c>
      <c r="G1689" s="1" t="s">
        <v>156</v>
      </c>
      <c r="H1689">
        <v>86042</v>
      </c>
      <c r="I1689">
        <v>25</v>
      </c>
      <c r="J1689">
        <v>20</v>
      </c>
      <c r="K1689">
        <v>12</v>
      </c>
      <c r="L1689">
        <v>600</v>
      </c>
    </row>
    <row r="1690" spans="1:12" hidden="1" x14ac:dyDescent="0.25">
      <c r="A1690">
        <v>1689</v>
      </c>
      <c r="B1690" s="1" t="s">
        <v>12</v>
      </c>
      <c r="C1690">
        <v>1947</v>
      </c>
      <c r="D1690" s="1" t="s">
        <v>213</v>
      </c>
      <c r="E1690" s="1" t="s">
        <v>77</v>
      </c>
      <c r="F1690">
        <v>90</v>
      </c>
      <c r="G1690" s="1" t="s">
        <v>78</v>
      </c>
      <c r="H1690">
        <v>90007</v>
      </c>
      <c r="I1690">
        <v>300</v>
      </c>
      <c r="J1690">
        <v>230</v>
      </c>
      <c r="K1690">
        <v>227</v>
      </c>
      <c r="L1690">
        <v>987</v>
      </c>
    </row>
    <row r="1691" spans="1:12" hidden="1" x14ac:dyDescent="0.25">
      <c r="A1691">
        <v>1690</v>
      </c>
      <c r="B1691" s="1" t="s">
        <v>12</v>
      </c>
      <c r="C1691">
        <v>1947</v>
      </c>
      <c r="D1691" s="1" t="s">
        <v>213</v>
      </c>
      <c r="E1691" s="1" t="s">
        <v>77</v>
      </c>
      <c r="F1691">
        <v>90</v>
      </c>
      <c r="G1691" s="1" t="s">
        <v>91</v>
      </c>
      <c r="H1691">
        <v>90014</v>
      </c>
      <c r="I1691">
        <v>150</v>
      </c>
      <c r="J1691">
        <v>130</v>
      </c>
      <c r="K1691">
        <v>129</v>
      </c>
      <c r="L1691">
        <v>992</v>
      </c>
    </row>
    <row r="1692" spans="1:12" hidden="1" x14ac:dyDescent="0.25">
      <c r="A1692">
        <v>1691</v>
      </c>
      <c r="B1692" s="1" t="s">
        <v>12</v>
      </c>
      <c r="C1692">
        <v>1947</v>
      </c>
      <c r="D1692" s="1" t="s">
        <v>213</v>
      </c>
      <c r="E1692" s="1" t="s">
        <v>77</v>
      </c>
      <c r="F1692">
        <v>90</v>
      </c>
      <c r="G1692" s="1" t="s">
        <v>89</v>
      </c>
      <c r="H1692">
        <v>90028</v>
      </c>
      <c r="I1692">
        <v>15</v>
      </c>
      <c r="J1692">
        <v>15</v>
      </c>
      <c r="K1692">
        <v>14</v>
      </c>
      <c r="L1692">
        <v>900</v>
      </c>
    </row>
    <row r="1693" spans="1:12" hidden="1" x14ac:dyDescent="0.25">
      <c r="A1693">
        <v>1692</v>
      </c>
      <c r="B1693" s="1" t="s">
        <v>12</v>
      </c>
      <c r="C1693">
        <v>1947</v>
      </c>
      <c r="D1693" s="1" t="s">
        <v>213</v>
      </c>
      <c r="E1693" s="1" t="s">
        <v>77</v>
      </c>
      <c r="F1693">
        <v>90</v>
      </c>
      <c r="G1693" s="1" t="s">
        <v>92</v>
      </c>
      <c r="H1693">
        <v>90056</v>
      </c>
      <c r="I1693">
        <v>10</v>
      </c>
      <c r="J1693">
        <v>10</v>
      </c>
      <c r="K1693">
        <v>10</v>
      </c>
      <c r="L1693">
        <v>1000</v>
      </c>
    </row>
    <row r="1694" spans="1:12" hidden="1" x14ac:dyDescent="0.25">
      <c r="A1694">
        <v>1693</v>
      </c>
      <c r="B1694" s="1" t="s">
        <v>12</v>
      </c>
      <c r="C1694">
        <v>1947</v>
      </c>
      <c r="D1694" s="1" t="s">
        <v>213</v>
      </c>
      <c r="E1694" s="1" t="s">
        <v>77</v>
      </c>
      <c r="F1694">
        <v>90</v>
      </c>
      <c r="G1694" s="1" t="s">
        <v>90</v>
      </c>
      <c r="H1694">
        <v>90112</v>
      </c>
      <c r="I1694">
        <v>10</v>
      </c>
      <c r="J1694">
        <v>10</v>
      </c>
      <c r="K1694">
        <v>10</v>
      </c>
      <c r="L1694">
        <v>1000</v>
      </c>
    </row>
    <row r="1695" spans="1:12" hidden="1" x14ac:dyDescent="0.25">
      <c r="A1695">
        <v>1694</v>
      </c>
      <c r="B1695" s="1" t="s">
        <v>12</v>
      </c>
      <c r="C1695">
        <v>1948</v>
      </c>
      <c r="D1695" s="1" t="s">
        <v>214</v>
      </c>
      <c r="E1695" s="1" t="s">
        <v>14</v>
      </c>
      <c r="F1695">
        <v>22</v>
      </c>
      <c r="G1695" s="1" t="s">
        <v>17</v>
      </c>
      <c r="H1695">
        <v>22140</v>
      </c>
      <c r="I1695">
        <v>50</v>
      </c>
      <c r="J1695">
        <v>45</v>
      </c>
      <c r="K1695">
        <v>32</v>
      </c>
      <c r="L1695">
        <v>711</v>
      </c>
    </row>
    <row r="1696" spans="1:12" hidden="1" x14ac:dyDescent="0.25">
      <c r="A1696">
        <v>1695</v>
      </c>
      <c r="B1696" s="1" t="s">
        <v>12</v>
      </c>
      <c r="C1696">
        <v>1948</v>
      </c>
      <c r="D1696" s="1" t="s">
        <v>214</v>
      </c>
      <c r="E1696" s="1" t="s">
        <v>14</v>
      </c>
      <c r="F1696">
        <v>22</v>
      </c>
      <c r="G1696" s="1" t="s">
        <v>18</v>
      </c>
      <c r="H1696">
        <v>22084</v>
      </c>
      <c r="I1696">
        <v>21</v>
      </c>
      <c r="J1696">
        <v>19</v>
      </c>
      <c r="K1696">
        <v>12</v>
      </c>
      <c r="L1696">
        <v>632</v>
      </c>
    </row>
    <row r="1697" spans="1:12" hidden="1" x14ac:dyDescent="0.25">
      <c r="A1697">
        <v>1696</v>
      </c>
      <c r="B1697" s="1" t="s">
        <v>12</v>
      </c>
      <c r="C1697">
        <v>1948</v>
      </c>
      <c r="D1697" s="1" t="s">
        <v>214</v>
      </c>
      <c r="E1697" s="1" t="s">
        <v>14</v>
      </c>
      <c r="F1697">
        <v>22</v>
      </c>
      <c r="G1697" s="1" t="s">
        <v>20</v>
      </c>
      <c r="H1697">
        <v>22091</v>
      </c>
      <c r="I1697">
        <v>16</v>
      </c>
      <c r="J1697">
        <v>15</v>
      </c>
      <c r="K1697">
        <v>12</v>
      </c>
      <c r="L1697">
        <v>800</v>
      </c>
    </row>
    <row r="1698" spans="1:12" hidden="1" x14ac:dyDescent="0.25">
      <c r="A1698">
        <v>1697</v>
      </c>
      <c r="B1698" s="1" t="s">
        <v>12</v>
      </c>
      <c r="C1698">
        <v>1948</v>
      </c>
      <c r="D1698" s="1" t="s">
        <v>214</v>
      </c>
      <c r="E1698" s="1" t="s">
        <v>14</v>
      </c>
      <c r="F1698">
        <v>22</v>
      </c>
      <c r="G1698" s="1" t="s">
        <v>19</v>
      </c>
      <c r="H1698">
        <v>22014</v>
      </c>
      <c r="I1698">
        <v>15</v>
      </c>
      <c r="J1698">
        <v>14</v>
      </c>
      <c r="K1698">
        <v>12</v>
      </c>
      <c r="L1698">
        <v>857</v>
      </c>
    </row>
    <row r="1699" spans="1:12" hidden="1" x14ac:dyDescent="0.25">
      <c r="A1699">
        <v>1698</v>
      </c>
      <c r="B1699" s="1" t="s">
        <v>12</v>
      </c>
      <c r="C1699">
        <v>1948</v>
      </c>
      <c r="D1699" s="1" t="s">
        <v>214</v>
      </c>
      <c r="E1699" s="1" t="s">
        <v>22</v>
      </c>
      <c r="F1699">
        <v>14</v>
      </c>
      <c r="G1699" s="1" t="s">
        <v>183</v>
      </c>
      <c r="H1699">
        <v>14007</v>
      </c>
      <c r="I1699">
        <v>42000</v>
      </c>
      <c r="J1699">
        <v>39000</v>
      </c>
      <c r="K1699">
        <v>39685</v>
      </c>
      <c r="L1699">
        <v>1018</v>
      </c>
    </row>
    <row r="1700" spans="1:12" hidden="1" x14ac:dyDescent="0.25">
      <c r="A1700">
        <v>1699</v>
      </c>
      <c r="B1700" s="1" t="s">
        <v>12</v>
      </c>
      <c r="C1700">
        <v>1948</v>
      </c>
      <c r="D1700" s="1" t="s">
        <v>214</v>
      </c>
      <c r="E1700" s="1" t="s">
        <v>22</v>
      </c>
      <c r="F1700">
        <v>14</v>
      </c>
      <c r="G1700" s="1" t="s">
        <v>24</v>
      </c>
      <c r="H1700">
        <v>14119</v>
      </c>
      <c r="I1700">
        <v>25000</v>
      </c>
      <c r="J1700">
        <v>18000</v>
      </c>
      <c r="K1700">
        <v>15400</v>
      </c>
      <c r="L1700">
        <v>856</v>
      </c>
    </row>
    <row r="1701" spans="1:12" hidden="1" x14ac:dyDescent="0.25">
      <c r="A1701">
        <v>1700</v>
      </c>
      <c r="B1701" s="1" t="s">
        <v>12</v>
      </c>
      <c r="C1701">
        <v>1948</v>
      </c>
      <c r="D1701" s="1" t="s">
        <v>214</v>
      </c>
      <c r="E1701" s="1" t="s">
        <v>22</v>
      </c>
      <c r="F1701">
        <v>14</v>
      </c>
      <c r="G1701" s="1" t="s">
        <v>23</v>
      </c>
      <c r="H1701">
        <v>14147</v>
      </c>
      <c r="I1701">
        <v>20000</v>
      </c>
      <c r="J1701">
        <v>18200</v>
      </c>
      <c r="K1701">
        <v>11300</v>
      </c>
      <c r="L1701">
        <v>621</v>
      </c>
    </row>
    <row r="1702" spans="1:12" hidden="1" x14ac:dyDescent="0.25">
      <c r="A1702">
        <v>1701</v>
      </c>
      <c r="B1702" s="1" t="s">
        <v>12</v>
      </c>
      <c r="C1702">
        <v>1948</v>
      </c>
      <c r="D1702" s="1" t="s">
        <v>214</v>
      </c>
      <c r="E1702" s="1" t="s">
        <v>22</v>
      </c>
      <c r="F1702">
        <v>14</v>
      </c>
      <c r="G1702" s="1" t="s">
        <v>97</v>
      </c>
      <c r="H1702">
        <v>14007</v>
      </c>
      <c r="I1702">
        <v>5600</v>
      </c>
      <c r="J1702">
        <v>4820</v>
      </c>
      <c r="K1702">
        <v>4425</v>
      </c>
      <c r="L1702">
        <v>918</v>
      </c>
    </row>
    <row r="1703" spans="1:12" hidden="1" x14ac:dyDescent="0.25">
      <c r="A1703">
        <v>1702</v>
      </c>
      <c r="B1703" s="1" t="s">
        <v>12</v>
      </c>
      <c r="C1703">
        <v>1948</v>
      </c>
      <c r="D1703" s="1" t="s">
        <v>214</v>
      </c>
      <c r="E1703" s="1" t="s">
        <v>22</v>
      </c>
      <c r="F1703">
        <v>14</v>
      </c>
      <c r="G1703" s="1" t="s">
        <v>29</v>
      </c>
      <c r="H1703">
        <v>14098</v>
      </c>
      <c r="I1703">
        <v>4500</v>
      </c>
      <c r="J1703">
        <v>4050</v>
      </c>
      <c r="K1703">
        <v>4970</v>
      </c>
      <c r="L1703">
        <v>1227</v>
      </c>
    </row>
    <row r="1704" spans="1:12" hidden="1" x14ac:dyDescent="0.25">
      <c r="A1704">
        <v>1703</v>
      </c>
      <c r="B1704" s="1" t="s">
        <v>12</v>
      </c>
      <c r="C1704">
        <v>1948</v>
      </c>
      <c r="D1704" s="1" t="s">
        <v>214</v>
      </c>
      <c r="E1704" s="1" t="s">
        <v>22</v>
      </c>
      <c r="F1704">
        <v>14</v>
      </c>
      <c r="G1704" s="1" t="s">
        <v>25</v>
      </c>
      <c r="H1704">
        <v>14105</v>
      </c>
      <c r="I1704">
        <v>1500</v>
      </c>
      <c r="J1704">
        <v>750</v>
      </c>
      <c r="K1704">
        <v>525</v>
      </c>
      <c r="L1704">
        <v>700</v>
      </c>
    </row>
    <row r="1705" spans="1:12" hidden="1" x14ac:dyDescent="0.25">
      <c r="A1705">
        <v>1704</v>
      </c>
      <c r="B1705" s="1" t="s">
        <v>12</v>
      </c>
      <c r="C1705">
        <v>1948</v>
      </c>
      <c r="D1705" s="1" t="s">
        <v>214</v>
      </c>
      <c r="E1705" s="1" t="s">
        <v>22</v>
      </c>
      <c r="F1705">
        <v>14</v>
      </c>
      <c r="G1705" s="1" t="s">
        <v>143</v>
      </c>
      <c r="H1705">
        <v>14056</v>
      </c>
      <c r="I1705">
        <v>1000</v>
      </c>
      <c r="J1705">
        <v>950</v>
      </c>
      <c r="K1705">
        <v>1050</v>
      </c>
      <c r="L1705">
        <v>1105</v>
      </c>
    </row>
    <row r="1706" spans="1:12" hidden="1" x14ac:dyDescent="0.25">
      <c r="A1706">
        <v>1705</v>
      </c>
      <c r="B1706" s="1" t="s">
        <v>12</v>
      </c>
      <c r="C1706">
        <v>1948</v>
      </c>
      <c r="D1706" s="1" t="s">
        <v>214</v>
      </c>
      <c r="E1706" s="1" t="s">
        <v>22</v>
      </c>
      <c r="F1706">
        <v>14</v>
      </c>
      <c r="G1706" s="1" t="s">
        <v>28</v>
      </c>
      <c r="H1706">
        <v>14014</v>
      </c>
      <c r="I1706">
        <v>800</v>
      </c>
      <c r="J1706">
        <v>720</v>
      </c>
      <c r="K1706">
        <v>730</v>
      </c>
      <c r="L1706">
        <v>1014</v>
      </c>
    </row>
    <row r="1707" spans="1:12" hidden="1" x14ac:dyDescent="0.25">
      <c r="A1707">
        <v>1706</v>
      </c>
      <c r="B1707" s="1" t="s">
        <v>12</v>
      </c>
      <c r="C1707">
        <v>1948</v>
      </c>
      <c r="D1707" s="1" t="s">
        <v>214</v>
      </c>
      <c r="E1707" s="1" t="s">
        <v>22</v>
      </c>
      <c r="F1707">
        <v>14</v>
      </c>
      <c r="G1707" s="1" t="s">
        <v>67</v>
      </c>
      <c r="H1707">
        <v>14140</v>
      </c>
      <c r="I1707">
        <v>500</v>
      </c>
      <c r="J1707">
        <v>300</v>
      </c>
      <c r="K1707">
        <v>298</v>
      </c>
      <c r="L1707">
        <v>993</v>
      </c>
    </row>
    <row r="1708" spans="1:12" hidden="1" x14ac:dyDescent="0.25">
      <c r="A1708">
        <v>1707</v>
      </c>
      <c r="B1708" s="1" t="s">
        <v>12</v>
      </c>
      <c r="C1708">
        <v>1948</v>
      </c>
      <c r="D1708" s="1" t="s">
        <v>214</v>
      </c>
      <c r="E1708" s="1" t="s">
        <v>22</v>
      </c>
      <c r="F1708">
        <v>14</v>
      </c>
      <c r="G1708" s="1" t="s">
        <v>27</v>
      </c>
      <c r="H1708">
        <v>14021</v>
      </c>
      <c r="I1708">
        <v>300</v>
      </c>
      <c r="J1708">
        <v>240</v>
      </c>
      <c r="K1708">
        <v>174</v>
      </c>
      <c r="L1708">
        <v>725</v>
      </c>
    </row>
    <row r="1709" spans="1:12" hidden="1" x14ac:dyDescent="0.25">
      <c r="A1709">
        <v>1708</v>
      </c>
      <c r="B1709" s="1" t="s">
        <v>12</v>
      </c>
      <c r="C1709">
        <v>1948</v>
      </c>
      <c r="D1709" s="1" t="s">
        <v>214</v>
      </c>
      <c r="E1709" s="1" t="s">
        <v>22</v>
      </c>
      <c r="F1709">
        <v>14</v>
      </c>
      <c r="G1709" s="1" t="s">
        <v>206</v>
      </c>
      <c r="H1709">
        <v>14084</v>
      </c>
      <c r="I1709">
        <v>144</v>
      </c>
      <c r="J1709">
        <v>142</v>
      </c>
      <c r="K1709">
        <v>145</v>
      </c>
      <c r="L1709">
        <v>1021</v>
      </c>
    </row>
    <row r="1710" spans="1:12" hidden="1" x14ac:dyDescent="0.25">
      <c r="A1710">
        <v>1709</v>
      </c>
      <c r="B1710" s="1" t="s">
        <v>12</v>
      </c>
      <c r="C1710">
        <v>1948</v>
      </c>
      <c r="D1710" s="1" t="s">
        <v>214</v>
      </c>
      <c r="E1710" s="1" t="s">
        <v>22</v>
      </c>
      <c r="F1710">
        <v>14</v>
      </c>
      <c r="G1710" s="1" t="s">
        <v>184</v>
      </c>
      <c r="H1710">
        <v>14042</v>
      </c>
      <c r="I1710">
        <v>100</v>
      </c>
      <c r="J1710">
        <v>92</v>
      </c>
      <c r="K1710">
        <v>55</v>
      </c>
      <c r="L1710">
        <v>597</v>
      </c>
    </row>
    <row r="1711" spans="1:12" hidden="1" x14ac:dyDescent="0.25">
      <c r="A1711">
        <v>1710</v>
      </c>
      <c r="B1711" s="1" t="s">
        <v>12</v>
      </c>
      <c r="C1711">
        <v>1948</v>
      </c>
      <c r="D1711" s="1" t="s">
        <v>214</v>
      </c>
      <c r="E1711" s="1" t="s">
        <v>22</v>
      </c>
      <c r="F1711">
        <v>14</v>
      </c>
      <c r="G1711" s="1" t="s">
        <v>114</v>
      </c>
      <c r="H1711">
        <v>14168</v>
      </c>
      <c r="I1711">
        <v>60</v>
      </c>
      <c r="J1711">
        <v>50</v>
      </c>
      <c r="K1711">
        <v>30</v>
      </c>
      <c r="L1711">
        <v>600</v>
      </c>
    </row>
    <row r="1712" spans="1:12" hidden="1" x14ac:dyDescent="0.25">
      <c r="A1712">
        <v>1711</v>
      </c>
      <c r="B1712" s="1" t="s">
        <v>12</v>
      </c>
      <c r="C1712">
        <v>1948</v>
      </c>
      <c r="D1712" s="1" t="s">
        <v>214</v>
      </c>
      <c r="E1712" s="1" t="s">
        <v>22</v>
      </c>
      <c r="F1712">
        <v>14</v>
      </c>
      <c r="G1712" s="1" t="s">
        <v>171</v>
      </c>
      <c r="H1712">
        <v>14112</v>
      </c>
      <c r="I1712">
        <v>50</v>
      </c>
      <c r="J1712">
        <v>45</v>
      </c>
      <c r="K1712">
        <v>27</v>
      </c>
      <c r="L1712">
        <v>600</v>
      </c>
    </row>
    <row r="1713" spans="1:12" hidden="1" x14ac:dyDescent="0.25">
      <c r="A1713">
        <v>1712</v>
      </c>
      <c r="B1713" s="1" t="s">
        <v>12</v>
      </c>
      <c r="C1713">
        <v>1948</v>
      </c>
      <c r="D1713" s="1" t="s">
        <v>214</v>
      </c>
      <c r="E1713" s="1" t="s">
        <v>22</v>
      </c>
      <c r="F1713">
        <v>14</v>
      </c>
      <c r="G1713" s="1" t="s">
        <v>169</v>
      </c>
      <c r="H1713">
        <v>14126</v>
      </c>
      <c r="I1713">
        <v>20</v>
      </c>
      <c r="J1713">
        <v>15</v>
      </c>
      <c r="K1713">
        <v>11</v>
      </c>
      <c r="L1713">
        <v>733</v>
      </c>
    </row>
    <row r="1714" spans="1:12" hidden="1" x14ac:dyDescent="0.25">
      <c r="A1714">
        <v>1713</v>
      </c>
      <c r="B1714" s="1" t="s">
        <v>12</v>
      </c>
      <c r="C1714">
        <v>1948</v>
      </c>
      <c r="D1714" s="1" t="s">
        <v>214</v>
      </c>
      <c r="E1714" s="1" t="s">
        <v>22</v>
      </c>
      <c r="F1714">
        <v>14</v>
      </c>
      <c r="G1714" s="1" t="s">
        <v>186</v>
      </c>
      <c r="H1714">
        <v>14175</v>
      </c>
      <c r="I1714">
        <v>20</v>
      </c>
      <c r="J1714">
        <v>18</v>
      </c>
      <c r="K1714">
        <v>11</v>
      </c>
      <c r="L1714">
        <v>611</v>
      </c>
    </row>
    <row r="1715" spans="1:12" hidden="1" x14ac:dyDescent="0.25">
      <c r="A1715">
        <v>1714</v>
      </c>
      <c r="B1715" s="1" t="s">
        <v>12</v>
      </c>
      <c r="C1715">
        <v>1948</v>
      </c>
      <c r="D1715" s="1" t="s">
        <v>214</v>
      </c>
      <c r="E1715" s="1" t="s">
        <v>22</v>
      </c>
      <c r="F1715">
        <v>14</v>
      </c>
      <c r="G1715" s="1" t="s">
        <v>62</v>
      </c>
      <c r="H1715">
        <v>14133</v>
      </c>
      <c r="I1715">
        <v>10</v>
      </c>
      <c r="J1715">
        <v>10</v>
      </c>
      <c r="K1715">
        <v>9</v>
      </c>
      <c r="L1715">
        <v>900</v>
      </c>
    </row>
    <row r="1716" spans="1:12" hidden="1" x14ac:dyDescent="0.25">
      <c r="A1716">
        <v>1715</v>
      </c>
      <c r="B1716" s="1" t="s">
        <v>12</v>
      </c>
      <c r="C1716">
        <v>1948</v>
      </c>
      <c r="D1716" s="1" t="s">
        <v>214</v>
      </c>
      <c r="E1716" s="1" t="s">
        <v>22</v>
      </c>
      <c r="F1716">
        <v>14</v>
      </c>
      <c r="G1716" s="1" t="s">
        <v>172</v>
      </c>
      <c r="H1716">
        <v>14091</v>
      </c>
      <c r="I1716">
        <v>8</v>
      </c>
      <c r="J1716">
        <v>8</v>
      </c>
      <c r="K1716">
        <v>5</v>
      </c>
      <c r="L1716">
        <v>625</v>
      </c>
    </row>
    <row r="1717" spans="1:12" hidden="1" x14ac:dyDescent="0.25">
      <c r="A1717">
        <v>1716</v>
      </c>
      <c r="B1717" s="1" t="s">
        <v>12</v>
      </c>
      <c r="C1717">
        <v>1948</v>
      </c>
      <c r="D1717" s="1" t="s">
        <v>214</v>
      </c>
      <c r="E1717" s="1" t="s">
        <v>30</v>
      </c>
      <c r="F1717">
        <v>18</v>
      </c>
      <c r="G1717" s="1" t="s">
        <v>40</v>
      </c>
      <c r="H1717">
        <v>18126</v>
      </c>
      <c r="I1717">
        <v>150</v>
      </c>
      <c r="J1717">
        <v>140</v>
      </c>
      <c r="K1717">
        <v>108</v>
      </c>
      <c r="L1717">
        <v>771</v>
      </c>
    </row>
    <row r="1718" spans="1:12" hidden="1" x14ac:dyDescent="0.25">
      <c r="A1718">
        <v>1717</v>
      </c>
      <c r="B1718" s="1" t="s">
        <v>12</v>
      </c>
      <c r="C1718">
        <v>1948</v>
      </c>
      <c r="D1718" s="1" t="s">
        <v>214</v>
      </c>
      <c r="E1718" s="1" t="s">
        <v>30</v>
      </c>
      <c r="F1718">
        <v>18</v>
      </c>
      <c r="G1718" s="1" t="s">
        <v>35</v>
      </c>
      <c r="H1718">
        <v>18049</v>
      </c>
      <c r="I1718">
        <v>120</v>
      </c>
      <c r="J1718">
        <v>110</v>
      </c>
      <c r="K1718">
        <v>99</v>
      </c>
      <c r="L1718">
        <v>900</v>
      </c>
    </row>
    <row r="1719" spans="1:12" hidden="1" x14ac:dyDescent="0.25">
      <c r="A1719">
        <v>1718</v>
      </c>
      <c r="B1719" s="1" t="s">
        <v>12</v>
      </c>
      <c r="C1719">
        <v>1948</v>
      </c>
      <c r="D1719" s="1" t="s">
        <v>214</v>
      </c>
      <c r="E1719" s="1" t="s">
        <v>30</v>
      </c>
      <c r="F1719">
        <v>18</v>
      </c>
      <c r="G1719" s="1" t="s">
        <v>33</v>
      </c>
      <c r="H1719">
        <v>18091</v>
      </c>
      <c r="I1719">
        <v>100</v>
      </c>
      <c r="J1719">
        <v>100</v>
      </c>
      <c r="K1719">
        <v>90</v>
      </c>
      <c r="L1719">
        <v>900</v>
      </c>
    </row>
    <row r="1720" spans="1:12" hidden="1" x14ac:dyDescent="0.25">
      <c r="A1720">
        <v>1719</v>
      </c>
      <c r="B1720" s="1" t="s">
        <v>12</v>
      </c>
      <c r="C1720">
        <v>1948</v>
      </c>
      <c r="D1720" s="1" t="s">
        <v>214</v>
      </c>
      <c r="E1720" s="1" t="s">
        <v>30</v>
      </c>
      <c r="F1720">
        <v>18</v>
      </c>
      <c r="G1720" s="1" t="s">
        <v>32</v>
      </c>
      <c r="H1720">
        <v>18112</v>
      </c>
      <c r="I1720">
        <v>100</v>
      </c>
      <c r="J1720">
        <v>90</v>
      </c>
      <c r="K1720">
        <v>81</v>
      </c>
      <c r="L1720">
        <v>900</v>
      </c>
    </row>
    <row r="1721" spans="1:12" hidden="1" x14ac:dyDescent="0.25">
      <c r="A1721">
        <v>1720</v>
      </c>
      <c r="B1721" s="1" t="s">
        <v>12</v>
      </c>
      <c r="C1721">
        <v>1948</v>
      </c>
      <c r="D1721" s="1" t="s">
        <v>214</v>
      </c>
      <c r="E1721" s="1" t="s">
        <v>30</v>
      </c>
      <c r="F1721">
        <v>18</v>
      </c>
      <c r="G1721" s="1" t="s">
        <v>43</v>
      </c>
      <c r="H1721">
        <v>18070</v>
      </c>
      <c r="I1721">
        <v>80</v>
      </c>
      <c r="J1721">
        <v>80</v>
      </c>
      <c r="K1721">
        <v>72</v>
      </c>
      <c r="L1721">
        <v>900</v>
      </c>
    </row>
    <row r="1722" spans="1:12" hidden="1" x14ac:dyDescent="0.25">
      <c r="A1722">
        <v>1721</v>
      </c>
      <c r="B1722" s="1" t="s">
        <v>12</v>
      </c>
      <c r="C1722">
        <v>1948</v>
      </c>
      <c r="D1722" s="1" t="s">
        <v>214</v>
      </c>
      <c r="E1722" s="1" t="s">
        <v>30</v>
      </c>
      <c r="F1722">
        <v>18</v>
      </c>
      <c r="G1722" s="1" t="s">
        <v>42</v>
      </c>
      <c r="H1722">
        <v>18035</v>
      </c>
      <c r="I1722">
        <v>10</v>
      </c>
      <c r="J1722">
        <v>10</v>
      </c>
      <c r="K1722">
        <v>9</v>
      </c>
      <c r="L1722">
        <v>900</v>
      </c>
    </row>
    <row r="1723" spans="1:12" hidden="1" x14ac:dyDescent="0.25">
      <c r="A1723">
        <v>1722</v>
      </c>
      <c r="B1723" s="1" t="s">
        <v>12</v>
      </c>
      <c r="C1723">
        <v>1948</v>
      </c>
      <c r="D1723" s="1" t="s">
        <v>214</v>
      </c>
      <c r="E1723" s="1" t="s">
        <v>30</v>
      </c>
      <c r="F1723">
        <v>18</v>
      </c>
      <c r="G1723" s="1" t="s">
        <v>37</v>
      </c>
      <c r="H1723">
        <v>18147</v>
      </c>
      <c r="I1723">
        <v>6</v>
      </c>
      <c r="J1723">
        <v>3</v>
      </c>
      <c r="K1723">
        <v>3</v>
      </c>
      <c r="L1723">
        <v>1000</v>
      </c>
    </row>
    <row r="1724" spans="1:12" hidden="1" x14ac:dyDescent="0.25">
      <c r="A1724">
        <v>1723</v>
      </c>
      <c r="B1724" s="1" t="s">
        <v>12</v>
      </c>
      <c r="C1724">
        <v>1948</v>
      </c>
      <c r="D1724" s="1" t="s">
        <v>214</v>
      </c>
      <c r="E1724" s="1" t="s">
        <v>30</v>
      </c>
      <c r="F1724">
        <v>18</v>
      </c>
      <c r="G1724" s="1" t="s">
        <v>86</v>
      </c>
      <c r="H1724">
        <v>18175</v>
      </c>
      <c r="I1724">
        <v>5</v>
      </c>
      <c r="J1724">
        <v>5</v>
      </c>
      <c r="K1724">
        <v>4</v>
      </c>
      <c r="L1724">
        <v>800</v>
      </c>
    </row>
    <row r="1725" spans="1:12" hidden="1" x14ac:dyDescent="0.25">
      <c r="A1725">
        <v>1724</v>
      </c>
      <c r="B1725" s="1" t="s">
        <v>12</v>
      </c>
      <c r="C1725">
        <v>1948</v>
      </c>
      <c r="D1725" s="1" t="s">
        <v>214</v>
      </c>
      <c r="E1725" s="1" t="s">
        <v>30</v>
      </c>
      <c r="F1725">
        <v>18</v>
      </c>
      <c r="G1725" s="1" t="s">
        <v>105</v>
      </c>
      <c r="H1725">
        <v>18105</v>
      </c>
      <c r="I1725">
        <v>2</v>
      </c>
      <c r="J1725">
        <v>2</v>
      </c>
      <c r="K1725">
        <v>2</v>
      </c>
      <c r="L1725">
        <v>1000</v>
      </c>
    </row>
    <row r="1726" spans="1:12" hidden="1" x14ac:dyDescent="0.25">
      <c r="A1726">
        <v>1725</v>
      </c>
      <c r="B1726" s="1" t="s">
        <v>12</v>
      </c>
      <c r="C1726">
        <v>1948</v>
      </c>
      <c r="D1726" s="1" t="s">
        <v>214</v>
      </c>
      <c r="E1726" s="1" t="s">
        <v>30</v>
      </c>
      <c r="F1726">
        <v>18</v>
      </c>
      <c r="G1726" s="1" t="s">
        <v>104</v>
      </c>
      <c r="H1726">
        <v>18119</v>
      </c>
      <c r="I1726">
        <v>2</v>
      </c>
      <c r="J1726">
        <v>2</v>
      </c>
      <c r="K1726">
        <v>2</v>
      </c>
      <c r="L1726">
        <v>1000</v>
      </c>
    </row>
    <row r="1727" spans="1:12" hidden="1" x14ac:dyDescent="0.25">
      <c r="A1727">
        <v>1726</v>
      </c>
      <c r="B1727" s="1" t="s">
        <v>12</v>
      </c>
      <c r="C1727">
        <v>1948</v>
      </c>
      <c r="D1727" s="1" t="s">
        <v>214</v>
      </c>
      <c r="E1727" s="1" t="s">
        <v>45</v>
      </c>
      <c r="F1727">
        <v>30</v>
      </c>
      <c r="G1727" s="1" t="s">
        <v>46</v>
      </c>
      <c r="H1727">
        <v>30028</v>
      </c>
      <c r="I1727">
        <v>3000</v>
      </c>
      <c r="J1727">
        <v>1552</v>
      </c>
      <c r="K1727">
        <v>1339</v>
      </c>
      <c r="L1727">
        <v>862</v>
      </c>
    </row>
    <row r="1728" spans="1:12" hidden="1" x14ac:dyDescent="0.25">
      <c r="A1728">
        <v>1727</v>
      </c>
      <c r="B1728" s="1" t="s">
        <v>12</v>
      </c>
      <c r="C1728">
        <v>1948</v>
      </c>
      <c r="D1728" s="1" t="s">
        <v>214</v>
      </c>
      <c r="E1728" s="1" t="s">
        <v>45</v>
      </c>
      <c r="F1728">
        <v>30</v>
      </c>
      <c r="G1728" s="1" t="s">
        <v>47</v>
      </c>
      <c r="H1728">
        <v>30015</v>
      </c>
      <c r="I1728">
        <v>2400</v>
      </c>
      <c r="J1728">
        <v>1588</v>
      </c>
      <c r="K1728">
        <v>1334</v>
      </c>
      <c r="L1728">
        <v>840</v>
      </c>
    </row>
    <row r="1729" spans="1:12" hidden="1" x14ac:dyDescent="0.25">
      <c r="A1729">
        <v>1728</v>
      </c>
      <c r="B1729" s="1" t="s">
        <v>12</v>
      </c>
      <c r="C1729">
        <v>1948</v>
      </c>
      <c r="D1729" s="1" t="s">
        <v>214</v>
      </c>
      <c r="E1729" s="1" t="s">
        <v>45</v>
      </c>
      <c r="F1729">
        <v>30</v>
      </c>
      <c r="G1729" s="1" t="s">
        <v>27</v>
      </c>
      <c r="H1729">
        <v>30008</v>
      </c>
      <c r="I1729">
        <v>100</v>
      </c>
      <c r="J1729">
        <v>70</v>
      </c>
      <c r="K1729">
        <v>56</v>
      </c>
      <c r="L1729">
        <v>800</v>
      </c>
    </row>
    <row r="1730" spans="1:12" hidden="1" x14ac:dyDescent="0.25">
      <c r="A1730">
        <v>1729</v>
      </c>
      <c r="B1730" s="1" t="s">
        <v>12</v>
      </c>
      <c r="C1730">
        <v>1948</v>
      </c>
      <c r="D1730" s="1" t="s">
        <v>214</v>
      </c>
      <c r="E1730" s="1" t="s">
        <v>45</v>
      </c>
      <c r="F1730">
        <v>30</v>
      </c>
      <c r="G1730" s="1" t="s">
        <v>124</v>
      </c>
      <c r="H1730">
        <v>30070</v>
      </c>
      <c r="I1730">
        <v>10</v>
      </c>
      <c r="J1730">
        <v>2</v>
      </c>
      <c r="K1730">
        <v>1</v>
      </c>
      <c r="L1730">
        <v>500</v>
      </c>
    </row>
    <row r="1731" spans="1:12" hidden="1" x14ac:dyDescent="0.25">
      <c r="A1731">
        <v>1730</v>
      </c>
      <c r="B1731" s="1" t="s">
        <v>12</v>
      </c>
      <c r="C1731">
        <v>1948</v>
      </c>
      <c r="D1731" s="1" t="s">
        <v>214</v>
      </c>
      <c r="E1731" s="1" t="s">
        <v>48</v>
      </c>
      <c r="F1731">
        <v>34</v>
      </c>
      <c r="G1731" s="1" t="s">
        <v>51</v>
      </c>
      <c r="H1731">
        <v>34056</v>
      </c>
      <c r="I1731">
        <v>40</v>
      </c>
      <c r="J1731">
        <v>35</v>
      </c>
      <c r="K1731">
        <v>42</v>
      </c>
      <c r="L1731">
        <v>1200</v>
      </c>
    </row>
    <row r="1732" spans="1:12" hidden="1" x14ac:dyDescent="0.25">
      <c r="A1732">
        <v>1731</v>
      </c>
      <c r="B1732" s="1" t="s">
        <v>12</v>
      </c>
      <c r="C1732">
        <v>1948</v>
      </c>
      <c r="D1732" s="1" t="s">
        <v>214</v>
      </c>
      <c r="E1732" s="1" t="s">
        <v>48</v>
      </c>
      <c r="F1732">
        <v>34</v>
      </c>
      <c r="G1732" s="1" t="s">
        <v>52</v>
      </c>
      <c r="H1732">
        <v>34035</v>
      </c>
      <c r="I1732">
        <v>20</v>
      </c>
      <c r="J1732">
        <v>20</v>
      </c>
      <c r="K1732">
        <v>18</v>
      </c>
      <c r="L1732">
        <v>900</v>
      </c>
    </row>
    <row r="1733" spans="1:12" hidden="1" x14ac:dyDescent="0.25">
      <c r="A1733">
        <v>1732</v>
      </c>
      <c r="B1733" s="1" t="s">
        <v>12</v>
      </c>
      <c r="C1733">
        <v>1948</v>
      </c>
      <c r="D1733" s="1" t="s">
        <v>214</v>
      </c>
      <c r="E1733" s="1" t="s">
        <v>48</v>
      </c>
      <c r="F1733">
        <v>34</v>
      </c>
      <c r="G1733" s="1" t="s">
        <v>49</v>
      </c>
      <c r="H1733">
        <v>34049</v>
      </c>
      <c r="I1733">
        <v>15</v>
      </c>
      <c r="J1733">
        <v>15</v>
      </c>
      <c r="K1733">
        <v>15</v>
      </c>
      <c r="L1733">
        <v>1000</v>
      </c>
    </row>
    <row r="1734" spans="1:12" hidden="1" x14ac:dyDescent="0.25">
      <c r="A1734">
        <v>1733</v>
      </c>
      <c r="B1734" s="1" t="s">
        <v>12</v>
      </c>
      <c r="C1734">
        <v>1948</v>
      </c>
      <c r="D1734" s="1" t="s">
        <v>214</v>
      </c>
      <c r="E1734" s="1" t="s">
        <v>48</v>
      </c>
      <c r="F1734">
        <v>34</v>
      </c>
      <c r="G1734" s="1" t="s">
        <v>50</v>
      </c>
      <c r="H1734">
        <v>34021</v>
      </c>
      <c r="I1734">
        <v>10</v>
      </c>
      <c r="J1734">
        <v>8</v>
      </c>
      <c r="K1734">
        <v>8</v>
      </c>
      <c r="L1734">
        <v>1000</v>
      </c>
    </row>
    <row r="1735" spans="1:12" hidden="1" x14ac:dyDescent="0.25">
      <c r="A1735">
        <v>1734</v>
      </c>
      <c r="B1735" s="1" t="s">
        <v>12</v>
      </c>
      <c r="C1735">
        <v>1948</v>
      </c>
      <c r="D1735" s="1" t="s">
        <v>214</v>
      </c>
      <c r="E1735" s="1" t="s">
        <v>48</v>
      </c>
      <c r="F1735">
        <v>34</v>
      </c>
      <c r="G1735" s="1" t="s">
        <v>48</v>
      </c>
      <c r="H1735">
        <v>34014</v>
      </c>
      <c r="I1735">
        <v>8</v>
      </c>
      <c r="J1735">
        <v>8</v>
      </c>
      <c r="K1735">
        <v>8</v>
      </c>
      <c r="L1735">
        <v>1000</v>
      </c>
    </row>
    <row r="1736" spans="1:12" hidden="1" x14ac:dyDescent="0.25">
      <c r="A1736">
        <v>1735</v>
      </c>
      <c r="B1736" s="1" t="s">
        <v>12</v>
      </c>
      <c r="C1736">
        <v>1948</v>
      </c>
      <c r="D1736" s="1" t="s">
        <v>214</v>
      </c>
      <c r="E1736" s="1" t="s">
        <v>48</v>
      </c>
      <c r="F1736">
        <v>34</v>
      </c>
      <c r="G1736" s="1" t="s">
        <v>108</v>
      </c>
      <c r="H1736">
        <v>34042</v>
      </c>
      <c r="I1736">
        <v>5</v>
      </c>
      <c r="J1736">
        <v>5</v>
      </c>
      <c r="K1736">
        <v>5</v>
      </c>
      <c r="L1736">
        <v>1000</v>
      </c>
    </row>
    <row r="1737" spans="1:12" hidden="1" x14ac:dyDescent="0.25">
      <c r="A1737">
        <v>1736</v>
      </c>
      <c r="B1737" s="1" t="s">
        <v>12</v>
      </c>
      <c r="C1737">
        <v>1948</v>
      </c>
      <c r="D1737" s="1" t="s">
        <v>214</v>
      </c>
      <c r="E1737" s="1" t="s">
        <v>58</v>
      </c>
      <c r="F1737">
        <v>54</v>
      </c>
      <c r="G1737" s="1" t="s">
        <v>60</v>
      </c>
      <c r="H1737">
        <v>54021</v>
      </c>
      <c r="I1737">
        <v>65</v>
      </c>
      <c r="J1737">
        <v>40</v>
      </c>
      <c r="K1737">
        <v>28</v>
      </c>
      <c r="L1737">
        <v>700</v>
      </c>
    </row>
    <row r="1738" spans="1:12" hidden="1" x14ac:dyDescent="0.25">
      <c r="A1738">
        <v>1737</v>
      </c>
      <c r="B1738" s="1" t="s">
        <v>12</v>
      </c>
      <c r="C1738">
        <v>1948</v>
      </c>
      <c r="D1738" s="1" t="s">
        <v>214</v>
      </c>
      <c r="E1738" s="1" t="s">
        <v>58</v>
      </c>
      <c r="F1738">
        <v>54</v>
      </c>
      <c r="G1738" s="1" t="s">
        <v>150</v>
      </c>
      <c r="H1738">
        <v>54014</v>
      </c>
      <c r="I1738">
        <v>40</v>
      </c>
      <c r="J1738">
        <v>36</v>
      </c>
      <c r="K1738">
        <v>24</v>
      </c>
      <c r="L1738">
        <v>667</v>
      </c>
    </row>
    <row r="1739" spans="1:12" hidden="1" x14ac:dyDescent="0.25">
      <c r="A1739">
        <v>1738</v>
      </c>
      <c r="B1739" s="1" t="s">
        <v>12</v>
      </c>
      <c r="C1739">
        <v>1948</v>
      </c>
      <c r="D1739" s="1" t="s">
        <v>214</v>
      </c>
      <c r="E1739" s="1" t="s">
        <v>58</v>
      </c>
      <c r="F1739">
        <v>54</v>
      </c>
      <c r="G1739" s="1" t="s">
        <v>62</v>
      </c>
      <c r="H1739">
        <v>54105</v>
      </c>
      <c r="I1739">
        <v>40</v>
      </c>
      <c r="J1739">
        <v>30</v>
      </c>
      <c r="K1739">
        <v>21</v>
      </c>
      <c r="L1739">
        <v>700</v>
      </c>
    </row>
    <row r="1740" spans="1:12" hidden="1" x14ac:dyDescent="0.25">
      <c r="A1740">
        <v>1739</v>
      </c>
      <c r="B1740" s="1" t="s">
        <v>12</v>
      </c>
      <c r="C1740">
        <v>1948</v>
      </c>
      <c r="D1740" s="1" t="s">
        <v>214</v>
      </c>
      <c r="E1740" s="1" t="s">
        <v>58</v>
      </c>
      <c r="F1740">
        <v>54</v>
      </c>
      <c r="G1740" s="1" t="s">
        <v>61</v>
      </c>
      <c r="H1740">
        <v>54098</v>
      </c>
      <c r="I1740">
        <v>35</v>
      </c>
      <c r="J1740">
        <v>30</v>
      </c>
      <c r="K1740">
        <v>21</v>
      </c>
      <c r="L1740">
        <v>700</v>
      </c>
    </row>
    <row r="1741" spans="1:12" hidden="1" x14ac:dyDescent="0.25">
      <c r="A1741">
        <v>1740</v>
      </c>
      <c r="B1741" s="1" t="s">
        <v>12</v>
      </c>
      <c r="C1741">
        <v>1948</v>
      </c>
      <c r="D1741" s="1" t="s">
        <v>214</v>
      </c>
      <c r="E1741" s="1" t="s">
        <v>58</v>
      </c>
      <c r="F1741">
        <v>54</v>
      </c>
      <c r="G1741" s="1" t="s">
        <v>152</v>
      </c>
      <c r="H1741">
        <v>54063</v>
      </c>
      <c r="I1741">
        <v>20</v>
      </c>
      <c r="J1741">
        <v>18</v>
      </c>
      <c r="K1741">
        <v>12</v>
      </c>
      <c r="L1741">
        <v>667</v>
      </c>
    </row>
    <row r="1742" spans="1:12" hidden="1" x14ac:dyDescent="0.25">
      <c r="A1742">
        <v>1741</v>
      </c>
      <c r="B1742" s="1" t="s">
        <v>12</v>
      </c>
      <c r="C1742">
        <v>1948</v>
      </c>
      <c r="D1742" s="1" t="s">
        <v>214</v>
      </c>
      <c r="E1742" s="1" t="s">
        <v>58</v>
      </c>
      <c r="F1742">
        <v>54</v>
      </c>
      <c r="G1742" s="1" t="s">
        <v>59</v>
      </c>
      <c r="H1742">
        <v>54007</v>
      </c>
      <c r="I1742">
        <v>12</v>
      </c>
      <c r="J1742">
        <v>10</v>
      </c>
      <c r="K1742">
        <v>8</v>
      </c>
      <c r="L1742">
        <v>800</v>
      </c>
    </row>
    <row r="1743" spans="1:12" hidden="1" x14ac:dyDescent="0.25">
      <c r="A1743">
        <v>1742</v>
      </c>
      <c r="B1743" s="1" t="s">
        <v>12</v>
      </c>
      <c r="C1743">
        <v>1948</v>
      </c>
      <c r="D1743" s="1" t="s">
        <v>214</v>
      </c>
      <c r="E1743" s="1" t="s">
        <v>58</v>
      </c>
      <c r="F1743">
        <v>54</v>
      </c>
      <c r="G1743" s="1" t="s">
        <v>63</v>
      </c>
      <c r="H1743">
        <v>54035</v>
      </c>
      <c r="I1743">
        <v>12</v>
      </c>
      <c r="J1743">
        <v>10</v>
      </c>
      <c r="K1743">
        <v>7</v>
      </c>
      <c r="L1743">
        <v>700</v>
      </c>
    </row>
    <row r="1744" spans="1:12" x14ac:dyDescent="0.25">
      <c r="A1744">
        <v>1743</v>
      </c>
      <c r="B1744" s="1" t="s">
        <v>12</v>
      </c>
      <c r="C1744">
        <v>1948</v>
      </c>
      <c r="D1744" s="1" t="s">
        <v>214</v>
      </c>
      <c r="E1744" s="1" t="s">
        <v>58</v>
      </c>
      <c r="F1744">
        <v>54</v>
      </c>
      <c r="G1744" s="1" t="s">
        <v>56</v>
      </c>
      <c r="H1744">
        <v>54112</v>
      </c>
      <c r="I1744">
        <v>5</v>
      </c>
      <c r="J1744">
        <v>4</v>
      </c>
      <c r="K1744">
        <v>3</v>
      </c>
      <c r="L1744">
        <v>750</v>
      </c>
    </row>
    <row r="1745" spans="1:12" hidden="1" x14ac:dyDescent="0.25">
      <c r="A1745">
        <v>1744</v>
      </c>
      <c r="B1745" s="1" t="s">
        <v>12</v>
      </c>
      <c r="C1745">
        <v>1948</v>
      </c>
      <c r="D1745" s="1" t="s">
        <v>214</v>
      </c>
      <c r="E1745" s="1" t="s">
        <v>58</v>
      </c>
      <c r="F1745">
        <v>54</v>
      </c>
      <c r="G1745" s="1" t="s">
        <v>151</v>
      </c>
      <c r="H1745">
        <v>54056</v>
      </c>
      <c r="I1745">
        <v>2</v>
      </c>
      <c r="J1745">
        <v>2</v>
      </c>
      <c r="K1745">
        <v>2</v>
      </c>
      <c r="L1745">
        <v>1000</v>
      </c>
    </row>
    <row r="1746" spans="1:12" hidden="1" x14ac:dyDescent="0.25">
      <c r="A1746">
        <v>1745</v>
      </c>
      <c r="B1746" s="1" t="s">
        <v>12</v>
      </c>
      <c r="C1746">
        <v>1948</v>
      </c>
      <c r="D1746" s="1" t="s">
        <v>214</v>
      </c>
      <c r="E1746" s="1" t="s">
        <v>58</v>
      </c>
      <c r="F1746">
        <v>54</v>
      </c>
      <c r="G1746" s="1" t="s">
        <v>28</v>
      </c>
      <c r="H1746">
        <v>54028</v>
      </c>
      <c r="I1746">
        <v>1</v>
      </c>
      <c r="J1746">
        <v>1</v>
      </c>
      <c r="K1746">
        <v>1</v>
      </c>
      <c r="L1746">
        <v>1000</v>
      </c>
    </row>
    <row r="1747" spans="1:12" hidden="1" x14ac:dyDescent="0.25">
      <c r="A1747">
        <v>1746</v>
      </c>
      <c r="B1747" s="1" t="s">
        <v>12</v>
      </c>
      <c r="C1747">
        <v>1948</v>
      </c>
      <c r="D1747" s="1" t="s">
        <v>214</v>
      </c>
      <c r="E1747" s="1" t="s">
        <v>87</v>
      </c>
      <c r="F1747">
        <v>66</v>
      </c>
      <c r="G1747" s="1" t="s">
        <v>88</v>
      </c>
      <c r="I1747">
        <v>40</v>
      </c>
    </row>
    <row r="1748" spans="1:12" hidden="1" x14ac:dyDescent="0.25">
      <c r="A1748">
        <v>1747</v>
      </c>
      <c r="B1748" s="1" t="s">
        <v>12</v>
      </c>
      <c r="C1748">
        <v>1948</v>
      </c>
      <c r="D1748" s="1" t="s">
        <v>214</v>
      </c>
      <c r="E1748" s="1" t="s">
        <v>116</v>
      </c>
      <c r="F1748">
        <v>74</v>
      </c>
      <c r="G1748" s="1" t="s">
        <v>126</v>
      </c>
      <c r="H1748">
        <v>74035</v>
      </c>
      <c r="I1748">
        <v>24</v>
      </c>
      <c r="J1748">
        <v>24</v>
      </c>
      <c r="K1748">
        <v>22</v>
      </c>
      <c r="L1748">
        <v>917</v>
      </c>
    </row>
    <row r="1749" spans="1:12" hidden="1" x14ac:dyDescent="0.25">
      <c r="A1749">
        <v>1748</v>
      </c>
      <c r="B1749" s="1" t="s">
        <v>12</v>
      </c>
      <c r="C1749">
        <v>1948</v>
      </c>
      <c r="D1749" s="1" t="s">
        <v>214</v>
      </c>
      <c r="E1749" s="1" t="s">
        <v>116</v>
      </c>
      <c r="F1749">
        <v>74</v>
      </c>
      <c r="G1749" s="1" t="s">
        <v>118</v>
      </c>
      <c r="H1749">
        <v>74028</v>
      </c>
      <c r="I1749">
        <v>2</v>
      </c>
      <c r="J1749">
        <v>2</v>
      </c>
      <c r="K1749">
        <v>2</v>
      </c>
      <c r="L1749">
        <v>1000</v>
      </c>
    </row>
    <row r="1750" spans="1:12" hidden="1" x14ac:dyDescent="0.25">
      <c r="A1750">
        <v>1749</v>
      </c>
      <c r="B1750" s="1" t="s">
        <v>12</v>
      </c>
      <c r="C1750">
        <v>1948</v>
      </c>
      <c r="D1750" s="1" t="s">
        <v>214</v>
      </c>
      <c r="E1750" s="1" t="s">
        <v>64</v>
      </c>
      <c r="F1750">
        <v>82</v>
      </c>
      <c r="G1750" s="1" t="s">
        <v>66</v>
      </c>
      <c r="H1750">
        <v>82035</v>
      </c>
      <c r="I1750">
        <v>1300</v>
      </c>
      <c r="J1750">
        <v>1100</v>
      </c>
      <c r="K1750">
        <v>1383</v>
      </c>
      <c r="L1750">
        <v>1257</v>
      </c>
    </row>
    <row r="1751" spans="1:12" hidden="1" x14ac:dyDescent="0.25">
      <c r="A1751">
        <v>1750</v>
      </c>
      <c r="B1751" s="1" t="s">
        <v>12</v>
      </c>
      <c r="C1751">
        <v>1948</v>
      </c>
      <c r="D1751" s="1" t="s">
        <v>214</v>
      </c>
      <c r="E1751" s="1" t="s">
        <v>64</v>
      </c>
      <c r="F1751">
        <v>82</v>
      </c>
      <c r="G1751" s="1" t="s">
        <v>65</v>
      </c>
      <c r="H1751">
        <v>82049</v>
      </c>
      <c r="I1751">
        <v>1220</v>
      </c>
      <c r="J1751">
        <v>1000</v>
      </c>
      <c r="K1751">
        <v>957</v>
      </c>
      <c r="L1751">
        <v>957</v>
      </c>
    </row>
    <row r="1752" spans="1:12" hidden="1" x14ac:dyDescent="0.25">
      <c r="A1752">
        <v>1751</v>
      </c>
      <c r="B1752" s="1" t="s">
        <v>12</v>
      </c>
      <c r="C1752">
        <v>1948</v>
      </c>
      <c r="D1752" s="1" t="s">
        <v>214</v>
      </c>
      <c r="E1752" s="1" t="s">
        <v>64</v>
      </c>
      <c r="F1752">
        <v>82</v>
      </c>
      <c r="G1752" s="1" t="s">
        <v>62</v>
      </c>
      <c r="H1752">
        <v>82098</v>
      </c>
      <c r="I1752">
        <v>100</v>
      </c>
      <c r="J1752">
        <v>90</v>
      </c>
      <c r="K1752">
        <v>90</v>
      </c>
      <c r="L1752">
        <v>1000</v>
      </c>
    </row>
    <row r="1753" spans="1:12" hidden="1" x14ac:dyDescent="0.25">
      <c r="A1753">
        <v>1752</v>
      </c>
      <c r="B1753" s="1" t="s">
        <v>12</v>
      </c>
      <c r="C1753">
        <v>1948</v>
      </c>
      <c r="D1753" s="1" t="s">
        <v>214</v>
      </c>
      <c r="E1753" s="1" t="s">
        <v>77</v>
      </c>
      <c r="F1753">
        <v>90</v>
      </c>
      <c r="G1753" s="1" t="s">
        <v>78</v>
      </c>
      <c r="H1753">
        <v>90007</v>
      </c>
      <c r="I1753">
        <v>270</v>
      </c>
      <c r="J1753">
        <v>220</v>
      </c>
      <c r="K1753">
        <v>220</v>
      </c>
      <c r="L1753">
        <v>1000</v>
      </c>
    </row>
    <row r="1754" spans="1:12" hidden="1" x14ac:dyDescent="0.25">
      <c r="A1754">
        <v>1753</v>
      </c>
      <c r="B1754" s="1" t="s">
        <v>12</v>
      </c>
      <c r="C1754">
        <v>1948</v>
      </c>
      <c r="D1754" s="1" t="s">
        <v>214</v>
      </c>
      <c r="E1754" s="1" t="s">
        <v>77</v>
      </c>
      <c r="F1754">
        <v>90</v>
      </c>
      <c r="G1754" s="1" t="s">
        <v>91</v>
      </c>
      <c r="H1754">
        <v>90014</v>
      </c>
      <c r="I1754">
        <v>130</v>
      </c>
      <c r="J1754">
        <v>100</v>
      </c>
      <c r="K1754">
        <v>100</v>
      </c>
      <c r="L1754">
        <v>1000</v>
      </c>
    </row>
    <row r="1755" spans="1:12" hidden="1" x14ac:dyDescent="0.25">
      <c r="A1755">
        <v>1754</v>
      </c>
      <c r="B1755" s="1" t="s">
        <v>12</v>
      </c>
      <c r="C1755">
        <v>1948</v>
      </c>
      <c r="D1755" s="1" t="s">
        <v>214</v>
      </c>
      <c r="E1755" s="1" t="s">
        <v>77</v>
      </c>
      <c r="F1755">
        <v>90</v>
      </c>
      <c r="G1755" s="1" t="s">
        <v>89</v>
      </c>
      <c r="H1755">
        <v>90028</v>
      </c>
      <c r="I1755">
        <v>15</v>
      </c>
      <c r="J1755">
        <v>15</v>
      </c>
      <c r="K1755">
        <v>15</v>
      </c>
      <c r="L1755">
        <v>1000</v>
      </c>
    </row>
    <row r="1756" spans="1:12" hidden="1" x14ac:dyDescent="0.25">
      <c r="A1756">
        <v>1755</v>
      </c>
      <c r="B1756" s="1" t="s">
        <v>12</v>
      </c>
      <c r="C1756">
        <v>1948</v>
      </c>
      <c r="D1756" s="1" t="s">
        <v>214</v>
      </c>
      <c r="E1756" s="1" t="s">
        <v>77</v>
      </c>
      <c r="F1756">
        <v>90</v>
      </c>
      <c r="G1756" s="1" t="s">
        <v>92</v>
      </c>
      <c r="H1756">
        <v>90056</v>
      </c>
      <c r="I1756">
        <v>10</v>
      </c>
      <c r="J1756">
        <v>10</v>
      </c>
      <c r="K1756">
        <v>10</v>
      </c>
      <c r="L1756">
        <v>1000</v>
      </c>
    </row>
    <row r="1757" spans="1:12" hidden="1" x14ac:dyDescent="0.25">
      <c r="A1757">
        <v>1756</v>
      </c>
      <c r="B1757" s="1" t="s">
        <v>12</v>
      </c>
      <c r="C1757">
        <v>1948</v>
      </c>
      <c r="D1757" s="1" t="s">
        <v>214</v>
      </c>
      <c r="E1757" s="1" t="s">
        <v>77</v>
      </c>
      <c r="F1757">
        <v>90</v>
      </c>
      <c r="G1757" s="1" t="s">
        <v>90</v>
      </c>
      <c r="H1757">
        <v>90112</v>
      </c>
      <c r="I1757">
        <v>10</v>
      </c>
      <c r="J1757">
        <v>10</v>
      </c>
      <c r="K1757">
        <v>10</v>
      </c>
      <c r="L1757">
        <v>1000</v>
      </c>
    </row>
    <row r="1758" spans="1:12" hidden="1" x14ac:dyDescent="0.25">
      <c r="A1758">
        <v>1757</v>
      </c>
      <c r="B1758" s="1" t="s">
        <v>12</v>
      </c>
      <c r="C1758">
        <v>1949</v>
      </c>
      <c r="D1758" s="1" t="s">
        <v>215</v>
      </c>
      <c r="E1758" s="1" t="s">
        <v>22</v>
      </c>
      <c r="F1758">
        <v>14</v>
      </c>
      <c r="G1758" s="1" t="s">
        <v>183</v>
      </c>
      <c r="H1758">
        <v>14007</v>
      </c>
      <c r="I1758">
        <v>38000</v>
      </c>
      <c r="J1758">
        <v>33100</v>
      </c>
      <c r="K1758">
        <v>28600</v>
      </c>
      <c r="L1758">
        <v>864</v>
      </c>
    </row>
    <row r="1759" spans="1:12" hidden="1" x14ac:dyDescent="0.25">
      <c r="A1759">
        <v>1758</v>
      </c>
      <c r="B1759" s="1" t="s">
        <v>12</v>
      </c>
      <c r="C1759">
        <v>1949</v>
      </c>
      <c r="D1759" s="1" t="s">
        <v>215</v>
      </c>
      <c r="E1759" s="1" t="s">
        <v>22</v>
      </c>
      <c r="F1759">
        <v>14</v>
      </c>
      <c r="G1759" s="1" t="s">
        <v>24</v>
      </c>
      <c r="H1759">
        <v>14119</v>
      </c>
      <c r="I1759">
        <v>27000</v>
      </c>
      <c r="J1759">
        <v>19000</v>
      </c>
      <c r="K1759">
        <v>15700</v>
      </c>
      <c r="L1759">
        <v>826</v>
      </c>
    </row>
    <row r="1760" spans="1:12" hidden="1" x14ac:dyDescent="0.25">
      <c r="A1760">
        <v>1759</v>
      </c>
      <c r="B1760" s="1" t="s">
        <v>12</v>
      </c>
      <c r="C1760">
        <v>1949</v>
      </c>
      <c r="D1760" s="1" t="s">
        <v>215</v>
      </c>
      <c r="E1760" s="1" t="s">
        <v>22</v>
      </c>
      <c r="F1760">
        <v>14</v>
      </c>
      <c r="G1760" s="1" t="s">
        <v>23</v>
      </c>
      <c r="H1760">
        <v>14147</v>
      </c>
      <c r="I1760">
        <v>17000</v>
      </c>
      <c r="J1760">
        <v>10330</v>
      </c>
      <c r="K1760">
        <v>4960</v>
      </c>
      <c r="L1760">
        <v>480</v>
      </c>
    </row>
    <row r="1761" spans="1:12" hidden="1" x14ac:dyDescent="0.25">
      <c r="A1761">
        <v>1760</v>
      </c>
      <c r="B1761" s="1" t="s">
        <v>12</v>
      </c>
      <c r="C1761">
        <v>1949</v>
      </c>
      <c r="D1761" s="1" t="s">
        <v>215</v>
      </c>
      <c r="E1761" s="1" t="s">
        <v>22</v>
      </c>
      <c r="F1761">
        <v>14</v>
      </c>
      <c r="G1761" s="1" t="s">
        <v>97</v>
      </c>
      <c r="H1761">
        <v>14007</v>
      </c>
      <c r="I1761">
        <v>5582</v>
      </c>
      <c r="J1761">
        <v>4300</v>
      </c>
      <c r="K1761">
        <v>3870</v>
      </c>
      <c r="L1761">
        <v>900</v>
      </c>
    </row>
    <row r="1762" spans="1:12" hidden="1" x14ac:dyDescent="0.25">
      <c r="A1762">
        <v>1761</v>
      </c>
      <c r="B1762" s="1" t="s">
        <v>12</v>
      </c>
      <c r="C1762">
        <v>1949</v>
      </c>
      <c r="D1762" s="1" t="s">
        <v>215</v>
      </c>
      <c r="E1762" s="1" t="s">
        <v>22</v>
      </c>
      <c r="F1762">
        <v>14</v>
      </c>
      <c r="G1762" s="1" t="s">
        <v>29</v>
      </c>
      <c r="H1762">
        <v>14098</v>
      </c>
      <c r="I1762">
        <v>4500</v>
      </c>
      <c r="J1762">
        <v>3150</v>
      </c>
      <c r="K1762">
        <v>2240</v>
      </c>
      <c r="L1762">
        <v>711</v>
      </c>
    </row>
    <row r="1763" spans="1:12" hidden="1" x14ac:dyDescent="0.25">
      <c r="A1763">
        <v>1762</v>
      </c>
      <c r="B1763" s="1" t="s">
        <v>12</v>
      </c>
      <c r="C1763">
        <v>1949</v>
      </c>
      <c r="D1763" s="1" t="s">
        <v>215</v>
      </c>
      <c r="E1763" s="1" t="s">
        <v>22</v>
      </c>
      <c r="F1763">
        <v>14</v>
      </c>
      <c r="G1763" s="1" t="s">
        <v>25</v>
      </c>
      <c r="H1763">
        <v>14105</v>
      </c>
      <c r="I1763">
        <v>1200</v>
      </c>
      <c r="J1763">
        <v>967</v>
      </c>
      <c r="K1763">
        <v>590</v>
      </c>
      <c r="L1763">
        <v>610</v>
      </c>
    </row>
    <row r="1764" spans="1:12" hidden="1" x14ac:dyDescent="0.25">
      <c r="A1764">
        <v>1763</v>
      </c>
      <c r="B1764" s="1" t="s">
        <v>12</v>
      </c>
      <c r="C1764">
        <v>1949</v>
      </c>
      <c r="D1764" s="1" t="s">
        <v>215</v>
      </c>
      <c r="E1764" s="1" t="s">
        <v>22</v>
      </c>
      <c r="F1764">
        <v>14</v>
      </c>
      <c r="G1764" s="1" t="s">
        <v>143</v>
      </c>
      <c r="H1764">
        <v>14056</v>
      </c>
      <c r="I1764">
        <v>1000</v>
      </c>
      <c r="J1764">
        <v>650</v>
      </c>
      <c r="K1764">
        <v>560</v>
      </c>
      <c r="L1764">
        <v>861</v>
      </c>
    </row>
    <row r="1765" spans="1:12" hidden="1" x14ac:dyDescent="0.25">
      <c r="A1765">
        <v>1764</v>
      </c>
      <c r="B1765" s="1" t="s">
        <v>12</v>
      </c>
      <c r="C1765">
        <v>1949</v>
      </c>
      <c r="D1765" s="1" t="s">
        <v>215</v>
      </c>
      <c r="E1765" s="1" t="s">
        <v>22</v>
      </c>
      <c r="F1765">
        <v>14</v>
      </c>
      <c r="G1765" s="1" t="s">
        <v>28</v>
      </c>
      <c r="H1765">
        <v>14014</v>
      </c>
      <c r="I1765">
        <v>820</v>
      </c>
      <c r="J1765">
        <v>707</v>
      </c>
      <c r="K1765">
        <v>490</v>
      </c>
      <c r="L1765">
        <v>693</v>
      </c>
    </row>
    <row r="1766" spans="1:12" hidden="1" x14ac:dyDescent="0.25">
      <c r="A1766">
        <v>1765</v>
      </c>
      <c r="B1766" s="1" t="s">
        <v>12</v>
      </c>
      <c r="C1766">
        <v>1949</v>
      </c>
      <c r="D1766" s="1" t="s">
        <v>215</v>
      </c>
      <c r="E1766" s="1" t="s">
        <v>22</v>
      </c>
      <c r="F1766">
        <v>14</v>
      </c>
      <c r="G1766" s="1" t="s">
        <v>67</v>
      </c>
      <c r="H1766">
        <v>14140</v>
      </c>
      <c r="I1766">
        <v>400</v>
      </c>
      <c r="J1766">
        <v>250</v>
      </c>
      <c r="K1766">
        <v>150</v>
      </c>
      <c r="L1766">
        <v>600</v>
      </c>
    </row>
    <row r="1767" spans="1:12" hidden="1" x14ac:dyDescent="0.25">
      <c r="A1767">
        <v>1766</v>
      </c>
      <c r="B1767" s="1" t="s">
        <v>12</v>
      </c>
      <c r="C1767">
        <v>1949</v>
      </c>
      <c r="D1767" s="1" t="s">
        <v>215</v>
      </c>
      <c r="E1767" s="1" t="s">
        <v>22</v>
      </c>
      <c r="F1767">
        <v>14</v>
      </c>
      <c r="G1767" s="1" t="s">
        <v>27</v>
      </c>
      <c r="H1767">
        <v>14021</v>
      </c>
      <c r="I1767">
        <v>200</v>
      </c>
      <c r="J1767">
        <v>130</v>
      </c>
      <c r="K1767">
        <v>84</v>
      </c>
      <c r="L1767">
        <v>646</v>
      </c>
    </row>
    <row r="1768" spans="1:12" hidden="1" x14ac:dyDescent="0.25">
      <c r="A1768">
        <v>1767</v>
      </c>
      <c r="B1768" s="1" t="s">
        <v>12</v>
      </c>
      <c r="C1768">
        <v>1949</v>
      </c>
      <c r="D1768" s="1" t="s">
        <v>215</v>
      </c>
      <c r="E1768" s="1" t="s">
        <v>22</v>
      </c>
      <c r="F1768">
        <v>14</v>
      </c>
      <c r="G1768" s="1" t="s">
        <v>184</v>
      </c>
      <c r="H1768">
        <v>14042</v>
      </c>
      <c r="I1768">
        <v>100</v>
      </c>
      <c r="J1768">
        <v>86</v>
      </c>
      <c r="K1768">
        <v>53</v>
      </c>
      <c r="L1768">
        <v>616</v>
      </c>
    </row>
    <row r="1769" spans="1:12" hidden="1" x14ac:dyDescent="0.25">
      <c r="A1769">
        <v>1768</v>
      </c>
      <c r="B1769" s="1" t="s">
        <v>12</v>
      </c>
      <c r="C1769">
        <v>1949</v>
      </c>
      <c r="D1769" s="1" t="s">
        <v>215</v>
      </c>
      <c r="E1769" s="1" t="s">
        <v>22</v>
      </c>
      <c r="F1769">
        <v>14</v>
      </c>
      <c r="G1769" s="1" t="s">
        <v>171</v>
      </c>
      <c r="H1769">
        <v>14112</v>
      </c>
      <c r="I1769">
        <v>30</v>
      </c>
      <c r="J1769">
        <v>20</v>
      </c>
      <c r="K1769">
        <v>10</v>
      </c>
      <c r="L1769">
        <v>500</v>
      </c>
    </row>
    <row r="1770" spans="1:12" hidden="1" x14ac:dyDescent="0.25">
      <c r="A1770">
        <v>1769</v>
      </c>
      <c r="B1770" s="1" t="s">
        <v>12</v>
      </c>
      <c r="C1770">
        <v>1949</v>
      </c>
      <c r="D1770" s="1" t="s">
        <v>215</v>
      </c>
      <c r="E1770" s="1" t="s">
        <v>22</v>
      </c>
      <c r="F1770">
        <v>14</v>
      </c>
      <c r="G1770" s="1" t="s">
        <v>114</v>
      </c>
      <c r="H1770">
        <v>14168</v>
      </c>
      <c r="I1770">
        <v>30</v>
      </c>
      <c r="J1770">
        <v>27</v>
      </c>
      <c r="K1770">
        <v>11</v>
      </c>
      <c r="L1770">
        <v>407</v>
      </c>
    </row>
    <row r="1771" spans="1:12" hidden="1" x14ac:dyDescent="0.25">
      <c r="A1771">
        <v>1770</v>
      </c>
      <c r="B1771" s="1" t="s">
        <v>12</v>
      </c>
      <c r="C1771">
        <v>1949</v>
      </c>
      <c r="D1771" s="1" t="s">
        <v>215</v>
      </c>
      <c r="E1771" s="1" t="s">
        <v>22</v>
      </c>
      <c r="F1771">
        <v>14</v>
      </c>
      <c r="G1771" s="1" t="s">
        <v>169</v>
      </c>
      <c r="H1771">
        <v>14126</v>
      </c>
      <c r="I1771">
        <v>20</v>
      </c>
      <c r="J1771">
        <v>18</v>
      </c>
      <c r="K1771">
        <v>13</v>
      </c>
      <c r="L1771">
        <v>722</v>
      </c>
    </row>
    <row r="1772" spans="1:12" hidden="1" x14ac:dyDescent="0.25">
      <c r="A1772">
        <v>1771</v>
      </c>
      <c r="B1772" s="1" t="s">
        <v>12</v>
      </c>
      <c r="C1772">
        <v>1949</v>
      </c>
      <c r="D1772" s="1" t="s">
        <v>215</v>
      </c>
      <c r="E1772" s="1" t="s">
        <v>22</v>
      </c>
      <c r="F1772">
        <v>14</v>
      </c>
      <c r="G1772" s="1" t="s">
        <v>186</v>
      </c>
      <c r="H1772">
        <v>14175</v>
      </c>
      <c r="I1772">
        <v>20</v>
      </c>
      <c r="J1772">
        <v>16</v>
      </c>
      <c r="K1772">
        <v>7</v>
      </c>
      <c r="L1772">
        <v>437</v>
      </c>
    </row>
    <row r="1773" spans="1:12" hidden="1" x14ac:dyDescent="0.25">
      <c r="A1773">
        <v>1772</v>
      </c>
      <c r="B1773" s="1" t="s">
        <v>12</v>
      </c>
      <c r="C1773">
        <v>1949</v>
      </c>
      <c r="D1773" s="1" t="s">
        <v>215</v>
      </c>
      <c r="E1773" s="1" t="s">
        <v>22</v>
      </c>
      <c r="F1773">
        <v>14</v>
      </c>
      <c r="G1773" s="1" t="s">
        <v>62</v>
      </c>
      <c r="H1773">
        <v>14133</v>
      </c>
      <c r="I1773">
        <v>10</v>
      </c>
      <c r="J1773">
        <v>9</v>
      </c>
      <c r="K1773">
        <v>8</v>
      </c>
      <c r="L1773">
        <v>889</v>
      </c>
    </row>
    <row r="1774" spans="1:12" hidden="1" x14ac:dyDescent="0.25">
      <c r="A1774">
        <v>1773</v>
      </c>
      <c r="B1774" s="1" t="s">
        <v>12</v>
      </c>
      <c r="C1774">
        <v>1949</v>
      </c>
      <c r="D1774" s="1" t="s">
        <v>215</v>
      </c>
      <c r="E1774" s="1" t="s">
        <v>22</v>
      </c>
      <c r="F1774">
        <v>14</v>
      </c>
      <c r="G1774" s="1" t="s">
        <v>172</v>
      </c>
      <c r="H1774">
        <v>14091</v>
      </c>
      <c r="I1774">
        <v>8</v>
      </c>
      <c r="J1774">
        <v>7</v>
      </c>
      <c r="K1774">
        <v>4</v>
      </c>
      <c r="L1774">
        <v>571</v>
      </c>
    </row>
    <row r="1775" spans="1:12" hidden="1" x14ac:dyDescent="0.25">
      <c r="A1775">
        <v>1774</v>
      </c>
      <c r="B1775" s="1" t="s">
        <v>12</v>
      </c>
      <c r="C1775">
        <v>1949</v>
      </c>
      <c r="D1775" s="1" t="s">
        <v>215</v>
      </c>
      <c r="E1775" s="1" t="s">
        <v>30</v>
      </c>
      <c r="F1775">
        <v>18</v>
      </c>
      <c r="G1775" s="1" t="s">
        <v>32</v>
      </c>
      <c r="H1775">
        <v>18112</v>
      </c>
      <c r="I1775">
        <v>100</v>
      </c>
      <c r="J1775">
        <v>70</v>
      </c>
      <c r="K1775">
        <v>35</v>
      </c>
      <c r="L1775">
        <v>500</v>
      </c>
    </row>
    <row r="1776" spans="1:12" hidden="1" x14ac:dyDescent="0.25">
      <c r="A1776">
        <v>1775</v>
      </c>
      <c r="B1776" s="1" t="s">
        <v>12</v>
      </c>
      <c r="C1776">
        <v>1949</v>
      </c>
      <c r="D1776" s="1" t="s">
        <v>215</v>
      </c>
      <c r="E1776" s="1" t="s">
        <v>30</v>
      </c>
      <c r="F1776">
        <v>18</v>
      </c>
      <c r="G1776" s="1" t="s">
        <v>42</v>
      </c>
      <c r="H1776">
        <v>18035</v>
      </c>
      <c r="I1776">
        <v>10</v>
      </c>
      <c r="J1776">
        <v>8</v>
      </c>
      <c r="K1776">
        <v>4</v>
      </c>
      <c r="L1776">
        <v>500</v>
      </c>
    </row>
    <row r="1777" spans="1:12" hidden="1" x14ac:dyDescent="0.25">
      <c r="A1777">
        <v>1776</v>
      </c>
      <c r="B1777" s="1" t="s">
        <v>12</v>
      </c>
      <c r="C1777">
        <v>1949</v>
      </c>
      <c r="D1777" s="1" t="s">
        <v>215</v>
      </c>
      <c r="E1777" s="1" t="s">
        <v>30</v>
      </c>
      <c r="F1777">
        <v>18</v>
      </c>
      <c r="G1777" s="1" t="s">
        <v>37</v>
      </c>
      <c r="H1777">
        <v>18147</v>
      </c>
      <c r="I1777">
        <v>6</v>
      </c>
      <c r="J1777">
        <v>2</v>
      </c>
      <c r="K1777">
        <v>1</v>
      </c>
      <c r="L1777">
        <v>500</v>
      </c>
    </row>
    <row r="1778" spans="1:12" hidden="1" x14ac:dyDescent="0.25">
      <c r="A1778">
        <v>1777</v>
      </c>
      <c r="B1778" s="1" t="s">
        <v>12</v>
      </c>
      <c r="C1778">
        <v>1949</v>
      </c>
      <c r="D1778" s="1" t="s">
        <v>215</v>
      </c>
      <c r="E1778" s="1" t="s">
        <v>30</v>
      </c>
      <c r="F1778">
        <v>18</v>
      </c>
      <c r="G1778" s="1" t="s">
        <v>105</v>
      </c>
      <c r="H1778">
        <v>18105</v>
      </c>
      <c r="I1778">
        <v>2</v>
      </c>
      <c r="J1778">
        <v>2</v>
      </c>
      <c r="K1778">
        <v>1</v>
      </c>
      <c r="L1778">
        <v>500</v>
      </c>
    </row>
    <row r="1779" spans="1:12" hidden="1" x14ac:dyDescent="0.25">
      <c r="A1779">
        <v>1778</v>
      </c>
      <c r="B1779" s="1" t="s">
        <v>12</v>
      </c>
      <c r="C1779">
        <v>1949</v>
      </c>
      <c r="D1779" s="1" t="s">
        <v>215</v>
      </c>
      <c r="E1779" s="1" t="s">
        <v>30</v>
      </c>
      <c r="F1779">
        <v>18</v>
      </c>
      <c r="G1779" s="1" t="s">
        <v>104</v>
      </c>
      <c r="H1779">
        <v>18119</v>
      </c>
      <c r="I1779">
        <v>2</v>
      </c>
      <c r="J1779">
        <v>2</v>
      </c>
      <c r="K1779">
        <v>1</v>
      </c>
      <c r="L1779">
        <v>500</v>
      </c>
    </row>
    <row r="1780" spans="1:12" hidden="1" x14ac:dyDescent="0.25">
      <c r="A1780">
        <v>1779</v>
      </c>
      <c r="B1780" s="1" t="s">
        <v>12</v>
      </c>
      <c r="C1780">
        <v>1949</v>
      </c>
      <c r="D1780" s="1" t="s">
        <v>215</v>
      </c>
      <c r="E1780" s="1" t="s">
        <v>45</v>
      </c>
      <c r="F1780">
        <v>30</v>
      </c>
      <c r="G1780" s="1" t="s">
        <v>46</v>
      </c>
      <c r="H1780">
        <v>30028</v>
      </c>
      <c r="I1780">
        <v>1225</v>
      </c>
      <c r="J1780">
        <v>700</v>
      </c>
      <c r="K1780">
        <v>560</v>
      </c>
      <c r="L1780">
        <v>800</v>
      </c>
    </row>
    <row r="1781" spans="1:12" hidden="1" x14ac:dyDescent="0.25">
      <c r="A1781">
        <v>1780</v>
      </c>
      <c r="B1781" s="1" t="s">
        <v>12</v>
      </c>
      <c r="C1781">
        <v>1949</v>
      </c>
      <c r="D1781" s="1" t="s">
        <v>215</v>
      </c>
      <c r="E1781" s="1" t="s">
        <v>45</v>
      </c>
      <c r="F1781">
        <v>30</v>
      </c>
      <c r="G1781" s="1" t="s">
        <v>47</v>
      </c>
      <c r="H1781">
        <v>30015</v>
      </c>
      <c r="I1781">
        <v>300</v>
      </c>
      <c r="J1781">
        <v>250</v>
      </c>
      <c r="K1781">
        <v>250</v>
      </c>
      <c r="L1781">
        <v>1000</v>
      </c>
    </row>
    <row r="1782" spans="1:12" hidden="1" x14ac:dyDescent="0.25">
      <c r="A1782">
        <v>1781</v>
      </c>
      <c r="B1782" s="1" t="s">
        <v>12</v>
      </c>
      <c r="C1782">
        <v>1949</v>
      </c>
      <c r="D1782" s="1" t="s">
        <v>215</v>
      </c>
      <c r="E1782" s="1" t="s">
        <v>45</v>
      </c>
      <c r="F1782">
        <v>30</v>
      </c>
      <c r="G1782" s="1" t="s">
        <v>27</v>
      </c>
      <c r="H1782">
        <v>30008</v>
      </c>
      <c r="I1782">
        <v>50</v>
      </c>
      <c r="J1782">
        <v>25</v>
      </c>
      <c r="K1782">
        <v>10</v>
      </c>
      <c r="L1782">
        <v>400</v>
      </c>
    </row>
    <row r="1783" spans="1:12" hidden="1" x14ac:dyDescent="0.25">
      <c r="A1783">
        <v>1782</v>
      </c>
      <c r="B1783" s="1" t="s">
        <v>12</v>
      </c>
      <c r="C1783">
        <v>1949</v>
      </c>
      <c r="D1783" s="1" t="s">
        <v>215</v>
      </c>
      <c r="E1783" s="1" t="s">
        <v>48</v>
      </c>
      <c r="F1783">
        <v>34</v>
      </c>
      <c r="G1783" s="1" t="s">
        <v>51</v>
      </c>
      <c r="H1783">
        <v>34056</v>
      </c>
      <c r="I1783">
        <v>56</v>
      </c>
      <c r="J1783">
        <v>56</v>
      </c>
      <c r="K1783">
        <v>75</v>
      </c>
      <c r="L1783">
        <v>1339</v>
      </c>
    </row>
    <row r="1784" spans="1:12" hidden="1" x14ac:dyDescent="0.25">
      <c r="A1784">
        <v>1783</v>
      </c>
      <c r="B1784" s="1" t="s">
        <v>12</v>
      </c>
      <c r="C1784">
        <v>1949</v>
      </c>
      <c r="D1784" s="1" t="s">
        <v>215</v>
      </c>
      <c r="E1784" s="1" t="s">
        <v>48</v>
      </c>
      <c r="F1784">
        <v>34</v>
      </c>
      <c r="G1784" s="1" t="s">
        <v>49</v>
      </c>
      <c r="H1784">
        <v>34049</v>
      </c>
      <c r="I1784">
        <v>22</v>
      </c>
      <c r="J1784">
        <v>22</v>
      </c>
      <c r="K1784">
        <v>30</v>
      </c>
      <c r="L1784">
        <v>1363</v>
      </c>
    </row>
    <row r="1785" spans="1:12" hidden="1" x14ac:dyDescent="0.25">
      <c r="A1785">
        <v>1784</v>
      </c>
      <c r="B1785" s="1" t="s">
        <v>12</v>
      </c>
      <c r="C1785">
        <v>1949</v>
      </c>
      <c r="D1785" s="1" t="s">
        <v>215</v>
      </c>
      <c r="E1785" s="1" t="s">
        <v>48</v>
      </c>
      <c r="F1785">
        <v>34</v>
      </c>
      <c r="G1785" s="1" t="s">
        <v>52</v>
      </c>
      <c r="H1785">
        <v>34035</v>
      </c>
      <c r="I1785">
        <v>20</v>
      </c>
      <c r="J1785">
        <v>20</v>
      </c>
      <c r="K1785">
        <v>20</v>
      </c>
      <c r="L1785">
        <v>1000</v>
      </c>
    </row>
    <row r="1786" spans="1:12" hidden="1" x14ac:dyDescent="0.25">
      <c r="A1786">
        <v>1785</v>
      </c>
      <c r="B1786" s="1" t="s">
        <v>12</v>
      </c>
      <c r="C1786">
        <v>1949</v>
      </c>
      <c r="D1786" s="1" t="s">
        <v>215</v>
      </c>
      <c r="E1786" s="1" t="s">
        <v>48</v>
      </c>
      <c r="F1786">
        <v>34</v>
      </c>
      <c r="G1786" s="1" t="s">
        <v>48</v>
      </c>
      <c r="H1786">
        <v>34014</v>
      </c>
      <c r="I1786">
        <v>12</v>
      </c>
      <c r="J1786">
        <v>12</v>
      </c>
      <c r="K1786">
        <v>15</v>
      </c>
      <c r="L1786">
        <v>1250</v>
      </c>
    </row>
    <row r="1787" spans="1:12" hidden="1" x14ac:dyDescent="0.25">
      <c r="A1787">
        <v>1786</v>
      </c>
      <c r="B1787" s="1" t="s">
        <v>12</v>
      </c>
      <c r="C1787">
        <v>1949</v>
      </c>
      <c r="D1787" s="1" t="s">
        <v>215</v>
      </c>
      <c r="E1787" s="1" t="s">
        <v>48</v>
      </c>
      <c r="F1787">
        <v>34</v>
      </c>
      <c r="G1787" s="1" t="s">
        <v>50</v>
      </c>
      <c r="H1787">
        <v>34021</v>
      </c>
      <c r="I1787">
        <v>12</v>
      </c>
      <c r="J1787">
        <v>12</v>
      </c>
      <c r="K1787">
        <v>15</v>
      </c>
      <c r="L1787">
        <v>1250</v>
      </c>
    </row>
    <row r="1788" spans="1:12" hidden="1" x14ac:dyDescent="0.25">
      <c r="A1788">
        <v>1787</v>
      </c>
      <c r="B1788" s="1" t="s">
        <v>12</v>
      </c>
      <c r="C1788">
        <v>1949</v>
      </c>
      <c r="D1788" s="1" t="s">
        <v>215</v>
      </c>
      <c r="E1788" s="1" t="s">
        <v>48</v>
      </c>
      <c r="F1788">
        <v>34</v>
      </c>
      <c r="G1788" s="1" t="s">
        <v>108</v>
      </c>
      <c r="H1788">
        <v>34042</v>
      </c>
      <c r="I1788">
        <v>11</v>
      </c>
      <c r="J1788">
        <v>11</v>
      </c>
      <c r="K1788">
        <v>15</v>
      </c>
      <c r="L1788">
        <v>1364</v>
      </c>
    </row>
    <row r="1789" spans="1:12" hidden="1" x14ac:dyDescent="0.25">
      <c r="A1789">
        <v>1788</v>
      </c>
      <c r="B1789" s="1" t="s">
        <v>12</v>
      </c>
      <c r="C1789">
        <v>1949</v>
      </c>
      <c r="D1789" s="1" t="s">
        <v>215</v>
      </c>
      <c r="E1789" s="1" t="s">
        <v>58</v>
      </c>
      <c r="F1789">
        <v>54</v>
      </c>
      <c r="G1789" s="1" t="s">
        <v>60</v>
      </c>
      <c r="H1789">
        <v>54021</v>
      </c>
      <c r="I1789">
        <v>68</v>
      </c>
      <c r="J1789">
        <v>60</v>
      </c>
      <c r="K1789">
        <v>40</v>
      </c>
      <c r="L1789">
        <v>667</v>
      </c>
    </row>
    <row r="1790" spans="1:12" hidden="1" x14ac:dyDescent="0.25">
      <c r="A1790">
        <v>1789</v>
      </c>
      <c r="B1790" s="1" t="s">
        <v>12</v>
      </c>
      <c r="C1790">
        <v>1949</v>
      </c>
      <c r="D1790" s="1" t="s">
        <v>215</v>
      </c>
      <c r="E1790" s="1" t="s">
        <v>58</v>
      </c>
      <c r="F1790">
        <v>54</v>
      </c>
      <c r="G1790" s="1" t="s">
        <v>150</v>
      </c>
      <c r="H1790">
        <v>54014</v>
      </c>
      <c r="I1790">
        <v>40</v>
      </c>
      <c r="J1790">
        <v>35</v>
      </c>
      <c r="K1790">
        <v>28</v>
      </c>
      <c r="L1790">
        <v>800</v>
      </c>
    </row>
    <row r="1791" spans="1:12" hidden="1" x14ac:dyDescent="0.25">
      <c r="A1791">
        <v>1790</v>
      </c>
      <c r="B1791" s="1" t="s">
        <v>12</v>
      </c>
      <c r="C1791">
        <v>1949</v>
      </c>
      <c r="D1791" s="1" t="s">
        <v>215</v>
      </c>
      <c r="E1791" s="1" t="s">
        <v>58</v>
      </c>
      <c r="F1791">
        <v>54</v>
      </c>
      <c r="G1791" s="1" t="s">
        <v>62</v>
      </c>
      <c r="H1791">
        <v>54105</v>
      </c>
      <c r="I1791">
        <v>40</v>
      </c>
      <c r="J1791">
        <v>32</v>
      </c>
      <c r="K1791">
        <v>25</v>
      </c>
      <c r="L1791">
        <v>700</v>
      </c>
    </row>
    <row r="1792" spans="1:12" hidden="1" x14ac:dyDescent="0.25">
      <c r="A1792">
        <v>1791</v>
      </c>
      <c r="B1792" s="1" t="s">
        <v>12</v>
      </c>
      <c r="C1792">
        <v>1949</v>
      </c>
      <c r="D1792" s="1" t="s">
        <v>215</v>
      </c>
      <c r="E1792" s="1" t="s">
        <v>58</v>
      </c>
      <c r="F1792">
        <v>54</v>
      </c>
      <c r="G1792" s="1" t="s">
        <v>61</v>
      </c>
      <c r="H1792">
        <v>54098</v>
      </c>
      <c r="I1792">
        <v>35</v>
      </c>
      <c r="J1792">
        <v>30</v>
      </c>
      <c r="K1792">
        <v>21</v>
      </c>
      <c r="L1792">
        <v>700</v>
      </c>
    </row>
    <row r="1793" spans="1:12" hidden="1" x14ac:dyDescent="0.25">
      <c r="A1793">
        <v>1792</v>
      </c>
      <c r="B1793" s="1" t="s">
        <v>12</v>
      </c>
      <c r="C1793">
        <v>1949</v>
      </c>
      <c r="D1793" s="1" t="s">
        <v>215</v>
      </c>
      <c r="E1793" s="1" t="s">
        <v>58</v>
      </c>
      <c r="F1793">
        <v>54</v>
      </c>
      <c r="G1793" s="1" t="s">
        <v>152</v>
      </c>
      <c r="H1793">
        <v>54063</v>
      </c>
      <c r="I1793">
        <v>20</v>
      </c>
      <c r="J1793">
        <v>16</v>
      </c>
      <c r="K1793">
        <v>11</v>
      </c>
      <c r="L1793">
        <v>678</v>
      </c>
    </row>
    <row r="1794" spans="1:12" hidden="1" x14ac:dyDescent="0.25">
      <c r="A1794">
        <v>1793</v>
      </c>
      <c r="B1794" s="1" t="s">
        <v>12</v>
      </c>
      <c r="C1794">
        <v>1949</v>
      </c>
      <c r="D1794" s="1" t="s">
        <v>215</v>
      </c>
      <c r="E1794" s="1" t="s">
        <v>58</v>
      </c>
      <c r="F1794">
        <v>54</v>
      </c>
      <c r="G1794" s="1" t="s">
        <v>59</v>
      </c>
      <c r="H1794">
        <v>54007</v>
      </c>
      <c r="I1794">
        <v>12</v>
      </c>
      <c r="J1794">
        <v>8</v>
      </c>
      <c r="K1794">
        <v>7</v>
      </c>
      <c r="L1794">
        <v>875</v>
      </c>
    </row>
    <row r="1795" spans="1:12" hidden="1" x14ac:dyDescent="0.25">
      <c r="A1795">
        <v>1794</v>
      </c>
      <c r="B1795" s="1" t="s">
        <v>12</v>
      </c>
      <c r="C1795">
        <v>1949</v>
      </c>
      <c r="D1795" s="1" t="s">
        <v>215</v>
      </c>
      <c r="E1795" s="1" t="s">
        <v>58</v>
      </c>
      <c r="F1795">
        <v>54</v>
      </c>
      <c r="G1795" s="1" t="s">
        <v>63</v>
      </c>
      <c r="H1795">
        <v>54035</v>
      </c>
      <c r="I1795">
        <v>12</v>
      </c>
      <c r="J1795">
        <v>10</v>
      </c>
      <c r="K1795">
        <v>7</v>
      </c>
      <c r="L1795">
        <v>700</v>
      </c>
    </row>
    <row r="1796" spans="1:12" x14ac:dyDescent="0.25">
      <c r="A1796">
        <v>1795</v>
      </c>
      <c r="B1796" s="1" t="s">
        <v>12</v>
      </c>
      <c r="C1796">
        <v>1949</v>
      </c>
      <c r="D1796" s="1" t="s">
        <v>215</v>
      </c>
      <c r="E1796" s="1" t="s">
        <v>58</v>
      </c>
      <c r="F1796">
        <v>54</v>
      </c>
      <c r="G1796" s="1" t="s">
        <v>56</v>
      </c>
      <c r="H1796">
        <v>54112</v>
      </c>
      <c r="I1796">
        <v>5</v>
      </c>
      <c r="J1796">
        <v>5</v>
      </c>
      <c r="K1796">
        <v>4</v>
      </c>
      <c r="L1796">
        <v>800</v>
      </c>
    </row>
    <row r="1797" spans="1:12" hidden="1" x14ac:dyDescent="0.25">
      <c r="A1797">
        <v>1796</v>
      </c>
      <c r="B1797" s="1" t="s">
        <v>12</v>
      </c>
      <c r="C1797">
        <v>1949</v>
      </c>
      <c r="D1797" s="1" t="s">
        <v>215</v>
      </c>
      <c r="E1797" s="1" t="s">
        <v>58</v>
      </c>
      <c r="F1797">
        <v>54</v>
      </c>
      <c r="G1797" s="1" t="s">
        <v>151</v>
      </c>
      <c r="H1797">
        <v>54056</v>
      </c>
      <c r="I1797">
        <v>2</v>
      </c>
      <c r="J1797">
        <v>2</v>
      </c>
      <c r="K1797">
        <v>1</v>
      </c>
      <c r="L1797">
        <v>500</v>
      </c>
    </row>
    <row r="1798" spans="1:12" hidden="1" x14ac:dyDescent="0.25">
      <c r="A1798">
        <v>1797</v>
      </c>
      <c r="B1798" s="1" t="s">
        <v>12</v>
      </c>
      <c r="C1798">
        <v>1949</v>
      </c>
      <c r="D1798" s="1" t="s">
        <v>215</v>
      </c>
      <c r="E1798" s="1" t="s">
        <v>58</v>
      </c>
      <c r="F1798">
        <v>54</v>
      </c>
      <c r="G1798" s="1" t="s">
        <v>28</v>
      </c>
      <c r="H1798">
        <v>54028</v>
      </c>
      <c r="I1798">
        <v>1</v>
      </c>
      <c r="J1798">
        <v>1</v>
      </c>
      <c r="K1798">
        <v>1</v>
      </c>
      <c r="L1798">
        <v>1000</v>
      </c>
    </row>
    <row r="1799" spans="1:12" hidden="1" x14ac:dyDescent="0.25">
      <c r="A1799">
        <v>1798</v>
      </c>
      <c r="B1799" s="1" t="s">
        <v>12</v>
      </c>
      <c r="C1799">
        <v>1949</v>
      </c>
      <c r="D1799" s="1" t="s">
        <v>215</v>
      </c>
      <c r="E1799" s="1" t="s">
        <v>87</v>
      </c>
      <c r="F1799">
        <v>66</v>
      </c>
      <c r="G1799" s="1" t="s">
        <v>141</v>
      </c>
      <c r="H1799">
        <v>66112</v>
      </c>
      <c r="I1799">
        <v>50</v>
      </c>
      <c r="J1799">
        <v>50</v>
      </c>
      <c r="K1799">
        <v>75</v>
      </c>
      <c r="L1799">
        <v>1500</v>
      </c>
    </row>
    <row r="1800" spans="1:12" hidden="1" x14ac:dyDescent="0.25">
      <c r="A1800">
        <v>1799</v>
      </c>
      <c r="B1800" s="1" t="s">
        <v>12</v>
      </c>
      <c r="C1800">
        <v>1949</v>
      </c>
      <c r="D1800" s="1" t="s">
        <v>215</v>
      </c>
      <c r="E1800" s="1" t="s">
        <v>116</v>
      </c>
      <c r="F1800">
        <v>74</v>
      </c>
      <c r="G1800" s="1" t="s">
        <v>126</v>
      </c>
      <c r="H1800">
        <v>74035</v>
      </c>
      <c r="I1800">
        <v>75</v>
      </c>
      <c r="J1800">
        <v>75</v>
      </c>
      <c r="K1800">
        <v>73</v>
      </c>
      <c r="L1800">
        <v>973</v>
      </c>
    </row>
    <row r="1801" spans="1:12" hidden="1" x14ac:dyDescent="0.25">
      <c r="A1801">
        <v>1800</v>
      </c>
      <c r="B1801" s="1" t="s">
        <v>12</v>
      </c>
      <c r="C1801">
        <v>1949</v>
      </c>
      <c r="D1801" s="1" t="s">
        <v>215</v>
      </c>
      <c r="E1801" s="1" t="s">
        <v>116</v>
      </c>
      <c r="F1801">
        <v>74</v>
      </c>
      <c r="G1801" s="1" t="s">
        <v>117</v>
      </c>
      <c r="H1801">
        <v>74021</v>
      </c>
      <c r="I1801">
        <v>5</v>
      </c>
      <c r="J1801">
        <v>5</v>
      </c>
      <c r="K1801">
        <v>5</v>
      </c>
      <c r="L1801">
        <v>1000</v>
      </c>
    </row>
    <row r="1802" spans="1:12" hidden="1" x14ac:dyDescent="0.25">
      <c r="A1802">
        <v>1801</v>
      </c>
      <c r="B1802" s="1" t="s">
        <v>12</v>
      </c>
      <c r="C1802">
        <v>1949</v>
      </c>
      <c r="D1802" s="1" t="s">
        <v>215</v>
      </c>
      <c r="E1802" s="1" t="s">
        <v>116</v>
      </c>
      <c r="F1802">
        <v>74</v>
      </c>
      <c r="G1802" s="1" t="s">
        <v>118</v>
      </c>
      <c r="H1802">
        <v>74028</v>
      </c>
      <c r="I1802">
        <v>2</v>
      </c>
      <c r="J1802">
        <v>2</v>
      </c>
      <c r="K1802">
        <v>2</v>
      </c>
      <c r="L1802">
        <v>1000</v>
      </c>
    </row>
    <row r="1803" spans="1:12" hidden="1" x14ac:dyDescent="0.25">
      <c r="A1803">
        <v>1802</v>
      </c>
      <c r="B1803" s="1" t="s">
        <v>12</v>
      </c>
      <c r="C1803">
        <v>1949</v>
      </c>
      <c r="D1803" s="1" t="s">
        <v>215</v>
      </c>
      <c r="E1803" s="1" t="s">
        <v>64</v>
      </c>
      <c r="F1803">
        <v>82</v>
      </c>
      <c r="G1803" s="1" t="s">
        <v>66</v>
      </c>
      <c r="H1803">
        <v>82035</v>
      </c>
      <c r="I1803">
        <v>1100</v>
      </c>
      <c r="J1803">
        <v>800</v>
      </c>
      <c r="K1803">
        <v>890</v>
      </c>
      <c r="L1803">
        <v>1112</v>
      </c>
    </row>
    <row r="1804" spans="1:12" hidden="1" x14ac:dyDescent="0.25">
      <c r="A1804">
        <v>1803</v>
      </c>
      <c r="B1804" s="1" t="s">
        <v>12</v>
      </c>
      <c r="C1804">
        <v>1949</v>
      </c>
      <c r="D1804" s="1" t="s">
        <v>215</v>
      </c>
      <c r="E1804" s="1" t="s">
        <v>64</v>
      </c>
      <c r="F1804">
        <v>82</v>
      </c>
      <c r="G1804" s="1" t="s">
        <v>65</v>
      </c>
      <c r="H1804">
        <v>82049</v>
      </c>
      <c r="I1804">
        <v>800</v>
      </c>
      <c r="J1804">
        <v>700</v>
      </c>
      <c r="K1804">
        <v>700</v>
      </c>
      <c r="L1804">
        <v>1000</v>
      </c>
    </row>
    <row r="1805" spans="1:12" hidden="1" x14ac:dyDescent="0.25">
      <c r="A1805">
        <v>1804</v>
      </c>
      <c r="B1805" s="1" t="s">
        <v>12</v>
      </c>
      <c r="C1805">
        <v>1949</v>
      </c>
      <c r="D1805" s="1" t="s">
        <v>215</v>
      </c>
      <c r="E1805" s="1" t="s">
        <v>64</v>
      </c>
      <c r="F1805">
        <v>82</v>
      </c>
      <c r="G1805" s="1" t="s">
        <v>62</v>
      </c>
      <c r="H1805">
        <v>82098</v>
      </c>
      <c r="I1805">
        <v>50</v>
      </c>
      <c r="J1805">
        <v>40</v>
      </c>
      <c r="K1805">
        <v>40</v>
      </c>
      <c r="L1805">
        <v>1000</v>
      </c>
    </row>
    <row r="1806" spans="1:12" hidden="1" x14ac:dyDescent="0.25">
      <c r="A1806">
        <v>1805</v>
      </c>
      <c r="B1806" s="1" t="s">
        <v>12</v>
      </c>
      <c r="C1806">
        <v>1949</v>
      </c>
      <c r="D1806" s="1" t="s">
        <v>215</v>
      </c>
      <c r="E1806" s="1" t="s">
        <v>77</v>
      </c>
      <c r="F1806">
        <v>90</v>
      </c>
      <c r="G1806" s="1" t="s">
        <v>78</v>
      </c>
      <c r="H1806">
        <v>90007</v>
      </c>
      <c r="I1806">
        <v>270</v>
      </c>
      <c r="J1806">
        <v>220</v>
      </c>
      <c r="K1806">
        <v>175</v>
      </c>
      <c r="L1806">
        <v>795</v>
      </c>
    </row>
    <row r="1807" spans="1:12" hidden="1" x14ac:dyDescent="0.25">
      <c r="A1807">
        <v>1806</v>
      </c>
      <c r="B1807" s="1" t="s">
        <v>12</v>
      </c>
      <c r="C1807">
        <v>1949</v>
      </c>
      <c r="D1807" s="1" t="s">
        <v>215</v>
      </c>
      <c r="E1807" s="1" t="s">
        <v>77</v>
      </c>
      <c r="F1807">
        <v>90</v>
      </c>
      <c r="G1807" s="1" t="s">
        <v>91</v>
      </c>
      <c r="H1807">
        <v>90014</v>
      </c>
      <c r="I1807">
        <v>130</v>
      </c>
      <c r="J1807">
        <v>100</v>
      </c>
      <c r="K1807">
        <v>80</v>
      </c>
      <c r="L1807">
        <v>800</v>
      </c>
    </row>
    <row r="1808" spans="1:12" hidden="1" x14ac:dyDescent="0.25">
      <c r="A1808">
        <v>1807</v>
      </c>
      <c r="B1808" s="1" t="s">
        <v>12</v>
      </c>
      <c r="C1808">
        <v>1949</v>
      </c>
      <c r="D1808" s="1" t="s">
        <v>215</v>
      </c>
      <c r="E1808" s="1" t="s">
        <v>77</v>
      </c>
      <c r="F1808">
        <v>90</v>
      </c>
      <c r="G1808" s="1" t="s">
        <v>89</v>
      </c>
      <c r="H1808">
        <v>90028</v>
      </c>
      <c r="I1808">
        <v>15</v>
      </c>
      <c r="J1808">
        <v>15</v>
      </c>
      <c r="K1808">
        <v>15</v>
      </c>
      <c r="L1808">
        <v>1000</v>
      </c>
    </row>
    <row r="1809" spans="1:12" hidden="1" x14ac:dyDescent="0.25">
      <c r="A1809">
        <v>1808</v>
      </c>
      <c r="B1809" s="1" t="s">
        <v>12</v>
      </c>
      <c r="C1809">
        <v>1949</v>
      </c>
      <c r="D1809" s="1" t="s">
        <v>215</v>
      </c>
      <c r="E1809" s="1" t="s">
        <v>77</v>
      </c>
      <c r="F1809">
        <v>90</v>
      </c>
      <c r="G1809" s="1" t="s">
        <v>92</v>
      </c>
      <c r="H1809">
        <v>90056</v>
      </c>
      <c r="I1809">
        <v>10</v>
      </c>
      <c r="J1809">
        <v>10</v>
      </c>
      <c r="K1809">
        <v>8</v>
      </c>
      <c r="L1809">
        <v>800</v>
      </c>
    </row>
    <row r="1810" spans="1:12" hidden="1" x14ac:dyDescent="0.25">
      <c r="A1810">
        <v>1809</v>
      </c>
      <c r="B1810" s="1" t="s">
        <v>12</v>
      </c>
      <c r="C1810">
        <v>1949</v>
      </c>
      <c r="D1810" s="1" t="s">
        <v>215</v>
      </c>
      <c r="E1810" s="1" t="s">
        <v>77</v>
      </c>
      <c r="F1810">
        <v>90</v>
      </c>
      <c r="G1810" s="1" t="s">
        <v>90</v>
      </c>
      <c r="H1810">
        <v>90112</v>
      </c>
      <c r="I1810">
        <v>10</v>
      </c>
      <c r="J1810">
        <v>10</v>
      </c>
      <c r="K1810">
        <v>10</v>
      </c>
      <c r="L1810">
        <v>1000</v>
      </c>
    </row>
    <row r="1811" spans="1:12" hidden="1" x14ac:dyDescent="0.25">
      <c r="A1811">
        <v>1810</v>
      </c>
      <c r="B1811" s="1" t="s">
        <v>12</v>
      </c>
      <c r="C1811">
        <v>1950</v>
      </c>
      <c r="D1811" s="1" t="s">
        <v>216</v>
      </c>
      <c r="E1811" s="1" t="s">
        <v>22</v>
      </c>
      <c r="F1811">
        <v>14</v>
      </c>
      <c r="G1811" s="1" t="s">
        <v>183</v>
      </c>
      <c r="H1811">
        <v>14007</v>
      </c>
      <c r="I1811">
        <v>54980</v>
      </c>
      <c r="J1811">
        <v>52000</v>
      </c>
      <c r="K1811">
        <v>51500</v>
      </c>
      <c r="L1811">
        <v>990</v>
      </c>
    </row>
    <row r="1812" spans="1:12" hidden="1" x14ac:dyDescent="0.25">
      <c r="A1812">
        <v>1811</v>
      </c>
      <c r="B1812" s="1" t="s">
        <v>12</v>
      </c>
      <c r="C1812">
        <v>1950</v>
      </c>
      <c r="D1812" s="1" t="s">
        <v>216</v>
      </c>
      <c r="E1812" s="1" t="s">
        <v>22</v>
      </c>
      <c r="F1812">
        <v>14</v>
      </c>
      <c r="G1812" s="1" t="s">
        <v>24</v>
      </c>
      <c r="H1812">
        <v>14119</v>
      </c>
      <c r="I1812">
        <v>25000</v>
      </c>
      <c r="J1812">
        <v>18800</v>
      </c>
      <c r="K1812">
        <v>15870</v>
      </c>
      <c r="L1812">
        <v>844</v>
      </c>
    </row>
    <row r="1813" spans="1:12" hidden="1" x14ac:dyDescent="0.25">
      <c r="A1813">
        <v>1812</v>
      </c>
      <c r="B1813" s="1" t="s">
        <v>12</v>
      </c>
      <c r="C1813">
        <v>1950</v>
      </c>
      <c r="D1813" s="1" t="s">
        <v>216</v>
      </c>
      <c r="E1813" s="1" t="s">
        <v>22</v>
      </c>
      <c r="F1813">
        <v>14</v>
      </c>
      <c r="G1813" s="1" t="s">
        <v>23</v>
      </c>
      <c r="H1813">
        <v>14147</v>
      </c>
      <c r="I1813">
        <v>23000</v>
      </c>
      <c r="J1813">
        <v>19500</v>
      </c>
      <c r="K1813">
        <v>11590</v>
      </c>
      <c r="L1813">
        <v>594</v>
      </c>
    </row>
    <row r="1814" spans="1:12" hidden="1" x14ac:dyDescent="0.25">
      <c r="A1814">
        <v>1813</v>
      </c>
      <c r="B1814" s="1" t="s">
        <v>12</v>
      </c>
      <c r="C1814">
        <v>1950</v>
      </c>
      <c r="D1814" s="1" t="s">
        <v>216</v>
      </c>
      <c r="E1814" s="1" t="s">
        <v>22</v>
      </c>
      <c r="F1814">
        <v>14</v>
      </c>
      <c r="G1814" s="1" t="s">
        <v>97</v>
      </c>
      <c r="H1814">
        <v>14007</v>
      </c>
      <c r="I1814">
        <v>6000</v>
      </c>
      <c r="J1814">
        <v>5000</v>
      </c>
      <c r="K1814">
        <v>4500</v>
      </c>
      <c r="L1814">
        <v>900</v>
      </c>
    </row>
    <row r="1815" spans="1:12" hidden="1" x14ac:dyDescent="0.25">
      <c r="A1815">
        <v>1814</v>
      </c>
      <c r="B1815" s="1" t="s">
        <v>12</v>
      </c>
      <c r="C1815">
        <v>1950</v>
      </c>
      <c r="D1815" s="1" t="s">
        <v>216</v>
      </c>
      <c r="E1815" s="1" t="s">
        <v>22</v>
      </c>
      <c r="F1815">
        <v>14</v>
      </c>
      <c r="G1815" s="1" t="s">
        <v>29</v>
      </c>
      <c r="H1815">
        <v>14098</v>
      </c>
      <c r="I1815">
        <v>5000</v>
      </c>
      <c r="J1815">
        <v>4500</v>
      </c>
      <c r="K1815">
        <v>4500</v>
      </c>
      <c r="L1815">
        <v>1000</v>
      </c>
    </row>
    <row r="1816" spans="1:12" hidden="1" x14ac:dyDescent="0.25">
      <c r="A1816">
        <v>1815</v>
      </c>
      <c r="B1816" s="1" t="s">
        <v>12</v>
      </c>
      <c r="C1816">
        <v>1950</v>
      </c>
      <c r="D1816" s="1" t="s">
        <v>216</v>
      </c>
      <c r="E1816" s="1" t="s">
        <v>22</v>
      </c>
      <c r="F1816">
        <v>14</v>
      </c>
      <c r="G1816" s="1" t="s">
        <v>25</v>
      </c>
      <c r="H1816">
        <v>14105</v>
      </c>
      <c r="I1816">
        <v>1500</v>
      </c>
      <c r="J1816">
        <v>900</v>
      </c>
      <c r="K1816">
        <v>450</v>
      </c>
      <c r="L1816">
        <v>500</v>
      </c>
    </row>
    <row r="1817" spans="1:12" hidden="1" x14ac:dyDescent="0.25">
      <c r="A1817">
        <v>1816</v>
      </c>
      <c r="B1817" s="1" t="s">
        <v>12</v>
      </c>
      <c r="C1817">
        <v>1950</v>
      </c>
      <c r="D1817" s="1" t="s">
        <v>216</v>
      </c>
      <c r="E1817" s="1" t="s">
        <v>22</v>
      </c>
      <c r="F1817">
        <v>14</v>
      </c>
      <c r="G1817" s="1" t="s">
        <v>143</v>
      </c>
      <c r="H1817">
        <v>14056</v>
      </c>
      <c r="I1817">
        <v>1000</v>
      </c>
      <c r="J1817">
        <v>850</v>
      </c>
      <c r="K1817">
        <v>850</v>
      </c>
      <c r="L1817">
        <v>1000</v>
      </c>
    </row>
    <row r="1818" spans="1:12" hidden="1" x14ac:dyDescent="0.25">
      <c r="A1818">
        <v>1817</v>
      </c>
      <c r="B1818" s="1" t="s">
        <v>12</v>
      </c>
      <c r="C1818">
        <v>1950</v>
      </c>
      <c r="D1818" s="1" t="s">
        <v>216</v>
      </c>
      <c r="E1818" s="1" t="s">
        <v>22</v>
      </c>
      <c r="F1818">
        <v>14</v>
      </c>
      <c r="G1818" s="1" t="s">
        <v>28</v>
      </c>
      <c r="H1818">
        <v>14014</v>
      </c>
      <c r="I1818">
        <v>800</v>
      </c>
      <c r="J1818">
        <v>700</v>
      </c>
      <c r="K1818">
        <v>560</v>
      </c>
      <c r="L1818">
        <v>800</v>
      </c>
    </row>
    <row r="1819" spans="1:12" hidden="1" x14ac:dyDescent="0.25">
      <c r="A1819">
        <v>1818</v>
      </c>
      <c r="B1819" s="1" t="s">
        <v>12</v>
      </c>
      <c r="C1819">
        <v>1950</v>
      </c>
      <c r="D1819" s="1" t="s">
        <v>216</v>
      </c>
      <c r="E1819" s="1" t="s">
        <v>22</v>
      </c>
      <c r="F1819">
        <v>14</v>
      </c>
      <c r="G1819" s="1" t="s">
        <v>67</v>
      </c>
      <c r="H1819">
        <v>14140</v>
      </c>
      <c r="I1819">
        <v>400</v>
      </c>
      <c r="J1819">
        <v>200</v>
      </c>
      <c r="K1819">
        <v>80</v>
      </c>
      <c r="L1819">
        <v>400</v>
      </c>
    </row>
    <row r="1820" spans="1:12" hidden="1" x14ac:dyDescent="0.25">
      <c r="A1820">
        <v>1819</v>
      </c>
      <c r="B1820" s="1" t="s">
        <v>12</v>
      </c>
      <c r="C1820">
        <v>1950</v>
      </c>
      <c r="D1820" s="1" t="s">
        <v>216</v>
      </c>
      <c r="E1820" s="1" t="s">
        <v>22</v>
      </c>
      <c r="F1820">
        <v>14</v>
      </c>
      <c r="G1820" s="1" t="s">
        <v>184</v>
      </c>
      <c r="H1820">
        <v>14042</v>
      </c>
      <c r="I1820">
        <v>253</v>
      </c>
      <c r="J1820">
        <v>199</v>
      </c>
      <c r="K1820">
        <v>200</v>
      </c>
      <c r="L1820">
        <v>1005</v>
      </c>
    </row>
    <row r="1821" spans="1:12" hidden="1" x14ac:dyDescent="0.25">
      <c r="A1821">
        <v>1820</v>
      </c>
      <c r="B1821" s="1" t="s">
        <v>12</v>
      </c>
      <c r="C1821">
        <v>1950</v>
      </c>
      <c r="D1821" s="1" t="s">
        <v>216</v>
      </c>
      <c r="E1821" s="1" t="s">
        <v>22</v>
      </c>
      <c r="F1821">
        <v>14</v>
      </c>
      <c r="G1821" s="1" t="s">
        <v>27</v>
      </c>
      <c r="H1821">
        <v>14021</v>
      </c>
      <c r="I1821">
        <v>200</v>
      </c>
      <c r="J1821">
        <v>100</v>
      </c>
      <c r="K1821">
        <v>50</v>
      </c>
      <c r="L1821">
        <v>500</v>
      </c>
    </row>
    <row r="1822" spans="1:12" hidden="1" x14ac:dyDescent="0.25">
      <c r="A1822">
        <v>1821</v>
      </c>
      <c r="B1822" s="1" t="s">
        <v>12</v>
      </c>
      <c r="C1822">
        <v>1950</v>
      </c>
      <c r="D1822" s="1" t="s">
        <v>216</v>
      </c>
      <c r="E1822" s="1" t="s">
        <v>22</v>
      </c>
      <c r="F1822">
        <v>14</v>
      </c>
      <c r="G1822" s="1" t="s">
        <v>171</v>
      </c>
      <c r="H1822">
        <v>14112</v>
      </c>
      <c r="I1822">
        <v>30</v>
      </c>
      <c r="J1822">
        <v>20</v>
      </c>
      <c r="K1822">
        <v>10</v>
      </c>
      <c r="L1822">
        <v>500</v>
      </c>
    </row>
    <row r="1823" spans="1:12" hidden="1" x14ac:dyDescent="0.25">
      <c r="A1823">
        <v>1822</v>
      </c>
      <c r="B1823" s="1" t="s">
        <v>12</v>
      </c>
      <c r="C1823">
        <v>1950</v>
      </c>
      <c r="D1823" s="1" t="s">
        <v>216</v>
      </c>
      <c r="E1823" s="1" t="s">
        <v>22</v>
      </c>
      <c r="F1823">
        <v>14</v>
      </c>
      <c r="G1823" s="1" t="s">
        <v>114</v>
      </c>
      <c r="H1823">
        <v>14168</v>
      </c>
      <c r="I1823">
        <v>30</v>
      </c>
      <c r="J1823">
        <v>25</v>
      </c>
      <c r="K1823">
        <v>12</v>
      </c>
      <c r="L1823">
        <v>480</v>
      </c>
    </row>
    <row r="1824" spans="1:12" hidden="1" x14ac:dyDescent="0.25">
      <c r="A1824">
        <v>1823</v>
      </c>
      <c r="B1824" s="1" t="s">
        <v>12</v>
      </c>
      <c r="C1824">
        <v>1950</v>
      </c>
      <c r="D1824" s="1" t="s">
        <v>216</v>
      </c>
      <c r="E1824" s="1" t="s">
        <v>22</v>
      </c>
      <c r="F1824">
        <v>14</v>
      </c>
      <c r="G1824" s="1" t="s">
        <v>169</v>
      </c>
      <c r="H1824">
        <v>14126</v>
      </c>
      <c r="I1824">
        <v>20</v>
      </c>
      <c r="J1824">
        <v>15</v>
      </c>
      <c r="K1824">
        <v>12</v>
      </c>
      <c r="L1824">
        <v>800</v>
      </c>
    </row>
    <row r="1825" spans="1:12" hidden="1" x14ac:dyDescent="0.25">
      <c r="A1825">
        <v>1824</v>
      </c>
      <c r="B1825" s="1" t="s">
        <v>12</v>
      </c>
      <c r="C1825">
        <v>1950</v>
      </c>
      <c r="D1825" s="1" t="s">
        <v>216</v>
      </c>
      <c r="E1825" s="1" t="s">
        <v>22</v>
      </c>
      <c r="F1825">
        <v>14</v>
      </c>
      <c r="G1825" s="1" t="s">
        <v>186</v>
      </c>
      <c r="H1825">
        <v>14175</v>
      </c>
      <c r="I1825">
        <v>20</v>
      </c>
      <c r="J1825">
        <v>15</v>
      </c>
      <c r="K1825">
        <v>7</v>
      </c>
      <c r="L1825">
        <v>467</v>
      </c>
    </row>
    <row r="1826" spans="1:12" hidden="1" x14ac:dyDescent="0.25">
      <c r="A1826">
        <v>1825</v>
      </c>
      <c r="B1826" s="1" t="s">
        <v>12</v>
      </c>
      <c r="C1826">
        <v>1950</v>
      </c>
      <c r="D1826" s="1" t="s">
        <v>216</v>
      </c>
      <c r="E1826" s="1" t="s">
        <v>22</v>
      </c>
      <c r="F1826">
        <v>14</v>
      </c>
      <c r="G1826" s="1" t="s">
        <v>62</v>
      </c>
      <c r="H1826">
        <v>14133</v>
      </c>
      <c r="I1826">
        <v>10</v>
      </c>
      <c r="J1826">
        <v>8</v>
      </c>
      <c r="K1826">
        <v>6</v>
      </c>
      <c r="L1826">
        <v>750</v>
      </c>
    </row>
    <row r="1827" spans="1:12" hidden="1" x14ac:dyDescent="0.25">
      <c r="A1827">
        <v>1826</v>
      </c>
      <c r="B1827" s="1" t="s">
        <v>12</v>
      </c>
      <c r="C1827">
        <v>1950</v>
      </c>
      <c r="D1827" s="1" t="s">
        <v>216</v>
      </c>
      <c r="E1827" s="1" t="s">
        <v>22</v>
      </c>
      <c r="F1827">
        <v>14</v>
      </c>
      <c r="G1827" s="1" t="s">
        <v>172</v>
      </c>
      <c r="H1827">
        <v>14091</v>
      </c>
      <c r="I1827">
        <v>8</v>
      </c>
      <c r="J1827">
        <v>6</v>
      </c>
      <c r="K1827">
        <v>3</v>
      </c>
      <c r="L1827">
        <v>500</v>
      </c>
    </row>
    <row r="1828" spans="1:12" hidden="1" x14ac:dyDescent="0.25">
      <c r="A1828">
        <v>1827</v>
      </c>
      <c r="B1828" s="1" t="s">
        <v>12</v>
      </c>
      <c r="C1828">
        <v>1950</v>
      </c>
      <c r="D1828" s="1" t="s">
        <v>216</v>
      </c>
      <c r="E1828" s="1" t="s">
        <v>45</v>
      </c>
      <c r="F1828">
        <v>30</v>
      </c>
      <c r="G1828" s="1" t="s">
        <v>46</v>
      </c>
      <c r="H1828">
        <v>30028</v>
      </c>
      <c r="I1828">
        <v>1000</v>
      </c>
      <c r="J1828">
        <v>870</v>
      </c>
      <c r="K1828">
        <v>1132</v>
      </c>
      <c r="L1828">
        <v>1300</v>
      </c>
    </row>
    <row r="1829" spans="1:12" hidden="1" x14ac:dyDescent="0.25">
      <c r="A1829">
        <v>1828</v>
      </c>
      <c r="B1829" s="1" t="s">
        <v>12</v>
      </c>
      <c r="C1829">
        <v>1950</v>
      </c>
      <c r="D1829" s="1" t="s">
        <v>216</v>
      </c>
      <c r="E1829" s="1" t="s">
        <v>45</v>
      </c>
      <c r="F1829">
        <v>30</v>
      </c>
      <c r="G1829" s="1" t="s">
        <v>47</v>
      </c>
      <c r="H1829">
        <v>30015</v>
      </c>
      <c r="I1829">
        <v>150</v>
      </c>
      <c r="J1829">
        <v>130</v>
      </c>
      <c r="K1829">
        <v>156</v>
      </c>
      <c r="L1829">
        <v>1200</v>
      </c>
    </row>
    <row r="1830" spans="1:12" hidden="1" x14ac:dyDescent="0.25">
      <c r="A1830">
        <v>1829</v>
      </c>
      <c r="B1830" s="1" t="s">
        <v>12</v>
      </c>
      <c r="C1830">
        <v>1950</v>
      </c>
      <c r="D1830" s="1" t="s">
        <v>216</v>
      </c>
      <c r="E1830" s="1" t="s">
        <v>45</v>
      </c>
      <c r="F1830">
        <v>30</v>
      </c>
      <c r="G1830" s="1" t="s">
        <v>27</v>
      </c>
      <c r="H1830">
        <v>30008</v>
      </c>
      <c r="I1830">
        <v>25</v>
      </c>
      <c r="J1830">
        <v>20</v>
      </c>
      <c r="K1830">
        <v>12</v>
      </c>
      <c r="L1830">
        <v>600</v>
      </c>
    </row>
    <row r="1831" spans="1:12" hidden="1" x14ac:dyDescent="0.25">
      <c r="A1831">
        <v>1830</v>
      </c>
      <c r="B1831" s="1" t="s">
        <v>12</v>
      </c>
      <c r="C1831">
        <v>1950</v>
      </c>
      <c r="D1831" s="1" t="s">
        <v>216</v>
      </c>
      <c r="E1831" s="1" t="s">
        <v>48</v>
      </c>
      <c r="F1831">
        <v>34</v>
      </c>
      <c r="G1831" s="1" t="s">
        <v>51</v>
      </c>
      <c r="H1831">
        <v>34056</v>
      </c>
      <c r="I1831">
        <v>45</v>
      </c>
      <c r="J1831">
        <v>40</v>
      </c>
      <c r="K1831">
        <v>52</v>
      </c>
      <c r="L1831">
        <v>1300</v>
      </c>
    </row>
    <row r="1832" spans="1:12" hidden="1" x14ac:dyDescent="0.25">
      <c r="A1832">
        <v>1831</v>
      </c>
      <c r="B1832" s="1" t="s">
        <v>12</v>
      </c>
      <c r="C1832">
        <v>1950</v>
      </c>
      <c r="D1832" s="1" t="s">
        <v>216</v>
      </c>
      <c r="E1832" s="1" t="s">
        <v>48</v>
      </c>
      <c r="F1832">
        <v>34</v>
      </c>
      <c r="G1832" s="1" t="s">
        <v>52</v>
      </c>
      <c r="H1832">
        <v>34035</v>
      </c>
      <c r="I1832">
        <v>20</v>
      </c>
      <c r="J1832">
        <v>20</v>
      </c>
      <c r="K1832">
        <v>30</v>
      </c>
      <c r="L1832">
        <v>1500</v>
      </c>
    </row>
    <row r="1833" spans="1:12" hidden="1" x14ac:dyDescent="0.25">
      <c r="A1833">
        <v>1832</v>
      </c>
      <c r="B1833" s="1" t="s">
        <v>12</v>
      </c>
      <c r="C1833">
        <v>1950</v>
      </c>
      <c r="D1833" s="1" t="s">
        <v>216</v>
      </c>
      <c r="E1833" s="1" t="s">
        <v>48</v>
      </c>
      <c r="F1833">
        <v>34</v>
      </c>
      <c r="G1833" s="1" t="s">
        <v>49</v>
      </c>
      <c r="H1833">
        <v>34049</v>
      </c>
      <c r="I1833">
        <v>17</v>
      </c>
      <c r="J1833">
        <v>12</v>
      </c>
      <c r="K1833">
        <v>12</v>
      </c>
      <c r="L1833">
        <v>1000</v>
      </c>
    </row>
    <row r="1834" spans="1:12" hidden="1" x14ac:dyDescent="0.25">
      <c r="A1834">
        <v>1833</v>
      </c>
      <c r="B1834" s="1" t="s">
        <v>12</v>
      </c>
      <c r="C1834">
        <v>1950</v>
      </c>
      <c r="D1834" s="1" t="s">
        <v>216</v>
      </c>
      <c r="E1834" s="1" t="s">
        <v>48</v>
      </c>
      <c r="F1834">
        <v>34</v>
      </c>
      <c r="G1834" s="1" t="s">
        <v>48</v>
      </c>
      <c r="H1834">
        <v>34014</v>
      </c>
      <c r="I1834">
        <v>10</v>
      </c>
      <c r="J1834">
        <v>7</v>
      </c>
      <c r="K1834">
        <v>7</v>
      </c>
      <c r="L1834">
        <v>1000</v>
      </c>
    </row>
    <row r="1835" spans="1:12" hidden="1" x14ac:dyDescent="0.25">
      <c r="A1835">
        <v>1834</v>
      </c>
      <c r="B1835" s="1" t="s">
        <v>12</v>
      </c>
      <c r="C1835">
        <v>1950</v>
      </c>
      <c r="D1835" s="1" t="s">
        <v>216</v>
      </c>
      <c r="E1835" s="1" t="s">
        <v>48</v>
      </c>
      <c r="F1835">
        <v>34</v>
      </c>
      <c r="G1835" s="1" t="s">
        <v>50</v>
      </c>
      <c r="H1835">
        <v>34021</v>
      </c>
      <c r="I1835">
        <v>10</v>
      </c>
      <c r="J1835">
        <v>8</v>
      </c>
      <c r="K1835">
        <v>8</v>
      </c>
      <c r="L1835">
        <v>1000</v>
      </c>
    </row>
    <row r="1836" spans="1:12" hidden="1" x14ac:dyDescent="0.25">
      <c r="A1836">
        <v>1835</v>
      </c>
      <c r="B1836" s="1" t="s">
        <v>12</v>
      </c>
      <c r="C1836">
        <v>1950</v>
      </c>
      <c r="D1836" s="1" t="s">
        <v>216</v>
      </c>
      <c r="E1836" s="1" t="s">
        <v>48</v>
      </c>
      <c r="F1836">
        <v>34</v>
      </c>
      <c r="G1836" s="1" t="s">
        <v>108</v>
      </c>
      <c r="H1836">
        <v>34042</v>
      </c>
      <c r="I1836">
        <v>8</v>
      </c>
      <c r="J1836">
        <v>7</v>
      </c>
      <c r="K1836">
        <v>8</v>
      </c>
      <c r="L1836">
        <v>1143</v>
      </c>
    </row>
    <row r="1837" spans="1:12" hidden="1" x14ac:dyDescent="0.25">
      <c r="A1837">
        <v>1836</v>
      </c>
      <c r="B1837" s="1" t="s">
        <v>12</v>
      </c>
      <c r="C1837">
        <v>1950</v>
      </c>
      <c r="D1837" s="1" t="s">
        <v>216</v>
      </c>
      <c r="E1837" s="1" t="s">
        <v>58</v>
      </c>
      <c r="F1837">
        <v>54</v>
      </c>
      <c r="G1837" s="1" t="s">
        <v>60</v>
      </c>
      <c r="H1837">
        <v>54021</v>
      </c>
      <c r="I1837">
        <v>90</v>
      </c>
      <c r="J1837">
        <v>81</v>
      </c>
      <c r="K1837">
        <v>64</v>
      </c>
      <c r="L1837">
        <v>790</v>
      </c>
    </row>
    <row r="1838" spans="1:12" hidden="1" x14ac:dyDescent="0.25">
      <c r="A1838">
        <v>1837</v>
      </c>
      <c r="B1838" s="1" t="s">
        <v>12</v>
      </c>
      <c r="C1838">
        <v>1950</v>
      </c>
      <c r="D1838" s="1" t="s">
        <v>216</v>
      </c>
      <c r="E1838" s="1" t="s">
        <v>58</v>
      </c>
      <c r="F1838">
        <v>54</v>
      </c>
      <c r="G1838" s="1" t="s">
        <v>62</v>
      </c>
      <c r="H1838">
        <v>54105</v>
      </c>
      <c r="I1838">
        <v>72</v>
      </c>
      <c r="J1838">
        <v>65</v>
      </c>
      <c r="K1838">
        <v>52</v>
      </c>
      <c r="L1838">
        <v>800</v>
      </c>
    </row>
    <row r="1839" spans="1:12" hidden="1" x14ac:dyDescent="0.25">
      <c r="A1839">
        <v>1838</v>
      </c>
      <c r="B1839" s="1" t="s">
        <v>12</v>
      </c>
      <c r="C1839">
        <v>1950</v>
      </c>
      <c r="D1839" s="1" t="s">
        <v>216</v>
      </c>
      <c r="E1839" s="1" t="s">
        <v>58</v>
      </c>
      <c r="F1839">
        <v>54</v>
      </c>
      <c r="G1839" s="1" t="s">
        <v>150</v>
      </c>
      <c r="H1839">
        <v>54014</v>
      </c>
      <c r="I1839">
        <v>60</v>
      </c>
      <c r="J1839">
        <v>54</v>
      </c>
      <c r="K1839">
        <v>54</v>
      </c>
      <c r="L1839">
        <v>1000</v>
      </c>
    </row>
    <row r="1840" spans="1:12" hidden="1" x14ac:dyDescent="0.25">
      <c r="A1840">
        <v>1839</v>
      </c>
      <c r="B1840" s="1" t="s">
        <v>12</v>
      </c>
      <c r="C1840">
        <v>1950</v>
      </c>
      <c r="D1840" s="1" t="s">
        <v>216</v>
      </c>
      <c r="E1840" s="1" t="s">
        <v>58</v>
      </c>
      <c r="F1840">
        <v>54</v>
      </c>
      <c r="G1840" s="1" t="s">
        <v>61</v>
      </c>
      <c r="H1840">
        <v>54098</v>
      </c>
      <c r="I1840">
        <v>50</v>
      </c>
      <c r="J1840">
        <v>45</v>
      </c>
      <c r="K1840">
        <v>36</v>
      </c>
      <c r="L1840">
        <v>800</v>
      </c>
    </row>
    <row r="1841" spans="1:12" hidden="1" x14ac:dyDescent="0.25">
      <c r="A1841">
        <v>1840</v>
      </c>
      <c r="B1841" s="1" t="s">
        <v>12</v>
      </c>
      <c r="C1841">
        <v>1950</v>
      </c>
      <c r="D1841" s="1" t="s">
        <v>216</v>
      </c>
      <c r="E1841" s="1" t="s">
        <v>58</v>
      </c>
      <c r="F1841">
        <v>54</v>
      </c>
      <c r="G1841" s="1" t="s">
        <v>152</v>
      </c>
      <c r="H1841">
        <v>54063</v>
      </c>
      <c r="I1841">
        <v>25</v>
      </c>
      <c r="J1841">
        <v>20</v>
      </c>
      <c r="K1841">
        <v>16</v>
      </c>
      <c r="L1841">
        <v>800</v>
      </c>
    </row>
    <row r="1842" spans="1:12" hidden="1" x14ac:dyDescent="0.25">
      <c r="A1842">
        <v>1841</v>
      </c>
      <c r="B1842" s="1" t="s">
        <v>12</v>
      </c>
      <c r="C1842">
        <v>1950</v>
      </c>
      <c r="D1842" s="1" t="s">
        <v>216</v>
      </c>
      <c r="E1842" s="1" t="s">
        <v>58</v>
      </c>
      <c r="F1842">
        <v>54</v>
      </c>
      <c r="G1842" s="1" t="s">
        <v>59</v>
      </c>
      <c r="H1842">
        <v>54007</v>
      </c>
      <c r="I1842">
        <v>15</v>
      </c>
      <c r="J1842">
        <v>13</v>
      </c>
      <c r="K1842">
        <v>13</v>
      </c>
      <c r="L1842">
        <v>1000</v>
      </c>
    </row>
    <row r="1843" spans="1:12" hidden="1" x14ac:dyDescent="0.25">
      <c r="A1843">
        <v>1842</v>
      </c>
      <c r="B1843" s="1" t="s">
        <v>12</v>
      </c>
      <c r="C1843">
        <v>1950</v>
      </c>
      <c r="D1843" s="1" t="s">
        <v>216</v>
      </c>
      <c r="E1843" s="1" t="s">
        <v>58</v>
      </c>
      <c r="F1843">
        <v>54</v>
      </c>
      <c r="G1843" s="1" t="s">
        <v>63</v>
      </c>
      <c r="H1843">
        <v>54035</v>
      </c>
      <c r="I1843">
        <v>12</v>
      </c>
      <c r="J1843">
        <v>10</v>
      </c>
      <c r="K1843">
        <v>8</v>
      </c>
      <c r="L1843">
        <v>800</v>
      </c>
    </row>
    <row r="1844" spans="1:12" hidden="1" x14ac:dyDescent="0.25">
      <c r="A1844">
        <v>1843</v>
      </c>
      <c r="B1844" s="1" t="s">
        <v>12</v>
      </c>
      <c r="C1844">
        <v>1950</v>
      </c>
      <c r="D1844" s="1" t="s">
        <v>216</v>
      </c>
      <c r="E1844" s="1" t="s">
        <v>58</v>
      </c>
      <c r="F1844">
        <v>54</v>
      </c>
      <c r="G1844" s="1" t="s">
        <v>151</v>
      </c>
      <c r="H1844">
        <v>54056</v>
      </c>
      <c r="I1844">
        <v>10</v>
      </c>
      <c r="J1844">
        <v>8</v>
      </c>
      <c r="K1844">
        <v>8</v>
      </c>
      <c r="L1844">
        <v>1000</v>
      </c>
    </row>
    <row r="1845" spans="1:12" x14ac:dyDescent="0.25">
      <c r="A1845">
        <v>1844</v>
      </c>
      <c r="B1845" s="1" t="s">
        <v>12</v>
      </c>
      <c r="C1845">
        <v>1950</v>
      </c>
      <c r="D1845" s="1" t="s">
        <v>216</v>
      </c>
      <c r="E1845" s="1" t="s">
        <v>58</v>
      </c>
      <c r="F1845">
        <v>54</v>
      </c>
      <c r="G1845" s="1" t="s">
        <v>56</v>
      </c>
      <c r="H1845">
        <v>54112</v>
      </c>
      <c r="I1845">
        <v>5</v>
      </c>
      <c r="J1845">
        <v>5</v>
      </c>
      <c r="K1845">
        <v>4</v>
      </c>
      <c r="L1845">
        <v>800</v>
      </c>
    </row>
    <row r="1846" spans="1:12" hidden="1" x14ac:dyDescent="0.25">
      <c r="A1846">
        <v>1845</v>
      </c>
      <c r="B1846" s="1" t="s">
        <v>12</v>
      </c>
      <c r="C1846">
        <v>1950</v>
      </c>
      <c r="D1846" s="1" t="s">
        <v>216</v>
      </c>
      <c r="E1846" s="1" t="s">
        <v>58</v>
      </c>
      <c r="F1846">
        <v>54</v>
      </c>
      <c r="G1846" s="1" t="s">
        <v>28</v>
      </c>
      <c r="H1846">
        <v>54028</v>
      </c>
      <c r="I1846">
        <v>2</v>
      </c>
    </row>
    <row r="1847" spans="1:12" hidden="1" x14ac:dyDescent="0.25">
      <c r="A1847">
        <v>1846</v>
      </c>
      <c r="B1847" s="1" t="s">
        <v>12</v>
      </c>
      <c r="C1847">
        <v>1950</v>
      </c>
      <c r="D1847" s="1" t="s">
        <v>216</v>
      </c>
      <c r="E1847" s="1" t="s">
        <v>87</v>
      </c>
      <c r="F1847">
        <v>66</v>
      </c>
      <c r="G1847" s="1" t="s">
        <v>141</v>
      </c>
      <c r="H1847">
        <v>66112</v>
      </c>
      <c r="I1847">
        <v>50</v>
      </c>
      <c r="J1847">
        <v>50</v>
      </c>
      <c r="K1847">
        <v>70</v>
      </c>
      <c r="L1847">
        <v>1400</v>
      </c>
    </row>
    <row r="1848" spans="1:12" hidden="1" x14ac:dyDescent="0.25">
      <c r="A1848">
        <v>1847</v>
      </c>
      <c r="B1848" s="1" t="s">
        <v>12</v>
      </c>
      <c r="C1848">
        <v>1950</v>
      </c>
      <c r="D1848" s="1" t="s">
        <v>216</v>
      </c>
      <c r="E1848" s="1" t="s">
        <v>116</v>
      </c>
      <c r="F1848">
        <v>74</v>
      </c>
      <c r="G1848" s="1" t="s">
        <v>126</v>
      </c>
      <c r="H1848">
        <v>74035</v>
      </c>
      <c r="I1848">
        <v>5</v>
      </c>
      <c r="J1848">
        <v>5</v>
      </c>
      <c r="K1848">
        <v>5</v>
      </c>
      <c r="L1848">
        <v>1000</v>
      </c>
    </row>
    <row r="1849" spans="1:12" hidden="1" x14ac:dyDescent="0.25">
      <c r="A1849">
        <v>1848</v>
      </c>
      <c r="B1849" s="1" t="s">
        <v>12</v>
      </c>
      <c r="C1849">
        <v>1950</v>
      </c>
      <c r="D1849" s="1" t="s">
        <v>216</v>
      </c>
      <c r="E1849" s="1" t="s">
        <v>116</v>
      </c>
      <c r="F1849">
        <v>74</v>
      </c>
      <c r="G1849" s="1" t="s">
        <v>118</v>
      </c>
      <c r="H1849">
        <v>74028</v>
      </c>
      <c r="I1849">
        <v>2</v>
      </c>
      <c r="J1849">
        <v>2</v>
      </c>
      <c r="K1849">
        <v>2</v>
      </c>
      <c r="L1849">
        <v>1000</v>
      </c>
    </row>
    <row r="1850" spans="1:12" hidden="1" x14ac:dyDescent="0.25">
      <c r="A1850">
        <v>1849</v>
      </c>
      <c r="B1850" s="1" t="s">
        <v>12</v>
      </c>
      <c r="C1850">
        <v>1950</v>
      </c>
      <c r="D1850" s="1" t="s">
        <v>216</v>
      </c>
      <c r="E1850" s="1" t="s">
        <v>116</v>
      </c>
      <c r="F1850">
        <v>74</v>
      </c>
      <c r="G1850" s="1" t="s">
        <v>117</v>
      </c>
      <c r="H1850">
        <v>74021</v>
      </c>
      <c r="I1850">
        <v>1</v>
      </c>
      <c r="J1850">
        <v>1</v>
      </c>
      <c r="K1850">
        <v>1</v>
      </c>
      <c r="L1850">
        <v>1000</v>
      </c>
    </row>
    <row r="1851" spans="1:12" hidden="1" x14ac:dyDescent="0.25">
      <c r="A1851">
        <v>1850</v>
      </c>
      <c r="B1851" s="1" t="s">
        <v>12</v>
      </c>
      <c r="C1851">
        <v>1950</v>
      </c>
      <c r="D1851" s="1" t="s">
        <v>216</v>
      </c>
      <c r="E1851" s="1" t="s">
        <v>64</v>
      </c>
      <c r="F1851">
        <v>82</v>
      </c>
      <c r="G1851" s="1" t="s">
        <v>66</v>
      </c>
      <c r="H1851">
        <v>82035</v>
      </c>
      <c r="I1851">
        <v>600</v>
      </c>
      <c r="J1851">
        <v>450</v>
      </c>
      <c r="K1851">
        <v>630</v>
      </c>
      <c r="L1851">
        <v>1400</v>
      </c>
    </row>
    <row r="1852" spans="1:12" hidden="1" x14ac:dyDescent="0.25">
      <c r="A1852">
        <v>1851</v>
      </c>
      <c r="B1852" s="1" t="s">
        <v>12</v>
      </c>
      <c r="C1852">
        <v>1950</v>
      </c>
      <c r="D1852" s="1" t="s">
        <v>216</v>
      </c>
      <c r="E1852" s="1" t="s">
        <v>64</v>
      </c>
      <c r="F1852">
        <v>82</v>
      </c>
      <c r="G1852" s="1" t="s">
        <v>65</v>
      </c>
      <c r="H1852">
        <v>82049</v>
      </c>
      <c r="I1852">
        <v>500</v>
      </c>
      <c r="J1852">
        <v>450</v>
      </c>
      <c r="K1852">
        <v>570</v>
      </c>
      <c r="L1852">
        <v>1267</v>
      </c>
    </row>
    <row r="1853" spans="1:12" hidden="1" x14ac:dyDescent="0.25">
      <c r="A1853">
        <v>1852</v>
      </c>
      <c r="B1853" s="1" t="s">
        <v>12</v>
      </c>
      <c r="C1853">
        <v>1950</v>
      </c>
      <c r="D1853" s="1" t="s">
        <v>216</v>
      </c>
      <c r="E1853" s="1" t="s">
        <v>77</v>
      </c>
      <c r="F1853">
        <v>90</v>
      </c>
      <c r="G1853" s="1" t="s">
        <v>78</v>
      </c>
      <c r="H1853">
        <v>90007</v>
      </c>
      <c r="I1853">
        <v>50</v>
      </c>
      <c r="J1853">
        <v>30</v>
      </c>
      <c r="K1853">
        <v>21</v>
      </c>
      <c r="L1853">
        <v>700</v>
      </c>
    </row>
    <row r="1854" spans="1:12" hidden="1" x14ac:dyDescent="0.25">
      <c r="A1854">
        <v>1853</v>
      </c>
      <c r="B1854" s="1" t="s">
        <v>12</v>
      </c>
      <c r="C1854">
        <v>1950</v>
      </c>
      <c r="D1854" s="1" t="s">
        <v>216</v>
      </c>
      <c r="E1854" s="1" t="s">
        <v>77</v>
      </c>
      <c r="F1854">
        <v>90</v>
      </c>
      <c r="G1854" s="1" t="s">
        <v>91</v>
      </c>
      <c r="H1854">
        <v>90014</v>
      </c>
      <c r="I1854">
        <v>50</v>
      </c>
      <c r="J1854">
        <v>26</v>
      </c>
      <c r="K1854">
        <v>18</v>
      </c>
      <c r="L1854">
        <v>692</v>
      </c>
    </row>
    <row r="1855" spans="1:12" hidden="1" x14ac:dyDescent="0.25">
      <c r="A1855">
        <v>1854</v>
      </c>
      <c r="B1855" s="1" t="s">
        <v>12</v>
      </c>
      <c r="C1855">
        <v>1950</v>
      </c>
      <c r="D1855" s="1" t="s">
        <v>216</v>
      </c>
      <c r="E1855" s="1" t="s">
        <v>77</v>
      </c>
      <c r="F1855">
        <v>90</v>
      </c>
      <c r="G1855" s="1" t="s">
        <v>89</v>
      </c>
      <c r="H1855">
        <v>90028</v>
      </c>
      <c r="I1855">
        <v>5</v>
      </c>
      <c r="J1855">
        <v>4</v>
      </c>
      <c r="K1855">
        <v>4</v>
      </c>
      <c r="L1855">
        <v>1000</v>
      </c>
    </row>
    <row r="1856" spans="1:12" hidden="1" x14ac:dyDescent="0.25">
      <c r="A1856">
        <v>1855</v>
      </c>
      <c r="B1856" s="1" t="s">
        <v>12</v>
      </c>
      <c r="C1856">
        <v>1950</v>
      </c>
      <c r="D1856" s="1" t="s">
        <v>216</v>
      </c>
      <c r="E1856" s="1" t="s">
        <v>77</v>
      </c>
      <c r="F1856">
        <v>90</v>
      </c>
      <c r="G1856" s="1" t="s">
        <v>92</v>
      </c>
      <c r="H1856">
        <v>90056</v>
      </c>
      <c r="I1856">
        <v>5</v>
      </c>
      <c r="J1856">
        <v>5</v>
      </c>
      <c r="K1856">
        <v>4</v>
      </c>
      <c r="L1856">
        <v>800</v>
      </c>
    </row>
    <row r="1857" spans="1:12" hidden="1" x14ac:dyDescent="0.25">
      <c r="A1857">
        <v>1856</v>
      </c>
      <c r="B1857" s="1" t="s">
        <v>12</v>
      </c>
      <c r="C1857">
        <v>1950</v>
      </c>
      <c r="D1857" s="1" t="s">
        <v>216</v>
      </c>
      <c r="E1857" s="1" t="s">
        <v>77</v>
      </c>
      <c r="F1857">
        <v>90</v>
      </c>
      <c r="G1857" s="1" t="s">
        <v>90</v>
      </c>
      <c r="H1857">
        <v>90112</v>
      </c>
      <c r="I1857">
        <v>5</v>
      </c>
      <c r="J1857">
        <v>4</v>
      </c>
      <c r="K1857">
        <v>3</v>
      </c>
      <c r="L1857">
        <v>750</v>
      </c>
    </row>
    <row r="1858" spans="1:12" hidden="1" x14ac:dyDescent="0.25">
      <c r="A1858">
        <v>1857</v>
      </c>
      <c r="B1858" s="1" t="s">
        <v>12</v>
      </c>
      <c r="C1858">
        <v>1951</v>
      </c>
      <c r="D1858" s="1" t="s">
        <v>217</v>
      </c>
      <c r="E1858" s="1" t="s">
        <v>22</v>
      </c>
      <c r="F1858">
        <v>14</v>
      </c>
      <c r="G1858" s="1" t="s">
        <v>183</v>
      </c>
      <c r="H1858">
        <v>14007</v>
      </c>
      <c r="I1858">
        <v>70000</v>
      </c>
      <c r="J1858">
        <v>68600</v>
      </c>
      <c r="K1858">
        <v>82300</v>
      </c>
      <c r="L1858">
        <v>1200</v>
      </c>
    </row>
    <row r="1859" spans="1:12" hidden="1" x14ac:dyDescent="0.25">
      <c r="A1859">
        <v>1858</v>
      </c>
      <c r="B1859" s="1" t="s">
        <v>12</v>
      </c>
      <c r="C1859">
        <v>1951</v>
      </c>
      <c r="D1859" s="1" t="s">
        <v>217</v>
      </c>
      <c r="E1859" s="1" t="s">
        <v>22</v>
      </c>
      <c r="F1859">
        <v>14</v>
      </c>
      <c r="G1859" s="1" t="s">
        <v>24</v>
      </c>
      <c r="H1859">
        <v>14119</v>
      </c>
      <c r="I1859">
        <v>44200</v>
      </c>
      <c r="J1859">
        <v>35300</v>
      </c>
      <c r="K1859">
        <v>35300</v>
      </c>
      <c r="L1859">
        <v>1000</v>
      </c>
    </row>
    <row r="1860" spans="1:12" hidden="1" x14ac:dyDescent="0.25">
      <c r="A1860">
        <v>1859</v>
      </c>
      <c r="B1860" s="1" t="s">
        <v>12</v>
      </c>
      <c r="C1860">
        <v>1951</v>
      </c>
      <c r="D1860" s="1" t="s">
        <v>217</v>
      </c>
      <c r="E1860" s="1" t="s">
        <v>22</v>
      </c>
      <c r="F1860">
        <v>14</v>
      </c>
      <c r="G1860" s="1" t="s">
        <v>23</v>
      </c>
      <c r="H1860">
        <v>14147</v>
      </c>
      <c r="I1860">
        <v>30000</v>
      </c>
      <c r="J1860">
        <v>25000</v>
      </c>
      <c r="K1860">
        <v>25000</v>
      </c>
      <c r="L1860">
        <v>1000</v>
      </c>
    </row>
    <row r="1861" spans="1:12" hidden="1" x14ac:dyDescent="0.25">
      <c r="A1861">
        <v>1860</v>
      </c>
      <c r="B1861" s="1" t="s">
        <v>12</v>
      </c>
      <c r="C1861">
        <v>1951</v>
      </c>
      <c r="D1861" s="1" t="s">
        <v>217</v>
      </c>
      <c r="E1861" s="1" t="s">
        <v>22</v>
      </c>
      <c r="F1861">
        <v>14</v>
      </c>
      <c r="G1861" s="1" t="s">
        <v>97</v>
      </c>
      <c r="H1861">
        <v>14007</v>
      </c>
      <c r="I1861">
        <v>5000</v>
      </c>
      <c r="J1861">
        <v>4200</v>
      </c>
      <c r="K1861">
        <v>4200</v>
      </c>
      <c r="L1861">
        <v>1000</v>
      </c>
    </row>
    <row r="1862" spans="1:12" hidden="1" x14ac:dyDescent="0.25">
      <c r="A1862">
        <v>1861</v>
      </c>
      <c r="B1862" s="1" t="s">
        <v>12</v>
      </c>
      <c r="C1862">
        <v>1951</v>
      </c>
      <c r="D1862" s="1" t="s">
        <v>217</v>
      </c>
      <c r="E1862" s="1" t="s">
        <v>22</v>
      </c>
      <c r="F1862">
        <v>14</v>
      </c>
      <c r="G1862" s="1" t="s">
        <v>29</v>
      </c>
      <c r="H1862">
        <v>14098</v>
      </c>
      <c r="I1862">
        <v>4200</v>
      </c>
      <c r="J1862">
        <v>3200</v>
      </c>
      <c r="K1862">
        <v>3520</v>
      </c>
      <c r="L1862">
        <v>1100</v>
      </c>
    </row>
    <row r="1863" spans="1:12" hidden="1" x14ac:dyDescent="0.25">
      <c r="A1863">
        <v>1862</v>
      </c>
      <c r="B1863" s="1" t="s">
        <v>12</v>
      </c>
      <c r="C1863">
        <v>1951</v>
      </c>
      <c r="D1863" s="1" t="s">
        <v>217</v>
      </c>
      <c r="E1863" s="1" t="s">
        <v>22</v>
      </c>
      <c r="F1863">
        <v>14</v>
      </c>
      <c r="G1863" s="1" t="s">
        <v>28</v>
      </c>
      <c r="H1863">
        <v>14014</v>
      </c>
      <c r="I1863">
        <v>1500</v>
      </c>
      <c r="J1863">
        <v>1000</v>
      </c>
      <c r="K1863">
        <v>900</v>
      </c>
      <c r="L1863">
        <v>900</v>
      </c>
    </row>
    <row r="1864" spans="1:12" hidden="1" x14ac:dyDescent="0.25">
      <c r="A1864">
        <v>1863</v>
      </c>
      <c r="B1864" s="1" t="s">
        <v>12</v>
      </c>
      <c r="C1864">
        <v>1951</v>
      </c>
      <c r="D1864" s="1" t="s">
        <v>217</v>
      </c>
      <c r="E1864" s="1" t="s">
        <v>22</v>
      </c>
      <c r="F1864">
        <v>14</v>
      </c>
      <c r="G1864" s="1" t="s">
        <v>143</v>
      </c>
      <c r="H1864">
        <v>14056</v>
      </c>
      <c r="I1864">
        <v>800</v>
      </c>
      <c r="J1864">
        <v>600</v>
      </c>
      <c r="K1864">
        <v>540</v>
      </c>
      <c r="L1864">
        <v>900</v>
      </c>
    </row>
    <row r="1865" spans="1:12" hidden="1" x14ac:dyDescent="0.25">
      <c r="A1865">
        <v>1864</v>
      </c>
      <c r="B1865" s="1" t="s">
        <v>12</v>
      </c>
      <c r="C1865">
        <v>1951</v>
      </c>
      <c r="D1865" s="1" t="s">
        <v>217</v>
      </c>
      <c r="E1865" s="1" t="s">
        <v>22</v>
      </c>
      <c r="F1865">
        <v>14</v>
      </c>
      <c r="G1865" s="1" t="s">
        <v>25</v>
      </c>
      <c r="H1865">
        <v>14105</v>
      </c>
      <c r="I1865">
        <v>600</v>
      </c>
      <c r="J1865">
        <v>423</v>
      </c>
      <c r="K1865">
        <v>337</v>
      </c>
      <c r="L1865">
        <v>797</v>
      </c>
    </row>
    <row r="1866" spans="1:12" hidden="1" x14ac:dyDescent="0.25">
      <c r="A1866">
        <v>1865</v>
      </c>
      <c r="B1866" s="1" t="s">
        <v>12</v>
      </c>
      <c r="C1866">
        <v>1951</v>
      </c>
      <c r="D1866" s="1" t="s">
        <v>217</v>
      </c>
      <c r="E1866" s="1" t="s">
        <v>22</v>
      </c>
      <c r="F1866">
        <v>14</v>
      </c>
      <c r="G1866" s="1" t="s">
        <v>27</v>
      </c>
      <c r="H1866">
        <v>14021</v>
      </c>
      <c r="I1866">
        <v>500</v>
      </c>
      <c r="J1866">
        <v>400</v>
      </c>
      <c r="K1866">
        <v>320</v>
      </c>
      <c r="L1866">
        <v>800</v>
      </c>
    </row>
    <row r="1867" spans="1:12" hidden="1" x14ac:dyDescent="0.25">
      <c r="A1867">
        <v>1866</v>
      </c>
      <c r="B1867" s="1" t="s">
        <v>12</v>
      </c>
      <c r="C1867">
        <v>1951</v>
      </c>
      <c r="D1867" s="1" t="s">
        <v>217</v>
      </c>
      <c r="E1867" s="1" t="s">
        <v>22</v>
      </c>
      <c r="F1867">
        <v>14</v>
      </c>
      <c r="G1867" s="1" t="s">
        <v>184</v>
      </c>
      <c r="H1867">
        <v>14042</v>
      </c>
      <c r="I1867">
        <v>250</v>
      </c>
      <c r="J1867">
        <v>225</v>
      </c>
      <c r="K1867">
        <v>225</v>
      </c>
      <c r="L1867">
        <v>1000</v>
      </c>
    </row>
    <row r="1868" spans="1:12" hidden="1" x14ac:dyDescent="0.25">
      <c r="A1868">
        <v>1867</v>
      </c>
      <c r="B1868" s="1" t="s">
        <v>12</v>
      </c>
      <c r="C1868">
        <v>1951</v>
      </c>
      <c r="D1868" s="1" t="s">
        <v>217</v>
      </c>
      <c r="E1868" s="1" t="s">
        <v>22</v>
      </c>
      <c r="F1868">
        <v>14</v>
      </c>
      <c r="G1868" s="1" t="s">
        <v>67</v>
      </c>
      <c r="H1868">
        <v>14140</v>
      </c>
      <c r="I1868">
        <v>200</v>
      </c>
      <c r="J1868">
        <v>140</v>
      </c>
      <c r="K1868">
        <v>112</v>
      </c>
      <c r="L1868">
        <v>800</v>
      </c>
    </row>
    <row r="1869" spans="1:12" hidden="1" x14ac:dyDescent="0.25">
      <c r="A1869">
        <v>1868</v>
      </c>
      <c r="B1869" s="1" t="s">
        <v>12</v>
      </c>
      <c r="C1869">
        <v>1951</v>
      </c>
      <c r="D1869" s="1" t="s">
        <v>217</v>
      </c>
      <c r="E1869" s="1" t="s">
        <v>22</v>
      </c>
      <c r="F1869">
        <v>14</v>
      </c>
      <c r="G1869" s="1" t="s">
        <v>169</v>
      </c>
      <c r="H1869">
        <v>14126</v>
      </c>
      <c r="I1869">
        <v>30</v>
      </c>
      <c r="J1869">
        <v>15</v>
      </c>
      <c r="K1869">
        <v>12</v>
      </c>
      <c r="L1869">
        <v>800</v>
      </c>
    </row>
    <row r="1870" spans="1:12" hidden="1" x14ac:dyDescent="0.25">
      <c r="A1870">
        <v>1869</v>
      </c>
      <c r="B1870" s="1" t="s">
        <v>12</v>
      </c>
      <c r="C1870">
        <v>1951</v>
      </c>
      <c r="D1870" s="1" t="s">
        <v>217</v>
      </c>
      <c r="E1870" s="1" t="s">
        <v>22</v>
      </c>
      <c r="F1870">
        <v>14</v>
      </c>
      <c r="G1870" s="1" t="s">
        <v>114</v>
      </c>
      <c r="H1870">
        <v>14168</v>
      </c>
      <c r="I1870">
        <v>30</v>
      </c>
      <c r="J1870">
        <v>10</v>
      </c>
      <c r="K1870">
        <v>7</v>
      </c>
      <c r="L1870">
        <v>700</v>
      </c>
    </row>
    <row r="1871" spans="1:12" hidden="1" x14ac:dyDescent="0.25">
      <c r="A1871">
        <v>1870</v>
      </c>
      <c r="B1871" s="1" t="s">
        <v>12</v>
      </c>
      <c r="C1871">
        <v>1951</v>
      </c>
      <c r="D1871" s="1" t="s">
        <v>217</v>
      </c>
      <c r="E1871" s="1" t="s">
        <v>22</v>
      </c>
      <c r="F1871">
        <v>14</v>
      </c>
      <c r="G1871" s="1" t="s">
        <v>172</v>
      </c>
      <c r="H1871">
        <v>14091</v>
      </c>
      <c r="I1871">
        <v>20</v>
      </c>
      <c r="J1871">
        <v>10</v>
      </c>
      <c r="K1871">
        <v>8</v>
      </c>
      <c r="L1871">
        <v>800</v>
      </c>
    </row>
    <row r="1872" spans="1:12" hidden="1" x14ac:dyDescent="0.25">
      <c r="A1872">
        <v>1871</v>
      </c>
      <c r="B1872" s="1" t="s">
        <v>12</v>
      </c>
      <c r="C1872">
        <v>1951</v>
      </c>
      <c r="D1872" s="1" t="s">
        <v>217</v>
      </c>
      <c r="E1872" s="1" t="s">
        <v>22</v>
      </c>
      <c r="F1872">
        <v>14</v>
      </c>
      <c r="G1872" s="1" t="s">
        <v>62</v>
      </c>
      <c r="H1872">
        <v>14133</v>
      </c>
      <c r="I1872">
        <v>20</v>
      </c>
      <c r="J1872">
        <v>10</v>
      </c>
      <c r="K1872">
        <v>8</v>
      </c>
      <c r="L1872">
        <v>800</v>
      </c>
    </row>
    <row r="1873" spans="1:12" hidden="1" x14ac:dyDescent="0.25">
      <c r="A1873">
        <v>1872</v>
      </c>
      <c r="B1873" s="1" t="s">
        <v>12</v>
      </c>
      <c r="C1873">
        <v>1951</v>
      </c>
      <c r="D1873" s="1" t="s">
        <v>217</v>
      </c>
      <c r="E1873" s="1" t="s">
        <v>22</v>
      </c>
      <c r="F1873">
        <v>14</v>
      </c>
      <c r="G1873" s="1" t="s">
        <v>186</v>
      </c>
      <c r="H1873">
        <v>14175</v>
      </c>
      <c r="I1873">
        <v>20</v>
      </c>
      <c r="J1873">
        <v>10</v>
      </c>
      <c r="K1873">
        <v>7</v>
      </c>
      <c r="L1873">
        <v>700</v>
      </c>
    </row>
    <row r="1874" spans="1:12" hidden="1" x14ac:dyDescent="0.25">
      <c r="A1874">
        <v>1873</v>
      </c>
      <c r="B1874" s="1" t="s">
        <v>12</v>
      </c>
      <c r="C1874">
        <v>1951</v>
      </c>
      <c r="D1874" s="1" t="s">
        <v>217</v>
      </c>
      <c r="E1874" s="1" t="s">
        <v>22</v>
      </c>
      <c r="F1874">
        <v>14</v>
      </c>
      <c r="G1874" s="1" t="s">
        <v>173</v>
      </c>
      <c r="H1874">
        <v>14028</v>
      </c>
      <c r="I1874">
        <v>10</v>
      </c>
      <c r="J1874">
        <v>5</v>
      </c>
      <c r="K1874">
        <v>3</v>
      </c>
      <c r="L1874">
        <v>600</v>
      </c>
    </row>
    <row r="1875" spans="1:12" hidden="1" x14ac:dyDescent="0.25">
      <c r="A1875">
        <v>1874</v>
      </c>
      <c r="B1875" s="1" t="s">
        <v>12</v>
      </c>
      <c r="C1875">
        <v>1951</v>
      </c>
      <c r="D1875" s="1" t="s">
        <v>217</v>
      </c>
      <c r="E1875" s="1" t="s">
        <v>22</v>
      </c>
      <c r="F1875">
        <v>14</v>
      </c>
      <c r="G1875" s="1" t="s">
        <v>171</v>
      </c>
      <c r="H1875">
        <v>14112</v>
      </c>
      <c r="I1875">
        <v>10</v>
      </c>
      <c r="J1875">
        <v>2</v>
      </c>
      <c r="K1875">
        <v>1</v>
      </c>
      <c r="L1875">
        <v>500</v>
      </c>
    </row>
    <row r="1876" spans="1:12" hidden="1" x14ac:dyDescent="0.25">
      <c r="A1876">
        <v>1875</v>
      </c>
      <c r="B1876" s="1" t="s">
        <v>12</v>
      </c>
      <c r="C1876">
        <v>1951</v>
      </c>
      <c r="D1876" s="1" t="s">
        <v>217</v>
      </c>
      <c r="E1876" s="1" t="s">
        <v>30</v>
      </c>
      <c r="F1876">
        <v>18</v>
      </c>
      <c r="G1876" s="1" t="s">
        <v>32</v>
      </c>
      <c r="H1876">
        <v>18112</v>
      </c>
      <c r="I1876">
        <v>384</v>
      </c>
      <c r="J1876">
        <v>304</v>
      </c>
      <c r="K1876">
        <v>269</v>
      </c>
      <c r="L1876">
        <v>885</v>
      </c>
    </row>
    <row r="1877" spans="1:12" hidden="1" x14ac:dyDescent="0.25">
      <c r="A1877">
        <v>1876</v>
      </c>
      <c r="B1877" s="1" t="s">
        <v>12</v>
      </c>
      <c r="C1877">
        <v>1951</v>
      </c>
      <c r="D1877" s="1" t="s">
        <v>217</v>
      </c>
      <c r="E1877" s="1" t="s">
        <v>30</v>
      </c>
      <c r="F1877">
        <v>18</v>
      </c>
      <c r="G1877" s="1" t="s">
        <v>41</v>
      </c>
      <c r="H1877">
        <v>18140</v>
      </c>
      <c r="I1877">
        <v>80</v>
      </c>
      <c r="J1877">
        <v>60</v>
      </c>
      <c r="K1877">
        <v>57</v>
      </c>
      <c r="L1877">
        <v>950</v>
      </c>
    </row>
    <row r="1878" spans="1:12" hidden="1" x14ac:dyDescent="0.25">
      <c r="A1878">
        <v>1877</v>
      </c>
      <c r="B1878" s="1" t="s">
        <v>12</v>
      </c>
      <c r="C1878">
        <v>1951</v>
      </c>
      <c r="D1878" s="1" t="s">
        <v>217</v>
      </c>
      <c r="E1878" s="1" t="s">
        <v>30</v>
      </c>
      <c r="F1878">
        <v>18</v>
      </c>
      <c r="G1878" s="1" t="s">
        <v>34</v>
      </c>
      <c r="H1878">
        <v>18042</v>
      </c>
      <c r="I1878">
        <v>70</v>
      </c>
      <c r="J1878">
        <v>55</v>
      </c>
      <c r="K1878">
        <v>50</v>
      </c>
      <c r="L1878">
        <v>909</v>
      </c>
    </row>
    <row r="1879" spans="1:12" hidden="1" x14ac:dyDescent="0.25">
      <c r="A1879">
        <v>1878</v>
      </c>
      <c r="B1879" s="1" t="s">
        <v>12</v>
      </c>
      <c r="C1879">
        <v>1951</v>
      </c>
      <c r="D1879" s="1" t="s">
        <v>217</v>
      </c>
      <c r="E1879" s="1" t="s">
        <v>30</v>
      </c>
      <c r="F1879">
        <v>18</v>
      </c>
      <c r="G1879" s="1" t="s">
        <v>28</v>
      </c>
      <c r="H1879">
        <v>18021</v>
      </c>
      <c r="I1879">
        <v>20</v>
      </c>
      <c r="J1879">
        <v>16</v>
      </c>
      <c r="K1879">
        <v>16</v>
      </c>
      <c r="L1879">
        <v>1000</v>
      </c>
    </row>
    <row r="1880" spans="1:12" hidden="1" x14ac:dyDescent="0.25">
      <c r="A1880">
        <v>1879</v>
      </c>
      <c r="B1880" s="1" t="s">
        <v>12</v>
      </c>
      <c r="C1880">
        <v>1951</v>
      </c>
      <c r="D1880" s="1" t="s">
        <v>217</v>
      </c>
      <c r="E1880" s="1" t="s">
        <v>30</v>
      </c>
      <c r="F1880">
        <v>18</v>
      </c>
      <c r="G1880" s="1" t="s">
        <v>40</v>
      </c>
      <c r="H1880">
        <v>18126</v>
      </c>
      <c r="I1880">
        <v>19</v>
      </c>
      <c r="J1880">
        <v>15</v>
      </c>
      <c r="K1880">
        <v>9</v>
      </c>
      <c r="L1880">
        <v>600</v>
      </c>
    </row>
    <row r="1881" spans="1:12" hidden="1" x14ac:dyDescent="0.25">
      <c r="A1881">
        <v>1880</v>
      </c>
      <c r="B1881" s="1" t="s">
        <v>12</v>
      </c>
      <c r="C1881">
        <v>1951</v>
      </c>
      <c r="D1881" s="1" t="s">
        <v>217</v>
      </c>
      <c r="E1881" s="1" t="s">
        <v>30</v>
      </c>
      <c r="F1881">
        <v>18</v>
      </c>
      <c r="G1881" s="1" t="s">
        <v>63</v>
      </c>
      <c r="H1881">
        <v>18028</v>
      </c>
      <c r="I1881">
        <v>15</v>
      </c>
      <c r="J1881">
        <v>12</v>
      </c>
      <c r="K1881">
        <v>11</v>
      </c>
      <c r="L1881">
        <v>917</v>
      </c>
    </row>
    <row r="1882" spans="1:12" hidden="1" x14ac:dyDescent="0.25">
      <c r="A1882">
        <v>1881</v>
      </c>
      <c r="B1882" s="1" t="s">
        <v>12</v>
      </c>
      <c r="C1882">
        <v>1951</v>
      </c>
      <c r="D1882" s="1" t="s">
        <v>217</v>
      </c>
      <c r="E1882" s="1" t="s">
        <v>30</v>
      </c>
      <c r="F1882">
        <v>18</v>
      </c>
      <c r="G1882" s="1" t="s">
        <v>99</v>
      </c>
      <c r="H1882">
        <v>18063</v>
      </c>
      <c r="I1882">
        <v>15</v>
      </c>
      <c r="J1882">
        <v>13</v>
      </c>
      <c r="K1882">
        <v>14</v>
      </c>
      <c r="L1882">
        <v>1077</v>
      </c>
    </row>
    <row r="1883" spans="1:12" hidden="1" x14ac:dyDescent="0.25">
      <c r="A1883">
        <v>1882</v>
      </c>
      <c r="B1883" s="1" t="s">
        <v>12</v>
      </c>
      <c r="C1883">
        <v>1951</v>
      </c>
      <c r="D1883" s="1" t="s">
        <v>217</v>
      </c>
      <c r="E1883" s="1" t="s">
        <v>30</v>
      </c>
      <c r="F1883">
        <v>18</v>
      </c>
      <c r="G1883" s="1" t="s">
        <v>36</v>
      </c>
      <c r="H1883">
        <v>18133</v>
      </c>
      <c r="I1883">
        <v>15</v>
      </c>
      <c r="J1883">
        <v>11</v>
      </c>
      <c r="K1883">
        <v>10</v>
      </c>
      <c r="L1883">
        <v>909</v>
      </c>
    </row>
    <row r="1884" spans="1:12" hidden="1" x14ac:dyDescent="0.25">
      <c r="A1884">
        <v>1883</v>
      </c>
      <c r="B1884" s="1" t="s">
        <v>12</v>
      </c>
      <c r="C1884">
        <v>1951</v>
      </c>
      <c r="D1884" s="1" t="s">
        <v>217</v>
      </c>
      <c r="E1884" s="1" t="s">
        <v>30</v>
      </c>
      <c r="F1884">
        <v>18</v>
      </c>
      <c r="G1884" s="1" t="s">
        <v>102</v>
      </c>
      <c r="H1884">
        <v>18014</v>
      </c>
      <c r="I1884">
        <v>10</v>
      </c>
      <c r="J1884">
        <v>8</v>
      </c>
      <c r="K1884">
        <v>6</v>
      </c>
      <c r="L1884">
        <v>750</v>
      </c>
    </row>
    <row r="1885" spans="1:12" hidden="1" x14ac:dyDescent="0.25">
      <c r="A1885">
        <v>1884</v>
      </c>
      <c r="B1885" s="1" t="s">
        <v>12</v>
      </c>
      <c r="C1885">
        <v>1951</v>
      </c>
      <c r="D1885" s="1" t="s">
        <v>217</v>
      </c>
      <c r="E1885" s="1" t="s">
        <v>30</v>
      </c>
      <c r="F1885">
        <v>18</v>
      </c>
      <c r="G1885" s="1" t="s">
        <v>42</v>
      </c>
      <c r="H1885">
        <v>18035</v>
      </c>
      <c r="I1885">
        <v>10</v>
      </c>
      <c r="J1885">
        <v>8</v>
      </c>
      <c r="K1885">
        <v>7</v>
      </c>
      <c r="L1885">
        <v>875</v>
      </c>
    </row>
    <row r="1886" spans="1:12" hidden="1" x14ac:dyDescent="0.25">
      <c r="A1886">
        <v>1885</v>
      </c>
      <c r="B1886" s="1" t="s">
        <v>12</v>
      </c>
      <c r="C1886">
        <v>1951</v>
      </c>
      <c r="D1886" s="1" t="s">
        <v>217</v>
      </c>
      <c r="E1886" s="1" t="s">
        <v>30</v>
      </c>
      <c r="F1886">
        <v>18</v>
      </c>
      <c r="G1886" s="1" t="s">
        <v>39</v>
      </c>
      <c r="H1886">
        <v>18084</v>
      </c>
      <c r="I1886">
        <v>10</v>
      </c>
      <c r="J1886">
        <v>5</v>
      </c>
      <c r="K1886">
        <v>5</v>
      </c>
      <c r="L1886">
        <v>1000</v>
      </c>
    </row>
    <row r="1887" spans="1:12" hidden="1" x14ac:dyDescent="0.25">
      <c r="A1887">
        <v>1886</v>
      </c>
      <c r="B1887" s="1" t="s">
        <v>12</v>
      </c>
      <c r="C1887">
        <v>1951</v>
      </c>
      <c r="D1887" s="1" t="s">
        <v>217</v>
      </c>
      <c r="E1887" s="1" t="s">
        <v>30</v>
      </c>
      <c r="F1887">
        <v>18</v>
      </c>
      <c r="G1887" s="1" t="s">
        <v>103</v>
      </c>
      <c r="H1887">
        <v>18154</v>
      </c>
      <c r="I1887">
        <v>10</v>
      </c>
      <c r="J1887">
        <v>8</v>
      </c>
      <c r="K1887">
        <v>7</v>
      </c>
      <c r="L1887">
        <v>875</v>
      </c>
    </row>
    <row r="1888" spans="1:12" hidden="1" x14ac:dyDescent="0.25">
      <c r="A1888">
        <v>1887</v>
      </c>
      <c r="B1888" s="1" t="s">
        <v>12</v>
      </c>
      <c r="C1888">
        <v>1951</v>
      </c>
      <c r="D1888" s="1" t="s">
        <v>217</v>
      </c>
      <c r="E1888" s="1" t="s">
        <v>30</v>
      </c>
      <c r="F1888">
        <v>18</v>
      </c>
      <c r="G1888" s="1" t="s">
        <v>98</v>
      </c>
      <c r="H1888">
        <v>18098</v>
      </c>
      <c r="I1888">
        <v>8</v>
      </c>
      <c r="J1888">
        <v>6</v>
      </c>
      <c r="K1888">
        <v>5</v>
      </c>
      <c r="L1888">
        <v>833</v>
      </c>
    </row>
    <row r="1889" spans="1:12" hidden="1" x14ac:dyDescent="0.25">
      <c r="A1889">
        <v>1888</v>
      </c>
      <c r="B1889" s="1" t="s">
        <v>12</v>
      </c>
      <c r="C1889">
        <v>1951</v>
      </c>
      <c r="D1889" s="1" t="s">
        <v>217</v>
      </c>
      <c r="E1889" s="1" t="s">
        <v>30</v>
      </c>
      <c r="F1889">
        <v>18</v>
      </c>
      <c r="G1889" s="1" t="s">
        <v>100</v>
      </c>
      <c r="H1889">
        <v>18077</v>
      </c>
      <c r="I1889">
        <v>7</v>
      </c>
      <c r="J1889">
        <v>4</v>
      </c>
      <c r="K1889">
        <v>4</v>
      </c>
      <c r="L1889">
        <v>1000</v>
      </c>
    </row>
    <row r="1890" spans="1:12" hidden="1" x14ac:dyDescent="0.25">
      <c r="A1890">
        <v>1889</v>
      </c>
      <c r="B1890" s="1" t="s">
        <v>12</v>
      </c>
      <c r="C1890">
        <v>1951</v>
      </c>
      <c r="D1890" s="1" t="s">
        <v>217</v>
      </c>
      <c r="E1890" s="1" t="s">
        <v>30</v>
      </c>
      <c r="F1890">
        <v>18</v>
      </c>
      <c r="G1890" s="1" t="s">
        <v>37</v>
      </c>
      <c r="H1890">
        <v>18147</v>
      </c>
      <c r="I1890">
        <v>5</v>
      </c>
      <c r="J1890">
        <v>5</v>
      </c>
      <c r="K1890">
        <v>4</v>
      </c>
      <c r="L1890">
        <v>800</v>
      </c>
    </row>
    <row r="1891" spans="1:12" hidden="1" x14ac:dyDescent="0.25">
      <c r="A1891">
        <v>1890</v>
      </c>
      <c r="B1891" s="1" t="s">
        <v>12</v>
      </c>
      <c r="C1891">
        <v>1951</v>
      </c>
      <c r="D1891" s="1" t="s">
        <v>217</v>
      </c>
      <c r="E1891" s="1" t="s">
        <v>30</v>
      </c>
      <c r="F1891">
        <v>18</v>
      </c>
      <c r="G1891" s="1" t="s">
        <v>44</v>
      </c>
      <c r="H1891">
        <v>18168</v>
      </c>
      <c r="I1891">
        <v>5</v>
      </c>
      <c r="J1891">
        <v>4</v>
      </c>
      <c r="K1891">
        <v>2</v>
      </c>
      <c r="L1891">
        <v>500</v>
      </c>
    </row>
    <row r="1892" spans="1:12" hidden="1" x14ac:dyDescent="0.25">
      <c r="A1892">
        <v>1891</v>
      </c>
      <c r="B1892" s="1" t="s">
        <v>12</v>
      </c>
      <c r="C1892">
        <v>1951</v>
      </c>
      <c r="D1892" s="1" t="s">
        <v>217</v>
      </c>
      <c r="E1892" s="1" t="s">
        <v>30</v>
      </c>
      <c r="F1892">
        <v>18</v>
      </c>
      <c r="G1892" s="1" t="s">
        <v>105</v>
      </c>
      <c r="H1892">
        <v>18105</v>
      </c>
      <c r="I1892">
        <v>2</v>
      </c>
      <c r="J1892">
        <v>2</v>
      </c>
      <c r="K1892">
        <v>2</v>
      </c>
      <c r="L1892">
        <v>1000</v>
      </c>
    </row>
    <row r="1893" spans="1:12" hidden="1" x14ac:dyDescent="0.25">
      <c r="A1893">
        <v>1892</v>
      </c>
      <c r="B1893" s="1" t="s">
        <v>12</v>
      </c>
      <c r="C1893">
        <v>1951</v>
      </c>
      <c r="D1893" s="1" t="s">
        <v>217</v>
      </c>
      <c r="E1893" s="1" t="s">
        <v>30</v>
      </c>
      <c r="F1893">
        <v>18</v>
      </c>
      <c r="G1893" s="1" t="s">
        <v>104</v>
      </c>
      <c r="H1893">
        <v>18119</v>
      </c>
      <c r="I1893">
        <v>2</v>
      </c>
      <c r="J1893">
        <v>2</v>
      </c>
      <c r="K1893">
        <v>2</v>
      </c>
      <c r="L1893">
        <v>1000</v>
      </c>
    </row>
    <row r="1894" spans="1:12" hidden="1" x14ac:dyDescent="0.25">
      <c r="A1894">
        <v>1893</v>
      </c>
      <c r="B1894" s="1" t="s">
        <v>12</v>
      </c>
      <c r="C1894">
        <v>1951</v>
      </c>
      <c r="D1894" s="1" t="s">
        <v>217</v>
      </c>
      <c r="E1894" s="1" t="s">
        <v>45</v>
      </c>
      <c r="F1894">
        <v>30</v>
      </c>
      <c r="G1894" s="1" t="s">
        <v>46</v>
      </c>
      <c r="H1894">
        <v>30028</v>
      </c>
      <c r="I1894">
        <v>800</v>
      </c>
      <c r="J1894">
        <v>640</v>
      </c>
      <c r="K1894">
        <v>326</v>
      </c>
      <c r="L1894">
        <v>509</v>
      </c>
    </row>
    <row r="1895" spans="1:12" hidden="1" x14ac:dyDescent="0.25">
      <c r="A1895">
        <v>1894</v>
      </c>
      <c r="B1895" s="1" t="s">
        <v>12</v>
      </c>
      <c r="C1895">
        <v>1951</v>
      </c>
      <c r="D1895" s="1" t="s">
        <v>217</v>
      </c>
      <c r="E1895" s="1" t="s">
        <v>45</v>
      </c>
      <c r="F1895">
        <v>30</v>
      </c>
      <c r="G1895" s="1" t="s">
        <v>47</v>
      </c>
      <c r="H1895">
        <v>30015</v>
      </c>
      <c r="I1895">
        <v>150</v>
      </c>
      <c r="J1895">
        <v>120</v>
      </c>
      <c r="K1895">
        <v>60</v>
      </c>
      <c r="L1895">
        <v>500</v>
      </c>
    </row>
    <row r="1896" spans="1:12" hidden="1" x14ac:dyDescent="0.25">
      <c r="A1896">
        <v>1895</v>
      </c>
      <c r="B1896" s="1" t="s">
        <v>12</v>
      </c>
      <c r="C1896">
        <v>1951</v>
      </c>
      <c r="D1896" s="1" t="s">
        <v>217</v>
      </c>
      <c r="E1896" s="1" t="s">
        <v>45</v>
      </c>
      <c r="F1896">
        <v>30</v>
      </c>
      <c r="G1896" s="1" t="s">
        <v>27</v>
      </c>
      <c r="H1896">
        <v>30008</v>
      </c>
      <c r="I1896">
        <v>20</v>
      </c>
      <c r="J1896">
        <v>10</v>
      </c>
      <c r="K1896">
        <v>4</v>
      </c>
      <c r="L1896">
        <v>400</v>
      </c>
    </row>
    <row r="1897" spans="1:12" hidden="1" x14ac:dyDescent="0.25">
      <c r="A1897">
        <v>1896</v>
      </c>
      <c r="B1897" s="1" t="s">
        <v>12</v>
      </c>
      <c r="C1897">
        <v>1951</v>
      </c>
      <c r="D1897" s="1" t="s">
        <v>217</v>
      </c>
      <c r="E1897" s="1" t="s">
        <v>48</v>
      </c>
      <c r="F1897">
        <v>34</v>
      </c>
      <c r="G1897" s="1" t="s">
        <v>51</v>
      </c>
      <c r="H1897">
        <v>34056</v>
      </c>
      <c r="I1897">
        <v>50</v>
      </c>
      <c r="J1897">
        <v>50</v>
      </c>
      <c r="K1897">
        <v>49</v>
      </c>
      <c r="L1897">
        <v>980</v>
      </c>
    </row>
    <row r="1898" spans="1:12" hidden="1" x14ac:dyDescent="0.25">
      <c r="A1898">
        <v>1897</v>
      </c>
      <c r="B1898" s="1" t="s">
        <v>12</v>
      </c>
      <c r="C1898">
        <v>1951</v>
      </c>
      <c r="D1898" s="1" t="s">
        <v>217</v>
      </c>
      <c r="E1898" s="1" t="s">
        <v>48</v>
      </c>
      <c r="F1898">
        <v>34</v>
      </c>
      <c r="G1898" s="1" t="s">
        <v>52</v>
      </c>
      <c r="H1898">
        <v>34035</v>
      </c>
      <c r="I1898">
        <v>20</v>
      </c>
      <c r="J1898">
        <v>20</v>
      </c>
      <c r="K1898">
        <v>14</v>
      </c>
      <c r="L1898">
        <v>700</v>
      </c>
    </row>
    <row r="1899" spans="1:12" hidden="1" x14ac:dyDescent="0.25">
      <c r="A1899">
        <v>1898</v>
      </c>
      <c r="B1899" s="1" t="s">
        <v>12</v>
      </c>
      <c r="C1899">
        <v>1951</v>
      </c>
      <c r="D1899" s="1" t="s">
        <v>217</v>
      </c>
      <c r="E1899" s="1" t="s">
        <v>48</v>
      </c>
      <c r="F1899">
        <v>34</v>
      </c>
      <c r="G1899" s="1" t="s">
        <v>50</v>
      </c>
      <c r="H1899">
        <v>34021</v>
      </c>
      <c r="I1899">
        <v>10</v>
      </c>
      <c r="J1899">
        <v>10</v>
      </c>
      <c r="K1899">
        <v>10</v>
      </c>
      <c r="L1899">
        <v>1000</v>
      </c>
    </row>
    <row r="1900" spans="1:12" hidden="1" x14ac:dyDescent="0.25">
      <c r="A1900">
        <v>1899</v>
      </c>
      <c r="B1900" s="1" t="s">
        <v>12</v>
      </c>
      <c r="C1900">
        <v>1951</v>
      </c>
      <c r="D1900" s="1" t="s">
        <v>217</v>
      </c>
      <c r="E1900" s="1" t="s">
        <v>48</v>
      </c>
      <c r="F1900">
        <v>34</v>
      </c>
      <c r="G1900" s="1" t="s">
        <v>49</v>
      </c>
      <c r="H1900">
        <v>34049</v>
      </c>
      <c r="I1900">
        <v>10</v>
      </c>
      <c r="J1900">
        <v>10</v>
      </c>
      <c r="K1900">
        <v>10</v>
      </c>
      <c r="L1900">
        <v>1000</v>
      </c>
    </row>
    <row r="1901" spans="1:12" hidden="1" x14ac:dyDescent="0.25">
      <c r="A1901">
        <v>1900</v>
      </c>
      <c r="B1901" s="1" t="s">
        <v>12</v>
      </c>
      <c r="C1901">
        <v>1951</v>
      </c>
      <c r="D1901" s="1" t="s">
        <v>217</v>
      </c>
      <c r="E1901" s="1" t="s">
        <v>48</v>
      </c>
      <c r="F1901">
        <v>34</v>
      </c>
      <c r="G1901" s="1" t="s">
        <v>48</v>
      </c>
      <c r="H1901">
        <v>34014</v>
      </c>
      <c r="I1901">
        <v>8</v>
      </c>
      <c r="J1901">
        <v>8</v>
      </c>
      <c r="K1901">
        <v>9</v>
      </c>
      <c r="L1901">
        <v>1125</v>
      </c>
    </row>
    <row r="1902" spans="1:12" hidden="1" x14ac:dyDescent="0.25">
      <c r="A1902">
        <v>1901</v>
      </c>
      <c r="B1902" s="1" t="s">
        <v>12</v>
      </c>
      <c r="C1902">
        <v>1951</v>
      </c>
      <c r="D1902" s="1" t="s">
        <v>217</v>
      </c>
      <c r="E1902" s="1" t="s">
        <v>48</v>
      </c>
      <c r="F1902">
        <v>34</v>
      </c>
      <c r="G1902" s="1" t="s">
        <v>108</v>
      </c>
      <c r="H1902">
        <v>34042</v>
      </c>
      <c r="I1902">
        <v>8</v>
      </c>
      <c r="J1902">
        <v>8</v>
      </c>
      <c r="K1902">
        <v>8</v>
      </c>
      <c r="L1902">
        <v>1000</v>
      </c>
    </row>
    <row r="1903" spans="1:12" hidden="1" x14ac:dyDescent="0.25">
      <c r="A1903">
        <v>1902</v>
      </c>
      <c r="B1903" s="1" t="s">
        <v>12</v>
      </c>
      <c r="C1903">
        <v>1951</v>
      </c>
      <c r="D1903" s="1" t="s">
        <v>217</v>
      </c>
      <c r="E1903" s="1" t="s">
        <v>58</v>
      </c>
      <c r="F1903">
        <v>54</v>
      </c>
      <c r="G1903" s="1" t="s">
        <v>60</v>
      </c>
      <c r="H1903">
        <v>54021</v>
      </c>
      <c r="I1903">
        <v>90</v>
      </c>
      <c r="J1903">
        <v>72</v>
      </c>
      <c r="K1903">
        <v>57</v>
      </c>
      <c r="L1903">
        <v>792</v>
      </c>
    </row>
    <row r="1904" spans="1:12" hidden="1" x14ac:dyDescent="0.25">
      <c r="A1904">
        <v>1903</v>
      </c>
      <c r="B1904" s="1" t="s">
        <v>12</v>
      </c>
      <c r="C1904">
        <v>1951</v>
      </c>
      <c r="D1904" s="1" t="s">
        <v>217</v>
      </c>
      <c r="E1904" s="1" t="s">
        <v>58</v>
      </c>
      <c r="F1904">
        <v>54</v>
      </c>
      <c r="G1904" s="1" t="s">
        <v>62</v>
      </c>
      <c r="H1904">
        <v>54105</v>
      </c>
      <c r="I1904">
        <v>72</v>
      </c>
      <c r="J1904">
        <v>60</v>
      </c>
      <c r="K1904">
        <v>48</v>
      </c>
      <c r="L1904">
        <v>800</v>
      </c>
    </row>
    <row r="1905" spans="1:12" hidden="1" x14ac:dyDescent="0.25">
      <c r="A1905">
        <v>1904</v>
      </c>
      <c r="B1905" s="1" t="s">
        <v>12</v>
      </c>
      <c r="C1905">
        <v>1951</v>
      </c>
      <c r="D1905" s="1" t="s">
        <v>217</v>
      </c>
      <c r="E1905" s="1" t="s">
        <v>58</v>
      </c>
      <c r="F1905">
        <v>54</v>
      </c>
      <c r="G1905" s="1" t="s">
        <v>150</v>
      </c>
      <c r="H1905">
        <v>54014</v>
      </c>
      <c r="I1905">
        <v>60</v>
      </c>
      <c r="J1905">
        <v>48</v>
      </c>
      <c r="K1905">
        <v>48</v>
      </c>
      <c r="L1905">
        <v>1000</v>
      </c>
    </row>
    <row r="1906" spans="1:12" hidden="1" x14ac:dyDescent="0.25">
      <c r="A1906">
        <v>1905</v>
      </c>
      <c r="B1906" s="1" t="s">
        <v>12</v>
      </c>
      <c r="C1906">
        <v>1951</v>
      </c>
      <c r="D1906" s="1" t="s">
        <v>217</v>
      </c>
      <c r="E1906" s="1" t="s">
        <v>58</v>
      </c>
      <c r="F1906">
        <v>54</v>
      </c>
      <c r="G1906" s="1" t="s">
        <v>61</v>
      </c>
      <c r="H1906">
        <v>54098</v>
      </c>
      <c r="I1906">
        <v>50</v>
      </c>
      <c r="J1906">
        <v>40</v>
      </c>
      <c r="K1906">
        <v>28</v>
      </c>
      <c r="L1906">
        <v>700</v>
      </c>
    </row>
    <row r="1907" spans="1:12" hidden="1" x14ac:dyDescent="0.25">
      <c r="A1907">
        <v>1906</v>
      </c>
      <c r="B1907" s="1" t="s">
        <v>12</v>
      </c>
      <c r="C1907">
        <v>1951</v>
      </c>
      <c r="D1907" s="1" t="s">
        <v>217</v>
      </c>
      <c r="E1907" s="1" t="s">
        <v>58</v>
      </c>
      <c r="F1907">
        <v>54</v>
      </c>
      <c r="G1907" s="1" t="s">
        <v>152</v>
      </c>
      <c r="H1907">
        <v>54063</v>
      </c>
      <c r="I1907">
        <v>25</v>
      </c>
      <c r="J1907">
        <v>20</v>
      </c>
      <c r="K1907">
        <v>16</v>
      </c>
      <c r="L1907">
        <v>800</v>
      </c>
    </row>
    <row r="1908" spans="1:12" hidden="1" x14ac:dyDescent="0.25">
      <c r="A1908">
        <v>1907</v>
      </c>
      <c r="B1908" s="1" t="s">
        <v>12</v>
      </c>
      <c r="C1908">
        <v>1951</v>
      </c>
      <c r="D1908" s="1" t="s">
        <v>217</v>
      </c>
      <c r="E1908" s="1" t="s">
        <v>58</v>
      </c>
      <c r="F1908">
        <v>54</v>
      </c>
      <c r="G1908" s="1" t="s">
        <v>59</v>
      </c>
      <c r="H1908">
        <v>54007</v>
      </c>
      <c r="I1908">
        <v>15</v>
      </c>
      <c r="J1908">
        <v>12</v>
      </c>
      <c r="K1908">
        <v>8</v>
      </c>
      <c r="L1908">
        <v>667</v>
      </c>
    </row>
    <row r="1909" spans="1:12" hidden="1" x14ac:dyDescent="0.25">
      <c r="A1909">
        <v>1908</v>
      </c>
      <c r="B1909" s="1" t="s">
        <v>12</v>
      </c>
      <c r="C1909">
        <v>1951</v>
      </c>
      <c r="D1909" s="1" t="s">
        <v>217</v>
      </c>
      <c r="E1909" s="1" t="s">
        <v>58</v>
      </c>
      <c r="F1909">
        <v>54</v>
      </c>
      <c r="G1909" s="1" t="s">
        <v>63</v>
      </c>
      <c r="H1909">
        <v>54035</v>
      </c>
      <c r="I1909">
        <v>12</v>
      </c>
      <c r="J1909">
        <v>10</v>
      </c>
      <c r="K1909">
        <v>7</v>
      </c>
      <c r="L1909">
        <v>700</v>
      </c>
    </row>
    <row r="1910" spans="1:12" hidden="1" x14ac:dyDescent="0.25">
      <c r="A1910">
        <v>1909</v>
      </c>
      <c r="B1910" s="1" t="s">
        <v>12</v>
      </c>
      <c r="C1910">
        <v>1951</v>
      </c>
      <c r="D1910" s="1" t="s">
        <v>217</v>
      </c>
      <c r="E1910" s="1" t="s">
        <v>58</v>
      </c>
      <c r="F1910">
        <v>54</v>
      </c>
      <c r="G1910" s="1" t="s">
        <v>151</v>
      </c>
      <c r="H1910">
        <v>54056</v>
      </c>
      <c r="I1910">
        <v>10</v>
      </c>
      <c r="J1910">
        <v>8</v>
      </c>
      <c r="K1910">
        <v>8</v>
      </c>
      <c r="L1910">
        <v>1000</v>
      </c>
    </row>
    <row r="1911" spans="1:12" x14ac:dyDescent="0.25">
      <c r="A1911">
        <v>1910</v>
      </c>
      <c r="B1911" s="1" t="s">
        <v>12</v>
      </c>
      <c r="C1911">
        <v>1951</v>
      </c>
      <c r="D1911" s="1" t="s">
        <v>217</v>
      </c>
      <c r="E1911" s="1" t="s">
        <v>58</v>
      </c>
      <c r="F1911">
        <v>54</v>
      </c>
      <c r="G1911" s="1" t="s">
        <v>56</v>
      </c>
      <c r="H1911">
        <v>54112</v>
      </c>
      <c r="I1911">
        <v>5</v>
      </c>
      <c r="J1911">
        <v>4</v>
      </c>
      <c r="K1911">
        <v>4</v>
      </c>
      <c r="L1911">
        <v>1000</v>
      </c>
    </row>
    <row r="1912" spans="1:12" hidden="1" x14ac:dyDescent="0.25">
      <c r="A1912">
        <v>1911</v>
      </c>
      <c r="B1912" s="1" t="s">
        <v>12</v>
      </c>
      <c r="C1912">
        <v>1951</v>
      </c>
      <c r="D1912" s="1" t="s">
        <v>217</v>
      </c>
      <c r="E1912" s="1" t="s">
        <v>58</v>
      </c>
      <c r="F1912">
        <v>54</v>
      </c>
      <c r="G1912" s="1" t="s">
        <v>28</v>
      </c>
      <c r="H1912">
        <v>54028</v>
      </c>
      <c r="I1912">
        <v>2</v>
      </c>
      <c r="J1912">
        <v>1</v>
      </c>
      <c r="K1912">
        <v>1</v>
      </c>
      <c r="L1912">
        <v>1000</v>
      </c>
    </row>
    <row r="1913" spans="1:12" hidden="1" x14ac:dyDescent="0.25">
      <c r="A1913">
        <v>1912</v>
      </c>
      <c r="B1913" s="1" t="s">
        <v>12</v>
      </c>
      <c r="C1913">
        <v>1951</v>
      </c>
      <c r="D1913" s="1" t="s">
        <v>217</v>
      </c>
      <c r="E1913" s="1" t="s">
        <v>87</v>
      </c>
      <c r="F1913">
        <v>66</v>
      </c>
      <c r="G1913" s="1" t="s">
        <v>141</v>
      </c>
      <c r="H1913">
        <v>66112</v>
      </c>
      <c r="I1913">
        <v>50</v>
      </c>
      <c r="J1913">
        <v>45</v>
      </c>
      <c r="K1913">
        <v>58</v>
      </c>
      <c r="L1913">
        <v>1289</v>
      </c>
    </row>
    <row r="1914" spans="1:12" hidden="1" x14ac:dyDescent="0.25">
      <c r="A1914">
        <v>1913</v>
      </c>
      <c r="B1914" s="1" t="s">
        <v>12</v>
      </c>
      <c r="C1914">
        <v>1951</v>
      </c>
      <c r="D1914" s="1" t="s">
        <v>217</v>
      </c>
      <c r="E1914" s="1" t="s">
        <v>116</v>
      </c>
      <c r="F1914">
        <v>74</v>
      </c>
      <c r="G1914" s="1" t="s">
        <v>126</v>
      </c>
      <c r="H1914">
        <v>74035</v>
      </c>
      <c r="I1914">
        <v>4</v>
      </c>
      <c r="J1914">
        <v>4</v>
      </c>
      <c r="K1914">
        <v>5</v>
      </c>
      <c r="L1914">
        <v>1250</v>
      </c>
    </row>
    <row r="1915" spans="1:12" hidden="1" x14ac:dyDescent="0.25">
      <c r="A1915">
        <v>1914</v>
      </c>
      <c r="B1915" s="1" t="s">
        <v>12</v>
      </c>
      <c r="C1915">
        <v>1951</v>
      </c>
      <c r="D1915" s="1" t="s">
        <v>217</v>
      </c>
      <c r="E1915" s="1" t="s">
        <v>116</v>
      </c>
      <c r="F1915">
        <v>74</v>
      </c>
      <c r="G1915" s="1" t="s">
        <v>118</v>
      </c>
      <c r="H1915">
        <v>74028</v>
      </c>
      <c r="I1915">
        <v>2</v>
      </c>
      <c r="J1915">
        <v>2</v>
      </c>
      <c r="K1915">
        <v>2</v>
      </c>
      <c r="L1915">
        <v>1000</v>
      </c>
    </row>
    <row r="1916" spans="1:12" hidden="1" x14ac:dyDescent="0.25">
      <c r="A1916">
        <v>1915</v>
      </c>
      <c r="B1916" s="1" t="s">
        <v>12</v>
      </c>
      <c r="C1916">
        <v>1951</v>
      </c>
      <c r="D1916" s="1" t="s">
        <v>217</v>
      </c>
      <c r="E1916" s="1" t="s">
        <v>64</v>
      </c>
      <c r="F1916">
        <v>82</v>
      </c>
      <c r="G1916" s="1" t="s">
        <v>65</v>
      </c>
      <c r="H1916">
        <v>82049</v>
      </c>
      <c r="I1916">
        <v>550</v>
      </c>
      <c r="J1916">
        <v>400</v>
      </c>
      <c r="K1916">
        <v>240</v>
      </c>
      <c r="L1916">
        <v>600</v>
      </c>
    </row>
    <row r="1917" spans="1:12" hidden="1" x14ac:dyDescent="0.25">
      <c r="A1917">
        <v>1916</v>
      </c>
      <c r="B1917" s="1" t="s">
        <v>12</v>
      </c>
      <c r="C1917">
        <v>1951</v>
      </c>
      <c r="D1917" s="1" t="s">
        <v>217</v>
      </c>
      <c r="E1917" s="1" t="s">
        <v>64</v>
      </c>
      <c r="F1917">
        <v>82</v>
      </c>
      <c r="G1917" s="1" t="s">
        <v>66</v>
      </c>
      <c r="H1917">
        <v>82035</v>
      </c>
      <c r="I1917">
        <v>500</v>
      </c>
      <c r="J1917">
        <v>400</v>
      </c>
      <c r="K1917">
        <v>400</v>
      </c>
      <c r="L1917">
        <v>1000</v>
      </c>
    </row>
    <row r="1918" spans="1:12" hidden="1" x14ac:dyDescent="0.25">
      <c r="A1918">
        <v>1917</v>
      </c>
      <c r="B1918" s="1" t="s">
        <v>12</v>
      </c>
      <c r="C1918">
        <v>1952</v>
      </c>
      <c r="D1918" s="1" t="s">
        <v>218</v>
      </c>
      <c r="E1918" s="1" t="s">
        <v>22</v>
      </c>
      <c r="F1918">
        <v>14</v>
      </c>
      <c r="G1918" s="1" t="s">
        <v>183</v>
      </c>
      <c r="H1918">
        <v>14007</v>
      </c>
      <c r="I1918">
        <v>77000</v>
      </c>
      <c r="J1918">
        <v>75845</v>
      </c>
      <c r="K1918">
        <v>98598</v>
      </c>
      <c r="L1918">
        <v>1300</v>
      </c>
    </row>
    <row r="1919" spans="1:12" hidden="1" x14ac:dyDescent="0.25">
      <c r="A1919">
        <v>1918</v>
      </c>
      <c r="B1919" s="1" t="s">
        <v>12</v>
      </c>
      <c r="C1919">
        <v>1952</v>
      </c>
      <c r="D1919" s="1" t="s">
        <v>218</v>
      </c>
      <c r="E1919" s="1" t="s">
        <v>22</v>
      </c>
      <c r="F1919">
        <v>14</v>
      </c>
      <c r="G1919" s="1" t="s">
        <v>24</v>
      </c>
      <c r="H1919">
        <v>14119</v>
      </c>
      <c r="I1919">
        <v>46000</v>
      </c>
      <c r="J1919">
        <v>41400</v>
      </c>
      <c r="K1919">
        <v>43470</v>
      </c>
      <c r="L1919">
        <v>1050</v>
      </c>
    </row>
    <row r="1920" spans="1:12" hidden="1" x14ac:dyDescent="0.25">
      <c r="A1920">
        <v>1919</v>
      </c>
      <c r="B1920" s="1" t="s">
        <v>12</v>
      </c>
      <c r="C1920">
        <v>1952</v>
      </c>
      <c r="D1920" s="1" t="s">
        <v>218</v>
      </c>
      <c r="E1920" s="1" t="s">
        <v>22</v>
      </c>
      <c r="F1920">
        <v>14</v>
      </c>
      <c r="G1920" s="1" t="s">
        <v>23</v>
      </c>
      <c r="H1920">
        <v>14147</v>
      </c>
      <c r="I1920">
        <v>43945</v>
      </c>
      <c r="J1920">
        <v>43295</v>
      </c>
      <c r="K1920">
        <v>47624</v>
      </c>
      <c r="L1920">
        <v>1100</v>
      </c>
    </row>
    <row r="1921" spans="1:12" hidden="1" x14ac:dyDescent="0.25">
      <c r="A1921">
        <v>1920</v>
      </c>
      <c r="B1921" s="1" t="s">
        <v>12</v>
      </c>
      <c r="C1921">
        <v>1952</v>
      </c>
      <c r="D1921" s="1" t="s">
        <v>218</v>
      </c>
      <c r="E1921" s="1" t="s">
        <v>22</v>
      </c>
      <c r="F1921">
        <v>14</v>
      </c>
      <c r="G1921" s="1" t="s">
        <v>97</v>
      </c>
      <c r="H1921">
        <v>14007</v>
      </c>
      <c r="I1921">
        <v>5000</v>
      </c>
      <c r="J1921">
        <v>4950</v>
      </c>
      <c r="K1921">
        <v>4950</v>
      </c>
      <c r="L1921">
        <v>1000</v>
      </c>
    </row>
    <row r="1922" spans="1:12" hidden="1" x14ac:dyDescent="0.25">
      <c r="A1922">
        <v>1921</v>
      </c>
      <c r="B1922" s="1" t="s">
        <v>12</v>
      </c>
      <c r="C1922">
        <v>1952</v>
      </c>
      <c r="D1922" s="1" t="s">
        <v>218</v>
      </c>
      <c r="E1922" s="1" t="s">
        <v>22</v>
      </c>
      <c r="F1922">
        <v>14</v>
      </c>
      <c r="G1922" s="1" t="s">
        <v>29</v>
      </c>
      <c r="H1922">
        <v>14098</v>
      </c>
      <c r="I1922">
        <v>4200</v>
      </c>
      <c r="J1922">
        <v>4150</v>
      </c>
      <c r="K1922">
        <v>3942</v>
      </c>
      <c r="L1922">
        <v>950</v>
      </c>
    </row>
    <row r="1923" spans="1:12" hidden="1" x14ac:dyDescent="0.25">
      <c r="A1923">
        <v>1922</v>
      </c>
      <c r="B1923" s="1" t="s">
        <v>12</v>
      </c>
      <c r="C1923">
        <v>1952</v>
      </c>
      <c r="D1923" s="1" t="s">
        <v>218</v>
      </c>
      <c r="E1923" s="1" t="s">
        <v>22</v>
      </c>
      <c r="F1923">
        <v>14</v>
      </c>
      <c r="G1923" s="1" t="s">
        <v>25</v>
      </c>
      <c r="H1923">
        <v>14105</v>
      </c>
      <c r="I1923">
        <v>1000</v>
      </c>
      <c r="J1923">
        <v>900</v>
      </c>
      <c r="K1923">
        <v>765</v>
      </c>
      <c r="L1923">
        <v>850</v>
      </c>
    </row>
    <row r="1924" spans="1:12" hidden="1" x14ac:dyDescent="0.25">
      <c r="A1924">
        <v>1923</v>
      </c>
      <c r="B1924" s="1" t="s">
        <v>12</v>
      </c>
      <c r="C1924">
        <v>1952</v>
      </c>
      <c r="D1924" s="1" t="s">
        <v>218</v>
      </c>
      <c r="E1924" s="1" t="s">
        <v>22</v>
      </c>
      <c r="F1924">
        <v>14</v>
      </c>
      <c r="G1924" s="1" t="s">
        <v>28</v>
      </c>
      <c r="H1924">
        <v>14014</v>
      </c>
      <c r="I1924">
        <v>965</v>
      </c>
      <c r="J1924">
        <v>960</v>
      </c>
      <c r="K1924">
        <v>960</v>
      </c>
      <c r="L1924">
        <v>1000</v>
      </c>
    </row>
    <row r="1925" spans="1:12" hidden="1" x14ac:dyDescent="0.25">
      <c r="A1925">
        <v>1924</v>
      </c>
      <c r="B1925" s="1" t="s">
        <v>12</v>
      </c>
      <c r="C1925">
        <v>1952</v>
      </c>
      <c r="D1925" s="1" t="s">
        <v>218</v>
      </c>
      <c r="E1925" s="1" t="s">
        <v>22</v>
      </c>
      <c r="F1925">
        <v>14</v>
      </c>
      <c r="G1925" s="1" t="s">
        <v>143</v>
      </c>
      <c r="H1925">
        <v>14056</v>
      </c>
      <c r="I1925">
        <v>800</v>
      </c>
      <c r="J1925">
        <v>800</v>
      </c>
      <c r="K1925">
        <v>840</v>
      </c>
      <c r="L1925">
        <v>1050</v>
      </c>
    </row>
    <row r="1926" spans="1:12" hidden="1" x14ac:dyDescent="0.25">
      <c r="A1926">
        <v>1925</v>
      </c>
      <c r="B1926" s="1" t="s">
        <v>12</v>
      </c>
      <c r="C1926">
        <v>1952</v>
      </c>
      <c r="D1926" s="1" t="s">
        <v>218</v>
      </c>
      <c r="E1926" s="1" t="s">
        <v>22</v>
      </c>
      <c r="F1926">
        <v>14</v>
      </c>
      <c r="G1926" s="1" t="s">
        <v>184</v>
      </c>
      <c r="H1926">
        <v>14042</v>
      </c>
      <c r="I1926">
        <v>300</v>
      </c>
      <c r="J1926">
        <v>300</v>
      </c>
      <c r="K1926">
        <v>390</v>
      </c>
      <c r="L1926">
        <v>1300</v>
      </c>
    </row>
    <row r="1927" spans="1:12" hidden="1" x14ac:dyDescent="0.25">
      <c r="A1927">
        <v>1926</v>
      </c>
      <c r="B1927" s="1" t="s">
        <v>12</v>
      </c>
      <c r="C1927">
        <v>1952</v>
      </c>
      <c r="D1927" s="1" t="s">
        <v>218</v>
      </c>
      <c r="E1927" s="1" t="s">
        <v>22</v>
      </c>
      <c r="F1927">
        <v>14</v>
      </c>
      <c r="G1927" s="1" t="s">
        <v>27</v>
      </c>
      <c r="H1927">
        <v>14021</v>
      </c>
      <c r="I1927">
        <v>180</v>
      </c>
      <c r="J1927">
        <v>170</v>
      </c>
      <c r="K1927">
        <v>153</v>
      </c>
      <c r="L1927">
        <v>900</v>
      </c>
    </row>
    <row r="1928" spans="1:12" hidden="1" x14ac:dyDescent="0.25">
      <c r="A1928">
        <v>1927</v>
      </c>
      <c r="B1928" s="1" t="s">
        <v>12</v>
      </c>
      <c r="C1928">
        <v>1952</v>
      </c>
      <c r="D1928" s="1" t="s">
        <v>218</v>
      </c>
      <c r="E1928" s="1" t="s">
        <v>22</v>
      </c>
      <c r="F1928">
        <v>14</v>
      </c>
      <c r="G1928" s="1" t="s">
        <v>62</v>
      </c>
      <c r="H1928">
        <v>14133</v>
      </c>
      <c r="I1928">
        <v>175</v>
      </c>
      <c r="J1928">
        <v>160</v>
      </c>
      <c r="K1928">
        <v>128</v>
      </c>
      <c r="L1928">
        <v>800</v>
      </c>
    </row>
    <row r="1929" spans="1:12" hidden="1" x14ac:dyDescent="0.25">
      <c r="A1929">
        <v>1928</v>
      </c>
      <c r="B1929" s="1" t="s">
        <v>12</v>
      </c>
      <c r="C1929">
        <v>1952</v>
      </c>
      <c r="D1929" s="1" t="s">
        <v>218</v>
      </c>
      <c r="E1929" s="1" t="s">
        <v>22</v>
      </c>
      <c r="F1929">
        <v>14</v>
      </c>
      <c r="G1929" s="1" t="s">
        <v>67</v>
      </c>
      <c r="H1929">
        <v>14140</v>
      </c>
      <c r="I1929">
        <v>100</v>
      </c>
      <c r="J1929">
        <v>90</v>
      </c>
      <c r="K1929">
        <v>72</v>
      </c>
      <c r="L1929">
        <v>800</v>
      </c>
    </row>
    <row r="1930" spans="1:12" hidden="1" x14ac:dyDescent="0.25">
      <c r="A1930">
        <v>1929</v>
      </c>
      <c r="B1930" s="1" t="s">
        <v>12</v>
      </c>
      <c r="C1930">
        <v>1952</v>
      </c>
      <c r="D1930" s="1" t="s">
        <v>218</v>
      </c>
      <c r="E1930" s="1" t="s">
        <v>22</v>
      </c>
      <c r="F1930">
        <v>14</v>
      </c>
      <c r="G1930" s="1" t="s">
        <v>114</v>
      </c>
      <c r="H1930">
        <v>14168</v>
      </c>
      <c r="I1930">
        <v>64</v>
      </c>
      <c r="J1930">
        <v>60</v>
      </c>
      <c r="K1930">
        <v>48</v>
      </c>
      <c r="L1930">
        <v>800</v>
      </c>
    </row>
    <row r="1931" spans="1:12" hidden="1" x14ac:dyDescent="0.25">
      <c r="A1931">
        <v>1930</v>
      </c>
      <c r="B1931" s="1" t="s">
        <v>12</v>
      </c>
      <c r="C1931">
        <v>1952</v>
      </c>
      <c r="D1931" s="1" t="s">
        <v>218</v>
      </c>
      <c r="E1931" s="1" t="s">
        <v>22</v>
      </c>
      <c r="F1931">
        <v>14</v>
      </c>
      <c r="G1931" s="1" t="s">
        <v>169</v>
      </c>
      <c r="H1931">
        <v>14126</v>
      </c>
      <c r="I1931">
        <v>58</v>
      </c>
      <c r="J1931">
        <v>50</v>
      </c>
      <c r="K1931">
        <v>40</v>
      </c>
      <c r="L1931">
        <v>800</v>
      </c>
    </row>
    <row r="1932" spans="1:12" hidden="1" x14ac:dyDescent="0.25">
      <c r="A1932">
        <v>1931</v>
      </c>
      <c r="B1932" s="1" t="s">
        <v>12</v>
      </c>
      <c r="C1932">
        <v>1952</v>
      </c>
      <c r="D1932" s="1" t="s">
        <v>218</v>
      </c>
      <c r="E1932" s="1" t="s">
        <v>22</v>
      </c>
      <c r="F1932">
        <v>14</v>
      </c>
      <c r="G1932" s="1" t="s">
        <v>171</v>
      </c>
      <c r="H1932">
        <v>14112</v>
      </c>
      <c r="I1932">
        <v>52</v>
      </c>
      <c r="J1932">
        <v>40</v>
      </c>
      <c r="K1932">
        <v>28</v>
      </c>
      <c r="L1932">
        <v>700</v>
      </c>
    </row>
    <row r="1933" spans="1:12" hidden="1" x14ac:dyDescent="0.25">
      <c r="A1933">
        <v>1932</v>
      </c>
      <c r="B1933" s="1" t="s">
        <v>12</v>
      </c>
      <c r="C1933">
        <v>1952</v>
      </c>
      <c r="D1933" s="1" t="s">
        <v>218</v>
      </c>
      <c r="E1933" s="1" t="s">
        <v>22</v>
      </c>
      <c r="F1933">
        <v>14</v>
      </c>
      <c r="G1933" s="1" t="s">
        <v>173</v>
      </c>
      <c r="H1933">
        <v>14028</v>
      </c>
      <c r="I1933">
        <v>28</v>
      </c>
      <c r="J1933">
        <v>25</v>
      </c>
      <c r="K1933">
        <v>25</v>
      </c>
      <c r="L1933">
        <v>1000</v>
      </c>
    </row>
    <row r="1934" spans="1:12" hidden="1" x14ac:dyDescent="0.25">
      <c r="A1934">
        <v>1933</v>
      </c>
      <c r="B1934" s="1" t="s">
        <v>12</v>
      </c>
      <c r="C1934">
        <v>1952</v>
      </c>
      <c r="D1934" s="1" t="s">
        <v>218</v>
      </c>
      <c r="E1934" s="1" t="s">
        <v>22</v>
      </c>
      <c r="F1934">
        <v>14</v>
      </c>
      <c r="G1934" s="1" t="s">
        <v>194</v>
      </c>
      <c r="H1934">
        <v>14077</v>
      </c>
      <c r="I1934">
        <v>8</v>
      </c>
      <c r="J1934">
        <v>7</v>
      </c>
      <c r="K1934">
        <v>5</v>
      </c>
      <c r="L1934">
        <v>700</v>
      </c>
    </row>
    <row r="1935" spans="1:12" hidden="1" x14ac:dyDescent="0.25">
      <c r="A1935">
        <v>1934</v>
      </c>
      <c r="B1935" s="1" t="s">
        <v>12</v>
      </c>
      <c r="C1935">
        <v>1952</v>
      </c>
      <c r="D1935" s="1" t="s">
        <v>218</v>
      </c>
      <c r="E1935" s="1" t="s">
        <v>22</v>
      </c>
      <c r="F1935">
        <v>14</v>
      </c>
      <c r="G1935" s="1" t="s">
        <v>186</v>
      </c>
      <c r="H1935">
        <v>14175</v>
      </c>
      <c r="I1935">
        <v>8</v>
      </c>
      <c r="J1935">
        <v>7</v>
      </c>
      <c r="K1935">
        <v>5</v>
      </c>
      <c r="L1935">
        <v>700</v>
      </c>
    </row>
    <row r="1936" spans="1:12" hidden="1" x14ac:dyDescent="0.25">
      <c r="A1936">
        <v>1935</v>
      </c>
      <c r="B1936" s="1" t="s">
        <v>12</v>
      </c>
      <c r="C1936">
        <v>1952</v>
      </c>
      <c r="D1936" s="1" t="s">
        <v>218</v>
      </c>
      <c r="E1936" s="1" t="s">
        <v>22</v>
      </c>
      <c r="F1936">
        <v>14</v>
      </c>
      <c r="G1936" s="1" t="s">
        <v>170</v>
      </c>
      <c r="H1936">
        <v>14049</v>
      </c>
      <c r="I1936">
        <v>5</v>
      </c>
      <c r="J1936">
        <v>4</v>
      </c>
      <c r="K1936">
        <v>4</v>
      </c>
      <c r="L1936">
        <v>1000</v>
      </c>
    </row>
    <row r="1937" spans="1:12" hidden="1" x14ac:dyDescent="0.25">
      <c r="A1937">
        <v>1936</v>
      </c>
      <c r="B1937" s="1" t="s">
        <v>12</v>
      </c>
      <c r="C1937">
        <v>1952</v>
      </c>
      <c r="D1937" s="1" t="s">
        <v>218</v>
      </c>
      <c r="E1937" s="1" t="s">
        <v>22</v>
      </c>
      <c r="F1937">
        <v>14</v>
      </c>
      <c r="G1937" s="1" t="s">
        <v>172</v>
      </c>
      <c r="H1937">
        <v>14091</v>
      </c>
      <c r="I1937">
        <v>4</v>
      </c>
      <c r="J1937">
        <v>3</v>
      </c>
      <c r="K1937">
        <v>3</v>
      </c>
      <c r="L1937">
        <v>1000</v>
      </c>
    </row>
    <row r="1938" spans="1:12" hidden="1" x14ac:dyDescent="0.25">
      <c r="A1938">
        <v>1937</v>
      </c>
      <c r="B1938" s="1" t="s">
        <v>12</v>
      </c>
      <c r="C1938">
        <v>1952</v>
      </c>
      <c r="D1938" s="1" t="s">
        <v>218</v>
      </c>
      <c r="E1938" s="1" t="s">
        <v>30</v>
      </c>
      <c r="F1938">
        <v>18</v>
      </c>
      <c r="G1938" s="1" t="s">
        <v>32</v>
      </c>
      <c r="H1938">
        <v>18112</v>
      </c>
      <c r="I1938">
        <v>420</v>
      </c>
      <c r="J1938">
        <v>360</v>
      </c>
      <c r="K1938">
        <v>288</v>
      </c>
      <c r="L1938">
        <v>800</v>
      </c>
    </row>
    <row r="1939" spans="1:12" hidden="1" x14ac:dyDescent="0.25">
      <c r="A1939">
        <v>1938</v>
      </c>
      <c r="B1939" s="1" t="s">
        <v>12</v>
      </c>
      <c r="C1939">
        <v>1952</v>
      </c>
      <c r="D1939" s="1" t="s">
        <v>218</v>
      </c>
      <c r="E1939" s="1" t="s">
        <v>30</v>
      </c>
      <c r="F1939">
        <v>18</v>
      </c>
      <c r="G1939" s="1" t="s">
        <v>34</v>
      </c>
      <c r="H1939">
        <v>18042</v>
      </c>
      <c r="I1939">
        <v>70</v>
      </c>
      <c r="J1939">
        <v>60</v>
      </c>
      <c r="K1939">
        <v>42</v>
      </c>
      <c r="L1939">
        <v>700</v>
      </c>
    </row>
    <row r="1940" spans="1:12" hidden="1" x14ac:dyDescent="0.25">
      <c r="A1940">
        <v>1939</v>
      </c>
      <c r="B1940" s="1" t="s">
        <v>12</v>
      </c>
      <c r="C1940">
        <v>1952</v>
      </c>
      <c r="D1940" s="1" t="s">
        <v>218</v>
      </c>
      <c r="E1940" s="1" t="s">
        <v>30</v>
      </c>
      <c r="F1940">
        <v>18</v>
      </c>
      <c r="G1940" s="1" t="s">
        <v>41</v>
      </c>
      <c r="H1940">
        <v>18140</v>
      </c>
      <c r="I1940">
        <v>60</v>
      </c>
      <c r="J1940">
        <v>50</v>
      </c>
      <c r="K1940">
        <v>40</v>
      </c>
      <c r="L1940">
        <v>800</v>
      </c>
    </row>
    <row r="1941" spans="1:12" hidden="1" x14ac:dyDescent="0.25">
      <c r="A1941">
        <v>1940</v>
      </c>
      <c r="B1941" s="1" t="s">
        <v>12</v>
      </c>
      <c r="C1941">
        <v>1952</v>
      </c>
      <c r="D1941" s="1" t="s">
        <v>218</v>
      </c>
      <c r="E1941" s="1" t="s">
        <v>30</v>
      </c>
      <c r="F1941">
        <v>18</v>
      </c>
      <c r="G1941" s="1" t="s">
        <v>28</v>
      </c>
      <c r="H1941">
        <v>18021</v>
      </c>
      <c r="I1941">
        <v>25</v>
      </c>
      <c r="J1941">
        <v>20</v>
      </c>
      <c r="K1941">
        <v>15</v>
      </c>
      <c r="L1941">
        <v>750</v>
      </c>
    </row>
    <row r="1942" spans="1:12" hidden="1" x14ac:dyDescent="0.25">
      <c r="A1942">
        <v>1941</v>
      </c>
      <c r="B1942" s="1" t="s">
        <v>12</v>
      </c>
      <c r="C1942">
        <v>1952</v>
      </c>
      <c r="D1942" s="1" t="s">
        <v>218</v>
      </c>
      <c r="E1942" s="1" t="s">
        <v>30</v>
      </c>
      <c r="F1942">
        <v>18</v>
      </c>
      <c r="G1942" s="1" t="s">
        <v>40</v>
      </c>
      <c r="H1942">
        <v>18126</v>
      </c>
      <c r="I1942">
        <v>15</v>
      </c>
      <c r="J1942">
        <v>13</v>
      </c>
      <c r="K1942">
        <v>10</v>
      </c>
      <c r="L1942">
        <v>800</v>
      </c>
    </row>
    <row r="1943" spans="1:12" hidden="1" x14ac:dyDescent="0.25">
      <c r="A1943">
        <v>1942</v>
      </c>
      <c r="B1943" s="1" t="s">
        <v>12</v>
      </c>
      <c r="C1943">
        <v>1952</v>
      </c>
      <c r="D1943" s="1" t="s">
        <v>218</v>
      </c>
      <c r="E1943" s="1" t="s">
        <v>30</v>
      </c>
      <c r="F1943">
        <v>18</v>
      </c>
      <c r="G1943" s="1" t="s">
        <v>63</v>
      </c>
      <c r="H1943">
        <v>18028</v>
      </c>
      <c r="I1943">
        <v>10</v>
      </c>
      <c r="J1943">
        <v>6</v>
      </c>
      <c r="K1943">
        <v>5</v>
      </c>
      <c r="L1943">
        <v>800</v>
      </c>
    </row>
    <row r="1944" spans="1:12" hidden="1" x14ac:dyDescent="0.25">
      <c r="A1944">
        <v>1943</v>
      </c>
      <c r="B1944" s="1" t="s">
        <v>12</v>
      </c>
      <c r="C1944">
        <v>1952</v>
      </c>
      <c r="D1944" s="1" t="s">
        <v>218</v>
      </c>
      <c r="E1944" s="1" t="s">
        <v>30</v>
      </c>
      <c r="F1944">
        <v>18</v>
      </c>
      <c r="G1944" s="1" t="s">
        <v>99</v>
      </c>
      <c r="H1944">
        <v>18063</v>
      </c>
      <c r="I1944">
        <v>10</v>
      </c>
      <c r="J1944">
        <v>8</v>
      </c>
      <c r="K1944">
        <v>6</v>
      </c>
      <c r="L1944">
        <v>700</v>
      </c>
    </row>
    <row r="1945" spans="1:12" hidden="1" x14ac:dyDescent="0.25">
      <c r="A1945">
        <v>1944</v>
      </c>
      <c r="B1945" s="1" t="s">
        <v>12</v>
      </c>
      <c r="C1945">
        <v>1952</v>
      </c>
      <c r="D1945" s="1" t="s">
        <v>218</v>
      </c>
      <c r="E1945" s="1" t="s">
        <v>30</v>
      </c>
      <c r="F1945">
        <v>18</v>
      </c>
      <c r="G1945" s="1" t="s">
        <v>39</v>
      </c>
      <c r="H1945">
        <v>18084</v>
      </c>
      <c r="I1945">
        <v>10</v>
      </c>
      <c r="J1945">
        <v>6</v>
      </c>
      <c r="K1945">
        <v>4</v>
      </c>
      <c r="L1945">
        <v>700</v>
      </c>
    </row>
    <row r="1946" spans="1:12" hidden="1" x14ac:dyDescent="0.25">
      <c r="A1946">
        <v>1945</v>
      </c>
      <c r="B1946" s="1" t="s">
        <v>12</v>
      </c>
      <c r="C1946">
        <v>1952</v>
      </c>
      <c r="D1946" s="1" t="s">
        <v>218</v>
      </c>
      <c r="E1946" s="1" t="s">
        <v>30</v>
      </c>
      <c r="F1946">
        <v>18</v>
      </c>
      <c r="G1946" s="1" t="s">
        <v>36</v>
      </c>
      <c r="H1946">
        <v>18133</v>
      </c>
      <c r="I1946">
        <v>10</v>
      </c>
      <c r="J1946">
        <v>8</v>
      </c>
      <c r="K1946">
        <v>6</v>
      </c>
      <c r="L1946">
        <v>750</v>
      </c>
    </row>
    <row r="1947" spans="1:12" hidden="1" x14ac:dyDescent="0.25">
      <c r="A1947">
        <v>1946</v>
      </c>
      <c r="B1947" s="1" t="s">
        <v>12</v>
      </c>
      <c r="C1947">
        <v>1952</v>
      </c>
      <c r="D1947" s="1" t="s">
        <v>218</v>
      </c>
      <c r="E1947" s="1" t="s">
        <v>30</v>
      </c>
      <c r="F1947">
        <v>18</v>
      </c>
      <c r="G1947" s="1" t="s">
        <v>102</v>
      </c>
      <c r="H1947">
        <v>18014</v>
      </c>
      <c r="I1947">
        <v>8</v>
      </c>
      <c r="J1947">
        <v>5</v>
      </c>
      <c r="K1947">
        <v>4</v>
      </c>
      <c r="L1947">
        <v>800</v>
      </c>
    </row>
    <row r="1948" spans="1:12" hidden="1" x14ac:dyDescent="0.25">
      <c r="A1948">
        <v>1947</v>
      </c>
      <c r="B1948" s="1" t="s">
        <v>12</v>
      </c>
      <c r="C1948">
        <v>1952</v>
      </c>
      <c r="D1948" s="1" t="s">
        <v>218</v>
      </c>
      <c r="E1948" s="1" t="s">
        <v>30</v>
      </c>
      <c r="F1948">
        <v>18</v>
      </c>
      <c r="G1948" s="1" t="s">
        <v>100</v>
      </c>
      <c r="H1948">
        <v>18077</v>
      </c>
      <c r="I1948">
        <v>7</v>
      </c>
      <c r="J1948">
        <v>4</v>
      </c>
      <c r="K1948">
        <v>2</v>
      </c>
      <c r="L1948">
        <v>600</v>
      </c>
    </row>
    <row r="1949" spans="1:12" hidden="1" x14ac:dyDescent="0.25">
      <c r="A1949">
        <v>1948</v>
      </c>
      <c r="B1949" s="1" t="s">
        <v>12</v>
      </c>
      <c r="C1949">
        <v>1952</v>
      </c>
      <c r="D1949" s="1" t="s">
        <v>218</v>
      </c>
      <c r="E1949" s="1" t="s">
        <v>30</v>
      </c>
      <c r="F1949">
        <v>18</v>
      </c>
      <c r="G1949" s="1" t="s">
        <v>98</v>
      </c>
      <c r="H1949">
        <v>18098</v>
      </c>
      <c r="I1949">
        <v>5</v>
      </c>
      <c r="J1949">
        <v>4</v>
      </c>
      <c r="K1949">
        <v>3</v>
      </c>
      <c r="L1949">
        <v>700</v>
      </c>
    </row>
    <row r="1950" spans="1:12" hidden="1" x14ac:dyDescent="0.25">
      <c r="A1950">
        <v>1949</v>
      </c>
      <c r="B1950" s="1" t="s">
        <v>12</v>
      </c>
      <c r="C1950">
        <v>1952</v>
      </c>
      <c r="D1950" s="1" t="s">
        <v>218</v>
      </c>
      <c r="E1950" s="1" t="s">
        <v>45</v>
      </c>
      <c r="F1950">
        <v>30</v>
      </c>
      <c r="G1950" s="1" t="s">
        <v>46</v>
      </c>
      <c r="H1950">
        <v>30028</v>
      </c>
      <c r="I1950">
        <v>400</v>
      </c>
      <c r="J1950">
        <v>360</v>
      </c>
      <c r="K1950">
        <v>270</v>
      </c>
      <c r="L1950">
        <v>750</v>
      </c>
    </row>
    <row r="1951" spans="1:12" hidden="1" x14ac:dyDescent="0.25">
      <c r="A1951">
        <v>1950</v>
      </c>
      <c r="B1951" s="1" t="s">
        <v>12</v>
      </c>
      <c r="C1951">
        <v>1952</v>
      </c>
      <c r="D1951" s="1" t="s">
        <v>218</v>
      </c>
      <c r="E1951" s="1" t="s">
        <v>45</v>
      </c>
      <c r="F1951">
        <v>30</v>
      </c>
      <c r="G1951" s="1" t="s">
        <v>47</v>
      </c>
      <c r="H1951">
        <v>30015</v>
      </c>
      <c r="I1951">
        <v>120</v>
      </c>
      <c r="J1951">
        <v>110</v>
      </c>
      <c r="K1951">
        <v>80</v>
      </c>
      <c r="L1951">
        <v>730</v>
      </c>
    </row>
    <row r="1952" spans="1:12" hidden="1" x14ac:dyDescent="0.25">
      <c r="A1952">
        <v>1951</v>
      </c>
      <c r="B1952" s="1" t="s">
        <v>12</v>
      </c>
      <c r="C1952">
        <v>1952</v>
      </c>
      <c r="D1952" s="1" t="s">
        <v>218</v>
      </c>
      <c r="E1952" s="1" t="s">
        <v>48</v>
      </c>
      <c r="F1952">
        <v>34</v>
      </c>
      <c r="G1952" s="1" t="s">
        <v>51</v>
      </c>
      <c r="H1952">
        <v>34056</v>
      </c>
      <c r="I1952">
        <v>50</v>
      </c>
      <c r="J1952">
        <v>35</v>
      </c>
      <c r="K1952">
        <v>39</v>
      </c>
      <c r="L1952">
        <v>1100</v>
      </c>
    </row>
    <row r="1953" spans="1:12" hidden="1" x14ac:dyDescent="0.25">
      <c r="A1953">
        <v>1952</v>
      </c>
      <c r="B1953" s="1" t="s">
        <v>12</v>
      </c>
      <c r="C1953">
        <v>1952</v>
      </c>
      <c r="D1953" s="1" t="s">
        <v>218</v>
      </c>
      <c r="E1953" s="1" t="s">
        <v>48</v>
      </c>
      <c r="F1953">
        <v>34</v>
      </c>
      <c r="G1953" s="1" t="s">
        <v>52</v>
      </c>
      <c r="H1953">
        <v>34035</v>
      </c>
      <c r="I1953">
        <v>30</v>
      </c>
      <c r="J1953">
        <v>20</v>
      </c>
      <c r="K1953">
        <v>22</v>
      </c>
      <c r="L1953">
        <v>1100</v>
      </c>
    </row>
    <row r="1954" spans="1:12" hidden="1" x14ac:dyDescent="0.25">
      <c r="A1954">
        <v>1953</v>
      </c>
      <c r="B1954" s="1" t="s">
        <v>12</v>
      </c>
      <c r="C1954">
        <v>1952</v>
      </c>
      <c r="D1954" s="1" t="s">
        <v>218</v>
      </c>
      <c r="E1954" s="1" t="s">
        <v>48</v>
      </c>
      <c r="F1954">
        <v>34</v>
      </c>
      <c r="G1954" s="1" t="s">
        <v>108</v>
      </c>
      <c r="H1954">
        <v>34042</v>
      </c>
      <c r="I1954">
        <v>15</v>
      </c>
      <c r="J1954">
        <v>12</v>
      </c>
      <c r="K1954">
        <v>13</v>
      </c>
      <c r="L1954">
        <v>1100</v>
      </c>
    </row>
    <row r="1955" spans="1:12" hidden="1" x14ac:dyDescent="0.25">
      <c r="A1955">
        <v>1954</v>
      </c>
      <c r="B1955" s="1" t="s">
        <v>12</v>
      </c>
      <c r="C1955">
        <v>1952</v>
      </c>
      <c r="D1955" s="1" t="s">
        <v>218</v>
      </c>
      <c r="E1955" s="1" t="s">
        <v>48</v>
      </c>
      <c r="F1955">
        <v>34</v>
      </c>
      <c r="G1955" s="1" t="s">
        <v>49</v>
      </c>
      <c r="H1955">
        <v>34049</v>
      </c>
      <c r="I1955">
        <v>15</v>
      </c>
      <c r="J1955">
        <v>13</v>
      </c>
      <c r="K1955">
        <v>14</v>
      </c>
      <c r="L1955">
        <v>1100</v>
      </c>
    </row>
    <row r="1956" spans="1:12" hidden="1" x14ac:dyDescent="0.25">
      <c r="A1956">
        <v>1955</v>
      </c>
      <c r="B1956" s="1" t="s">
        <v>12</v>
      </c>
      <c r="C1956">
        <v>1952</v>
      </c>
      <c r="D1956" s="1" t="s">
        <v>218</v>
      </c>
      <c r="E1956" s="1" t="s">
        <v>48</v>
      </c>
      <c r="F1956">
        <v>34</v>
      </c>
      <c r="G1956" s="1" t="s">
        <v>48</v>
      </c>
      <c r="H1956">
        <v>34014</v>
      </c>
      <c r="I1956">
        <v>10</v>
      </c>
      <c r="J1956">
        <v>10</v>
      </c>
      <c r="K1956">
        <v>11</v>
      </c>
      <c r="L1956">
        <v>1100</v>
      </c>
    </row>
    <row r="1957" spans="1:12" hidden="1" x14ac:dyDescent="0.25">
      <c r="A1957">
        <v>1956</v>
      </c>
      <c r="B1957" s="1" t="s">
        <v>12</v>
      </c>
      <c r="C1957">
        <v>1952</v>
      </c>
      <c r="D1957" s="1" t="s">
        <v>218</v>
      </c>
      <c r="E1957" s="1" t="s">
        <v>48</v>
      </c>
      <c r="F1957">
        <v>34</v>
      </c>
      <c r="G1957" s="1" t="s">
        <v>50</v>
      </c>
      <c r="H1957">
        <v>34021</v>
      </c>
      <c r="I1957">
        <v>10</v>
      </c>
      <c r="J1957">
        <v>10</v>
      </c>
      <c r="K1957">
        <v>11</v>
      </c>
      <c r="L1957">
        <v>1100</v>
      </c>
    </row>
    <row r="1958" spans="1:12" hidden="1" x14ac:dyDescent="0.25">
      <c r="A1958">
        <v>1957</v>
      </c>
      <c r="B1958" s="1" t="s">
        <v>12</v>
      </c>
      <c r="C1958">
        <v>1952</v>
      </c>
      <c r="D1958" s="1" t="s">
        <v>218</v>
      </c>
      <c r="E1958" s="1" t="s">
        <v>58</v>
      </c>
      <c r="F1958">
        <v>54</v>
      </c>
      <c r="G1958" s="1" t="s">
        <v>60</v>
      </c>
      <c r="H1958">
        <v>54021</v>
      </c>
      <c r="I1958">
        <v>120</v>
      </c>
      <c r="J1958">
        <v>96</v>
      </c>
      <c r="K1958">
        <v>77</v>
      </c>
      <c r="L1958">
        <v>800</v>
      </c>
    </row>
    <row r="1959" spans="1:12" hidden="1" x14ac:dyDescent="0.25">
      <c r="A1959">
        <v>1958</v>
      </c>
      <c r="B1959" s="1" t="s">
        <v>12</v>
      </c>
      <c r="C1959">
        <v>1952</v>
      </c>
      <c r="D1959" s="1" t="s">
        <v>218</v>
      </c>
      <c r="E1959" s="1" t="s">
        <v>58</v>
      </c>
      <c r="F1959">
        <v>54</v>
      </c>
      <c r="G1959" s="1" t="s">
        <v>150</v>
      </c>
      <c r="H1959">
        <v>54014</v>
      </c>
      <c r="I1959">
        <v>100</v>
      </c>
      <c r="J1959">
        <v>80</v>
      </c>
      <c r="K1959">
        <v>64</v>
      </c>
      <c r="L1959">
        <v>800</v>
      </c>
    </row>
    <row r="1960" spans="1:12" hidden="1" x14ac:dyDescent="0.25">
      <c r="A1960">
        <v>1959</v>
      </c>
      <c r="B1960" s="1" t="s">
        <v>12</v>
      </c>
      <c r="C1960">
        <v>1952</v>
      </c>
      <c r="D1960" s="1" t="s">
        <v>218</v>
      </c>
      <c r="E1960" s="1" t="s">
        <v>58</v>
      </c>
      <c r="F1960">
        <v>54</v>
      </c>
      <c r="G1960" s="1" t="s">
        <v>62</v>
      </c>
      <c r="H1960">
        <v>54105</v>
      </c>
      <c r="I1960">
        <v>100</v>
      </c>
      <c r="J1960">
        <v>80</v>
      </c>
      <c r="K1960">
        <v>64</v>
      </c>
      <c r="L1960">
        <v>800</v>
      </c>
    </row>
    <row r="1961" spans="1:12" hidden="1" x14ac:dyDescent="0.25">
      <c r="A1961">
        <v>1960</v>
      </c>
      <c r="B1961" s="1" t="s">
        <v>12</v>
      </c>
      <c r="C1961">
        <v>1952</v>
      </c>
      <c r="D1961" s="1" t="s">
        <v>218</v>
      </c>
      <c r="E1961" s="1" t="s">
        <v>58</v>
      </c>
      <c r="F1961">
        <v>54</v>
      </c>
      <c r="G1961" s="1" t="s">
        <v>61</v>
      </c>
      <c r="H1961">
        <v>54098</v>
      </c>
      <c r="I1961">
        <v>60</v>
      </c>
      <c r="J1961">
        <v>48</v>
      </c>
      <c r="K1961">
        <v>38</v>
      </c>
      <c r="L1961">
        <v>800</v>
      </c>
    </row>
    <row r="1962" spans="1:12" hidden="1" x14ac:dyDescent="0.25">
      <c r="A1962">
        <v>1961</v>
      </c>
      <c r="B1962" s="1" t="s">
        <v>12</v>
      </c>
      <c r="C1962">
        <v>1952</v>
      </c>
      <c r="D1962" s="1" t="s">
        <v>218</v>
      </c>
      <c r="E1962" s="1" t="s">
        <v>58</v>
      </c>
      <c r="F1962">
        <v>54</v>
      </c>
      <c r="G1962" s="1" t="s">
        <v>152</v>
      </c>
      <c r="H1962">
        <v>54063</v>
      </c>
      <c r="I1962">
        <v>30</v>
      </c>
      <c r="J1962">
        <v>24</v>
      </c>
      <c r="K1962">
        <v>24</v>
      </c>
      <c r="L1962">
        <v>1000</v>
      </c>
    </row>
    <row r="1963" spans="1:12" hidden="1" x14ac:dyDescent="0.25">
      <c r="A1963">
        <v>1962</v>
      </c>
      <c r="B1963" s="1" t="s">
        <v>12</v>
      </c>
      <c r="C1963">
        <v>1952</v>
      </c>
      <c r="D1963" s="1" t="s">
        <v>218</v>
      </c>
      <c r="E1963" s="1" t="s">
        <v>58</v>
      </c>
      <c r="F1963">
        <v>54</v>
      </c>
      <c r="G1963" s="1" t="s">
        <v>59</v>
      </c>
      <c r="H1963">
        <v>54007</v>
      </c>
      <c r="I1963">
        <v>25</v>
      </c>
      <c r="J1963">
        <v>20</v>
      </c>
      <c r="K1963">
        <v>12</v>
      </c>
      <c r="L1963">
        <v>600</v>
      </c>
    </row>
    <row r="1964" spans="1:12" hidden="1" x14ac:dyDescent="0.25">
      <c r="A1964">
        <v>1963</v>
      </c>
      <c r="B1964" s="1" t="s">
        <v>12</v>
      </c>
      <c r="C1964">
        <v>1952</v>
      </c>
      <c r="D1964" s="1" t="s">
        <v>218</v>
      </c>
      <c r="E1964" s="1" t="s">
        <v>58</v>
      </c>
      <c r="F1964">
        <v>54</v>
      </c>
      <c r="G1964" s="1" t="s">
        <v>63</v>
      </c>
      <c r="H1964">
        <v>54035</v>
      </c>
      <c r="I1964">
        <v>20</v>
      </c>
      <c r="J1964">
        <v>16</v>
      </c>
      <c r="K1964">
        <v>12</v>
      </c>
      <c r="L1964">
        <v>750</v>
      </c>
    </row>
    <row r="1965" spans="1:12" hidden="1" x14ac:dyDescent="0.25">
      <c r="A1965">
        <v>1964</v>
      </c>
      <c r="B1965" s="1" t="s">
        <v>12</v>
      </c>
      <c r="C1965">
        <v>1952</v>
      </c>
      <c r="D1965" s="1" t="s">
        <v>218</v>
      </c>
      <c r="E1965" s="1" t="s">
        <v>58</v>
      </c>
      <c r="F1965">
        <v>54</v>
      </c>
      <c r="G1965" s="1" t="s">
        <v>151</v>
      </c>
      <c r="H1965">
        <v>54056</v>
      </c>
      <c r="I1965">
        <v>10</v>
      </c>
      <c r="J1965">
        <v>8</v>
      </c>
      <c r="K1965">
        <v>8</v>
      </c>
      <c r="L1965">
        <v>1000</v>
      </c>
    </row>
    <row r="1966" spans="1:12" x14ac:dyDescent="0.25">
      <c r="A1966">
        <v>1965</v>
      </c>
      <c r="B1966" s="1" t="s">
        <v>12</v>
      </c>
      <c r="C1966">
        <v>1952</v>
      </c>
      <c r="D1966" s="1" t="s">
        <v>218</v>
      </c>
      <c r="E1966" s="1" t="s">
        <v>58</v>
      </c>
      <c r="F1966">
        <v>54</v>
      </c>
      <c r="G1966" s="1" t="s">
        <v>56</v>
      </c>
      <c r="H1966">
        <v>54112</v>
      </c>
      <c r="I1966">
        <v>5</v>
      </c>
      <c r="J1966">
        <v>4</v>
      </c>
      <c r="K1966">
        <v>4</v>
      </c>
      <c r="L1966">
        <v>1000</v>
      </c>
    </row>
    <row r="1967" spans="1:12" hidden="1" x14ac:dyDescent="0.25">
      <c r="A1967">
        <v>1966</v>
      </c>
      <c r="B1967" s="1" t="s">
        <v>12</v>
      </c>
      <c r="C1967">
        <v>1952</v>
      </c>
      <c r="D1967" s="1" t="s">
        <v>218</v>
      </c>
      <c r="E1967" s="1" t="s">
        <v>58</v>
      </c>
      <c r="F1967">
        <v>54</v>
      </c>
      <c r="G1967" s="1" t="s">
        <v>219</v>
      </c>
      <c r="H1967">
        <v>54028</v>
      </c>
      <c r="I1967">
        <v>2</v>
      </c>
      <c r="J1967">
        <v>2</v>
      </c>
      <c r="K1967">
        <v>2</v>
      </c>
      <c r="L1967">
        <v>1000</v>
      </c>
    </row>
    <row r="1968" spans="1:12" hidden="1" x14ac:dyDescent="0.25">
      <c r="A1968">
        <v>1967</v>
      </c>
      <c r="B1968" s="1" t="s">
        <v>12</v>
      </c>
      <c r="C1968">
        <v>1952</v>
      </c>
      <c r="D1968" s="1" t="s">
        <v>218</v>
      </c>
      <c r="E1968" s="1" t="s">
        <v>87</v>
      </c>
      <c r="F1968">
        <v>66</v>
      </c>
      <c r="G1968" s="1" t="s">
        <v>141</v>
      </c>
      <c r="H1968">
        <v>66112</v>
      </c>
      <c r="I1968">
        <v>70</v>
      </c>
      <c r="J1968">
        <v>40</v>
      </c>
      <c r="K1968">
        <v>60</v>
      </c>
      <c r="L1968">
        <v>1500</v>
      </c>
    </row>
    <row r="1969" spans="1:12" hidden="1" x14ac:dyDescent="0.25">
      <c r="A1969">
        <v>1968</v>
      </c>
      <c r="B1969" s="1" t="s">
        <v>12</v>
      </c>
      <c r="C1969">
        <v>1952</v>
      </c>
      <c r="D1969" s="1" t="s">
        <v>218</v>
      </c>
      <c r="E1969" s="1" t="s">
        <v>64</v>
      </c>
      <c r="F1969">
        <v>82</v>
      </c>
      <c r="G1969" s="1" t="s">
        <v>65</v>
      </c>
      <c r="H1969">
        <v>82049</v>
      </c>
      <c r="I1969">
        <v>550</v>
      </c>
      <c r="J1969">
        <v>490</v>
      </c>
      <c r="K1969">
        <v>490</v>
      </c>
      <c r="L1969">
        <v>1000</v>
      </c>
    </row>
    <row r="1970" spans="1:12" hidden="1" x14ac:dyDescent="0.25">
      <c r="A1970">
        <v>1969</v>
      </c>
      <c r="B1970" s="1" t="s">
        <v>12</v>
      </c>
      <c r="C1970">
        <v>1952</v>
      </c>
      <c r="D1970" s="1" t="s">
        <v>218</v>
      </c>
      <c r="E1970" s="1" t="s">
        <v>64</v>
      </c>
      <c r="F1970">
        <v>82</v>
      </c>
      <c r="G1970" s="1" t="s">
        <v>66</v>
      </c>
      <c r="H1970">
        <v>82035</v>
      </c>
      <c r="I1970">
        <v>150</v>
      </c>
      <c r="J1970">
        <v>140</v>
      </c>
      <c r="K1970">
        <v>210</v>
      </c>
      <c r="L1970">
        <v>1500</v>
      </c>
    </row>
    <row r="1971" spans="1:12" hidden="1" x14ac:dyDescent="0.25">
      <c r="A1971">
        <v>1970</v>
      </c>
      <c r="B1971" s="1" t="s">
        <v>12</v>
      </c>
      <c r="C1971">
        <v>1953</v>
      </c>
      <c r="D1971" s="1" t="s">
        <v>220</v>
      </c>
      <c r="E1971" s="1" t="s">
        <v>158</v>
      </c>
      <c r="F1971">
        <v>6</v>
      </c>
      <c r="G1971" s="1" t="s">
        <v>221</v>
      </c>
      <c r="H1971">
        <v>6875</v>
      </c>
      <c r="I1971">
        <v>5</v>
      </c>
      <c r="J1971">
        <v>5</v>
      </c>
      <c r="K1971">
        <v>6</v>
      </c>
      <c r="L1971">
        <v>1200</v>
      </c>
    </row>
    <row r="1972" spans="1:12" hidden="1" x14ac:dyDescent="0.25">
      <c r="A1972">
        <v>1971</v>
      </c>
      <c r="B1972" s="1" t="s">
        <v>12</v>
      </c>
      <c r="C1972">
        <v>1953</v>
      </c>
      <c r="D1972" s="1" t="s">
        <v>220</v>
      </c>
      <c r="E1972" s="1" t="s">
        <v>22</v>
      </c>
      <c r="F1972">
        <v>14</v>
      </c>
      <c r="G1972" s="1" t="s">
        <v>183</v>
      </c>
      <c r="H1972">
        <v>14007</v>
      </c>
      <c r="I1972">
        <v>80000</v>
      </c>
      <c r="J1972">
        <v>79200</v>
      </c>
      <c r="K1972">
        <v>87120</v>
      </c>
      <c r="L1972">
        <v>1100</v>
      </c>
    </row>
    <row r="1973" spans="1:12" hidden="1" x14ac:dyDescent="0.25">
      <c r="A1973">
        <v>1972</v>
      </c>
      <c r="B1973" s="1" t="s">
        <v>12</v>
      </c>
      <c r="C1973">
        <v>1953</v>
      </c>
      <c r="D1973" s="1" t="s">
        <v>220</v>
      </c>
      <c r="E1973" s="1" t="s">
        <v>22</v>
      </c>
      <c r="F1973">
        <v>14</v>
      </c>
      <c r="G1973" s="1" t="s">
        <v>24</v>
      </c>
      <c r="H1973">
        <v>14119</v>
      </c>
      <c r="I1973">
        <v>48000</v>
      </c>
      <c r="J1973">
        <v>42240</v>
      </c>
      <c r="K1973">
        <v>33790</v>
      </c>
      <c r="L1973">
        <v>800</v>
      </c>
    </row>
    <row r="1974" spans="1:12" hidden="1" x14ac:dyDescent="0.25">
      <c r="A1974">
        <v>1973</v>
      </c>
      <c r="B1974" s="1" t="s">
        <v>12</v>
      </c>
      <c r="C1974">
        <v>1953</v>
      </c>
      <c r="D1974" s="1" t="s">
        <v>220</v>
      </c>
      <c r="E1974" s="1" t="s">
        <v>22</v>
      </c>
      <c r="F1974">
        <v>14</v>
      </c>
      <c r="G1974" s="1" t="s">
        <v>23</v>
      </c>
      <c r="H1974">
        <v>14147</v>
      </c>
      <c r="I1974">
        <v>47000</v>
      </c>
      <c r="J1974">
        <v>45500</v>
      </c>
      <c r="K1974">
        <v>34123</v>
      </c>
      <c r="L1974">
        <v>750</v>
      </c>
    </row>
    <row r="1975" spans="1:12" hidden="1" x14ac:dyDescent="0.25">
      <c r="A1975">
        <v>1974</v>
      </c>
      <c r="B1975" s="1" t="s">
        <v>12</v>
      </c>
      <c r="C1975">
        <v>1953</v>
      </c>
      <c r="D1975" s="1" t="s">
        <v>220</v>
      </c>
      <c r="E1975" s="1" t="s">
        <v>22</v>
      </c>
      <c r="F1975">
        <v>14</v>
      </c>
      <c r="G1975" s="1" t="s">
        <v>97</v>
      </c>
      <c r="H1975">
        <v>14007</v>
      </c>
      <c r="I1975">
        <v>5000</v>
      </c>
      <c r="J1975">
        <v>5000</v>
      </c>
      <c r="K1975">
        <v>5000</v>
      </c>
      <c r="L1975">
        <v>1000</v>
      </c>
    </row>
    <row r="1976" spans="1:12" hidden="1" x14ac:dyDescent="0.25">
      <c r="A1976">
        <v>1975</v>
      </c>
      <c r="B1976" s="1" t="s">
        <v>12</v>
      </c>
      <c r="C1976">
        <v>1953</v>
      </c>
      <c r="D1976" s="1" t="s">
        <v>220</v>
      </c>
      <c r="E1976" s="1" t="s">
        <v>22</v>
      </c>
      <c r="F1976">
        <v>14</v>
      </c>
      <c r="G1976" s="1" t="s">
        <v>29</v>
      </c>
      <c r="H1976">
        <v>14098</v>
      </c>
      <c r="I1976">
        <v>5000</v>
      </c>
      <c r="J1976">
        <v>5000</v>
      </c>
      <c r="K1976">
        <v>5500</v>
      </c>
      <c r="L1976">
        <v>1100</v>
      </c>
    </row>
    <row r="1977" spans="1:12" hidden="1" x14ac:dyDescent="0.25">
      <c r="A1977">
        <v>1976</v>
      </c>
      <c r="B1977" s="1" t="s">
        <v>12</v>
      </c>
      <c r="C1977">
        <v>1953</v>
      </c>
      <c r="D1977" s="1" t="s">
        <v>220</v>
      </c>
      <c r="E1977" s="1" t="s">
        <v>22</v>
      </c>
      <c r="F1977">
        <v>14</v>
      </c>
      <c r="G1977" s="1" t="s">
        <v>143</v>
      </c>
      <c r="H1977">
        <v>14056</v>
      </c>
      <c r="I1977">
        <v>1000</v>
      </c>
      <c r="J1977">
        <v>1000</v>
      </c>
      <c r="K1977">
        <v>1200</v>
      </c>
      <c r="L1977">
        <v>1200</v>
      </c>
    </row>
    <row r="1978" spans="1:12" hidden="1" x14ac:dyDescent="0.25">
      <c r="A1978">
        <v>1977</v>
      </c>
      <c r="B1978" s="1" t="s">
        <v>12</v>
      </c>
      <c r="C1978">
        <v>1953</v>
      </c>
      <c r="D1978" s="1" t="s">
        <v>220</v>
      </c>
      <c r="E1978" s="1" t="s">
        <v>22</v>
      </c>
      <c r="F1978">
        <v>14</v>
      </c>
      <c r="G1978" s="1" t="s">
        <v>28</v>
      </c>
      <c r="H1978">
        <v>14014</v>
      </c>
      <c r="I1978">
        <v>893</v>
      </c>
      <c r="J1978">
        <v>890</v>
      </c>
      <c r="K1978">
        <v>623</v>
      </c>
      <c r="L1978">
        <v>700</v>
      </c>
    </row>
    <row r="1979" spans="1:12" hidden="1" x14ac:dyDescent="0.25">
      <c r="A1979">
        <v>1978</v>
      </c>
      <c r="B1979" s="1" t="s">
        <v>12</v>
      </c>
      <c r="C1979">
        <v>1953</v>
      </c>
      <c r="D1979" s="1" t="s">
        <v>220</v>
      </c>
      <c r="E1979" s="1" t="s">
        <v>22</v>
      </c>
      <c r="F1979">
        <v>14</v>
      </c>
      <c r="G1979" s="1" t="s">
        <v>25</v>
      </c>
      <c r="H1979">
        <v>14105</v>
      </c>
      <c r="I1979">
        <v>800</v>
      </c>
      <c r="J1979">
        <v>700</v>
      </c>
      <c r="K1979">
        <v>350</v>
      </c>
      <c r="L1979">
        <v>500</v>
      </c>
    </row>
    <row r="1980" spans="1:12" hidden="1" x14ac:dyDescent="0.25">
      <c r="A1980">
        <v>1979</v>
      </c>
      <c r="B1980" s="1" t="s">
        <v>12</v>
      </c>
      <c r="C1980">
        <v>1953</v>
      </c>
      <c r="D1980" s="1" t="s">
        <v>220</v>
      </c>
      <c r="E1980" s="1" t="s">
        <v>22</v>
      </c>
      <c r="F1980">
        <v>14</v>
      </c>
      <c r="G1980" s="1" t="s">
        <v>184</v>
      </c>
      <c r="H1980">
        <v>14042</v>
      </c>
      <c r="I1980">
        <v>300</v>
      </c>
      <c r="J1980">
        <v>300</v>
      </c>
      <c r="K1980">
        <v>330</v>
      </c>
      <c r="L1980">
        <v>1100</v>
      </c>
    </row>
    <row r="1981" spans="1:12" hidden="1" x14ac:dyDescent="0.25">
      <c r="A1981">
        <v>1980</v>
      </c>
      <c r="B1981" s="1" t="s">
        <v>12</v>
      </c>
      <c r="C1981">
        <v>1953</v>
      </c>
      <c r="D1981" s="1" t="s">
        <v>220</v>
      </c>
      <c r="E1981" s="1" t="s">
        <v>22</v>
      </c>
      <c r="F1981">
        <v>14</v>
      </c>
      <c r="G1981" s="1" t="s">
        <v>67</v>
      </c>
      <c r="H1981">
        <v>14140</v>
      </c>
      <c r="I1981">
        <v>100</v>
      </c>
      <c r="J1981">
        <v>90</v>
      </c>
      <c r="K1981">
        <v>50</v>
      </c>
      <c r="L1981">
        <v>556</v>
      </c>
    </row>
    <row r="1982" spans="1:12" hidden="1" x14ac:dyDescent="0.25">
      <c r="A1982">
        <v>1981</v>
      </c>
      <c r="B1982" s="1" t="s">
        <v>12</v>
      </c>
      <c r="C1982">
        <v>1953</v>
      </c>
      <c r="D1982" s="1" t="s">
        <v>220</v>
      </c>
      <c r="E1982" s="1" t="s">
        <v>22</v>
      </c>
      <c r="F1982">
        <v>14</v>
      </c>
      <c r="G1982" s="1" t="s">
        <v>27</v>
      </c>
      <c r="H1982">
        <v>14021</v>
      </c>
      <c r="I1982">
        <v>50</v>
      </c>
      <c r="J1982">
        <v>48</v>
      </c>
      <c r="K1982">
        <v>33</v>
      </c>
      <c r="L1982">
        <v>687</v>
      </c>
    </row>
    <row r="1983" spans="1:12" hidden="1" x14ac:dyDescent="0.25">
      <c r="A1983">
        <v>1982</v>
      </c>
      <c r="B1983" s="1" t="s">
        <v>12</v>
      </c>
      <c r="C1983">
        <v>1953</v>
      </c>
      <c r="D1983" s="1" t="s">
        <v>220</v>
      </c>
      <c r="E1983" s="1" t="s">
        <v>22</v>
      </c>
      <c r="F1983">
        <v>14</v>
      </c>
      <c r="G1983" s="1" t="s">
        <v>62</v>
      </c>
      <c r="H1983">
        <v>14133</v>
      </c>
      <c r="I1983">
        <v>50</v>
      </c>
      <c r="J1983">
        <v>48</v>
      </c>
      <c r="K1983">
        <v>29</v>
      </c>
      <c r="L1983">
        <v>604</v>
      </c>
    </row>
    <row r="1984" spans="1:12" hidden="1" x14ac:dyDescent="0.25">
      <c r="A1984">
        <v>1983</v>
      </c>
      <c r="B1984" s="1" t="s">
        <v>12</v>
      </c>
      <c r="C1984">
        <v>1953</v>
      </c>
      <c r="D1984" s="1" t="s">
        <v>220</v>
      </c>
      <c r="E1984" s="1" t="s">
        <v>22</v>
      </c>
      <c r="F1984">
        <v>14</v>
      </c>
      <c r="G1984" s="1" t="s">
        <v>169</v>
      </c>
      <c r="H1984">
        <v>14126</v>
      </c>
      <c r="I1984">
        <v>30</v>
      </c>
      <c r="J1984">
        <v>29</v>
      </c>
      <c r="K1984">
        <v>17</v>
      </c>
      <c r="L1984">
        <v>586</v>
      </c>
    </row>
    <row r="1985" spans="1:12" hidden="1" x14ac:dyDescent="0.25">
      <c r="A1985">
        <v>1984</v>
      </c>
      <c r="B1985" s="1" t="s">
        <v>12</v>
      </c>
      <c r="C1985">
        <v>1953</v>
      </c>
      <c r="D1985" s="1" t="s">
        <v>220</v>
      </c>
      <c r="E1985" s="1" t="s">
        <v>22</v>
      </c>
      <c r="F1985">
        <v>14</v>
      </c>
      <c r="G1985" s="1" t="s">
        <v>173</v>
      </c>
      <c r="H1985">
        <v>14028</v>
      </c>
      <c r="I1985">
        <v>10</v>
      </c>
      <c r="J1985">
        <v>10</v>
      </c>
      <c r="K1985">
        <v>6</v>
      </c>
      <c r="L1985">
        <v>600</v>
      </c>
    </row>
    <row r="1986" spans="1:12" hidden="1" x14ac:dyDescent="0.25">
      <c r="A1986">
        <v>1985</v>
      </c>
      <c r="B1986" s="1" t="s">
        <v>12</v>
      </c>
      <c r="C1986">
        <v>1953</v>
      </c>
      <c r="D1986" s="1" t="s">
        <v>220</v>
      </c>
      <c r="E1986" s="1" t="s">
        <v>22</v>
      </c>
      <c r="F1986">
        <v>14</v>
      </c>
      <c r="G1986" s="1" t="s">
        <v>114</v>
      </c>
      <c r="H1986">
        <v>14168</v>
      </c>
      <c r="I1986">
        <v>10</v>
      </c>
      <c r="J1986">
        <v>9</v>
      </c>
      <c r="K1986">
        <v>5</v>
      </c>
      <c r="L1986">
        <v>555</v>
      </c>
    </row>
    <row r="1987" spans="1:12" hidden="1" x14ac:dyDescent="0.25">
      <c r="A1987">
        <v>1986</v>
      </c>
      <c r="B1987" s="1" t="s">
        <v>12</v>
      </c>
      <c r="C1987">
        <v>1953</v>
      </c>
      <c r="D1987" s="1" t="s">
        <v>220</v>
      </c>
      <c r="E1987" s="1" t="s">
        <v>22</v>
      </c>
      <c r="F1987">
        <v>14</v>
      </c>
      <c r="G1987" s="1" t="s">
        <v>170</v>
      </c>
      <c r="H1987">
        <v>14049</v>
      </c>
      <c r="I1987">
        <v>2</v>
      </c>
      <c r="J1987">
        <v>2</v>
      </c>
      <c r="K1987">
        <v>1</v>
      </c>
      <c r="L1987">
        <v>500</v>
      </c>
    </row>
    <row r="1988" spans="1:12" hidden="1" x14ac:dyDescent="0.25">
      <c r="A1988">
        <v>1987</v>
      </c>
      <c r="B1988" s="1" t="s">
        <v>12</v>
      </c>
      <c r="C1988">
        <v>1953</v>
      </c>
      <c r="D1988" s="1" t="s">
        <v>220</v>
      </c>
      <c r="E1988" s="1" t="s">
        <v>22</v>
      </c>
      <c r="F1988">
        <v>14</v>
      </c>
      <c r="G1988" s="1" t="s">
        <v>171</v>
      </c>
      <c r="H1988">
        <v>14112</v>
      </c>
      <c r="I1988">
        <v>2</v>
      </c>
      <c r="J1988">
        <v>2</v>
      </c>
      <c r="K1988">
        <v>1</v>
      </c>
      <c r="L1988">
        <v>500</v>
      </c>
    </row>
    <row r="1989" spans="1:12" hidden="1" x14ac:dyDescent="0.25">
      <c r="A1989">
        <v>1988</v>
      </c>
      <c r="B1989" s="1" t="s">
        <v>12</v>
      </c>
      <c r="C1989">
        <v>1953</v>
      </c>
      <c r="D1989" s="1" t="s">
        <v>220</v>
      </c>
      <c r="E1989" s="1" t="s">
        <v>22</v>
      </c>
      <c r="F1989">
        <v>14</v>
      </c>
      <c r="G1989" s="1" t="s">
        <v>186</v>
      </c>
      <c r="H1989">
        <v>14175</v>
      </c>
      <c r="I1989">
        <v>2</v>
      </c>
      <c r="J1989">
        <v>2</v>
      </c>
      <c r="K1989">
        <v>1</v>
      </c>
      <c r="L1989">
        <v>500</v>
      </c>
    </row>
    <row r="1990" spans="1:12" hidden="1" x14ac:dyDescent="0.25">
      <c r="A1990">
        <v>1989</v>
      </c>
      <c r="B1990" s="1" t="s">
        <v>12</v>
      </c>
      <c r="C1990">
        <v>1953</v>
      </c>
      <c r="D1990" s="1" t="s">
        <v>220</v>
      </c>
      <c r="E1990" s="1" t="s">
        <v>22</v>
      </c>
      <c r="F1990">
        <v>14</v>
      </c>
      <c r="G1990" s="1" t="s">
        <v>194</v>
      </c>
      <c r="H1990">
        <v>14077</v>
      </c>
      <c r="I1990">
        <v>1</v>
      </c>
      <c r="J1990">
        <v>1</v>
      </c>
      <c r="K1990">
        <v>1</v>
      </c>
      <c r="L1990">
        <v>1000</v>
      </c>
    </row>
    <row r="1991" spans="1:12" hidden="1" x14ac:dyDescent="0.25">
      <c r="A1991">
        <v>1990</v>
      </c>
      <c r="B1991" s="1" t="s">
        <v>12</v>
      </c>
      <c r="C1991">
        <v>1953</v>
      </c>
      <c r="D1991" s="1" t="s">
        <v>220</v>
      </c>
      <c r="E1991" s="1" t="s">
        <v>30</v>
      </c>
      <c r="F1991">
        <v>18</v>
      </c>
      <c r="G1991" s="1" t="s">
        <v>32</v>
      </c>
      <c r="H1991">
        <v>18112</v>
      </c>
      <c r="I1991">
        <v>350</v>
      </c>
      <c r="J1991">
        <v>298</v>
      </c>
      <c r="K1991">
        <v>283</v>
      </c>
      <c r="L1991">
        <v>950</v>
      </c>
    </row>
    <row r="1992" spans="1:12" hidden="1" x14ac:dyDescent="0.25">
      <c r="A1992">
        <v>1991</v>
      </c>
      <c r="B1992" s="1" t="s">
        <v>12</v>
      </c>
      <c r="C1992">
        <v>1953</v>
      </c>
      <c r="D1992" s="1" t="s">
        <v>220</v>
      </c>
      <c r="E1992" s="1" t="s">
        <v>30</v>
      </c>
      <c r="F1992">
        <v>18</v>
      </c>
      <c r="G1992" s="1" t="s">
        <v>34</v>
      </c>
      <c r="H1992">
        <v>18042</v>
      </c>
      <c r="I1992">
        <v>40</v>
      </c>
      <c r="J1992">
        <v>32</v>
      </c>
      <c r="K1992">
        <v>25</v>
      </c>
      <c r="L1992">
        <v>781</v>
      </c>
    </row>
    <row r="1993" spans="1:12" hidden="1" x14ac:dyDescent="0.25">
      <c r="A1993">
        <v>1992</v>
      </c>
      <c r="B1993" s="1" t="s">
        <v>12</v>
      </c>
      <c r="C1993">
        <v>1953</v>
      </c>
      <c r="D1993" s="1" t="s">
        <v>220</v>
      </c>
      <c r="E1993" s="1" t="s">
        <v>30</v>
      </c>
      <c r="F1993">
        <v>18</v>
      </c>
      <c r="G1993" s="1" t="s">
        <v>41</v>
      </c>
      <c r="H1993">
        <v>18140</v>
      </c>
      <c r="I1993">
        <v>30</v>
      </c>
      <c r="J1993">
        <v>24</v>
      </c>
      <c r="K1993">
        <v>19</v>
      </c>
      <c r="L1993">
        <v>792</v>
      </c>
    </row>
    <row r="1994" spans="1:12" hidden="1" x14ac:dyDescent="0.25">
      <c r="A1994">
        <v>1993</v>
      </c>
      <c r="B1994" s="1" t="s">
        <v>12</v>
      </c>
      <c r="C1994">
        <v>1953</v>
      </c>
      <c r="D1994" s="1" t="s">
        <v>220</v>
      </c>
      <c r="E1994" s="1" t="s">
        <v>30</v>
      </c>
      <c r="F1994">
        <v>18</v>
      </c>
      <c r="G1994" s="1" t="s">
        <v>28</v>
      </c>
      <c r="H1994">
        <v>18021</v>
      </c>
      <c r="I1994">
        <v>20</v>
      </c>
      <c r="J1994">
        <v>16</v>
      </c>
      <c r="K1994">
        <v>12</v>
      </c>
      <c r="L1994">
        <v>750</v>
      </c>
    </row>
    <row r="1995" spans="1:12" hidden="1" x14ac:dyDescent="0.25">
      <c r="A1995">
        <v>1994</v>
      </c>
      <c r="B1995" s="1" t="s">
        <v>12</v>
      </c>
      <c r="C1995">
        <v>1953</v>
      </c>
      <c r="D1995" s="1" t="s">
        <v>220</v>
      </c>
      <c r="E1995" s="1" t="s">
        <v>30</v>
      </c>
      <c r="F1995">
        <v>18</v>
      </c>
      <c r="G1995" s="1" t="s">
        <v>42</v>
      </c>
      <c r="H1995">
        <v>18035</v>
      </c>
      <c r="I1995">
        <v>20</v>
      </c>
      <c r="J1995">
        <v>16</v>
      </c>
      <c r="K1995">
        <v>13</v>
      </c>
      <c r="L1995">
        <v>812</v>
      </c>
    </row>
    <row r="1996" spans="1:12" hidden="1" x14ac:dyDescent="0.25">
      <c r="A1996">
        <v>1995</v>
      </c>
      <c r="B1996" s="1" t="s">
        <v>12</v>
      </c>
      <c r="C1996">
        <v>1953</v>
      </c>
      <c r="D1996" s="1" t="s">
        <v>220</v>
      </c>
      <c r="E1996" s="1" t="s">
        <v>30</v>
      </c>
      <c r="F1996">
        <v>18</v>
      </c>
      <c r="G1996" s="1" t="s">
        <v>40</v>
      </c>
      <c r="H1996">
        <v>18126</v>
      </c>
      <c r="I1996">
        <v>15</v>
      </c>
      <c r="J1996">
        <v>12</v>
      </c>
      <c r="K1996">
        <v>9</v>
      </c>
      <c r="L1996">
        <v>750</v>
      </c>
    </row>
    <row r="1997" spans="1:12" hidden="1" x14ac:dyDescent="0.25">
      <c r="A1997">
        <v>1996</v>
      </c>
      <c r="B1997" s="1" t="s">
        <v>12</v>
      </c>
      <c r="C1997">
        <v>1953</v>
      </c>
      <c r="D1997" s="1" t="s">
        <v>220</v>
      </c>
      <c r="E1997" s="1" t="s">
        <v>30</v>
      </c>
      <c r="F1997">
        <v>18</v>
      </c>
      <c r="G1997" s="1" t="s">
        <v>63</v>
      </c>
      <c r="H1997">
        <v>18028</v>
      </c>
      <c r="I1997">
        <v>10</v>
      </c>
      <c r="J1997">
        <v>6</v>
      </c>
      <c r="K1997">
        <v>4</v>
      </c>
      <c r="L1997">
        <v>666</v>
      </c>
    </row>
    <row r="1998" spans="1:12" hidden="1" x14ac:dyDescent="0.25">
      <c r="A1998">
        <v>1997</v>
      </c>
      <c r="B1998" s="1" t="s">
        <v>12</v>
      </c>
      <c r="C1998">
        <v>1953</v>
      </c>
      <c r="D1998" s="1" t="s">
        <v>220</v>
      </c>
      <c r="E1998" s="1" t="s">
        <v>30</v>
      </c>
      <c r="F1998">
        <v>18</v>
      </c>
      <c r="G1998" s="1" t="s">
        <v>39</v>
      </c>
      <c r="H1998">
        <v>18084</v>
      </c>
      <c r="I1998">
        <v>10</v>
      </c>
      <c r="J1998">
        <v>6</v>
      </c>
      <c r="K1998">
        <v>4</v>
      </c>
      <c r="L1998">
        <v>666</v>
      </c>
    </row>
    <row r="1999" spans="1:12" hidden="1" x14ac:dyDescent="0.25">
      <c r="A1999">
        <v>1998</v>
      </c>
      <c r="B1999" s="1" t="s">
        <v>12</v>
      </c>
      <c r="C1999">
        <v>1953</v>
      </c>
      <c r="D1999" s="1" t="s">
        <v>220</v>
      </c>
      <c r="E1999" s="1" t="s">
        <v>30</v>
      </c>
      <c r="F1999">
        <v>18</v>
      </c>
      <c r="G1999" s="1" t="s">
        <v>36</v>
      </c>
      <c r="H1999">
        <v>18133</v>
      </c>
      <c r="I1999">
        <v>10</v>
      </c>
      <c r="J1999">
        <v>8</v>
      </c>
      <c r="K1999">
        <v>6</v>
      </c>
      <c r="L1999">
        <v>750</v>
      </c>
    </row>
    <row r="2000" spans="1:12" hidden="1" x14ac:dyDescent="0.25">
      <c r="A2000">
        <v>1999</v>
      </c>
      <c r="B2000" s="1" t="s">
        <v>12</v>
      </c>
      <c r="C2000">
        <v>1953</v>
      </c>
      <c r="D2000" s="1" t="s">
        <v>220</v>
      </c>
      <c r="E2000" s="1" t="s">
        <v>30</v>
      </c>
      <c r="F2000">
        <v>18</v>
      </c>
      <c r="G2000" s="1" t="s">
        <v>103</v>
      </c>
      <c r="H2000">
        <v>18154</v>
      </c>
      <c r="I2000">
        <v>10</v>
      </c>
      <c r="J2000">
        <v>7</v>
      </c>
      <c r="K2000">
        <v>6</v>
      </c>
      <c r="L2000">
        <v>857</v>
      </c>
    </row>
    <row r="2001" spans="1:12" hidden="1" x14ac:dyDescent="0.25">
      <c r="A2001">
        <v>2000</v>
      </c>
      <c r="B2001" s="1" t="s">
        <v>12</v>
      </c>
      <c r="C2001">
        <v>1953</v>
      </c>
      <c r="D2001" s="1" t="s">
        <v>220</v>
      </c>
      <c r="E2001" s="1" t="s">
        <v>30</v>
      </c>
      <c r="F2001">
        <v>18</v>
      </c>
      <c r="G2001" s="1" t="s">
        <v>99</v>
      </c>
      <c r="H2001">
        <v>18063</v>
      </c>
      <c r="I2001">
        <v>6</v>
      </c>
      <c r="J2001">
        <v>5</v>
      </c>
      <c r="K2001">
        <v>4</v>
      </c>
      <c r="L2001">
        <v>800</v>
      </c>
    </row>
    <row r="2002" spans="1:12" hidden="1" x14ac:dyDescent="0.25">
      <c r="A2002">
        <v>2001</v>
      </c>
      <c r="B2002" s="1" t="s">
        <v>12</v>
      </c>
      <c r="C2002">
        <v>1953</v>
      </c>
      <c r="D2002" s="1" t="s">
        <v>220</v>
      </c>
      <c r="E2002" s="1" t="s">
        <v>30</v>
      </c>
      <c r="F2002">
        <v>18</v>
      </c>
      <c r="G2002" s="1" t="s">
        <v>100</v>
      </c>
      <c r="H2002">
        <v>18077</v>
      </c>
      <c r="I2002">
        <v>5</v>
      </c>
      <c r="J2002">
        <v>4</v>
      </c>
      <c r="K2002">
        <v>3</v>
      </c>
      <c r="L2002">
        <v>750</v>
      </c>
    </row>
    <row r="2003" spans="1:12" hidden="1" x14ac:dyDescent="0.25">
      <c r="A2003">
        <v>2002</v>
      </c>
      <c r="B2003" s="1" t="s">
        <v>12</v>
      </c>
      <c r="C2003">
        <v>1953</v>
      </c>
      <c r="D2003" s="1" t="s">
        <v>220</v>
      </c>
      <c r="E2003" s="1" t="s">
        <v>30</v>
      </c>
      <c r="F2003">
        <v>18</v>
      </c>
      <c r="G2003" s="1" t="s">
        <v>98</v>
      </c>
      <c r="H2003">
        <v>18098</v>
      </c>
      <c r="I2003">
        <v>5</v>
      </c>
      <c r="J2003">
        <v>3</v>
      </c>
      <c r="K2003">
        <v>2</v>
      </c>
      <c r="L2003">
        <v>666</v>
      </c>
    </row>
    <row r="2004" spans="1:12" hidden="1" x14ac:dyDescent="0.25">
      <c r="A2004">
        <v>2003</v>
      </c>
      <c r="B2004" s="1" t="s">
        <v>12</v>
      </c>
      <c r="C2004">
        <v>1953</v>
      </c>
      <c r="D2004" s="1" t="s">
        <v>220</v>
      </c>
      <c r="E2004" s="1" t="s">
        <v>30</v>
      </c>
      <c r="F2004">
        <v>18</v>
      </c>
      <c r="G2004" s="1" t="s">
        <v>102</v>
      </c>
      <c r="H2004">
        <v>18014</v>
      </c>
      <c r="I2004">
        <v>4</v>
      </c>
      <c r="J2004">
        <v>3</v>
      </c>
      <c r="K2004">
        <v>2</v>
      </c>
      <c r="L2004">
        <v>666</v>
      </c>
    </row>
    <row r="2005" spans="1:12" hidden="1" x14ac:dyDescent="0.25">
      <c r="A2005">
        <v>2004</v>
      </c>
      <c r="B2005" s="1" t="s">
        <v>12</v>
      </c>
      <c r="C2005">
        <v>1953</v>
      </c>
      <c r="D2005" s="1" t="s">
        <v>220</v>
      </c>
      <c r="E2005" s="1" t="s">
        <v>45</v>
      </c>
      <c r="F2005">
        <v>30</v>
      </c>
      <c r="G2005" s="1" t="s">
        <v>46</v>
      </c>
      <c r="H2005">
        <v>30028</v>
      </c>
      <c r="I2005">
        <v>235</v>
      </c>
      <c r="J2005">
        <v>200</v>
      </c>
      <c r="K2005">
        <v>180</v>
      </c>
      <c r="L2005">
        <v>900</v>
      </c>
    </row>
    <row r="2006" spans="1:12" hidden="1" x14ac:dyDescent="0.25">
      <c r="A2006">
        <v>2005</v>
      </c>
      <c r="B2006" s="1" t="s">
        <v>12</v>
      </c>
      <c r="C2006">
        <v>1953</v>
      </c>
      <c r="D2006" s="1" t="s">
        <v>220</v>
      </c>
      <c r="E2006" s="1" t="s">
        <v>45</v>
      </c>
      <c r="F2006">
        <v>30</v>
      </c>
      <c r="G2006" s="1" t="s">
        <v>47</v>
      </c>
      <c r="H2006">
        <v>30015</v>
      </c>
      <c r="I2006">
        <v>65</v>
      </c>
      <c r="J2006">
        <v>60</v>
      </c>
      <c r="K2006">
        <v>54</v>
      </c>
      <c r="L2006">
        <v>900</v>
      </c>
    </row>
    <row r="2007" spans="1:12" hidden="1" x14ac:dyDescent="0.25">
      <c r="A2007">
        <v>2006</v>
      </c>
      <c r="B2007" s="1" t="s">
        <v>12</v>
      </c>
      <c r="C2007">
        <v>1953</v>
      </c>
      <c r="D2007" s="1" t="s">
        <v>220</v>
      </c>
      <c r="E2007" s="1" t="s">
        <v>48</v>
      </c>
      <c r="F2007">
        <v>34</v>
      </c>
      <c r="G2007" s="1" t="s">
        <v>51</v>
      </c>
      <c r="H2007">
        <v>34056</v>
      </c>
      <c r="I2007">
        <v>45</v>
      </c>
      <c r="J2007">
        <v>45</v>
      </c>
      <c r="K2007">
        <v>72</v>
      </c>
      <c r="L2007">
        <v>1600</v>
      </c>
    </row>
    <row r="2008" spans="1:12" hidden="1" x14ac:dyDescent="0.25">
      <c r="A2008">
        <v>2007</v>
      </c>
      <c r="B2008" s="1" t="s">
        <v>12</v>
      </c>
      <c r="C2008">
        <v>1953</v>
      </c>
      <c r="D2008" s="1" t="s">
        <v>220</v>
      </c>
      <c r="E2008" s="1" t="s">
        <v>48</v>
      </c>
      <c r="F2008">
        <v>34</v>
      </c>
      <c r="G2008" s="1" t="s">
        <v>52</v>
      </c>
      <c r="H2008">
        <v>34035</v>
      </c>
      <c r="I2008">
        <v>20</v>
      </c>
      <c r="J2008">
        <v>20</v>
      </c>
      <c r="K2008">
        <v>24</v>
      </c>
      <c r="L2008">
        <v>1200</v>
      </c>
    </row>
    <row r="2009" spans="1:12" hidden="1" x14ac:dyDescent="0.25">
      <c r="A2009">
        <v>2008</v>
      </c>
      <c r="B2009" s="1" t="s">
        <v>12</v>
      </c>
      <c r="C2009">
        <v>1953</v>
      </c>
      <c r="D2009" s="1" t="s">
        <v>220</v>
      </c>
      <c r="E2009" s="1" t="s">
        <v>48</v>
      </c>
      <c r="F2009">
        <v>34</v>
      </c>
      <c r="G2009" s="1" t="s">
        <v>49</v>
      </c>
      <c r="H2009">
        <v>34049</v>
      </c>
      <c r="I2009">
        <v>15</v>
      </c>
      <c r="J2009">
        <v>15</v>
      </c>
      <c r="K2009">
        <v>27</v>
      </c>
      <c r="L2009">
        <v>1800</v>
      </c>
    </row>
    <row r="2010" spans="1:12" hidden="1" x14ac:dyDescent="0.25">
      <c r="A2010">
        <v>2009</v>
      </c>
      <c r="B2010" s="1" t="s">
        <v>12</v>
      </c>
      <c r="C2010">
        <v>1953</v>
      </c>
      <c r="D2010" s="1" t="s">
        <v>220</v>
      </c>
      <c r="E2010" s="1" t="s">
        <v>48</v>
      </c>
      <c r="F2010">
        <v>34</v>
      </c>
      <c r="G2010" s="1" t="s">
        <v>108</v>
      </c>
      <c r="H2010">
        <v>34042</v>
      </c>
      <c r="I2010">
        <v>12</v>
      </c>
      <c r="J2010">
        <v>12</v>
      </c>
      <c r="K2010">
        <v>19</v>
      </c>
      <c r="L2010">
        <v>1600</v>
      </c>
    </row>
    <row r="2011" spans="1:12" hidden="1" x14ac:dyDescent="0.25">
      <c r="A2011">
        <v>2010</v>
      </c>
      <c r="B2011" s="1" t="s">
        <v>12</v>
      </c>
      <c r="C2011">
        <v>1953</v>
      </c>
      <c r="D2011" s="1" t="s">
        <v>220</v>
      </c>
      <c r="E2011" s="1" t="s">
        <v>48</v>
      </c>
      <c r="F2011">
        <v>34</v>
      </c>
      <c r="G2011" s="1" t="s">
        <v>48</v>
      </c>
      <c r="H2011">
        <v>34014</v>
      </c>
      <c r="I2011">
        <v>10</v>
      </c>
      <c r="J2011">
        <v>10</v>
      </c>
      <c r="K2011">
        <v>14</v>
      </c>
      <c r="L2011">
        <v>1400</v>
      </c>
    </row>
    <row r="2012" spans="1:12" hidden="1" x14ac:dyDescent="0.25">
      <c r="A2012">
        <v>2011</v>
      </c>
      <c r="B2012" s="1" t="s">
        <v>12</v>
      </c>
      <c r="C2012">
        <v>1953</v>
      </c>
      <c r="D2012" s="1" t="s">
        <v>220</v>
      </c>
      <c r="E2012" s="1" t="s">
        <v>48</v>
      </c>
      <c r="F2012">
        <v>34</v>
      </c>
      <c r="G2012" s="1" t="s">
        <v>50</v>
      </c>
      <c r="H2012">
        <v>34021</v>
      </c>
      <c r="I2012">
        <v>10</v>
      </c>
      <c r="J2012">
        <v>10</v>
      </c>
      <c r="K2012">
        <v>16</v>
      </c>
      <c r="L2012">
        <v>1600</v>
      </c>
    </row>
    <row r="2013" spans="1:12" hidden="1" x14ac:dyDescent="0.25">
      <c r="A2013">
        <v>2012</v>
      </c>
      <c r="B2013" s="1" t="s">
        <v>12</v>
      </c>
      <c r="C2013">
        <v>1953</v>
      </c>
      <c r="D2013" s="1" t="s">
        <v>220</v>
      </c>
      <c r="E2013" s="1" t="s">
        <v>58</v>
      </c>
      <c r="F2013">
        <v>54</v>
      </c>
      <c r="G2013" s="1" t="s">
        <v>60</v>
      </c>
      <c r="H2013">
        <v>54021</v>
      </c>
      <c r="I2013">
        <v>100</v>
      </c>
      <c r="J2013">
        <v>80</v>
      </c>
      <c r="K2013">
        <v>64</v>
      </c>
      <c r="L2013">
        <v>800</v>
      </c>
    </row>
    <row r="2014" spans="1:12" hidden="1" x14ac:dyDescent="0.25">
      <c r="A2014">
        <v>2013</v>
      </c>
      <c r="B2014" s="1" t="s">
        <v>12</v>
      </c>
      <c r="C2014">
        <v>1953</v>
      </c>
      <c r="D2014" s="1" t="s">
        <v>220</v>
      </c>
      <c r="E2014" s="1" t="s">
        <v>58</v>
      </c>
      <c r="F2014">
        <v>54</v>
      </c>
      <c r="G2014" s="1" t="s">
        <v>62</v>
      </c>
      <c r="H2014">
        <v>54105</v>
      </c>
      <c r="I2014">
        <v>100</v>
      </c>
      <c r="J2014">
        <v>80</v>
      </c>
      <c r="K2014">
        <v>64</v>
      </c>
      <c r="L2014">
        <v>800</v>
      </c>
    </row>
    <row r="2015" spans="1:12" hidden="1" x14ac:dyDescent="0.25">
      <c r="A2015">
        <v>2014</v>
      </c>
      <c r="B2015" s="1" t="s">
        <v>12</v>
      </c>
      <c r="C2015">
        <v>1953</v>
      </c>
      <c r="D2015" s="1" t="s">
        <v>220</v>
      </c>
      <c r="E2015" s="1" t="s">
        <v>58</v>
      </c>
      <c r="F2015">
        <v>54</v>
      </c>
      <c r="G2015" s="1" t="s">
        <v>150</v>
      </c>
      <c r="H2015">
        <v>54014</v>
      </c>
      <c r="I2015">
        <v>75</v>
      </c>
      <c r="J2015">
        <v>60</v>
      </c>
      <c r="K2015">
        <v>48</v>
      </c>
      <c r="L2015">
        <v>800</v>
      </c>
    </row>
    <row r="2016" spans="1:12" hidden="1" x14ac:dyDescent="0.25">
      <c r="A2016">
        <v>2015</v>
      </c>
      <c r="B2016" s="1" t="s">
        <v>12</v>
      </c>
      <c r="C2016">
        <v>1953</v>
      </c>
      <c r="D2016" s="1" t="s">
        <v>220</v>
      </c>
      <c r="E2016" s="1" t="s">
        <v>58</v>
      </c>
      <c r="F2016">
        <v>54</v>
      </c>
      <c r="G2016" s="1" t="s">
        <v>61</v>
      </c>
      <c r="H2016">
        <v>54098</v>
      </c>
      <c r="I2016">
        <v>60</v>
      </c>
      <c r="J2016">
        <v>48</v>
      </c>
      <c r="K2016">
        <v>38</v>
      </c>
      <c r="L2016">
        <v>792</v>
      </c>
    </row>
    <row r="2017" spans="1:12" hidden="1" x14ac:dyDescent="0.25">
      <c r="A2017">
        <v>2016</v>
      </c>
      <c r="B2017" s="1" t="s">
        <v>12</v>
      </c>
      <c r="C2017">
        <v>1953</v>
      </c>
      <c r="D2017" s="1" t="s">
        <v>220</v>
      </c>
      <c r="E2017" s="1" t="s">
        <v>58</v>
      </c>
      <c r="F2017">
        <v>54</v>
      </c>
      <c r="G2017" s="1" t="s">
        <v>152</v>
      </c>
      <c r="H2017">
        <v>54063</v>
      </c>
      <c r="I2017">
        <v>30</v>
      </c>
      <c r="J2017">
        <v>24</v>
      </c>
      <c r="K2017">
        <v>19</v>
      </c>
      <c r="L2017">
        <v>800</v>
      </c>
    </row>
    <row r="2018" spans="1:12" hidden="1" x14ac:dyDescent="0.25">
      <c r="A2018">
        <v>2017</v>
      </c>
      <c r="B2018" s="1" t="s">
        <v>12</v>
      </c>
      <c r="C2018">
        <v>1953</v>
      </c>
      <c r="D2018" s="1" t="s">
        <v>220</v>
      </c>
      <c r="E2018" s="1" t="s">
        <v>58</v>
      </c>
      <c r="F2018">
        <v>54</v>
      </c>
      <c r="G2018" s="1" t="s">
        <v>63</v>
      </c>
      <c r="H2018">
        <v>54035</v>
      </c>
      <c r="I2018">
        <v>20</v>
      </c>
      <c r="J2018">
        <v>16</v>
      </c>
      <c r="K2018">
        <v>13</v>
      </c>
      <c r="L2018">
        <v>812</v>
      </c>
    </row>
    <row r="2019" spans="1:12" hidden="1" x14ac:dyDescent="0.25">
      <c r="A2019">
        <v>2018</v>
      </c>
      <c r="B2019" s="1" t="s">
        <v>12</v>
      </c>
      <c r="C2019">
        <v>1953</v>
      </c>
      <c r="D2019" s="1" t="s">
        <v>220</v>
      </c>
      <c r="E2019" s="1" t="s">
        <v>58</v>
      </c>
      <c r="F2019">
        <v>54</v>
      </c>
      <c r="G2019" s="1" t="s">
        <v>59</v>
      </c>
      <c r="H2019">
        <v>54007</v>
      </c>
      <c r="I2019">
        <v>15</v>
      </c>
      <c r="J2019">
        <v>12</v>
      </c>
      <c r="K2019">
        <v>10</v>
      </c>
      <c r="L2019">
        <v>833</v>
      </c>
    </row>
    <row r="2020" spans="1:12" hidden="1" x14ac:dyDescent="0.25">
      <c r="A2020">
        <v>2019</v>
      </c>
      <c r="B2020" s="1" t="s">
        <v>12</v>
      </c>
      <c r="C2020">
        <v>1953</v>
      </c>
      <c r="D2020" s="1" t="s">
        <v>220</v>
      </c>
      <c r="E2020" s="1" t="s">
        <v>58</v>
      </c>
      <c r="F2020">
        <v>54</v>
      </c>
      <c r="G2020" s="1" t="s">
        <v>151</v>
      </c>
      <c r="H2020">
        <v>54056</v>
      </c>
      <c r="I2020">
        <v>10</v>
      </c>
      <c r="J2020">
        <v>8</v>
      </c>
      <c r="K2020">
        <v>6</v>
      </c>
      <c r="L2020">
        <v>750</v>
      </c>
    </row>
    <row r="2021" spans="1:12" x14ac:dyDescent="0.25">
      <c r="A2021">
        <v>2020</v>
      </c>
      <c r="B2021" s="1" t="s">
        <v>12</v>
      </c>
      <c r="C2021">
        <v>1953</v>
      </c>
      <c r="D2021" s="1" t="s">
        <v>220</v>
      </c>
      <c r="E2021" s="1" t="s">
        <v>58</v>
      </c>
      <c r="F2021">
        <v>54</v>
      </c>
      <c r="G2021" s="1" t="s">
        <v>56</v>
      </c>
      <c r="H2021">
        <v>54112</v>
      </c>
      <c r="I2021">
        <v>5</v>
      </c>
      <c r="J2021">
        <v>4</v>
      </c>
      <c r="K2021">
        <v>3</v>
      </c>
      <c r="L2021">
        <v>800</v>
      </c>
    </row>
    <row r="2022" spans="1:12" hidden="1" x14ac:dyDescent="0.25">
      <c r="A2022">
        <v>2021</v>
      </c>
      <c r="B2022" s="1" t="s">
        <v>12</v>
      </c>
      <c r="C2022">
        <v>1953</v>
      </c>
      <c r="D2022" s="1" t="s">
        <v>220</v>
      </c>
      <c r="E2022" s="1" t="s">
        <v>87</v>
      </c>
      <c r="F2022">
        <v>66</v>
      </c>
      <c r="G2022" s="1" t="s">
        <v>141</v>
      </c>
      <c r="H2022">
        <v>66112</v>
      </c>
      <c r="I2022">
        <v>40</v>
      </c>
      <c r="J2022">
        <v>40</v>
      </c>
      <c r="K2022">
        <v>52</v>
      </c>
      <c r="L2022">
        <v>1300</v>
      </c>
    </row>
    <row r="2023" spans="1:12" hidden="1" x14ac:dyDescent="0.25">
      <c r="A2023">
        <v>2022</v>
      </c>
      <c r="B2023" s="1" t="s">
        <v>12</v>
      </c>
      <c r="C2023">
        <v>1953</v>
      </c>
      <c r="D2023" s="1" t="s">
        <v>220</v>
      </c>
      <c r="E2023" s="1" t="s">
        <v>64</v>
      </c>
      <c r="F2023">
        <v>82</v>
      </c>
      <c r="G2023" s="1" t="s">
        <v>65</v>
      </c>
      <c r="H2023">
        <v>82049</v>
      </c>
      <c r="I2023">
        <v>200</v>
      </c>
      <c r="J2023">
        <v>200</v>
      </c>
      <c r="K2023">
        <v>180</v>
      </c>
      <c r="L2023">
        <v>900</v>
      </c>
    </row>
    <row r="2024" spans="1:12" hidden="1" x14ac:dyDescent="0.25">
      <c r="A2024">
        <v>2023</v>
      </c>
      <c r="B2024" s="1" t="s">
        <v>12</v>
      </c>
      <c r="C2024">
        <v>1953</v>
      </c>
      <c r="D2024" s="1" t="s">
        <v>220</v>
      </c>
      <c r="E2024" s="1" t="s">
        <v>64</v>
      </c>
      <c r="F2024">
        <v>82</v>
      </c>
      <c r="G2024" s="1" t="s">
        <v>66</v>
      </c>
      <c r="H2024">
        <v>82035</v>
      </c>
      <c r="I2024">
        <v>100</v>
      </c>
      <c r="J2024">
        <v>100</v>
      </c>
      <c r="K2024">
        <v>150</v>
      </c>
      <c r="L2024">
        <v>1500</v>
      </c>
    </row>
    <row r="2025" spans="1:12" hidden="1" x14ac:dyDescent="0.25">
      <c r="A2025">
        <v>2024</v>
      </c>
      <c r="B2025" s="1" t="s">
        <v>12</v>
      </c>
      <c r="C2025">
        <v>1953</v>
      </c>
      <c r="D2025" s="1" t="s">
        <v>220</v>
      </c>
      <c r="E2025" s="1" t="s">
        <v>77</v>
      </c>
      <c r="F2025">
        <v>90</v>
      </c>
      <c r="G2025" s="1" t="s">
        <v>78</v>
      </c>
      <c r="H2025">
        <v>90007</v>
      </c>
      <c r="I2025">
        <v>20</v>
      </c>
      <c r="J2025">
        <v>8</v>
      </c>
      <c r="K2025">
        <v>6</v>
      </c>
      <c r="L2025">
        <v>750</v>
      </c>
    </row>
    <row r="2026" spans="1:12" hidden="1" x14ac:dyDescent="0.25">
      <c r="A2026">
        <v>2025</v>
      </c>
      <c r="B2026" s="1" t="s">
        <v>12</v>
      </c>
      <c r="C2026">
        <v>1953</v>
      </c>
      <c r="D2026" s="1" t="s">
        <v>220</v>
      </c>
      <c r="E2026" s="1" t="s">
        <v>77</v>
      </c>
      <c r="F2026">
        <v>90</v>
      </c>
      <c r="G2026" s="1" t="s">
        <v>91</v>
      </c>
      <c r="H2026">
        <v>90014</v>
      </c>
      <c r="I2026">
        <v>10</v>
      </c>
      <c r="J2026">
        <v>6</v>
      </c>
      <c r="K2026">
        <v>5</v>
      </c>
      <c r="L2026">
        <v>833</v>
      </c>
    </row>
    <row r="2027" spans="1:12" hidden="1" x14ac:dyDescent="0.25">
      <c r="A2027">
        <v>2026</v>
      </c>
      <c r="B2027" s="1" t="s">
        <v>12</v>
      </c>
      <c r="C2027">
        <v>1953</v>
      </c>
      <c r="D2027" s="1" t="s">
        <v>220</v>
      </c>
      <c r="E2027" s="1" t="s">
        <v>77</v>
      </c>
      <c r="F2027">
        <v>90</v>
      </c>
      <c r="G2027" s="1" t="s">
        <v>89</v>
      </c>
      <c r="H2027">
        <v>90028</v>
      </c>
      <c r="I2027">
        <v>5</v>
      </c>
      <c r="J2027">
        <v>3</v>
      </c>
      <c r="K2027">
        <v>2</v>
      </c>
      <c r="L2027">
        <v>666</v>
      </c>
    </row>
    <row r="2028" spans="1:12" hidden="1" x14ac:dyDescent="0.25">
      <c r="A2028">
        <v>2027</v>
      </c>
      <c r="B2028" s="1" t="s">
        <v>12</v>
      </c>
      <c r="C2028">
        <v>1953</v>
      </c>
      <c r="D2028" s="1" t="s">
        <v>220</v>
      </c>
      <c r="E2028" s="1" t="s">
        <v>77</v>
      </c>
      <c r="F2028">
        <v>90</v>
      </c>
      <c r="G2028" s="1" t="s">
        <v>92</v>
      </c>
      <c r="H2028">
        <v>90056</v>
      </c>
      <c r="I2028">
        <v>5</v>
      </c>
      <c r="J2028">
        <v>5</v>
      </c>
      <c r="K2028">
        <v>4</v>
      </c>
      <c r="L2028">
        <v>800</v>
      </c>
    </row>
    <row r="2029" spans="1:12" hidden="1" x14ac:dyDescent="0.25">
      <c r="A2029">
        <v>2028</v>
      </c>
      <c r="B2029" s="1" t="s">
        <v>12</v>
      </c>
      <c r="C2029">
        <v>1953</v>
      </c>
      <c r="D2029" s="1" t="s">
        <v>220</v>
      </c>
      <c r="E2029" s="1" t="s">
        <v>77</v>
      </c>
      <c r="F2029">
        <v>90</v>
      </c>
      <c r="G2029" s="1" t="s">
        <v>90</v>
      </c>
      <c r="H2029">
        <v>90112</v>
      </c>
      <c r="I2029">
        <v>3</v>
      </c>
      <c r="J2029">
        <v>2</v>
      </c>
      <c r="K2029">
        <v>2</v>
      </c>
      <c r="L2029">
        <v>1000</v>
      </c>
    </row>
    <row r="2030" spans="1:12" hidden="1" x14ac:dyDescent="0.25">
      <c r="A2030">
        <v>2029</v>
      </c>
      <c r="B2030" s="1" t="s">
        <v>12</v>
      </c>
      <c r="C2030">
        <v>1954</v>
      </c>
      <c r="D2030" s="1" t="s">
        <v>222</v>
      </c>
      <c r="E2030" s="1" t="s">
        <v>22</v>
      </c>
      <c r="F2030">
        <v>14</v>
      </c>
      <c r="G2030" s="1" t="s">
        <v>183</v>
      </c>
      <c r="H2030">
        <v>14007</v>
      </c>
      <c r="I2030">
        <v>72000</v>
      </c>
      <c r="J2030">
        <v>72000</v>
      </c>
      <c r="K2030">
        <v>57600</v>
      </c>
      <c r="L2030">
        <v>800</v>
      </c>
    </row>
    <row r="2031" spans="1:12" hidden="1" x14ac:dyDescent="0.25">
      <c r="A2031">
        <v>2030</v>
      </c>
      <c r="B2031" s="1" t="s">
        <v>12</v>
      </c>
      <c r="C2031">
        <v>1954</v>
      </c>
      <c r="D2031" s="1" t="s">
        <v>222</v>
      </c>
      <c r="E2031" s="1" t="s">
        <v>22</v>
      </c>
      <c r="F2031">
        <v>14</v>
      </c>
      <c r="G2031" s="1" t="s">
        <v>24</v>
      </c>
      <c r="H2031">
        <v>14119</v>
      </c>
      <c r="I2031">
        <v>46000</v>
      </c>
      <c r="J2031">
        <v>39100</v>
      </c>
      <c r="K2031">
        <v>31280</v>
      </c>
      <c r="L2031">
        <v>800</v>
      </c>
    </row>
    <row r="2032" spans="1:12" hidden="1" x14ac:dyDescent="0.25">
      <c r="A2032">
        <v>2031</v>
      </c>
      <c r="B2032" s="1" t="s">
        <v>12</v>
      </c>
      <c r="C2032">
        <v>1954</v>
      </c>
      <c r="D2032" s="1" t="s">
        <v>222</v>
      </c>
      <c r="E2032" s="1" t="s">
        <v>22</v>
      </c>
      <c r="F2032">
        <v>14</v>
      </c>
      <c r="G2032" s="1" t="s">
        <v>23</v>
      </c>
      <c r="H2032">
        <v>14147</v>
      </c>
      <c r="I2032">
        <v>25000</v>
      </c>
      <c r="J2032">
        <v>24000</v>
      </c>
      <c r="K2032">
        <v>16800</v>
      </c>
      <c r="L2032">
        <v>700</v>
      </c>
    </row>
    <row r="2033" spans="1:12" hidden="1" x14ac:dyDescent="0.25">
      <c r="A2033">
        <v>2032</v>
      </c>
      <c r="B2033" s="1" t="s">
        <v>12</v>
      </c>
      <c r="C2033">
        <v>1954</v>
      </c>
      <c r="D2033" s="1" t="s">
        <v>222</v>
      </c>
      <c r="E2033" s="1" t="s">
        <v>22</v>
      </c>
      <c r="F2033">
        <v>14</v>
      </c>
      <c r="G2033" s="1" t="s">
        <v>97</v>
      </c>
      <c r="H2033">
        <v>14007</v>
      </c>
      <c r="I2033">
        <v>5000</v>
      </c>
      <c r="J2033">
        <v>5000</v>
      </c>
      <c r="K2033">
        <v>4500</v>
      </c>
      <c r="L2033">
        <v>900</v>
      </c>
    </row>
    <row r="2034" spans="1:12" hidden="1" x14ac:dyDescent="0.25">
      <c r="A2034">
        <v>2033</v>
      </c>
      <c r="B2034" s="1" t="s">
        <v>12</v>
      </c>
      <c r="C2034">
        <v>1954</v>
      </c>
      <c r="D2034" s="1" t="s">
        <v>222</v>
      </c>
      <c r="E2034" s="1" t="s">
        <v>22</v>
      </c>
      <c r="F2034">
        <v>14</v>
      </c>
      <c r="G2034" s="1" t="s">
        <v>29</v>
      </c>
      <c r="H2034">
        <v>14098</v>
      </c>
      <c r="I2034">
        <v>5000</v>
      </c>
      <c r="J2034">
        <v>5000</v>
      </c>
      <c r="K2034">
        <v>4500</v>
      </c>
      <c r="L2034">
        <v>900</v>
      </c>
    </row>
    <row r="2035" spans="1:12" hidden="1" x14ac:dyDescent="0.25">
      <c r="A2035">
        <v>2034</v>
      </c>
      <c r="B2035" s="1" t="s">
        <v>12</v>
      </c>
      <c r="C2035">
        <v>1954</v>
      </c>
      <c r="D2035" s="1" t="s">
        <v>222</v>
      </c>
      <c r="E2035" s="1" t="s">
        <v>22</v>
      </c>
      <c r="F2035">
        <v>14</v>
      </c>
      <c r="G2035" s="1" t="s">
        <v>143</v>
      </c>
      <c r="H2035">
        <v>14056</v>
      </c>
      <c r="I2035">
        <v>1000</v>
      </c>
      <c r="J2035">
        <v>1000</v>
      </c>
      <c r="K2035">
        <v>900</v>
      </c>
      <c r="L2035">
        <v>900</v>
      </c>
    </row>
    <row r="2036" spans="1:12" hidden="1" x14ac:dyDescent="0.25">
      <c r="A2036">
        <v>2035</v>
      </c>
      <c r="B2036" s="1" t="s">
        <v>12</v>
      </c>
      <c r="C2036">
        <v>1954</v>
      </c>
      <c r="D2036" s="1" t="s">
        <v>222</v>
      </c>
      <c r="E2036" s="1" t="s">
        <v>22</v>
      </c>
      <c r="F2036">
        <v>14</v>
      </c>
      <c r="G2036" s="1" t="s">
        <v>25</v>
      </c>
      <c r="H2036">
        <v>14105</v>
      </c>
      <c r="I2036">
        <v>700</v>
      </c>
      <c r="J2036">
        <v>600</v>
      </c>
      <c r="K2036">
        <v>450</v>
      </c>
      <c r="L2036">
        <v>750</v>
      </c>
    </row>
    <row r="2037" spans="1:12" hidden="1" x14ac:dyDescent="0.25">
      <c r="A2037">
        <v>2036</v>
      </c>
      <c r="B2037" s="1" t="s">
        <v>12</v>
      </c>
      <c r="C2037">
        <v>1954</v>
      </c>
      <c r="D2037" s="1" t="s">
        <v>222</v>
      </c>
      <c r="E2037" s="1" t="s">
        <v>22</v>
      </c>
      <c r="F2037">
        <v>14</v>
      </c>
      <c r="G2037" s="1" t="s">
        <v>28</v>
      </c>
      <c r="H2037">
        <v>14014</v>
      </c>
      <c r="I2037">
        <v>407</v>
      </c>
      <c r="J2037">
        <v>380</v>
      </c>
      <c r="K2037">
        <v>304</v>
      </c>
      <c r="L2037">
        <v>800</v>
      </c>
    </row>
    <row r="2038" spans="1:12" hidden="1" x14ac:dyDescent="0.25">
      <c r="A2038">
        <v>2037</v>
      </c>
      <c r="B2038" s="1" t="s">
        <v>12</v>
      </c>
      <c r="C2038">
        <v>1954</v>
      </c>
      <c r="D2038" s="1" t="s">
        <v>222</v>
      </c>
      <c r="E2038" s="1" t="s">
        <v>22</v>
      </c>
      <c r="F2038">
        <v>14</v>
      </c>
      <c r="G2038" s="1" t="s">
        <v>184</v>
      </c>
      <c r="H2038">
        <v>14042</v>
      </c>
      <c r="I2038">
        <v>300</v>
      </c>
      <c r="J2038">
        <v>300</v>
      </c>
      <c r="K2038">
        <v>366</v>
      </c>
      <c r="L2038">
        <v>1220</v>
      </c>
    </row>
    <row r="2039" spans="1:12" hidden="1" x14ac:dyDescent="0.25">
      <c r="A2039">
        <v>2038</v>
      </c>
      <c r="B2039" s="1" t="s">
        <v>12</v>
      </c>
      <c r="C2039">
        <v>1954</v>
      </c>
      <c r="D2039" s="1" t="s">
        <v>222</v>
      </c>
      <c r="E2039" s="1" t="s">
        <v>22</v>
      </c>
      <c r="F2039">
        <v>14</v>
      </c>
      <c r="G2039" s="1" t="s">
        <v>67</v>
      </c>
      <c r="H2039">
        <v>14140</v>
      </c>
      <c r="I2039">
        <v>70</v>
      </c>
      <c r="J2039">
        <v>60</v>
      </c>
      <c r="K2039">
        <v>39</v>
      </c>
      <c r="L2039">
        <v>650</v>
      </c>
    </row>
    <row r="2040" spans="1:12" hidden="1" x14ac:dyDescent="0.25">
      <c r="A2040">
        <v>2039</v>
      </c>
      <c r="B2040" s="1" t="s">
        <v>12</v>
      </c>
      <c r="C2040">
        <v>1954</v>
      </c>
      <c r="D2040" s="1" t="s">
        <v>222</v>
      </c>
      <c r="E2040" s="1" t="s">
        <v>22</v>
      </c>
      <c r="F2040">
        <v>14</v>
      </c>
      <c r="G2040" s="1" t="s">
        <v>27</v>
      </c>
      <c r="H2040">
        <v>14021</v>
      </c>
      <c r="I2040">
        <v>20</v>
      </c>
      <c r="J2040">
        <v>15</v>
      </c>
      <c r="K2040">
        <v>10</v>
      </c>
      <c r="L2040">
        <v>700</v>
      </c>
    </row>
    <row r="2041" spans="1:12" hidden="1" x14ac:dyDescent="0.25">
      <c r="A2041">
        <v>2040</v>
      </c>
      <c r="B2041" s="1" t="s">
        <v>12</v>
      </c>
      <c r="C2041">
        <v>1954</v>
      </c>
      <c r="D2041" s="1" t="s">
        <v>222</v>
      </c>
      <c r="E2041" s="1" t="s">
        <v>22</v>
      </c>
      <c r="F2041">
        <v>14</v>
      </c>
      <c r="G2041" s="1" t="s">
        <v>62</v>
      </c>
      <c r="H2041">
        <v>14133</v>
      </c>
      <c r="I2041">
        <v>15</v>
      </c>
      <c r="J2041">
        <v>14</v>
      </c>
      <c r="K2041">
        <v>14</v>
      </c>
      <c r="L2041">
        <v>1000</v>
      </c>
    </row>
    <row r="2042" spans="1:12" hidden="1" x14ac:dyDescent="0.25">
      <c r="A2042">
        <v>2041</v>
      </c>
      <c r="B2042" s="1" t="s">
        <v>12</v>
      </c>
      <c r="C2042">
        <v>1954</v>
      </c>
      <c r="D2042" s="1" t="s">
        <v>222</v>
      </c>
      <c r="E2042" s="1" t="s">
        <v>22</v>
      </c>
      <c r="F2042">
        <v>14</v>
      </c>
      <c r="G2042" s="1" t="s">
        <v>169</v>
      </c>
      <c r="H2042">
        <v>14126</v>
      </c>
      <c r="I2042">
        <v>10</v>
      </c>
      <c r="J2042">
        <v>8</v>
      </c>
      <c r="K2042">
        <v>8</v>
      </c>
      <c r="L2042">
        <v>1000</v>
      </c>
    </row>
    <row r="2043" spans="1:12" hidden="1" x14ac:dyDescent="0.25">
      <c r="A2043">
        <v>2042</v>
      </c>
      <c r="B2043" s="1" t="s">
        <v>12</v>
      </c>
      <c r="C2043">
        <v>1954</v>
      </c>
      <c r="D2043" s="1" t="s">
        <v>222</v>
      </c>
      <c r="E2043" s="1" t="s">
        <v>22</v>
      </c>
      <c r="F2043">
        <v>14</v>
      </c>
      <c r="G2043" s="1" t="s">
        <v>173</v>
      </c>
      <c r="H2043">
        <v>14028</v>
      </c>
      <c r="I2043">
        <v>5</v>
      </c>
      <c r="J2043">
        <v>4</v>
      </c>
      <c r="K2043">
        <v>4</v>
      </c>
      <c r="L2043">
        <v>1000</v>
      </c>
    </row>
    <row r="2044" spans="1:12" hidden="1" x14ac:dyDescent="0.25">
      <c r="A2044">
        <v>2043</v>
      </c>
      <c r="B2044" s="1" t="s">
        <v>12</v>
      </c>
      <c r="C2044">
        <v>1954</v>
      </c>
      <c r="D2044" s="1" t="s">
        <v>222</v>
      </c>
      <c r="E2044" s="1" t="s">
        <v>22</v>
      </c>
      <c r="F2044">
        <v>14</v>
      </c>
      <c r="G2044" s="1" t="s">
        <v>114</v>
      </c>
      <c r="H2044">
        <v>14168</v>
      </c>
      <c r="I2044">
        <v>2</v>
      </c>
      <c r="J2044">
        <v>1</v>
      </c>
      <c r="K2044">
        <v>1</v>
      </c>
      <c r="L2044">
        <v>1000</v>
      </c>
    </row>
    <row r="2045" spans="1:12" hidden="1" x14ac:dyDescent="0.25">
      <c r="A2045">
        <v>2044</v>
      </c>
      <c r="B2045" s="1" t="s">
        <v>12</v>
      </c>
      <c r="C2045">
        <v>1954</v>
      </c>
      <c r="D2045" s="1" t="s">
        <v>222</v>
      </c>
      <c r="E2045" s="1" t="s">
        <v>30</v>
      </c>
      <c r="F2045">
        <v>18</v>
      </c>
      <c r="G2045" s="1" t="s">
        <v>32</v>
      </c>
      <c r="H2045">
        <v>18112</v>
      </c>
      <c r="I2045">
        <v>350</v>
      </c>
      <c r="J2045">
        <v>350</v>
      </c>
      <c r="K2045">
        <v>350</v>
      </c>
      <c r="L2045">
        <v>1000</v>
      </c>
    </row>
    <row r="2046" spans="1:12" hidden="1" x14ac:dyDescent="0.25">
      <c r="A2046">
        <v>2045</v>
      </c>
      <c r="B2046" s="1" t="s">
        <v>12</v>
      </c>
      <c r="C2046">
        <v>1954</v>
      </c>
      <c r="D2046" s="1" t="s">
        <v>222</v>
      </c>
      <c r="E2046" s="1" t="s">
        <v>30</v>
      </c>
      <c r="F2046">
        <v>18</v>
      </c>
      <c r="G2046" s="1" t="s">
        <v>34</v>
      </c>
      <c r="H2046">
        <v>18042</v>
      </c>
      <c r="I2046">
        <v>80</v>
      </c>
      <c r="J2046">
        <v>73</v>
      </c>
      <c r="K2046">
        <v>55</v>
      </c>
      <c r="L2046">
        <v>750</v>
      </c>
    </row>
    <row r="2047" spans="1:12" hidden="1" x14ac:dyDescent="0.25">
      <c r="A2047">
        <v>2046</v>
      </c>
      <c r="B2047" s="1" t="s">
        <v>12</v>
      </c>
      <c r="C2047">
        <v>1954</v>
      </c>
      <c r="D2047" s="1" t="s">
        <v>222</v>
      </c>
      <c r="E2047" s="1" t="s">
        <v>30</v>
      </c>
      <c r="F2047">
        <v>18</v>
      </c>
      <c r="G2047" s="1" t="s">
        <v>41</v>
      </c>
      <c r="H2047">
        <v>18140</v>
      </c>
      <c r="I2047">
        <v>50</v>
      </c>
      <c r="J2047">
        <v>43</v>
      </c>
      <c r="K2047">
        <v>32</v>
      </c>
      <c r="L2047">
        <v>750</v>
      </c>
    </row>
    <row r="2048" spans="1:12" hidden="1" x14ac:dyDescent="0.25">
      <c r="A2048">
        <v>2047</v>
      </c>
      <c r="B2048" s="1" t="s">
        <v>12</v>
      </c>
      <c r="C2048">
        <v>1954</v>
      </c>
      <c r="D2048" s="1" t="s">
        <v>222</v>
      </c>
      <c r="E2048" s="1" t="s">
        <v>30</v>
      </c>
      <c r="F2048">
        <v>18</v>
      </c>
      <c r="G2048" s="1" t="s">
        <v>28</v>
      </c>
      <c r="H2048">
        <v>18021</v>
      </c>
      <c r="I2048">
        <v>35</v>
      </c>
      <c r="J2048">
        <v>30</v>
      </c>
      <c r="K2048">
        <v>22</v>
      </c>
      <c r="L2048">
        <v>750</v>
      </c>
    </row>
    <row r="2049" spans="1:12" hidden="1" x14ac:dyDescent="0.25">
      <c r="A2049">
        <v>2048</v>
      </c>
      <c r="B2049" s="1" t="s">
        <v>12</v>
      </c>
      <c r="C2049">
        <v>1954</v>
      </c>
      <c r="D2049" s="1" t="s">
        <v>222</v>
      </c>
      <c r="E2049" s="1" t="s">
        <v>30</v>
      </c>
      <c r="F2049">
        <v>18</v>
      </c>
      <c r="G2049" s="1" t="s">
        <v>42</v>
      </c>
      <c r="H2049">
        <v>18035</v>
      </c>
      <c r="I2049">
        <v>30</v>
      </c>
      <c r="J2049">
        <v>30</v>
      </c>
      <c r="K2049">
        <v>27</v>
      </c>
      <c r="L2049">
        <v>900</v>
      </c>
    </row>
    <row r="2050" spans="1:12" hidden="1" x14ac:dyDescent="0.25">
      <c r="A2050">
        <v>2049</v>
      </c>
      <c r="B2050" s="1" t="s">
        <v>12</v>
      </c>
      <c r="C2050">
        <v>1954</v>
      </c>
      <c r="D2050" s="1" t="s">
        <v>222</v>
      </c>
      <c r="E2050" s="1" t="s">
        <v>30</v>
      </c>
      <c r="F2050">
        <v>18</v>
      </c>
      <c r="G2050" s="1" t="s">
        <v>40</v>
      </c>
      <c r="H2050">
        <v>18126</v>
      </c>
      <c r="I2050">
        <v>30</v>
      </c>
      <c r="J2050">
        <v>25</v>
      </c>
      <c r="K2050">
        <v>20</v>
      </c>
      <c r="L2050">
        <v>800</v>
      </c>
    </row>
    <row r="2051" spans="1:12" hidden="1" x14ac:dyDescent="0.25">
      <c r="A2051">
        <v>2050</v>
      </c>
      <c r="B2051" s="1" t="s">
        <v>12</v>
      </c>
      <c r="C2051">
        <v>1954</v>
      </c>
      <c r="D2051" s="1" t="s">
        <v>222</v>
      </c>
      <c r="E2051" s="1" t="s">
        <v>30</v>
      </c>
      <c r="F2051">
        <v>18</v>
      </c>
      <c r="G2051" s="1" t="s">
        <v>36</v>
      </c>
      <c r="H2051">
        <v>18133</v>
      </c>
      <c r="I2051">
        <v>25</v>
      </c>
      <c r="J2051">
        <v>22</v>
      </c>
      <c r="K2051">
        <v>18</v>
      </c>
      <c r="L2051">
        <v>800</v>
      </c>
    </row>
    <row r="2052" spans="1:12" hidden="1" x14ac:dyDescent="0.25">
      <c r="A2052">
        <v>2051</v>
      </c>
      <c r="B2052" s="1" t="s">
        <v>12</v>
      </c>
      <c r="C2052">
        <v>1954</v>
      </c>
      <c r="D2052" s="1" t="s">
        <v>222</v>
      </c>
      <c r="E2052" s="1" t="s">
        <v>30</v>
      </c>
      <c r="F2052">
        <v>18</v>
      </c>
      <c r="G2052" s="1" t="s">
        <v>63</v>
      </c>
      <c r="H2052">
        <v>18028</v>
      </c>
      <c r="I2052">
        <v>10</v>
      </c>
      <c r="J2052">
        <v>7</v>
      </c>
      <c r="K2052">
        <v>6</v>
      </c>
      <c r="L2052">
        <v>800</v>
      </c>
    </row>
    <row r="2053" spans="1:12" hidden="1" x14ac:dyDescent="0.25">
      <c r="A2053">
        <v>2052</v>
      </c>
      <c r="B2053" s="1" t="s">
        <v>12</v>
      </c>
      <c r="C2053">
        <v>1954</v>
      </c>
      <c r="D2053" s="1" t="s">
        <v>222</v>
      </c>
      <c r="E2053" s="1" t="s">
        <v>30</v>
      </c>
      <c r="F2053">
        <v>18</v>
      </c>
      <c r="G2053" s="1" t="s">
        <v>99</v>
      </c>
      <c r="H2053">
        <v>18063</v>
      </c>
      <c r="I2053">
        <v>10</v>
      </c>
      <c r="J2053">
        <v>7</v>
      </c>
      <c r="K2053">
        <v>5</v>
      </c>
      <c r="L2053">
        <v>750</v>
      </c>
    </row>
    <row r="2054" spans="1:12" hidden="1" x14ac:dyDescent="0.25">
      <c r="A2054">
        <v>2053</v>
      </c>
      <c r="B2054" s="1" t="s">
        <v>12</v>
      </c>
      <c r="C2054">
        <v>1954</v>
      </c>
      <c r="D2054" s="1" t="s">
        <v>222</v>
      </c>
      <c r="E2054" s="1" t="s">
        <v>30</v>
      </c>
      <c r="F2054">
        <v>18</v>
      </c>
      <c r="G2054" s="1" t="s">
        <v>39</v>
      </c>
      <c r="H2054">
        <v>18084</v>
      </c>
      <c r="I2054">
        <v>10</v>
      </c>
      <c r="J2054">
        <v>6</v>
      </c>
      <c r="K2054">
        <v>5</v>
      </c>
      <c r="L2054">
        <v>750</v>
      </c>
    </row>
    <row r="2055" spans="1:12" hidden="1" x14ac:dyDescent="0.25">
      <c r="A2055">
        <v>2054</v>
      </c>
      <c r="B2055" s="1" t="s">
        <v>12</v>
      </c>
      <c r="C2055">
        <v>1954</v>
      </c>
      <c r="D2055" s="1" t="s">
        <v>222</v>
      </c>
      <c r="E2055" s="1" t="s">
        <v>30</v>
      </c>
      <c r="F2055">
        <v>18</v>
      </c>
      <c r="G2055" s="1" t="s">
        <v>103</v>
      </c>
      <c r="H2055">
        <v>18154</v>
      </c>
      <c r="I2055">
        <v>10</v>
      </c>
      <c r="J2055">
        <v>8</v>
      </c>
      <c r="K2055">
        <v>6</v>
      </c>
      <c r="L2055">
        <v>800</v>
      </c>
    </row>
    <row r="2056" spans="1:12" hidden="1" x14ac:dyDescent="0.25">
      <c r="A2056">
        <v>2055</v>
      </c>
      <c r="B2056" s="1" t="s">
        <v>12</v>
      </c>
      <c r="C2056">
        <v>1954</v>
      </c>
      <c r="D2056" s="1" t="s">
        <v>222</v>
      </c>
      <c r="E2056" s="1" t="s">
        <v>30</v>
      </c>
      <c r="F2056">
        <v>18</v>
      </c>
      <c r="G2056" s="1" t="s">
        <v>100</v>
      </c>
      <c r="H2056">
        <v>18077</v>
      </c>
      <c r="I2056">
        <v>8</v>
      </c>
      <c r="J2056">
        <v>6</v>
      </c>
      <c r="K2056">
        <v>4</v>
      </c>
      <c r="L2056">
        <v>700</v>
      </c>
    </row>
    <row r="2057" spans="1:12" hidden="1" x14ac:dyDescent="0.25">
      <c r="A2057">
        <v>2056</v>
      </c>
      <c r="B2057" s="1" t="s">
        <v>12</v>
      </c>
      <c r="C2057">
        <v>1954</v>
      </c>
      <c r="D2057" s="1" t="s">
        <v>222</v>
      </c>
      <c r="E2057" s="1" t="s">
        <v>30</v>
      </c>
      <c r="F2057">
        <v>18</v>
      </c>
      <c r="G2057" s="1" t="s">
        <v>98</v>
      </c>
      <c r="H2057">
        <v>18098</v>
      </c>
      <c r="I2057">
        <v>8</v>
      </c>
      <c r="J2057">
        <v>6</v>
      </c>
      <c r="K2057">
        <v>5</v>
      </c>
      <c r="L2057">
        <v>800</v>
      </c>
    </row>
    <row r="2058" spans="1:12" hidden="1" x14ac:dyDescent="0.25">
      <c r="A2058">
        <v>2057</v>
      </c>
      <c r="B2058" s="1" t="s">
        <v>12</v>
      </c>
      <c r="C2058">
        <v>1954</v>
      </c>
      <c r="D2058" s="1" t="s">
        <v>222</v>
      </c>
      <c r="E2058" s="1" t="s">
        <v>30</v>
      </c>
      <c r="F2058">
        <v>18</v>
      </c>
      <c r="G2058" s="1" t="s">
        <v>102</v>
      </c>
      <c r="H2058">
        <v>18014</v>
      </c>
      <c r="I2058">
        <v>1</v>
      </c>
      <c r="J2058">
        <v>1</v>
      </c>
      <c r="K2058">
        <v>1</v>
      </c>
      <c r="L2058">
        <v>700</v>
      </c>
    </row>
    <row r="2059" spans="1:12" hidden="1" x14ac:dyDescent="0.25">
      <c r="A2059">
        <v>2058</v>
      </c>
      <c r="B2059" s="1" t="s">
        <v>12</v>
      </c>
      <c r="C2059">
        <v>1954</v>
      </c>
      <c r="D2059" s="1" t="s">
        <v>222</v>
      </c>
      <c r="E2059" s="1" t="s">
        <v>45</v>
      </c>
      <c r="F2059">
        <v>30</v>
      </c>
      <c r="G2059" s="1" t="s">
        <v>46</v>
      </c>
      <c r="H2059">
        <v>30028</v>
      </c>
      <c r="I2059">
        <v>135</v>
      </c>
      <c r="J2059">
        <v>110</v>
      </c>
      <c r="K2059">
        <v>88</v>
      </c>
      <c r="L2059">
        <v>800</v>
      </c>
    </row>
    <row r="2060" spans="1:12" hidden="1" x14ac:dyDescent="0.25">
      <c r="A2060">
        <v>2059</v>
      </c>
      <c r="B2060" s="1" t="s">
        <v>12</v>
      </c>
      <c r="C2060">
        <v>1954</v>
      </c>
      <c r="D2060" s="1" t="s">
        <v>222</v>
      </c>
      <c r="E2060" s="1" t="s">
        <v>45</v>
      </c>
      <c r="F2060">
        <v>30</v>
      </c>
      <c r="G2060" s="1" t="s">
        <v>27</v>
      </c>
      <c r="H2060">
        <v>30008</v>
      </c>
      <c r="I2060">
        <v>45</v>
      </c>
      <c r="J2060">
        <v>40</v>
      </c>
      <c r="K2060">
        <v>32</v>
      </c>
      <c r="L2060">
        <v>800</v>
      </c>
    </row>
    <row r="2061" spans="1:12" hidden="1" x14ac:dyDescent="0.25">
      <c r="A2061">
        <v>2060</v>
      </c>
      <c r="B2061" s="1" t="s">
        <v>12</v>
      </c>
      <c r="C2061">
        <v>1954</v>
      </c>
      <c r="D2061" s="1" t="s">
        <v>222</v>
      </c>
      <c r="E2061" s="1" t="s">
        <v>48</v>
      </c>
      <c r="F2061">
        <v>34</v>
      </c>
      <c r="G2061" s="1" t="s">
        <v>51</v>
      </c>
      <c r="H2061">
        <v>34056</v>
      </c>
      <c r="I2061">
        <v>35</v>
      </c>
      <c r="J2061">
        <v>35</v>
      </c>
      <c r="K2061">
        <v>49</v>
      </c>
      <c r="L2061">
        <v>1400</v>
      </c>
    </row>
    <row r="2062" spans="1:12" hidden="1" x14ac:dyDescent="0.25">
      <c r="A2062">
        <v>2061</v>
      </c>
      <c r="B2062" s="1" t="s">
        <v>12</v>
      </c>
      <c r="C2062">
        <v>1954</v>
      </c>
      <c r="D2062" s="1" t="s">
        <v>222</v>
      </c>
      <c r="E2062" s="1" t="s">
        <v>48</v>
      </c>
      <c r="F2062">
        <v>34</v>
      </c>
      <c r="G2062" s="1" t="s">
        <v>52</v>
      </c>
      <c r="H2062">
        <v>34035</v>
      </c>
      <c r="I2062">
        <v>15</v>
      </c>
      <c r="J2062">
        <v>15</v>
      </c>
      <c r="K2062">
        <v>15</v>
      </c>
      <c r="L2062">
        <v>1000</v>
      </c>
    </row>
    <row r="2063" spans="1:12" hidden="1" x14ac:dyDescent="0.25">
      <c r="A2063">
        <v>2062</v>
      </c>
      <c r="B2063" s="1" t="s">
        <v>12</v>
      </c>
      <c r="C2063">
        <v>1954</v>
      </c>
      <c r="D2063" s="1" t="s">
        <v>222</v>
      </c>
      <c r="E2063" s="1" t="s">
        <v>48</v>
      </c>
      <c r="F2063">
        <v>34</v>
      </c>
      <c r="G2063" s="1" t="s">
        <v>49</v>
      </c>
      <c r="H2063">
        <v>34049</v>
      </c>
      <c r="I2063">
        <v>12</v>
      </c>
      <c r="J2063">
        <v>12</v>
      </c>
      <c r="K2063">
        <v>19</v>
      </c>
      <c r="L2063">
        <v>1600</v>
      </c>
    </row>
    <row r="2064" spans="1:12" hidden="1" x14ac:dyDescent="0.25">
      <c r="A2064">
        <v>2063</v>
      </c>
      <c r="B2064" s="1" t="s">
        <v>12</v>
      </c>
      <c r="C2064">
        <v>1954</v>
      </c>
      <c r="D2064" s="1" t="s">
        <v>222</v>
      </c>
      <c r="E2064" s="1" t="s">
        <v>48</v>
      </c>
      <c r="F2064">
        <v>34</v>
      </c>
      <c r="G2064" s="1" t="s">
        <v>108</v>
      </c>
      <c r="H2064">
        <v>34042</v>
      </c>
      <c r="I2064">
        <v>10</v>
      </c>
      <c r="J2064">
        <v>10</v>
      </c>
      <c r="K2064">
        <v>16</v>
      </c>
      <c r="L2064">
        <v>1600</v>
      </c>
    </row>
    <row r="2065" spans="1:12" hidden="1" x14ac:dyDescent="0.25">
      <c r="A2065">
        <v>2064</v>
      </c>
      <c r="B2065" s="1" t="s">
        <v>12</v>
      </c>
      <c r="C2065">
        <v>1954</v>
      </c>
      <c r="D2065" s="1" t="s">
        <v>222</v>
      </c>
      <c r="E2065" s="1" t="s">
        <v>48</v>
      </c>
      <c r="F2065">
        <v>34</v>
      </c>
      <c r="G2065" s="1" t="s">
        <v>48</v>
      </c>
      <c r="H2065">
        <v>34014</v>
      </c>
      <c r="I2065">
        <v>8</v>
      </c>
      <c r="J2065">
        <v>8</v>
      </c>
      <c r="K2065">
        <v>11</v>
      </c>
      <c r="L2065">
        <v>1400</v>
      </c>
    </row>
    <row r="2066" spans="1:12" hidden="1" x14ac:dyDescent="0.25">
      <c r="A2066">
        <v>2065</v>
      </c>
      <c r="B2066" s="1" t="s">
        <v>12</v>
      </c>
      <c r="C2066">
        <v>1954</v>
      </c>
      <c r="D2066" s="1" t="s">
        <v>222</v>
      </c>
      <c r="E2066" s="1" t="s">
        <v>48</v>
      </c>
      <c r="F2066">
        <v>34</v>
      </c>
      <c r="G2066" s="1" t="s">
        <v>50</v>
      </c>
      <c r="H2066">
        <v>34021</v>
      </c>
      <c r="I2066">
        <v>8</v>
      </c>
      <c r="J2066">
        <v>8</v>
      </c>
      <c r="K2066">
        <v>11</v>
      </c>
      <c r="L2066">
        <v>1400</v>
      </c>
    </row>
    <row r="2067" spans="1:12" hidden="1" x14ac:dyDescent="0.25">
      <c r="A2067">
        <v>2066</v>
      </c>
      <c r="B2067" s="1" t="s">
        <v>12</v>
      </c>
      <c r="C2067">
        <v>1954</v>
      </c>
      <c r="D2067" s="1" t="s">
        <v>222</v>
      </c>
      <c r="E2067" s="1" t="s">
        <v>58</v>
      </c>
      <c r="F2067">
        <v>54</v>
      </c>
      <c r="G2067" s="1" t="s">
        <v>60</v>
      </c>
      <c r="H2067">
        <v>54021</v>
      </c>
      <c r="I2067">
        <v>80</v>
      </c>
      <c r="J2067">
        <v>60</v>
      </c>
      <c r="K2067">
        <v>48</v>
      </c>
      <c r="L2067">
        <v>800</v>
      </c>
    </row>
    <row r="2068" spans="1:12" hidden="1" x14ac:dyDescent="0.25">
      <c r="A2068">
        <v>2067</v>
      </c>
      <c r="B2068" s="1" t="s">
        <v>12</v>
      </c>
      <c r="C2068">
        <v>1954</v>
      </c>
      <c r="D2068" s="1" t="s">
        <v>222</v>
      </c>
      <c r="E2068" s="1" t="s">
        <v>58</v>
      </c>
      <c r="F2068">
        <v>54</v>
      </c>
      <c r="G2068" s="1" t="s">
        <v>62</v>
      </c>
      <c r="H2068">
        <v>54105</v>
      </c>
      <c r="I2068">
        <v>80</v>
      </c>
      <c r="J2068">
        <v>60</v>
      </c>
      <c r="K2068">
        <v>48</v>
      </c>
      <c r="L2068">
        <v>800</v>
      </c>
    </row>
    <row r="2069" spans="1:12" hidden="1" x14ac:dyDescent="0.25">
      <c r="A2069">
        <v>2068</v>
      </c>
      <c r="B2069" s="1" t="s">
        <v>12</v>
      </c>
      <c r="C2069">
        <v>1954</v>
      </c>
      <c r="D2069" s="1" t="s">
        <v>222</v>
      </c>
      <c r="E2069" s="1" t="s">
        <v>58</v>
      </c>
      <c r="F2069">
        <v>54</v>
      </c>
      <c r="G2069" s="1" t="s">
        <v>150</v>
      </c>
      <c r="H2069">
        <v>54014</v>
      </c>
      <c r="I2069">
        <v>60</v>
      </c>
      <c r="J2069">
        <v>45</v>
      </c>
      <c r="K2069">
        <v>36</v>
      </c>
      <c r="L2069">
        <v>800</v>
      </c>
    </row>
    <row r="2070" spans="1:12" hidden="1" x14ac:dyDescent="0.25">
      <c r="A2070">
        <v>2069</v>
      </c>
      <c r="B2070" s="1" t="s">
        <v>12</v>
      </c>
      <c r="C2070">
        <v>1954</v>
      </c>
      <c r="D2070" s="1" t="s">
        <v>222</v>
      </c>
      <c r="E2070" s="1" t="s">
        <v>58</v>
      </c>
      <c r="F2070">
        <v>54</v>
      </c>
      <c r="G2070" s="1" t="s">
        <v>61</v>
      </c>
      <c r="H2070">
        <v>54098</v>
      </c>
      <c r="I2070">
        <v>42</v>
      </c>
      <c r="J2070">
        <v>31</v>
      </c>
      <c r="K2070">
        <v>25</v>
      </c>
      <c r="L2070">
        <v>810</v>
      </c>
    </row>
    <row r="2071" spans="1:12" hidden="1" x14ac:dyDescent="0.25">
      <c r="A2071">
        <v>2070</v>
      </c>
      <c r="B2071" s="1" t="s">
        <v>12</v>
      </c>
      <c r="C2071">
        <v>1954</v>
      </c>
      <c r="D2071" s="1" t="s">
        <v>222</v>
      </c>
      <c r="E2071" s="1" t="s">
        <v>58</v>
      </c>
      <c r="F2071">
        <v>54</v>
      </c>
      <c r="G2071" s="1" t="s">
        <v>152</v>
      </c>
      <c r="H2071">
        <v>54063</v>
      </c>
      <c r="I2071">
        <v>18</v>
      </c>
      <c r="J2071">
        <v>13</v>
      </c>
      <c r="K2071">
        <v>10</v>
      </c>
      <c r="L2071">
        <v>770</v>
      </c>
    </row>
    <row r="2072" spans="1:12" hidden="1" x14ac:dyDescent="0.25">
      <c r="A2072">
        <v>2071</v>
      </c>
      <c r="B2072" s="1" t="s">
        <v>12</v>
      </c>
      <c r="C2072">
        <v>1954</v>
      </c>
      <c r="D2072" s="1" t="s">
        <v>222</v>
      </c>
      <c r="E2072" s="1" t="s">
        <v>58</v>
      </c>
      <c r="F2072">
        <v>54</v>
      </c>
      <c r="G2072" s="1" t="s">
        <v>63</v>
      </c>
      <c r="H2072">
        <v>54035</v>
      </c>
      <c r="I2072">
        <v>16</v>
      </c>
      <c r="J2072">
        <v>12</v>
      </c>
      <c r="K2072">
        <v>10</v>
      </c>
      <c r="L2072">
        <v>840</v>
      </c>
    </row>
    <row r="2073" spans="1:12" hidden="1" x14ac:dyDescent="0.25">
      <c r="A2073">
        <v>2072</v>
      </c>
      <c r="B2073" s="1" t="s">
        <v>12</v>
      </c>
      <c r="C2073">
        <v>1954</v>
      </c>
      <c r="D2073" s="1" t="s">
        <v>222</v>
      </c>
      <c r="E2073" s="1" t="s">
        <v>58</v>
      </c>
      <c r="F2073">
        <v>54</v>
      </c>
      <c r="G2073" s="1" t="s">
        <v>59</v>
      </c>
      <c r="H2073">
        <v>54007</v>
      </c>
      <c r="I2073">
        <v>12</v>
      </c>
      <c r="J2073">
        <v>9</v>
      </c>
      <c r="K2073">
        <v>7</v>
      </c>
      <c r="L2073">
        <v>780</v>
      </c>
    </row>
    <row r="2074" spans="1:12" hidden="1" x14ac:dyDescent="0.25">
      <c r="A2074">
        <v>2073</v>
      </c>
      <c r="B2074" s="1" t="s">
        <v>12</v>
      </c>
      <c r="C2074">
        <v>1954</v>
      </c>
      <c r="D2074" s="1" t="s">
        <v>222</v>
      </c>
      <c r="E2074" s="1" t="s">
        <v>58</v>
      </c>
      <c r="F2074">
        <v>54</v>
      </c>
      <c r="G2074" s="1" t="s">
        <v>151</v>
      </c>
      <c r="H2074">
        <v>54056</v>
      </c>
      <c r="I2074">
        <v>10</v>
      </c>
      <c r="J2074">
        <v>8</v>
      </c>
      <c r="K2074">
        <v>6</v>
      </c>
      <c r="L2074">
        <v>750</v>
      </c>
    </row>
    <row r="2075" spans="1:12" x14ac:dyDescent="0.25">
      <c r="A2075">
        <v>2074</v>
      </c>
      <c r="B2075" s="1" t="s">
        <v>12</v>
      </c>
      <c r="C2075">
        <v>1954</v>
      </c>
      <c r="D2075" s="1" t="s">
        <v>222</v>
      </c>
      <c r="E2075" s="1" t="s">
        <v>58</v>
      </c>
      <c r="F2075">
        <v>54</v>
      </c>
      <c r="G2075" s="1" t="s">
        <v>56</v>
      </c>
      <c r="H2075">
        <v>54112</v>
      </c>
      <c r="I2075">
        <v>5</v>
      </c>
      <c r="J2075">
        <v>4</v>
      </c>
      <c r="K2075">
        <v>3</v>
      </c>
      <c r="L2075">
        <v>750</v>
      </c>
    </row>
    <row r="2076" spans="1:12" hidden="1" x14ac:dyDescent="0.25">
      <c r="A2076">
        <v>2075</v>
      </c>
      <c r="B2076" s="1" t="s">
        <v>12</v>
      </c>
      <c r="C2076">
        <v>1954</v>
      </c>
      <c r="D2076" s="1" t="s">
        <v>222</v>
      </c>
      <c r="E2076" s="1" t="s">
        <v>87</v>
      </c>
      <c r="F2076">
        <v>66</v>
      </c>
      <c r="G2076" s="1" t="s">
        <v>141</v>
      </c>
      <c r="H2076">
        <v>66112</v>
      </c>
      <c r="I2076">
        <v>30</v>
      </c>
      <c r="J2076">
        <v>30</v>
      </c>
      <c r="K2076">
        <v>36</v>
      </c>
      <c r="L2076">
        <v>1200</v>
      </c>
    </row>
    <row r="2077" spans="1:12" hidden="1" x14ac:dyDescent="0.25">
      <c r="A2077">
        <v>2076</v>
      </c>
      <c r="B2077" s="1" t="s">
        <v>12</v>
      </c>
      <c r="C2077">
        <v>1954</v>
      </c>
      <c r="D2077" s="1" t="s">
        <v>222</v>
      </c>
      <c r="E2077" s="1" t="s">
        <v>64</v>
      </c>
      <c r="F2077">
        <v>82</v>
      </c>
      <c r="G2077" s="1" t="s">
        <v>66</v>
      </c>
      <c r="H2077">
        <v>82035</v>
      </c>
      <c r="I2077">
        <v>100</v>
      </c>
      <c r="J2077">
        <v>100</v>
      </c>
      <c r="K2077">
        <v>130</v>
      </c>
      <c r="L2077">
        <v>1300</v>
      </c>
    </row>
    <row r="2078" spans="1:12" hidden="1" x14ac:dyDescent="0.25">
      <c r="A2078">
        <v>2077</v>
      </c>
      <c r="B2078" s="1" t="s">
        <v>12</v>
      </c>
      <c r="C2078">
        <v>1954</v>
      </c>
      <c r="D2078" s="1" t="s">
        <v>222</v>
      </c>
      <c r="E2078" s="1" t="s">
        <v>64</v>
      </c>
      <c r="F2078">
        <v>82</v>
      </c>
      <c r="G2078" s="1" t="s">
        <v>65</v>
      </c>
      <c r="H2078">
        <v>82049</v>
      </c>
      <c r="I2078">
        <v>50</v>
      </c>
      <c r="J2078">
        <v>50</v>
      </c>
      <c r="K2078">
        <v>40</v>
      </c>
      <c r="L2078">
        <v>800</v>
      </c>
    </row>
    <row r="2079" spans="1:12" hidden="1" x14ac:dyDescent="0.25">
      <c r="A2079">
        <v>2078</v>
      </c>
      <c r="B2079" s="1" t="s">
        <v>12</v>
      </c>
      <c r="C2079">
        <v>1954</v>
      </c>
      <c r="D2079" s="1" t="s">
        <v>222</v>
      </c>
      <c r="E2079" s="1" t="s">
        <v>77</v>
      </c>
      <c r="F2079">
        <v>90</v>
      </c>
      <c r="G2079" s="1" t="s">
        <v>78</v>
      </c>
      <c r="H2079">
        <v>90007</v>
      </c>
      <c r="I2079">
        <v>20</v>
      </c>
      <c r="J2079">
        <v>16</v>
      </c>
      <c r="K2079">
        <v>13</v>
      </c>
      <c r="L2079">
        <v>820</v>
      </c>
    </row>
    <row r="2080" spans="1:12" hidden="1" x14ac:dyDescent="0.25">
      <c r="A2080">
        <v>2079</v>
      </c>
      <c r="B2080" s="1" t="s">
        <v>12</v>
      </c>
      <c r="C2080">
        <v>1954</v>
      </c>
      <c r="D2080" s="1" t="s">
        <v>222</v>
      </c>
      <c r="E2080" s="1" t="s">
        <v>77</v>
      </c>
      <c r="F2080">
        <v>90</v>
      </c>
      <c r="G2080" s="1" t="s">
        <v>91</v>
      </c>
      <c r="H2080">
        <v>90014</v>
      </c>
      <c r="I2080">
        <v>10</v>
      </c>
      <c r="J2080">
        <v>8</v>
      </c>
      <c r="K2080">
        <v>7</v>
      </c>
      <c r="L2080">
        <v>880</v>
      </c>
    </row>
    <row r="2081" spans="1:12" hidden="1" x14ac:dyDescent="0.25">
      <c r="A2081">
        <v>2080</v>
      </c>
      <c r="B2081" s="1" t="s">
        <v>12</v>
      </c>
      <c r="C2081">
        <v>1954</v>
      </c>
      <c r="D2081" s="1" t="s">
        <v>222</v>
      </c>
      <c r="E2081" s="1" t="s">
        <v>77</v>
      </c>
      <c r="F2081">
        <v>90</v>
      </c>
      <c r="G2081" s="1" t="s">
        <v>89</v>
      </c>
      <c r="H2081">
        <v>90028</v>
      </c>
      <c r="I2081">
        <v>5</v>
      </c>
      <c r="J2081">
        <v>4</v>
      </c>
      <c r="K2081">
        <v>3</v>
      </c>
      <c r="L2081">
        <v>750</v>
      </c>
    </row>
    <row r="2082" spans="1:12" hidden="1" x14ac:dyDescent="0.25">
      <c r="A2082">
        <v>2081</v>
      </c>
      <c r="B2082" s="1" t="s">
        <v>12</v>
      </c>
      <c r="C2082">
        <v>1954</v>
      </c>
      <c r="D2082" s="1" t="s">
        <v>222</v>
      </c>
      <c r="E2082" s="1" t="s">
        <v>77</v>
      </c>
      <c r="F2082">
        <v>90</v>
      </c>
      <c r="G2082" s="1" t="s">
        <v>92</v>
      </c>
      <c r="H2082">
        <v>90056</v>
      </c>
      <c r="I2082">
        <v>5</v>
      </c>
      <c r="J2082">
        <v>4</v>
      </c>
      <c r="K2082">
        <v>3</v>
      </c>
      <c r="L2082">
        <v>750</v>
      </c>
    </row>
    <row r="2083" spans="1:12" hidden="1" x14ac:dyDescent="0.25">
      <c r="A2083">
        <v>2082</v>
      </c>
      <c r="B2083" s="1" t="s">
        <v>12</v>
      </c>
      <c r="C2083">
        <v>1954</v>
      </c>
      <c r="D2083" s="1" t="s">
        <v>222</v>
      </c>
      <c r="E2083" s="1" t="s">
        <v>77</v>
      </c>
      <c r="F2083">
        <v>90</v>
      </c>
      <c r="G2083" s="1" t="s">
        <v>90</v>
      </c>
      <c r="H2083">
        <v>90112</v>
      </c>
      <c r="I2083">
        <v>3</v>
      </c>
      <c r="J2083">
        <v>3</v>
      </c>
      <c r="K2083">
        <v>2</v>
      </c>
      <c r="L2083">
        <v>670</v>
      </c>
    </row>
    <row r="2084" spans="1:12" hidden="1" x14ac:dyDescent="0.25">
      <c r="A2084">
        <v>2083</v>
      </c>
      <c r="B2084" s="1" t="s">
        <v>12</v>
      </c>
      <c r="C2084">
        <v>1955</v>
      </c>
      <c r="D2084" s="1" t="s">
        <v>223</v>
      </c>
      <c r="E2084" s="1" t="s">
        <v>22</v>
      </c>
      <c r="F2084">
        <v>14</v>
      </c>
      <c r="G2084" s="1" t="s">
        <v>26</v>
      </c>
      <c r="H2084">
        <v>14161</v>
      </c>
      <c r="I2084">
        <v>103000</v>
      </c>
      <c r="J2084">
        <v>100000</v>
      </c>
      <c r="K2084">
        <v>115000</v>
      </c>
      <c r="L2084">
        <v>1150</v>
      </c>
    </row>
    <row r="2085" spans="1:12" hidden="1" x14ac:dyDescent="0.25">
      <c r="A2085">
        <v>2084</v>
      </c>
      <c r="B2085" s="1" t="s">
        <v>12</v>
      </c>
      <c r="C2085">
        <v>1955</v>
      </c>
      <c r="D2085" s="1" t="s">
        <v>223</v>
      </c>
      <c r="E2085" s="1" t="s">
        <v>22</v>
      </c>
      <c r="F2085">
        <v>14</v>
      </c>
      <c r="G2085" s="1" t="s">
        <v>24</v>
      </c>
      <c r="H2085">
        <v>14119</v>
      </c>
      <c r="I2085">
        <v>56000</v>
      </c>
      <c r="J2085">
        <v>53200</v>
      </c>
      <c r="K2085">
        <v>58508</v>
      </c>
      <c r="L2085">
        <v>1100</v>
      </c>
    </row>
    <row r="2086" spans="1:12" hidden="1" x14ac:dyDescent="0.25">
      <c r="A2086">
        <v>2085</v>
      </c>
      <c r="B2086" s="1" t="s">
        <v>12</v>
      </c>
      <c r="C2086">
        <v>1955</v>
      </c>
      <c r="D2086" s="1" t="s">
        <v>223</v>
      </c>
      <c r="E2086" s="1" t="s">
        <v>22</v>
      </c>
      <c r="F2086">
        <v>14</v>
      </c>
      <c r="G2086" s="1" t="s">
        <v>23</v>
      </c>
      <c r="H2086">
        <v>14147</v>
      </c>
      <c r="I2086">
        <v>30000</v>
      </c>
      <c r="J2086">
        <v>27000</v>
      </c>
      <c r="K2086">
        <v>25650</v>
      </c>
      <c r="L2086">
        <v>950</v>
      </c>
    </row>
    <row r="2087" spans="1:12" hidden="1" x14ac:dyDescent="0.25">
      <c r="A2087">
        <v>2086</v>
      </c>
      <c r="B2087" s="1" t="s">
        <v>12</v>
      </c>
      <c r="C2087">
        <v>1955</v>
      </c>
      <c r="D2087" s="1" t="s">
        <v>223</v>
      </c>
      <c r="E2087" s="1" t="s">
        <v>22</v>
      </c>
      <c r="F2087">
        <v>14</v>
      </c>
      <c r="G2087" s="1" t="s">
        <v>97</v>
      </c>
      <c r="H2087">
        <v>14007</v>
      </c>
      <c r="I2087">
        <v>5000</v>
      </c>
      <c r="J2087">
        <v>5000</v>
      </c>
      <c r="K2087">
        <v>5500</v>
      </c>
      <c r="L2087">
        <v>1100</v>
      </c>
    </row>
    <row r="2088" spans="1:12" hidden="1" x14ac:dyDescent="0.25">
      <c r="A2088">
        <v>2087</v>
      </c>
      <c r="B2088" s="1" t="s">
        <v>12</v>
      </c>
      <c r="C2088">
        <v>1955</v>
      </c>
      <c r="D2088" s="1" t="s">
        <v>223</v>
      </c>
      <c r="E2088" s="1" t="s">
        <v>22</v>
      </c>
      <c r="F2088">
        <v>14</v>
      </c>
      <c r="G2088" s="1" t="s">
        <v>143</v>
      </c>
      <c r="H2088">
        <v>14056</v>
      </c>
      <c r="I2088">
        <v>5000</v>
      </c>
      <c r="J2088">
        <v>5000</v>
      </c>
      <c r="K2088">
        <v>6500</v>
      </c>
      <c r="L2088">
        <v>1300</v>
      </c>
    </row>
    <row r="2089" spans="1:12" hidden="1" x14ac:dyDescent="0.25">
      <c r="A2089">
        <v>2088</v>
      </c>
      <c r="B2089" s="1" t="s">
        <v>12</v>
      </c>
      <c r="C2089">
        <v>1955</v>
      </c>
      <c r="D2089" s="1" t="s">
        <v>223</v>
      </c>
      <c r="E2089" s="1" t="s">
        <v>22</v>
      </c>
      <c r="F2089">
        <v>14</v>
      </c>
      <c r="G2089" s="1" t="s">
        <v>29</v>
      </c>
      <c r="H2089">
        <v>14098</v>
      </c>
      <c r="I2089">
        <v>3000</v>
      </c>
      <c r="J2089">
        <v>3000</v>
      </c>
      <c r="K2089">
        <v>3000</v>
      </c>
      <c r="L2089">
        <v>1000</v>
      </c>
    </row>
    <row r="2090" spans="1:12" hidden="1" x14ac:dyDescent="0.25">
      <c r="A2090">
        <v>2089</v>
      </c>
      <c r="B2090" s="1" t="s">
        <v>12</v>
      </c>
      <c r="C2090">
        <v>1955</v>
      </c>
      <c r="D2090" s="1" t="s">
        <v>223</v>
      </c>
      <c r="E2090" s="1" t="s">
        <v>22</v>
      </c>
      <c r="F2090">
        <v>14</v>
      </c>
      <c r="G2090" s="1" t="s">
        <v>25</v>
      </c>
      <c r="H2090">
        <v>14105</v>
      </c>
      <c r="I2090">
        <v>600</v>
      </c>
      <c r="J2090">
        <v>540</v>
      </c>
      <c r="K2090">
        <v>378</v>
      </c>
      <c r="L2090">
        <v>700</v>
      </c>
    </row>
    <row r="2091" spans="1:12" hidden="1" x14ac:dyDescent="0.25">
      <c r="A2091">
        <v>2090</v>
      </c>
      <c r="B2091" s="1" t="s">
        <v>12</v>
      </c>
      <c r="C2091">
        <v>1955</v>
      </c>
      <c r="D2091" s="1" t="s">
        <v>223</v>
      </c>
      <c r="E2091" s="1" t="s">
        <v>22</v>
      </c>
      <c r="F2091">
        <v>14</v>
      </c>
      <c r="G2091" s="1" t="s">
        <v>184</v>
      </c>
      <c r="H2091">
        <v>14042</v>
      </c>
      <c r="I2091">
        <v>180</v>
      </c>
      <c r="J2091">
        <v>180</v>
      </c>
      <c r="K2091">
        <v>216</v>
      </c>
      <c r="L2091">
        <v>1200</v>
      </c>
    </row>
    <row r="2092" spans="1:12" hidden="1" x14ac:dyDescent="0.25">
      <c r="A2092">
        <v>2091</v>
      </c>
      <c r="B2092" s="1" t="s">
        <v>12</v>
      </c>
      <c r="C2092">
        <v>1955</v>
      </c>
      <c r="D2092" s="1" t="s">
        <v>223</v>
      </c>
      <c r="E2092" s="1" t="s">
        <v>22</v>
      </c>
      <c r="F2092">
        <v>14</v>
      </c>
      <c r="G2092" s="1" t="s">
        <v>67</v>
      </c>
      <c r="H2092">
        <v>14140</v>
      </c>
      <c r="I2092">
        <v>100</v>
      </c>
      <c r="J2092">
        <v>80</v>
      </c>
      <c r="K2092">
        <v>48</v>
      </c>
      <c r="L2092">
        <v>600</v>
      </c>
    </row>
    <row r="2093" spans="1:12" hidden="1" x14ac:dyDescent="0.25">
      <c r="A2093">
        <v>2092</v>
      </c>
      <c r="B2093" s="1" t="s">
        <v>12</v>
      </c>
      <c r="C2093">
        <v>1955</v>
      </c>
      <c r="D2093" s="1" t="s">
        <v>223</v>
      </c>
      <c r="E2093" s="1" t="s">
        <v>30</v>
      </c>
      <c r="F2093">
        <v>18</v>
      </c>
      <c r="G2093" s="1" t="s">
        <v>32</v>
      </c>
      <c r="H2093">
        <v>18112</v>
      </c>
      <c r="I2093">
        <v>350</v>
      </c>
      <c r="J2093">
        <v>300</v>
      </c>
      <c r="K2093">
        <v>270</v>
      </c>
      <c r="L2093">
        <v>900</v>
      </c>
    </row>
    <row r="2094" spans="1:12" hidden="1" x14ac:dyDescent="0.25">
      <c r="A2094">
        <v>2093</v>
      </c>
      <c r="B2094" s="1" t="s">
        <v>12</v>
      </c>
      <c r="C2094">
        <v>1955</v>
      </c>
      <c r="D2094" s="1" t="s">
        <v>223</v>
      </c>
      <c r="E2094" s="1" t="s">
        <v>30</v>
      </c>
      <c r="F2094">
        <v>18</v>
      </c>
      <c r="G2094" s="1" t="s">
        <v>34</v>
      </c>
      <c r="H2094">
        <v>18042</v>
      </c>
      <c r="I2094">
        <v>50</v>
      </c>
      <c r="J2094">
        <v>45</v>
      </c>
      <c r="K2094">
        <v>38</v>
      </c>
      <c r="L2094">
        <v>845</v>
      </c>
    </row>
    <row r="2095" spans="1:12" hidden="1" x14ac:dyDescent="0.25">
      <c r="A2095">
        <v>2094</v>
      </c>
      <c r="B2095" s="1" t="s">
        <v>12</v>
      </c>
      <c r="C2095">
        <v>1955</v>
      </c>
      <c r="D2095" s="1" t="s">
        <v>223</v>
      </c>
      <c r="E2095" s="1" t="s">
        <v>30</v>
      </c>
      <c r="F2095">
        <v>18</v>
      </c>
      <c r="G2095" s="1" t="s">
        <v>42</v>
      </c>
      <c r="H2095">
        <v>18035</v>
      </c>
      <c r="I2095">
        <v>30</v>
      </c>
      <c r="J2095">
        <v>25</v>
      </c>
      <c r="K2095">
        <v>22</v>
      </c>
      <c r="L2095">
        <v>880</v>
      </c>
    </row>
    <row r="2096" spans="1:12" hidden="1" x14ac:dyDescent="0.25">
      <c r="A2096">
        <v>2095</v>
      </c>
      <c r="B2096" s="1" t="s">
        <v>12</v>
      </c>
      <c r="C2096">
        <v>1955</v>
      </c>
      <c r="D2096" s="1" t="s">
        <v>223</v>
      </c>
      <c r="E2096" s="1" t="s">
        <v>30</v>
      </c>
      <c r="F2096">
        <v>18</v>
      </c>
      <c r="G2096" s="1" t="s">
        <v>40</v>
      </c>
      <c r="H2096">
        <v>18126</v>
      </c>
      <c r="I2096">
        <v>30</v>
      </c>
      <c r="J2096">
        <v>27</v>
      </c>
      <c r="K2096">
        <v>23</v>
      </c>
      <c r="L2096">
        <v>852</v>
      </c>
    </row>
    <row r="2097" spans="1:12" hidden="1" x14ac:dyDescent="0.25">
      <c r="A2097">
        <v>2096</v>
      </c>
      <c r="B2097" s="1" t="s">
        <v>12</v>
      </c>
      <c r="C2097">
        <v>1955</v>
      </c>
      <c r="D2097" s="1" t="s">
        <v>223</v>
      </c>
      <c r="E2097" s="1" t="s">
        <v>30</v>
      </c>
      <c r="F2097">
        <v>18</v>
      </c>
      <c r="G2097" s="1" t="s">
        <v>28</v>
      </c>
      <c r="H2097">
        <v>18021</v>
      </c>
      <c r="I2097">
        <v>20</v>
      </c>
      <c r="J2097">
        <v>18</v>
      </c>
      <c r="K2097">
        <v>14</v>
      </c>
      <c r="L2097">
        <v>778</v>
      </c>
    </row>
    <row r="2098" spans="1:12" hidden="1" x14ac:dyDescent="0.25">
      <c r="A2098">
        <v>2097</v>
      </c>
      <c r="B2098" s="1" t="s">
        <v>12</v>
      </c>
      <c r="C2098">
        <v>1955</v>
      </c>
      <c r="D2098" s="1" t="s">
        <v>223</v>
      </c>
      <c r="E2098" s="1" t="s">
        <v>30</v>
      </c>
      <c r="F2098">
        <v>18</v>
      </c>
      <c r="G2098" s="1" t="s">
        <v>41</v>
      </c>
      <c r="H2098">
        <v>18140</v>
      </c>
      <c r="I2098">
        <v>20</v>
      </c>
      <c r="J2098">
        <v>18</v>
      </c>
      <c r="K2098">
        <v>14</v>
      </c>
      <c r="L2098">
        <v>778</v>
      </c>
    </row>
    <row r="2099" spans="1:12" hidden="1" x14ac:dyDescent="0.25">
      <c r="A2099">
        <v>2098</v>
      </c>
      <c r="B2099" s="1" t="s">
        <v>12</v>
      </c>
      <c r="C2099">
        <v>1955</v>
      </c>
      <c r="D2099" s="1" t="s">
        <v>223</v>
      </c>
      <c r="E2099" s="1" t="s">
        <v>30</v>
      </c>
      <c r="F2099">
        <v>18</v>
      </c>
      <c r="G2099" s="1" t="s">
        <v>63</v>
      </c>
      <c r="H2099">
        <v>18028</v>
      </c>
      <c r="I2099">
        <v>10</v>
      </c>
      <c r="J2099">
        <v>9</v>
      </c>
      <c r="K2099">
        <v>7</v>
      </c>
      <c r="L2099">
        <v>778</v>
      </c>
    </row>
    <row r="2100" spans="1:12" hidden="1" x14ac:dyDescent="0.25">
      <c r="A2100">
        <v>2099</v>
      </c>
      <c r="B2100" s="1" t="s">
        <v>12</v>
      </c>
      <c r="C2100">
        <v>1955</v>
      </c>
      <c r="D2100" s="1" t="s">
        <v>223</v>
      </c>
      <c r="E2100" s="1" t="s">
        <v>30</v>
      </c>
      <c r="F2100">
        <v>18</v>
      </c>
      <c r="G2100" s="1" t="s">
        <v>36</v>
      </c>
      <c r="H2100">
        <v>18133</v>
      </c>
      <c r="I2100">
        <v>10</v>
      </c>
      <c r="J2100">
        <v>9</v>
      </c>
      <c r="K2100">
        <v>7</v>
      </c>
      <c r="L2100">
        <v>778</v>
      </c>
    </row>
    <row r="2101" spans="1:12" hidden="1" x14ac:dyDescent="0.25">
      <c r="A2101">
        <v>2100</v>
      </c>
      <c r="B2101" s="1" t="s">
        <v>12</v>
      </c>
      <c r="C2101">
        <v>1955</v>
      </c>
      <c r="D2101" s="1" t="s">
        <v>223</v>
      </c>
      <c r="E2101" s="1" t="s">
        <v>30</v>
      </c>
      <c r="F2101">
        <v>18</v>
      </c>
      <c r="G2101" s="1" t="s">
        <v>103</v>
      </c>
      <c r="H2101">
        <v>18154</v>
      </c>
      <c r="I2101">
        <v>10</v>
      </c>
      <c r="J2101">
        <v>9</v>
      </c>
      <c r="K2101">
        <v>8</v>
      </c>
      <c r="L2101">
        <v>889</v>
      </c>
    </row>
    <row r="2102" spans="1:12" hidden="1" x14ac:dyDescent="0.25">
      <c r="A2102">
        <v>2101</v>
      </c>
      <c r="B2102" s="1" t="s">
        <v>12</v>
      </c>
      <c r="C2102">
        <v>1955</v>
      </c>
      <c r="D2102" s="1" t="s">
        <v>223</v>
      </c>
      <c r="E2102" s="1" t="s">
        <v>30</v>
      </c>
      <c r="F2102">
        <v>18</v>
      </c>
      <c r="G2102" s="1" t="s">
        <v>99</v>
      </c>
      <c r="H2102">
        <v>18063</v>
      </c>
      <c r="I2102">
        <v>8</v>
      </c>
      <c r="J2102">
        <v>7</v>
      </c>
      <c r="K2102">
        <v>5</v>
      </c>
      <c r="L2102">
        <v>714</v>
      </c>
    </row>
    <row r="2103" spans="1:12" hidden="1" x14ac:dyDescent="0.25">
      <c r="A2103">
        <v>2102</v>
      </c>
      <c r="B2103" s="1" t="s">
        <v>12</v>
      </c>
      <c r="C2103">
        <v>1955</v>
      </c>
      <c r="D2103" s="1" t="s">
        <v>223</v>
      </c>
      <c r="E2103" s="1" t="s">
        <v>30</v>
      </c>
      <c r="F2103">
        <v>18</v>
      </c>
      <c r="G2103" s="1" t="s">
        <v>98</v>
      </c>
      <c r="H2103">
        <v>18098</v>
      </c>
      <c r="I2103">
        <v>8</v>
      </c>
      <c r="J2103">
        <v>7</v>
      </c>
      <c r="K2103">
        <v>6</v>
      </c>
      <c r="L2103">
        <v>857</v>
      </c>
    </row>
    <row r="2104" spans="1:12" hidden="1" x14ac:dyDescent="0.25">
      <c r="A2104">
        <v>2103</v>
      </c>
      <c r="B2104" s="1" t="s">
        <v>12</v>
      </c>
      <c r="C2104">
        <v>1955</v>
      </c>
      <c r="D2104" s="1" t="s">
        <v>223</v>
      </c>
      <c r="E2104" s="1" t="s">
        <v>30</v>
      </c>
      <c r="F2104">
        <v>18</v>
      </c>
      <c r="G2104" s="1" t="s">
        <v>100</v>
      </c>
      <c r="H2104">
        <v>18077</v>
      </c>
      <c r="I2104">
        <v>5</v>
      </c>
      <c r="J2104">
        <v>4</v>
      </c>
      <c r="K2104">
        <v>3</v>
      </c>
      <c r="L2104">
        <v>750</v>
      </c>
    </row>
    <row r="2105" spans="1:12" hidden="1" x14ac:dyDescent="0.25">
      <c r="A2105">
        <v>2104</v>
      </c>
      <c r="B2105" s="1" t="s">
        <v>12</v>
      </c>
      <c r="C2105">
        <v>1955</v>
      </c>
      <c r="D2105" s="1" t="s">
        <v>223</v>
      </c>
      <c r="E2105" s="1" t="s">
        <v>30</v>
      </c>
      <c r="F2105">
        <v>18</v>
      </c>
      <c r="G2105" s="1" t="s">
        <v>39</v>
      </c>
      <c r="H2105">
        <v>18084</v>
      </c>
      <c r="I2105">
        <v>5</v>
      </c>
      <c r="J2105">
        <v>4</v>
      </c>
      <c r="K2105">
        <v>3</v>
      </c>
      <c r="L2105">
        <v>750</v>
      </c>
    </row>
    <row r="2106" spans="1:12" hidden="1" x14ac:dyDescent="0.25">
      <c r="A2106">
        <v>2105</v>
      </c>
      <c r="B2106" s="1" t="s">
        <v>12</v>
      </c>
      <c r="C2106">
        <v>1955</v>
      </c>
      <c r="D2106" s="1" t="s">
        <v>223</v>
      </c>
      <c r="E2106" s="1" t="s">
        <v>45</v>
      </c>
      <c r="F2106">
        <v>30</v>
      </c>
      <c r="G2106" s="1" t="s">
        <v>46</v>
      </c>
      <c r="H2106">
        <v>30028</v>
      </c>
      <c r="I2106">
        <v>135</v>
      </c>
      <c r="J2106">
        <v>100</v>
      </c>
      <c r="K2106">
        <v>70</v>
      </c>
      <c r="L2106">
        <v>700</v>
      </c>
    </row>
    <row r="2107" spans="1:12" hidden="1" x14ac:dyDescent="0.25">
      <c r="A2107">
        <v>2106</v>
      </c>
      <c r="B2107" s="1" t="s">
        <v>12</v>
      </c>
      <c r="C2107">
        <v>1955</v>
      </c>
      <c r="D2107" s="1" t="s">
        <v>223</v>
      </c>
      <c r="E2107" s="1" t="s">
        <v>45</v>
      </c>
      <c r="F2107">
        <v>30</v>
      </c>
      <c r="G2107" s="1" t="s">
        <v>47</v>
      </c>
      <c r="H2107">
        <v>30015</v>
      </c>
      <c r="I2107">
        <v>45</v>
      </c>
      <c r="J2107">
        <v>35</v>
      </c>
      <c r="K2107">
        <v>25</v>
      </c>
      <c r="L2107">
        <v>714</v>
      </c>
    </row>
    <row r="2108" spans="1:12" hidden="1" x14ac:dyDescent="0.25">
      <c r="A2108">
        <v>2107</v>
      </c>
      <c r="B2108" s="1" t="s">
        <v>12</v>
      </c>
      <c r="C2108">
        <v>1955</v>
      </c>
      <c r="D2108" s="1" t="s">
        <v>223</v>
      </c>
      <c r="E2108" s="1" t="s">
        <v>48</v>
      </c>
      <c r="F2108">
        <v>34</v>
      </c>
      <c r="G2108" s="1" t="s">
        <v>51</v>
      </c>
      <c r="H2108">
        <v>34056</v>
      </c>
      <c r="I2108">
        <v>45</v>
      </c>
      <c r="J2108">
        <v>45</v>
      </c>
      <c r="K2108">
        <v>54</v>
      </c>
      <c r="L2108">
        <v>1200</v>
      </c>
    </row>
    <row r="2109" spans="1:12" hidden="1" x14ac:dyDescent="0.25">
      <c r="A2109">
        <v>2108</v>
      </c>
      <c r="B2109" s="1" t="s">
        <v>12</v>
      </c>
      <c r="C2109">
        <v>1955</v>
      </c>
      <c r="D2109" s="1" t="s">
        <v>223</v>
      </c>
      <c r="E2109" s="1" t="s">
        <v>48</v>
      </c>
      <c r="F2109">
        <v>34</v>
      </c>
      <c r="G2109" s="1" t="s">
        <v>52</v>
      </c>
      <c r="H2109">
        <v>34035</v>
      </c>
      <c r="I2109">
        <v>15</v>
      </c>
      <c r="J2109">
        <v>15</v>
      </c>
      <c r="K2109">
        <v>10</v>
      </c>
      <c r="L2109">
        <v>667</v>
      </c>
    </row>
    <row r="2110" spans="1:12" hidden="1" x14ac:dyDescent="0.25">
      <c r="A2110">
        <v>2109</v>
      </c>
      <c r="B2110" s="1" t="s">
        <v>12</v>
      </c>
      <c r="C2110">
        <v>1955</v>
      </c>
      <c r="D2110" s="1" t="s">
        <v>223</v>
      </c>
      <c r="E2110" s="1" t="s">
        <v>48</v>
      </c>
      <c r="F2110">
        <v>34</v>
      </c>
      <c r="G2110" s="1" t="s">
        <v>108</v>
      </c>
      <c r="H2110">
        <v>34042</v>
      </c>
      <c r="I2110">
        <v>15</v>
      </c>
      <c r="J2110">
        <v>15</v>
      </c>
      <c r="K2110">
        <v>23</v>
      </c>
      <c r="L2110">
        <v>1534</v>
      </c>
    </row>
    <row r="2111" spans="1:12" hidden="1" x14ac:dyDescent="0.25">
      <c r="A2111">
        <v>2110</v>
      </c>
      <c r="B2111" s="1" t="s">
        <v>12</v>
      </c>
      <c r="C2111">
        <v>1955</v>
      </c>
      <c r="D2111" s="1" t="s">
        <v>223</v>
      </c>
      <c r="E2111" s="1" t="s">
        <v>48</v>
      </c>
      <c r="F2111">
        <v>34</v>
      </c>
      <c r="G2111" s="1" t="s">
        <v>49</v>
      </c>
      <c r="H2111">
        <v>34049</v>
      </c>
      <c r="I2111">
        <v>15</v>
      </c>
      <c r="J2111">
        <v>15</v>
      </c>
      <c r="K2111">
        <v>22</v>
      </c>
      <c r="L2111">
        <v>1467</v>
      </c>
    </row>
    <row r="2112" spans="1:12" hidden="1" x14ac:dyDescent="0.25">
      <c r="A2112">
        <v>2111</v>
      </c>
      <c r="B2112" s="1" t="s">
        <v>12</v>
      </c>
      <c r="C2112">
        <v>1955</v>
      </c>
      <c r="D2112" s="1" t="s">
        <v>223</v>
      </c>
      <c r="E2112" s="1" t="s">
        <v>48</v>
      </c>
      <c r="F2112">
        <v>34</v>
      </c>
      <c r="G2112" s="1" t="s">
        <v>48</v>
      </c>
      <c r="H2112">
        <v>34014</v>
      </c>
      <c r="I2112">
        <v>12</v>
      </c>
      <c r="J2112">
        <v>12</v>
      </c>
      <c r="K2112">
        <v>12</v>
      </c>
      <c r="L2112">
        <v>1000</v>
      </c>
    </row>
    <row r="2113" spans="1:12" hidden="1" x14ac:dyDescent="0.25">
      <c r="A2113">
        <v>2112</v>
      </c>
      <c r="B2113" s="1" t="s">
        <v>12</v>
      </c>
      <c r="C2113">
        <v>1955</v>
      </c>
      <c r="D2113" s="1" t="s">
        <v>223</v>
      </c>
      <c r="E2113" s="1" t="s">
        <v>48</v>
      </c>
      <c r="F2113">
        <v>34</v>
      </c>
      <c r="G2113" s="1" t="s">
        <v>50</v>
      </c>
      <c r="H2113">
        <v>34021</v>
      </c>
      <c r="I2113">
        <v>10</v>
      </c>
      <c r="J2113">
        <v>10</v>
      </c>
      <c r="K2113">
        <v>12</v>
      </c>
      <c r="L2113">
        <v>1200</v>
      </c>
    </row>
    <row r="2114" spans="1:12" hidden="1" x14ac:dyDescent="0.25">
      <c r="A2114">
        <v>2113</v>
      </c>
      <c r="B2114" s="1" t="s">
        <v>12</v>
      </c>
      <c r="C2114">
        <v>1955</v>
      </c>
      <c r="D2114" s="1" t="s">
        <v>223</v>
      </c>
      <c r="E2114" s="1" t="s">
        <v>58</v>
      </c>
      <c r="F2114">
        <v>54</v>
      </c>
      <c r="G2114" s="1" t="s">
        <v>60</v>
      </c>
      <c r="H2114">
        <v>54021</v>
      </c>
      <c r="I2114">
        <v>75</v>
      </c>
      <c r="J2114">
        <v>53</v>
      </c>
      <c r="K2114">
        <v>38</v>
      </c>
      <c r="L2114">
        <v>717</v>
      </c>
    </row>
    <row r="2115" spans="1:12" hidden="1" x14ac:dyDescent="0.25">
      <c r="A2115">
        <v>2114</v>
      </c>
      <c r="B2115" s="1" t="s">
        <v>12</v>
      </c>
      <c r="C2115">
        <v>1955</v>
      </c>
      <c r="D2115" s="1" t="s">
        <v>223</v>
      </c>
      <c r="E2115" s="1" t="s">
        <v>58</v>
      </c>
      <c r="F2115">
        <v>54</v>
      </c>
      <c r="G2115" s="1" t="s">
        <v>62</v>
      </c>
      <c r="H2115">
        <v>54105</v>
      </c>
      <c r="I2115">
        <v>75</v>
      </c>
      <c r="J2115">
        <v>53</v>
      </c>
      <c r="K2115">
        <v>38</v>
      </c>
      <c r="L2115">
        <v>717</v>
      </c>
    </row>
    <row r="2116" spans="1:12" hidden="1" x14ac:dyDescent="0.25">
      <c r="A2116">
        <v>2115</v>
      </c>
      <c r="B2116" s="1" t="s">
        <v>12</v>
      </c>
      <c r="C2116">
        <v>1955</v>
      </c>
      <c r="D2116" s="1" t="s">
        <v>223</v>
      </c>
      <c r="E2116" s="1" t="s">
        <v>58</v>
      </c>
      <c r="F2116">
        <v>54</v>
      </c>
      <c r="G2116" s="1" t="s">
        <v>150</v>
      </c>
      <c r="H2116">
        <v>54014</v>
      </c>
      <c r="I2116">
        <v>56</v>
      </c>
      <c r="J2116">
        <v>39</v>
      </c>
      <c r="K2116">
        <v>27</v>
      </c>
      <c r="L2116">
        <v>692</v>
      </c>
    </row>
    <row r="2117" spans="1:12" hidden="1" x14ac:dyDescent="0.25">
      <c r="A2117">
        <v>2116</v>
      </c>
      <c r="B2117" s="1" t="s">
        <v>12</v>
      </c>
      <c r="C2117">
        <v>1955</v>
      </c>
      <c r="D2117" s="1" t="s">
        <v>223</v>
      </c>
      <c r="E2117" s="1" t="s">
        <v>58</v>
      </c>
      <c r="F2117">
        <v>54</v>
      </c>
      <c r="G2117" s="1" t="s">
        <v>61</v>
      </c>
      <c r="H2117">
        <v>54098</v>
      </c>
      <c r="I2117">
        <v>39</v>
      </c>
      <c r="J2117">
        <v>27</v>
      </c>
      <c r="K2117">
        <v>17</v>
      </c>
      <c r="L2117">
        <v>630</v>
      </c>
    </row>
    <row r="2118" spans="1:12" hidden="1" x14ac:dyDescent="0.25">
      <c r="A2118">
        <v>2117</v>
      </c>
      <c r="B2118" s="1" t="s">
        <v>12</v>
      </c>
      <c r="C2118">
        <v>1955</v>
      </c>
      <c r="D2118" s="1" t="s">
        <v>223</v>
      </c>
      <c r="E2118" s="1" t="s">
        <v>58</v>
      </c>
      <c r="F2118">
        <v>54</v>
      </c>
      <c r="G2118" s="1" t="s">
        <v>152</v>
      </c>
      <c r="H2118">
        <v>54063</v>
      </c>
      <c r="I2118">
        <v>17</v>
      </c>
      <c r="J2118">
        <v>12</v>
      </c>
      <c r="K2118">
        <v>6</v>
      </c>
      <c r="L2118">
        <v>500</v>
      </c>
    </row>
    <row r="2119" spans="1:12" hidden="1" x14ac:dyDescent="0.25">
      <c r="A2119">
        <v>2118</v>
      </c>
      <c r="B2119" s="1" t="s">
        <v>12</v>
      </c>
      <c r="C2119">
        <v>1955</v>
      </c>
      <c r="D2119" s="1" t="s">
        <v>223</v>
      </c>
      <c r="E2119" s="1" t="s">
        <v>58</v>
      </c>
      <c r="F2119">
        <v>54</v>
      </c>
      <c r="G2119" s="1" t="s">
        <v>63</v>
      </c>
      <c r="H2119">
        <v>54035</v>
      </c>
      <c r="I2119">
        <v>15</v>
      </c>
      <c r="J2119">
        <v>11</v>
      </c>
      <c r="K2119">
        <v>8</v>
      </c>
      <c r="L2119">
        <v>727</v>
      </c>
    </row>
    <row r="2120" spans="1:12" hidden="1" x14ac:dyDescent="0.25">
      <c r="A2120">
        <v>2119</v>
      </c>
      <c r="B2120" s="1" t="s">
        <v>12</v>
      </c>
      <c r="C2120">
        <v>1955</v>
      </c>
      <c r="D2120" s="1" t="s">
        <v>223</v>
      </c>
      <c r="E2120" s="1" t="s">
        <v>58</v>
      </c>
      <c r="F2120">
        <v>54</v>
      </c>
      <c r="G2120" s="1" t="s">
        <v>59</v>
      </c>
      <c r="H2120">
        <v>54007</v>
      </c>
      <c r="I2120">
        <v>12</v>
      </c>
      <c r="J2120">
        <v>9</v>
      </c>
      <c r="K2120">
        <v>6</v>
      </c>
      <c r="L2120">
        <v>667</v>
      </c>
    </row>
    <row r="2121" spans="1:12" hidden="1" x14ac:dyDescent="0.25">
      <c r="A2121">
        <v>2120</v>
      </c>
      <c r="B2121" s="1" t="s">
        <v>12</v>
      </c>
      <c r="C2121">
        <v>1955</v>
      </c>
      <c r="D2121" s="1" t="s">
        <v>223</v>
      </c>
      <c r="E2121" s="1" t="s">
        <v>58</v>
      </c>
      <c r="F2121">
        <v>54</v>
      </c>
      <c r="G2121" s="1" t="s">
        <v>151</v>
      </c>
      <c r="H2121">
        <v>54056</v>
      </c>
      <c r="I2121">
        <v>10</v>
      </c>
      <c r="J2121">
        <v>8</v>
      </c>
      <c r="K2121">
        <v>4</v>
      </c>
      <c r="L2121">
        <v>500</v>
      </c>
    </row>
    <row r="2122" spans="1:12" x14ac:dyDescent="0.25">
      <c r="A2122">
        <v>2121</v>
      </c>
      <c r="B2122" s="1" t="s">
        <v>12</v>
      </c>
      <c r="C2122">
        <v>1955</v>
      </c>
      <c r="D2122" s="1" t="s">
        <v>223</v>
      </c>
      <c r="E2122" s="1" t="s">
        <v>58</v>
      </c>
      <c r="F2122">
        <v>54</v>
      </c>
      <c r="G2122" s="1" t="s">
        <v>56</v>
      </c>
      <c r="H2122">
        <v>54112</v>
      </c>
      <c r="I2122">
        <v>5</v>
      </c>
      <c r="J2122">
        <v>4</v>
      </c>
      <c r="K2122">
        <v>2</v>
      </c>
      <c r="L2122">
        <v>500</v>
      </c>
    </row>
    <row r="2123" spans="1:12" hidden="1" x14ac:dyDescent="0.25">
      <c r="A2123">
        <v>2122</v>
      </c>
      <c r="B2123" s="1" t="s">
        <v>12</v>
      </c>
      <c r="C2123">
        <v>1955</v>
      </c>
      <c r="D2123" s="1" t="s">
        <v>223</v>
      </c>
      <c r="E2123" s="1" t="s">
        <v>87</v>
      </c>
      <c r="F2123">
        <v>66</v>
      </c>
      <c r="G2123" s="1" t="s">
        <v>141</v>
      </c>
      <c r="H2123">
        <v>66112</v>
      </c>
      <c r="I2123">
        <v>30</v>
      </c>
      <c r="J2123">
        <v>30</v>
      </c>
      <c r="K2123">
        <v>36</v>
      </c>
      <c r="L2123">
        <v>1200</v>
      </c>
    </row>
    <row r="2124" spans="1:12" hidden="1" x14ac:dyDescent="0.25">
      <c r="A2124">
        <v>2123</v>
      </c>
      <c r="B2124" s="1" t="s">
        <v>12</v>
      </c>
      <c r="C2124">
        <v>1955</v>
      </c>
      <c r="D2124" s="1" t="s">
        <v>223</v>
      </c>
      <c r="E2124" s="1" t="s">
        <v>64</v>
      </c>
      <c r="F2124">
        <v>82</v>
      </c>
      <c r="G2124" s="1" t="s">
        <v>65</v>
      </c>
      <c r="H2124">
        <v>82049</v>
      </c>
      <c r="I2124">
        <v>400</v>
      </c>
      <c r="J2124">
        <v>350</v>
      </c>
      <c r="K2124">
        <v>350</v>
      </c>
      <c r="L2124">
        <v>1000</v>
      </c>
    </row>
    <row r="2125" spans="1:12" hidden="1" x14ac:dyDescent="0.25">
      <c r="A2125">
        <v>2124</v>
      </c>
      <c r="B2125" s="1" t="s">
        <v>12</v>
      </c>
      <c r="C2125">
        <v>1955</v>
      </c>
      <c r="D2125" s="1" t="s">
        <v>223</v>
      </c>
      <c r="E2125" s="1" t="s">
        <v>64</v>
      </c>
      <c r="F2125">
        <v>82</v>
      </c>
      <c r="G2125" s="1" t="s">
        <v>66</v>
      </c>
      <c r="H2125">
        <v>82035</v>
      </c>
      <c r="I2125">
        <v>130</v>
      </c>
      <c r="J2125">
        <v>130</v>
      </c>
      <c r="K2125">
        <v>175</v>
      </c>
      <c r="L2125">
        <v>1346</v>
      </c>
    </row>
    <row r="2126" spans="1:12" hidden="1" x14ac:dyDescent="0.25">
      <c r="A2126">
        <v>2125</v>
      </c>
      <c r="B2126" s="1" t="s">
        <v>12</v>
      </c>
      <c r="C2126">
        <v>1955</v>
      </c>
      <c r="D2126" s="1" t="s">
        <v>223</v>
      </c>
      <c r="E2126" s="1" t="s">
        <v>77</v>
      </c>
      <c r="F2126">
        <v>90</v>
      </c>
      <c r="G2126" s="1" t="s">
        <v>78</v>
      </c>
      <c r="H2126">
        <v>90007</v>
      </c>
      <c r="I2126">
        <v>22</v>
      </c>
      <c r="J2126">
        <v>20</v>
      </c>
      <c r="K2126">
        <v>20</v>
      </c>
      <c r="L2126">
        <v>1000</v>
      </c>
    </row>
    <row r="2127" spans="1:12" hidden="1" x14ac:dyDescent="0.25">
      <c r="A2127">
        <v>2126</v>
      </c>
      <c r="B2127" s="1" t="s">
        <v>12</v>
      </c>
      <c r="C2127">
        <v>1955</v>
      </c>
      <c r="D2127" s="1" t="s">
        <v>223</v>
      </c>
      <c r="E2127" s="1" t="s">
        <v>77</v>
      </c>
      <c r="F2127">
        <v>90</v>
      </c>
      <c r="G2127" s="1" t="s">
        <v>91</v>
      </c>
      <c r="H2127">
        <v>90014</v>
      </c>
      <c r="I2127">
        <v>11</v>
      </c>
      <c r="J2127">
        <v>10</v>
      </c>
      <c r="K2127">
        <v>10</v>
      </c>
      <c r="L2127">
        <v>1000</v>
      </c>
    </row>
    <row r="2128" spans="1:12" hidden="1" x14ac:dyDescent="0.25">
      <c r="A2128">
        <v>2127</v>
      </c>
      <c r="B2128" s="1" t="s">
        <v>12</v>
      </c>
      <c r="C2128">
        <v>1955</v>
      </c>
      <c r="D2128" s="1" t="s">
        <v>223</v>
      </c>
      <c r="E2128" s="1" t="s">
        <v>77</v>
      </c>
      <c r="F2128">
        <v>90</v>
      </c>
      <c r="G2128" s="1" t="s">
        <v>89</v>
      </c>
      <c r="H2128">
        <v>90028</v>
      </c>
      <c r="I2128">
        <v>6</v>
      </c>
      <c r="J2128">
        <v>6</v>
      </c>
      <c r="K2128">
        <v>6</v>
      </c>
      <c r="L2128">
        <v>1000</v>
      </c>
    </row>
    <row r="2129" spans="1:12" hidden="1" x14ac:dyDescent="0.25">
      <c r="A2129">
        <v>2128</v>
      </c>
      <c r="B2129" s="1" t="s">
        <v>12</v>
      </c>
      <c r="C2129">
        <v>1955</v>
      </c>
      <c r="D2129" s="1" t="s">
        <v>223</v>
      </c>
      <c r="E2129" s="1" t="s">
        <v>77</v>
      </c>
      <c r="F2129">
        <v>90</v>
      </c>
      <c r="G2129" s="1" t="s">
        <v>92</v>
      </c>
      <c r="H2129">
        <v>90056</v>
      </c>
      <c r="I2129">
        <v>6</v>
      </c>
      <c r="J2129">
        <v>6</v>
      </c>
      <c r="K2129">
        <v>6</v>
      </c>
      <c r="L2129">
        <v>1000</v>
      </c>
    </row>
    <row r="2130" spans="1:12" hidden="1" x14ac:dyDescent="0.25">
      <c r="A2130">
        <v>2129</v>
      </c>
      <c r="B2130" s="1" t="s">
        <v>12</v>
      </c>
      <c r="C2130">
        <v>1955</v>
      </c>
      <c r="D2130" s="1" t="s">
        <v>223</v>
      </c>
      <c r="E2130" s="1" t="s">
        <v>77</v>
      </c>
      <c r="F2130">
        <v>90</v>
      </c>
      <c r="G2130" s="1" t="s">
        <v>90</v>
      </c>
      <c r="H2130">
        <v>90112</v>
      </c>
      <c r="I2130">
        <v>3</v>
      </c>
      <c r="J2130">
        <v>3</v>
      </c>
      <c r="K2130">
        <v>3</v>
      </c>
      <c r="L2130">
        <v>1000</v>
      </c>
    </row>
    <row r="2131" spans="1:12" hidden="1" x14ac:dyDescent="0.25">
      <c r="A2131">
        <v>2130</v>
      </c>
      <c r="B2131" s="1" t="s">
        <v>12</v>
      </c>
      <c r="C2131">
        <v>1956</v>
      </c>
      <c r="D2131" s="1" t="s">
        <v>224</v>
      </c>
      <c r="E2131" s="1" t="s">
        <v>14</v>
      </c>
      <c r="F2131">
        <v>22</v>
      </c>
      <c r="G2131" s="1" t="s">
        <v>119</v>
      </c>
      <c r="H2131">
        <v>22084</v>
      </c>
      <c r="I2131">
        <v>23</v>
      </c>
      <c r="J2131">
        <v>23</v>
      </c>
      <c r="K2131">
        <v>18</v>
      </c>
      <c r="L2131">
        <v>783</v>
      </c>
    </row>
    <row r="2132" spans="1:12" hidden="1" x14ac:dyDescent="0.25">
      <c r="A2132">
        <v>2131</v>
      </c>
      <c r="B2132" s="1" t="s">
        <v>12</v>
      </c>
      <c r="C2132">
        <v>1956</v>
      </c>
      <c r="D2132" s="1" t="s">
        <v>224</v>
      </c>
      <c r="E2132" s="1" t="s">
        <v>14</v>
      </c>
      <c r="F2132">
        <v>22</v>
      </c>
      <c r="G2132" s="1" t="s">
        <v>225</v>
      </c>
      <c r="H2132">
        <v>22119</v>
      </c>
      <c r="I2132">
        <v>16</v>
      </c>
      <c r="J2132">
        <v>16</v>
      </c>
      <c r="K2132">
        <v>11</v>
      </c>
      <c r="L2132">
        <v>687</v>
      </c>
    </row>
    <row r="2133" spans="1:12" hidden="1" x14ac:dyDescent="0.25">
      <c r="A2133">
        <v>2132</v>
      </c>
      <c r="B2133" s="1" t="s">
        <v>12</v>
      </c>
      <c r="C2133">
        <v>1956</v>
      </c>
      <c r="D2133" s="1" t="s">
        <v>224</v>
      </c>
      <c r="E2133" s="1" t="s">
        <v>14</v>
      </c>
      <c r="F2133">
        <v>22</v>
      </c>
      <c r="G2133" s="1" t="s">
        <v>226</v>
      </c>
      <c r="H2133">
        <v>22154</v>
      </c>
      <c r="I2133">
        <v>7</v>
      </c>
      <c r="J2133">
        <v>7</v>
      </c>
      <c r="K2133">
        <v>6</v>
      </c>
      <c r="L2133">
        <v>857</v>
      </c>
    </row>
    <row r="2134" spans="1:12" hidden="1" x14ac:dyDescent="0.25">
      <c r="A2134">
        <v>2133</v>
      </c>
      <c r="B2134" s="1" t="s">
        <v>12</v>
      </c>
      <c r="C2134">
        <v>1956</v>
      </c>
      <c r="D2134" s="1" t="s">
        <v>224</v>
      </c>
      <c r="E2134" s="1" t="s">
        <v>14</v>
      </c>
      <c r="F2134">
        <v>22</v>
      </c>
      <c r="G2134" s="1" t="s">
        <v>227</v>
      </c>
      <c r="H2134">
        <v>22056</v>
      </c>
      <c r="I2134">
        <v>4</v>
      </c>
      <c r="J2134">
        <v>4</v>
      </c>
      <c r="K2134">
        <v>3</v>
      </c>
      <c r="L2134">
        <v>750</v>
      </c>
    </row>
    <row r="2135" spans="1:12" hidden="1" x14ac:dyDescent="0.25">
      <c r="A2135">
        <v>2134</v>
      </c>
      <c r="B2135" s="1" t="s">
        <v>12</v>
      </c>
      <c r="C2135">
        <v>1956</v>
      </c>
      <c r="D2135" s="1" t="s">
        <v>224</v>
      </c>
      <c r="E2135" s="1" t="s">
        <v>14</v>
      </c>
      <c r="F2135">
        <v>22</v>
      </c>
      <c r="G2135" s="1" t="s">
        <v>228</v>
      </c>
      <c r="H2135">
        <v>22126</v>
      </c>
      <c r="I2135">
        <v>2</v>
      </c>
      <c r="J2135">
        <v>2</v>
      </c>
      <c r="K2135">
        <v>2</v>
      </c>
      <c r="L2135">
        <v>1000</v>
      </c>
    </row>
    <row r="2136" spans="1:12" hidden="1" x14ac:dyDescent="0.25">
      <c r="A2136">
        <v>2135</v>
      </c>
      <c r="B2136" s="1" t="s">
        <v>12</v>
      </c>
      <c r="C2136">
        <v>1956</v>
      </c>
      <c r="D2136" s="1" t="s">
        <v>224</v>
      </c>
      <c r="E2136" s="1" t="s">
        <v>14</v>
      </c>
      <c r="F2136">
        <v>22</v>
      </c>
      <c r="G2136" s="1" t="s">
        <v>229</v>
      </c>
      <c r="H2136">
        <v>22077</v>
      </c>
      <c r="I2136">
        <v>1</v>
      </c>
      <c r="J2136">
        <v>1</v>
      </c>
      <c r="K2136">
        <v>1</v>
      </c>
      <c r="L2136">
        <v>1000</v>
      </c>
    </row>
    <row r="2137" spans="1:12" hidden="1" x14ac:dyDescent="0.25">
      <c r="A2137">
        <v>2136</v>
      </c>
      <c r="B2137" s="1" t="s">
        <v>12</v>
      </c>
      <c r="C2137">
        <v>1956</v>
      </c>
      <c r="D2137" s="1" t="s">
        <v>224</v>
      </c>
      <c r="E2137" s="1" t="s">
        <v>22</v>
      </c>
      <c r="F2137">
        <v>14</v>
      </c>
      <c r="G2137" s="1" t="s">
        <v>26</v>
      </c>
      <c r="H2137">
        <v>14161</v>
      </c>
      <c r="I2137">
        <v>100000</v>
      </c>
      <c r="J2137">
        <v>97000</v>
      </c>
      <c r="K2137">
        <v>135700</v>
      </c>
      <c r="L2137">
        <v>1399</v>
      </c>
    </row>
    <row r="2138" spans="1:12" hidden="1" x14ac:dyDescent="0.25">
      <c r="A2138">
        <v>2137</v>
      </c>
      <c r="B2138" s="1" t="s">
        <v>12</v>
      </c>
      <c r="C2138">
        <v>1956</v>
      </c>
      <c r="D2138" s="1" t="s">
        <v>224</v>
      </c>
      <c r="E2138" s="1" t="s">
        <v>22</v>
      </c>
      <c r="F2138">
        <v>14</v>
      </c>
      <c r="G2138" s="1" t="s">
        <v>24</v>
      </c>
      <c r="H2138">
        <v>14119</v>
      </c>
      <c r="I2138">
        <v>65000</v>
      </c>
      <c r="J2138">
        <v>65000</v>
      </c>
      <c r="K2138">
        <v>104000</v>
      </c>
      <c r="L2138">
        <v>1600</v>
      </c>
    </row>
    <row r="2139" spans="1:12" hidden="1" x14ac:dyDescent="0.25">
      <c r="A2139">
        <v>2138</v>
      </c>
      <c r="B2139" s="1" t="s">
        <v>12</v>
      </c>
      <c r="C2139">
        <v>1956</v>
      </c>
      <c r="D2139" s="1" t="s">
        <v>224</v>
      </c>
      <c r="E2139" s="1" t="s">
        <v>22</v>
      </c>
      <c r="F2139">
        <v>14</v>
      </c>
      <c r="G2139" s="1" t="s">
        <v>23</v>
      </c>
      <c r="H2139">
        <v>14147</v>
      </c>
      <c r="I2139">
        <v>31000</v>
      </c>
      <c r="J2139">
        <v>30000</v>
      </c>
      <c r="K2139">
        <v>42000</v>
      </c>
      <c r="L2139">
        <v>1400</v>
      </c>
    </row>
    <row r="2140" spans="1:12" hidden="1" x14ac:dyDescent="0.25">
      <c r="A2140">
        <v>2139</v>
      </c>
      <c r="B2140" s="1" t="s">
        <v>12</v>
      </c>
      <c r="C2140">
        <v>1956</v>
      </c>
      <c r="D2140" s="1" t="s">
        <v>224</v>
      </c>
      <c r="E2140" s="1" t="s">
        <v>22</v>
      </c>
      <c r="F2140">
        <v>14</v>
      </c>
      <c r="G2140" s="1" t="s">
        <v>143</v>
      </c>
      <c r="H2140">
        <v>14056</v>
      </c>
      <c r="I2140">
        <v>14000</v>
      </c>
      <c r="J2140">
        <v>14000</v>
      </c>
      <c r="K2140">
        <v>19600</v>
      </c>
      <c r="L2140">
        <v>1400</v>
      </c>
    </row>
    <row r="2141" spans="1:12" hidden="1" x14ac:dyDescent="0.25">
      <c r="A2141">
        <v>2140</v>
      </c>
      <c r="B2141" s="1" t="s">
        <v>12</v>
      </c>
      <c r="C2141">
        <v>1956</v>
      </c>
      <c r="D2141" s="1" t="s">
        <v>224</v>
      </c>
      <c r="E2141" s="1" t="s">
        <v>22</v>
      </c>
      <c r="F2141">
        <v>14</v>
      </c>
      <c r="G2141" s="1" t="s">
        <v>97</v>
      </c>
      <c r="H2141">
        <v>14007</v>
      </c>
      <c r="I2141">
        <v>6000</v>
      </c>
      <c r="J2141">
        <v>6000</v>
      </c>
      <c r="K2141">
        <v>7200</v>
      </c>
      <c r="L2141">
        <v>1200</v>
      </c>
    </row>
    <row r="2142" spans="1:12" hidden="1" x14ac:dyDescent="0.25">
      <c r="A2142">
        <v>2141</v>
      </c>
      <c r="B2142" s="1" t="s">
        <v>12</v>
      </c>
      <c r="C2142">
        <v>1956</v>
      </c>
      <c r="D2142" s="1" t="s">
        <v>224</v>
      </c>
      <c r="E2142" s="1" t="s">
        <v>22</v>
      </c>
      <c r="F2142">
        <v>14</v>
      </c>
      <c r="G2142" s="1" t="s">
        <v>29</v>
      </c>
      <c r="H2142">
        <v>14098</v>
      </c>
      <c r="I2142">
        <v>4000</v>
      </c>
      <c r="J2142">
        <v>4000</v>
      </c>
      <c r="K2142">
        <v>4400</v>
      </c>
      <c r="L2142">
        <v>1100</v>
      </c>
    </row>
    <row r="2143" spans="1:12" hidden="1" x14ac:dyDescent="0.25">
      <c r="A2143">
        <v>2142</v>
      </c>
      <c r="B2143" s="1" t="s">
        <v>12</v>
      </c>
      <c r="C2143">
        <v>1956</v>
      </c>
      <c r="D2143" s="1" t="s">
        <v>224</v>
      </c>
      <c r="E2143" s="1" t="s">
        <v>22</v>
      </c>
      <c r="F2143">
        <v>14</v>
      </c>
      <c r="G2143" s="1" t="s">
        <v>25</v>
      </c>
      <c r="H2143">
        <v>14105</v>
      </c>
      <c r="I2143">
        <v>2300</v>
      </c>
      <c r="J2143">
        <v>1959</v>
      </c>
      <c r="K2143">
        <v>1270</v>
      </c>
      <c r="L2143">
        <v>648</v>
      </c>
    </row>
    <row r="2144" spans="1:12" hidden="1" x14ac:dyDescent="0.25">
      <c r="A2144">
        <v>2143</v>
      </c>
      <c r="B2144" s="1" t="s">
        <v>12</v>
      </c>
      <c r="C2144">
        <v>1956</v>
      </c>
      <c r="D2144" s="1" t="s">
        <v>224</v>
      </c>
      <c r="E2144" s="1" t="s">
        <v>22</v>
      </c>
      <c r="F2144">
        <v>14</v>
      </c>
      <c r="G2144" s="1" t="s">
        <v>184</v>
      </c>
      <c r="H2144">
        <v>14042</v>
      </c>
      <c r="I2144">
        <v>600</v>
      </c>
      <c r="J2144">
        <v>600</v>
      </c>
      <c r="K2144">
        <v>1020</v>
      </c>
      <c r="L2144">
        <v>1700</v>
      </c>
    </row>
    <row r="2145" spans="1:12" hidden="1" x14ac:dyDescent="0.25">
      <c r="A2145">
        <v>2144</v>
      </c>
      <c r="B2145" s="1" t="s">
        <v>12</v>
      </c>
      <c r="C2145">
        <v>1956</v>
      </c>
      <c r="D2145" s="1" t="s">
        <v>224</v>
      </c>
      <c r="E2145" s="1" t="s">
        <v>22</v>
      </c>
      <c r="F2145">
        <v>14</v>
      </c>
      <c r="G2145" s="1" t="s">
        <v>173</v>
      </c>
      <c r="H2145">
        <v>14028</v>
      </c>
      <c r="I2145">
        <v>400</v>
      </c>
      <c r="J2145">
        <v>390</v>
      </c>
      <c r="K2145">
        <v>546</v>
      </c>
      <c r="L2145">
        <v>1400</v>
      </c>
    </row>
    <row r="2146" spans="1:12" hidden="1" x14ac:dyDescent="0.25">
      <c r="A2146">
        <v>2145</v>
      </c>
      <c r="B2146" s="1" t="s">
        <v>12</v>
      </c>
      <c r="C2146">
        <v>1956</v>
      </c>
      <c r="D2146" s="1" t="s">
        <v>224</v>
      </c>
      <c r="E2146" s="1" t="s">
        <v>22</v>
      </c>
      <c r="F2146">
        <v>14</v>
      </c>
      <c r="G2146" s="1" t="s">
        <v>28</v>
      </c>
      <c r="H2146">
        <v>14014</v>
      </c>
      <c r="I2146">
        <v>250</v>
      </c>
      <c r="J2146">
        <v>250</v>
      </c>
      <c r="K2146">
        <v>250</v>
      </c>
      <c r="L2146">
        <v>1000</v>
      </c>
    </row>
    <row r="2147" spans="1:12" hidden="1" x14ac:dyDescent="0.25">
      <c r="A2147">
        <v>2146</v>
      </c>
      <c r="B2147" s="1" t="s">
        <v>12</v>
      </c>
      <c r="C2147">
        <v>1956</v>
      </c>
      <c r="D2147" s="1" t="s">
        <v>224</v>
      </c>
      <c r="E2147" s="1" t="s">
        <v>22</v>
      </c>
      <c r="F2147">
        <v>14</v>
      </c>
      <c r="G2147" s="1" t="s">
        <v>67</v>
      </c>
      <c r="H2147">
        <v>14140</v>
      </c>
      <c r="I2147">
        <v>220</v>
      </c>
      <c r="J2147">
        <v>187</v>
      </c>
      <c r="K2147">
        <v>130</v>
      </c>
      <c r="L2147">
        <v>695</v>
      </c>
    </row>
    <row r="2148" spans="1:12" hidden="1" x14ac:dyDescent="0.25">
      <c r="A2148">
        <v>2147</v>
      </c>
      <c r="B2148" s="1" t="s">
        <v>12</v>
      </c>
      <c r="C2148">
        <v>1956</v>
      </c>
      <c r="D2148" s="1" t="s">
        <v>224</v>
      </c>
      <c r="E2148" s="1" t="s">
        <v>22</v>
      </c>
      <c r="F2148">
        <v>14</v>
      </c>
      <c r="G2148" s="1" t="s">
        <v>114</v>
      </c>
      <c r="H2148">
        <v>14168</v>
      </c>
      <c r="I2148">
        <v>45</v>
      </c>
      <c r="J2148">
        <v>45</v>
      </c>
      <c r="K2148">
        <v>45</v>
      </c>
      <c r="L2148">
        <v>1000</v>
      </c>
    </row>
    <row r="2149" spans="1:12" hidden="1" x14ac:dyDescent="0.25">
      <c r="A2149">
        <v>2148</v>
      </c>
      <c r="B2149" s="1" t="s">
        <v>12</v>
      </c>
      <c r="C2149">
        <v>1956</v>
      </c>
      <c r="D2149" s="1" t="s">
        <v>224</v>
      </c>
      <c r="E2149" s="1" t="s">
        <v>22</v>
      </c>
      <c r="F2149">
        <v>14</v>
      </c>
      <c r="G2149" s="1" t="s">
        <v>27</v>
      </c>
      <c r="H2149">
        <v>14021</v>
      </c>
      <c r="I2149">
        <v>25</v>
      </c>
      <c r="J2149">
        <v>25</v>
      </c>
      <c r="K2149">
        <v>25</v>
      </c>
      <c r="L2149">
        <v>1000</v>
      </c>
    </row>
    <row r="2150" spans="1:12" hidden="1" x14ac:dyDescent="0.25">
      <c r="A2150">
        <v>2149</v>
      </c>
      <c r="B2150" s="1" t="s">
        <v>12</v>
      </c>
      <c r="C2150">
        <v>1956</v>
      </c>
      <c r="D2150" s="1" t="s">
        <v>224</v>
      </c>
      <c r="E2150" s="1" t="s">
        <v>22</v>
      </c>
      <c r="F2150">
        <v>14</v>
      </c>
      <c r="G2150" s="1" t="s">
        <v>169</v>
      </c>
      <c r="H2150">
        <v>14126</v>
      </c>
      <c r="I2150">
        <v>10</v>
      </c>
      <c r="J2150">
        <v>10</v>
      </c>
      <c r="K2150">
        <v>14</v>
      </c>
      <c r="L2150">
        <v>1400</v>
      </c>
    </row>
    <row r="2151" spans="1:12" hidden="1" x14ac:dyDescent="0.25">
      <c r="A2151">
        <v>2150</v>
      </c>
      <c r="B2151" s="1" t="s">
        <v>12</v>
      </c>
      <c r="C2151">
        <v>1956</v>
      </c>
      <c r="D2151" s="1" t="s">
        <v>224</v>
      </c>
      <c r="E2151" s="1" t="s">
        <v>30</v>
      </c>
      <c r="F2151">
        <v>18</v>
      </c>
      <c r="G2151" s="1" t="s">
        <v>32</v>
      </c>
      <c r="H2151">
        <v>18112</v>
      </c>
      <c r="I2151">
        <v>350</v>
      </c>
      <c r="J2151">
        <v>330</v>
      </c>
      <c r="K2151">
        <v>297</v>
      </c>
      <c r="L2151">
        <v>900</v>
      </c>
    </row>
    <row r="2152" spans="1:12" hidden="1" x14ac:dyDescent="0.25">
      <c r="A2152">
        <v>2151</v>
      </c>
      <c r="B2152" s="1" t="s">
        <v>12</v>
      </c>
      <c r="C2152">
        <v>1956</v>
      </c>
      <c r="D2152" s="1" t="s">
        <v>224</v>
      </c>
      <c r="E2152" s="1" t="s">
        <v>30</v>
      </c>
      <c r="F2152">
        <v>18</v>
      </c>
      <c r="G2152" s="1" t="s">
        <v>34</v>
      </c>
      <c r="H2152">
        <v>18042</v>
      </c>
      <c r="I2152">
        <v>60</v>
      </c>
      <c r="J2152">
        <v>48</v>
      </c>
      <c r="K2152">
        <v>25</v>
      </c>
      <c r="L2152">
        <v>521</v>
      </c>
    </row>
    <row r="2153" spans="1:12" hidden="1" x14ac:dyDescent="0.25">
      <c r="A2153">
        <v>2152</v>
      </c>
      <c r="B2153" s="1" t="s">
        <v>12</v>
      </c>
      <c r="C2153">
        <v>1956</v>
      </c>
      <c r="D2153" s="1" t="s">
        <v>224</v>
      </c>
      <c r="E2153" s="1" t="s">
        <v>30</v>
      </c>
      <c r="F2153">
        <v>18</v>
      </c>
      <c r="G2153" s="1" t="s">
        <v>40</v>
      </c>
      <c r="H2153">
        <v>18126</v>
      </c>
      <c r="I2153">
        <v>35</v>
      </c>
      <c r="J2153">
        <v>28</v>
      </c>
      <c r="K2153">
        <v>16</v>
      </c>
      <c r="L2153">
        <v>571</v>
      </c>
    </row>
    <row r="2154" spans="1:12" hidden="1" x14ac:dyDescent="0.25">
      <c r="A2154">
        <v>2153</v>
      </c>
      <c r="B2154" s="1" t="s">
        <v>12</v>
      </c>
      <c r="C2154">
        <v>1956</v>
      </c>
      <c r="D2154" s="1" t="s">
        <v>224</v>
      </c>
      <c r="E2154" s="1" t="s">
        <v>30</v>
      </c>
      <c r="F2154">
        <v>18</v>
      </c>
      <c r="G2154" s="1" t="s">
        <v>41</v>
      </c>
      <c r="H2154">
        <v>18140</v>
      </c>
      <c r="I2154">
        <v>35</v>
      </c>
      <c r="J2154">
        <v>29</v>
      </c>
      <c r="K2154">
        <v>19</v>
      </c>
      <c r="L2154">
        <v>655</v>
      </c>
    </row>
    <row r="2155" spans="1:12" hidden="1" x14ac:dyDescent="0.25">
      <c r="A2155">
        <v>2154</v>
      </c>
      <c r="B2155" s="1" t="s">
        <v>12</v>
      </c>
      <c r="C2155">
        <v>1956</v>
      </c>
      <c r="D2155" s="1" t="s">
        <v>224</v>
      </c>
      <c r="E2155" s="1" t="s">
        <v>30</v>
      </c>
      <c r="F2155">
        <v>18</v>
      </c>
      <c r="G2155" s="1" t="s">
        <v>28</v>
      </c>
      <c r="H2155">
        <v>18021</v>
      </c>
      <c r="I2155">
        <v>30</v>
      </c>
      <c r="J2155">
        <v>25</v>
      </c>
      <c r="K2155">
        <v>14</v>
      </c>
      <c r="L2155">
        <v>560</v>
      </c>
    </row>
    <row r="2156" spans="1:12" hidden="1" x14ac:dyDescent="0.25">
      <c r="A2156">
        <v>2155</v>
      </c>
      <c r="B2156" s="1" t="s">
        <v>12</v>
      </c>
      <c r="C2156">
        <v>1956</v>
      </c>
      <c r="D2156" s="1" t="s">
        <v>224</v>
      </c>
      <c r="E2156" s="1" t="s">
        <v>30</v>
      </c>
      <c r="F2156">
        <v>18</v>
      </c>
      <c r="G2156" s="1" t="s">
        <v>42</v>
      </c>
      <c r="H2156">
        <v>18035</v>
      </c>
      <c r="I2156">
        <v>30</v>
      </c>
      <c r="J2156">
        <v>25</v>
      </c>
      <c r="K2156">
        <v>20</v>
      </c>
      <c r="L2156">
        <v>800</v>
      </c>
    </row>
    <row r="2157" spans="1:12" hidden="1" x14ac:dyDescent="0.25">
      <c r="A2157">
        <v>2156</v>
      </c>
      <c r="B2157" s="1" t="s">
        <v>12</v>
      </c>
      <c r="C2157">
        <v>1956</v>
      </c>
      <c r="D2157" s="1" t="s">
        <v>224</v>
      </c>
      <c r="E2157" s="1" t="s">
        <v>30</v>
      </c>
      <c r="F2157">
        <v>18</v>
      </c>
      <c r="G2157" s="1" t="s">
        <v>99</v>
      </c>
      <c r="H2157">
        <v>18063</v>
      </c>
      <c r="I2157">
        <v>15</v>
      </c>
      <c r="J2157">
        <v>12</v>
      </c>
      <c r="K2157">
        <v>7</v>
      </c>
      <c r="L2157">
        <v>583</v>
      </c>
    </row>
    <row r="2158" spans="1:12" hidden="1" x14ac:dyDescent="0.25">
      <c r="A2158">
        <v>2157</v>
      </c>
      <c r="B2158" s="1" t="s">
        <v>12</v>
      </c>
      <c r="C2158">
        <v>1956</v>
      </c>
      <c r="D2158" s="1" t="s">
        <v>224</v>
      </c>
      <c r="E2158" s="1" t="s">
        <v>30</v>
      </c>
      <c r="F2158">
        <v>18</v>
      </c>
      <c r="G2158" s="1" t="s">
        <v>98</v>
      </c>
      <c r="H2158">
        <v>18098</v>
      </c>
      <c r="I2158">
        <v>15</v>
      </c>
      <c r="J2158">
        <v>12</v>
      </c>
      <c r="K2158">
        <v>7</v>
      </c>
      <c r="L2158">
        <v>583</v>
      </c>
    </row>
    <row r="2159" spans="1:12" hidden="1" x14ac:dyDescent="0.25">
      <c r="A2159">
        <v>2158</v>
      </c>
      <c r="B2159" s="1" t="s">
        <v>12</v>
      </c>
      <c r="C2159">
        <v>1956</v>
      </c>
      <c r="D2159" s="1" t="s">
        <v>224</v>
      </c>
      <c r="E2159" s="1" t="s">
        <v>30</v>
      </c>
      <c r="F2159">
        <v>18</v>
      </c>
      <c r="G2159" s="1" t="s">
        <v>36</v>
      </c>
      <c r="H2159">
        <v>18133</v>
      </c>
      <c r="I2159">
        <v>15</v>
      </c>
      <c r="J2159">
        <v>12</v>
      </c>
      <c r="K2159">
        <v>7</v>
      </c>
      <c r="L2159">
        <v>583</v>
      </c>
    </row>
    <row r="2160" spans="1:12" hidden="1" x14ac:dyDescent="0.25">
      <c r="A2160">
        <v>2159</v>
      </c>
      <c r="B2160" s="1" t="s">
        <v>12</v>
      </c>
      <c r="C2160">
        <v>1956</v>
      </c>
      <c r="D2160" s="1" t="s">
        <v>224</v>
      </c>
      <c r="E2160" s="1" t="s">
        <v>30</v>
      </c>
      <c r="F2160">
        <v>18</v>
      </c>
      <c r="G2160" s="1" t="s">
        <v>103</v>
      </c>
      <c r="H2160">
        <v>18154</v>
      </c>
      <c r="I2160">
        <v>15</v>
      </c>
      <c r="J2160">
        <v>13</v>
      </c>
      <c r="K2160">
        <v>8</v>
      </c>
      <c r="L2160">
        <v>615</v>
      </c>
    </row>
    <row r="2161" spans="1:12" hidden="1" x14ac:dyDescent="0.25">
      <c r="A2161">
        <v>2160</v>
      </c>
      <c r="B2161" s="1" t="s">
        <v>12</v>
      </c>
      <c r="C2161">
        <v>1956</v>
      </c>
      <c r="D2161" s="1" t="s">
        <v>224</v>
      </c>
      <c r="E2161" s="1" t="s">
        <v>30</v>
      </c>
      <c r="F2161">
        <v>18</v>
      </c>
      <c r="G2161" s="1" t="s">
        <v>102</v>
      </c>
      <c r="H2161">
        <v>18014</v>
      </c>
      <c r="I2161">
        <v>10</v>
      </c>
      <c r="J2161">
        <v>7</v>
      </c>
      <c r="K2161">
        <v>4</v>
      </c>
      <c r="L2161">
        <v>571</v>
      </c>
    </row>
    <row r="2162" spans="1:12" hidden="1" x14ac:dyDescent="0.25">
      <c r="A2162">
        <v>2161</v>
      </c>
      <c r="B2162" s="1" t="s">
        <v>12</v>
      </c>
      <c r="C2162">
        <v>1956</v>
      </c>
      <c r="D2162" s="1" t="s">
        <v>224</v>
      </c>
      <c r="E2162" s="1" t="s">
        <v>30</v>
      </c>
      <c r="F2162">
        <v>18</v>
      </c>
      <c r="G2162" s="1" t="s">
        <v>63</v>
      </c>
      <c r="H2162">
        <v>18028</v>
      </c>
      <c r="I2162">
        <v>10</v>
      </c>
      <c r="J2162">
        <v>7</v>
      </c>
      <c r="K2162">
        <v>4</v>
      </c>
      <c r="L2162">
        <v>571</v>
      </c>
    </row>
    <row r="2163" spans="1:12" hidden="1" x14ac:dyDescent="0.25">
      <c r="A2163">
        <v>2162</v>
      </c>
      <c r="B2163" s="1" t="s">
        <v>12</v>
      </c>
      <c r="C2163">
        <v>1956</v>
      </c>
      <c r="D2163" s="1" t="s">
        <v>224</v>
      </c>
      <c r="E2163" s="1" t="s">
        <v>30</v>
      </c>
      <c r="F2163">
        <v>18</v>
      </c>
      <c r="G2163" s="1" t="s">
        <v>39</v>
      </c>
      <c r="H2163">
        <v>18084</v>
      </c>
      <c r="I2163">
        <v>8</v>
      </c>
      <c r="J2163">
        <v>6</v>
      </c>
      <c r="K2163">
        <v>3</v>
      </c>
      <c r="L2163">
        <v>500</v>
      </c>
    </row>
    <row r="2164" spans="1:12" hidden="1" x14ac:dyDescent="0.25">
      <c r="A2164">
        <v>2163</v>
      </c>
      <c r="B2164" s="1" t="s">
        <v>12</v>
      </c>
      <c r="C2164">
        <v>1956</v>
      </c>
      <c r="D2164" s="1" t="s">
        <v>224</v>
      </c>
      <c r="E2164" s="1" t="s">
        <v>30</v>
      </c>
      <c r="F2164">
        <v>18</v>
      </c>
      <c r="G2164" s="1" t="s">
        <v>100</v>
      </c>
      <c r="H2164">
        <v>18077</v>
      </c>
      <c r="I2164">
        <v>5</v>
      </c>
      <c r="J2164">
        <v>4</v>
      </c>
      <c r="K2164">
        <v>2</v>
      </c>
      <c r="L2164">
        <v>500</v>
      </c>
    </row>
    <row r="2165" spans="1:12" hidden="1" x14ac:dyDescent="0.25">
      <c r="A2165">
        <v>2164</v>
      </c>
      <c r="B2165" s="1" t="s">
        <v>12</v>
      </c>
      <c r="C2165">
        <v>1956</v>
      </c>
      <c r="D2165" s="1" t="s">
        <v>224</v>
      </c>
      <c r="E2165" s="1" t="s">
        <v>45</v>
      </c>
      <c r="F2165">
        <v>30</v>
      </c>
      <c r="G2165" s="1" t="s">
        <v>46</v>
      </c>
      <c r="H2165">
        <v>30028</v>
      </c>
      <c r="I2165">
        <v>100</v>
      </c>
      <c r="J2165">
        <v>80</v>
      </c>
      <c r="K2165">
        <v>40</v>
      </c>
      <c r="L2165">
        <v>500</v>
      </c>
    </row>
    <row r="2166" spans="1:12" hidden="1" x14ac:dyDescent="0.25">
      <c r="A2166">
        <v>2165</v>
      </c>
      <c r="B2166" s="1" t="s">
        <v>12</v>
      </c>
      <c r="C2166">
        <v>1956</v>
      </c>
      <c r="D2166" s="1" t="s">
        <v>224</v>
      </c>
      <c r="E2166" s="1" t="s">
        <v>45</v>
      </c>
      <c r="F2166">
        <v>30</v>
      </c>
      <c r="G2166" s="1" t="s">
        <v>148</v>
      </c>
      <c r="H2166">
        <v>30113</v>
      </c>
      <c r="I2166">
        <v>45</v>
      </c>
      <c r="J2166">
        <v>35</v>
      </c>
      <c r="K2166">
        <v>28</v>
      </c>
      <c r="L2166">
        <v>800</v>
      </c>
    </row>
    <row r="2167" spans="1:12" hidden="1" x14ac:dyDescent="0.25">
      <c r="A2167">
        <v>2166</v>
      </c>
      <c r="B2167" s="1" t="s">
        <v>12</v>
      </c>
      <c r="C2167">
        <v>1956</v>
      </c>
      <c r="D2167" s="1" t="s">
        <v>224</v>
      </c>
      <c r="E2167" s="1" t="s">
        <v>45</v>
      </c>
      <c r="F2167">
        <v>30</v>
      </c>
      <c r="G2167" s="1" t="s">
        <v>47</v>
      </c>
      <c r="H2167">
        <v>30015</v>
      </c>
      <c r="I2167">
        <v>40</v>
      </c>
      <c r="J2167">
        <v>30</v>
      </c>
      <c r="K2167">
        <v>15</v>
      </c>
      <c r="L2167">
        <v>500</v>
      </c>
    </row>
    <row r="2168" spans="1:12" hidden="1" x14ac:dyDescent="0.25">
      <c r="A2168">
        <v>2167</v>
      </c>
      <c r="B2168" s="1" t="s">
        <v>12</v>
      </c>
      <c r="C2168">
        <v>1956</v>
      </c>
      <c r="D2168" s="1" t="s">
        <v>224</v>
      </c>
      <c r="E2168" s="1" t="s">
        <v>45</v>
      </c>
      <c r="F2168">
        <v>30</v>
      </c>
      <c r="G2168" s="1" t="s">
        <v>27</v>
      </c>
      <c r="H2168">
        <v>30008</v>
      </c>
      <c r="I2168">
        <v>2</v>
      </c>
      <c r="J2168">
        <v>2</v>
      </c>
      <c r="K2168">
        <v>1</v>
      </c>
      <c r="L2168">
        <v>500</v>
      </c>
    </row>
    <row r="2169" spans="1:12" hidden="1" x14ac:dyDescent="0.25">
      <c r="A2169">
        <v>2168</v>
      </c>
      <c r="B2169" s="1" t="s">
        <v>12</v>
      </c>
      <c r="C2169">
        <v>1956</v>
      </c>
      <c r="D2169" s="1" t="s">
        <v>224</v>
      </c>
      <c r="E2169" s="1" t="s">
        <v>48</v>
      </c>
      <c r="F2169">
        <v>34</v>
      </c>
      <c r="G2169" s="1" t="s">
        <v>51</v>
      </c>
      <c r="H2169">
        <v>34056</v>
      </c>
      <c r="I2169">
        <v>45</v>
      </c>
      <c r="J2169">
        <v>40</v>
      </c>
      <c r="K2169">
        <v>48</v>
      </c>
      <c r="L2169">
        <v>1200</v>
      </c>
    </row>
    <row r="2170" spans="1:12" hidden="1" x14ac:dyDescent="0.25">
      <c r="A2170">
        <v>2169</v>
      </c>
      <c r="B2170" s="1" t="s">
        <v>12</v>
      </c>
      <c r="C2170">
        <v>1956</v>
      </c>
      <c r="D2170" s="1" t="s">
        <v>224</v>
      </c>
      <c r="E2170" s="1" t="s">
        <v>48</v>
      </c>
      <c r="F2170">
        <v>34</v>
      </c>
      <c r="G2170" s="1" t="s">
        <v>49</v>
      </c>
      <c r="H2170">
        <v>34049</v>
      </c>
      <c r="I2170">
        <v>22</v>
      </c>
      <c r="J2170">
        <v>18</v>
      </c>
      <c r="K2170">
        <v>18</v>
      </c>
      <c r="L2170">
        <v>1000</v>
      </c>
    </row>
    <row r="2171" spans="1:12" hidden="1" x14ac:dyDescent="0.25">
      <c r="A2171">
        <v>2170</v>
      </c>
      <c r="B2171" s="1" t="s">
        <v>12</v>
      </c>
      <c r="C2171">
        <v>1956</v>
      </c>
      <c r="D2171" s="1" t="s">
        <v>224</v>
      </c>
      <c r="E2171" s="1" t="s">
        <v>48</v>
      </c>
      <c r="F2171">
        <v>34</v>
      </c>
      <c r="G2171" s="1" t="s">
        <v>108</v>
      </c>
      <c r="H2171">
        <v>34042</v>
      </c>
      <c r="I2171">
        <v>16</v>
      </c>
      <c r="J2171">
        <v>13</v>
      </c>
      <c r="K2171">
        <v>13</v>
      </c>
      <c r="L2171">
        <v>1000</v>
      </c>
    </row>
    <row r="2172" spans="1:12" hidden="1" x14ac:dyDescent="0.25">
      <c r="A2172">
        <v>2171</v>
      </c>
      <c r="B2172" s="1" t="s">
        <v>12</v>
      </c>
      <c r="C2172">
        <v>1956</v>
      </c>
      <c r="D2172" s="1" t="s">
        <v>224</v>
      </c>
      <c r="E2172" s="1" t="s">
        <v>48</v>
      </c>
      <c r="F2172">
        <v>34</v>
      </c>
      <c r="G2172" s="1" t="s">
        <v>48</v>
      </c>
      <c r="H2172">
        <v>34014</v>
      </c>
      <c r="I2172">
        <v>15</v>
      </c>
      <c r="J2172">
        <v>13</v>
      </c>
      <c r="K2172">
        <v>13</v>
      </c>
      <c r="L2172">
        <v>1000</v>
      </c>
    </row>
    <row r="2173" spans="1:12" hidden="1" x14ac:dyDescent="0.25">
      <c r="A2173">
        <v>2172</v>
      </c>
      <c r="B2173" s="1" t="s">
        <v>12</v>
      </c>
      <c r="C2173">
        <v>1956</v>
      </c>
      <c r="D2173" s="1" t="s">
        <v>224</v>
      </c>
      <c r="E2173" s="1" t="s">
        <v>48</v>
      </c>
      <c r="F2173">
        <v>34</v>
      </c>
      <c r="G2173" s="1" t="s">
        <v>52</v>
      </c>
      <c r="H2173">
        <v>34035</v>
      </c>
      <c r="I2173">
        <v>12</v>
      </c>
      <c r="J2173">
        <v>10</v>
      </c>
      <c r="K2173">
        <v>8</v>
      </c>
      <c r="L2173">
        <v>800</v>
      </c>
    </row>
    <row r="2174" spans="1:12" hidden="1" x14ac:dyDescent="0.25">
      <c r="A2174">
        <v>2173</v>
      </c>
      <c r="B2174" s="1" t="s">
        <v>12</v>
      </c>
      <c r="C2174">
        <v>1956</v>
      </c>
      <c r="D2174" s="1" t="s">
        <v>224</v>
      </c>
      <c r="E2174" s="1" t="s">
        <v>48</v>
      </c>
      <c r="F2174">
        <v>34</v>
      </c>
      <c r="G2174" s="1" t="s">
        <v>50</v>
      </c>
      <c r="H2174">
        <v>34021</v>
      </c>
      <c r="I2174">
        <v>10</v>
      </c>
      <c r="J2174">
        <v>8</v>
      </c>
      <c r="K2174">
        <v>10</v>
      </c>
      <c r="L2174">
        <v>1250</v>
      </c>
    </row>
    <row r="2175" spans="1:12" hidden="1" x14ac:dyDescent="0.25">
      <c r="A2175">
        <v>2174</v>
      </c>
      <c r="B2175" s="1" t="s">
        <v>12</v>
      </c>
      <c r="C2175">
        <v>1956</v>
      </c>
      <c r="D2175" s="1" t="s">
        <v>224</v>
      </c>
      <c r="E2175" s="1" t="s">
        <v>58</v>
      </c>
      <c r="F2175">
        <v>54</v>
      </c>
      <c r="G2175" s="1" t="s">
        <v>62</v>
      </c>
      <c r="H2175">
        <v>54105</v>
      </c>
      <c r="I2175">
        <v>105</v>
      </c>
      <c r="J2175">
        <v>100</v>
      </c>
      <c r="K2175">
        <v>80</v>
      </c>
      <c r="L2175">
        <v>800</v>
      </c>
    </row>
    <row r="2176" spans="1:12" hidden="1" x14ac:dyDescent="0.25">
      <c r="A2176">
        <v>2175</v>
      </c>
      <c r="B2176" s="1" t="s">
        <v>12</v>
      </c>
      <c r="C2176">
        <v>1956</v>
      </c>
      <c r="D2176" s="1" t="s">
        <v>224</v>
      </c>
      <c r="E2176" s="1" t="s">
        <v>58</v>
      </c>
      <c r="F2176">
        <v>54</v>
      </c>
      <c r="G2176" s="1" t="s">
        <v>60</v>
      </c>
      <c r="H2176">
        <v>54021</v>
      </c>
      <c r="I2176">
        <v>80</v>
      </c>
      <c r="J2176">
        <v>70</v>
      </c>
      <c r="K2176">
        <v>56</v>
      </c>
      <c r="L2176">
        <v>800</v>
      </c>
    </row>
    <row r="2177" spans="1:12" hidden="1" x14ac:dyDescent="0.25">
      <c r="A2177">
        <v>2176</v>
      </c>
      <c r="B2177" s="1" t="s">
        <v>12</v>
      </c>
      <c r="C2177">
        <v>1956</v>
      </c>
      <c r="D2177" s="1" t="s">
        <v>224</v>
      </c>
      <c r="E2177" s="1" t="s">
        <v>58</v>
      </c>
      <c r="F2177">
        <v>54</v>
      </c>
      <c r="G2177" s="1" t="s">
        <v>150</v>
      </c>
      <c r="H2177">
        <v>54014</v>
      </c>
      <c r="I2177">
        <v>70</v>
      </c>
      <c r="J2177">
        <v>63</v>
      </c>
      <c r="K2177">
        <v>50</v>
      </c>
      <c r="L2177">
        <v>794</v>
      </c>
    </row>
    <row r="2178" spans="1:12" hidden="1" x14ac:dyDescent="0.25">
      <c r="A2178">
        <v>2177</v>
      </c>
      <c r="B2178" s="1" t="s">
        <v>12</v>
      </c>
      <c r="C2178">
        <v>1956</v>
      </c>
      <c r="D2178" s="1" t="s">
        <v>224</v>
      </c>
      <c r="E2178" s="1" t="s">
        <v>58</v>
      </c>
      <c r="F2178">
        <v>54</v>
      </c>
      <c r="G2178" s="1" t="s">
        <v>61</v>
      </c>
      <c r="H2178">
        <v>54098</v>
      </c>
      <c r="I2178">
        <v>50</v>
      </c>
      <c r="J2178">
        <v>45</v>
      </c>
      <c r="K2178">
        <v>33</v>
      </c>
      <c r="L2178">
        <v>733</v>
      </c>
    </row>
    <row r="2179" spans="1:12" hidden="1" x14ac:dyDescent="0.25">
      <c r="A2179">
        <v>2178</v>
      </c>
      <c r="B2179" s="1" t="s">
        <v>12</v>
      </c>
      <c r="C2179">
        <v>1956</v>
      </c>
      <c r="D2179" s="1" t="s">
        <v>224</v>
      </c>
      <c r="E2179" s="1" t="s">
        <v>58</v>
      </c>
      <c r="F2179">
        <v>54</v>
      </c>
      <c r="G2179" s="1" t="s">
        <v>152</v>
      </c>
      <c r="H2179">
        <v>54063</v>
      </c>
      <c r="I2179">
        <v>30</v>
      </c>
      <c r="J2179">
        <v>27</v>
      </c>
      <c r="K2179">
        <v>20</v>
      </c>
      <c r="L2179">
        <v>741</v>
      </c>
    </row>
    <row r="2180" spans="1:12" hidden="1" x14ac:dyDescent="0.25">
      <c r="A2180">
        <v>2179</v>
      </c>
      <c r="B2180" s="1" t="s">
        <v>12</v>
      </c>
      <c r="C2180">
        <v>1956</v>
      </c>
      <c r="D2180" s="1" t="s">
        <v>224</v>
      </c>
      <c r="E2180" s="1" t="s">
        <v>58</v>
      </c>
      <c r="F2180">
        <v>54</v>
      </c>
      <c r="G2180" s="1" t="s">
        <v>63</v>
      </c>
      <c r="H2180">
        <v>54035</v>
      </c>
      <c r="I2180">
        <v>25</v>
      </c>
      <c r="J2180">
        <v>23</v>
      </c>
      <c r="K2180">
        <v>17</v>
      </c>
      <c r="L2180">
        <v>739</v>
      </c>
    </row>
    <row r="2181" spans="1:12" hidden="1" x14ac:dyDescent="0.25">
      <c r="A2181">
        <v>2180</v>
      </c>
      <c r="B2181" s="1" t="s">
        <v>12</v>
      </c>
      <c r="C2181">
        <v>1956</v>
      </c>
      <c r="D2181" s="1" t="s">
        <v>224</v>
      </c>
      <c r="E2181" s="1" t="s">
        <v>58</v>
      </c>
      <c r="F2181">
        <v>54</v>
      </c>
      <c r="G2181" s="1" t="s">
        <v>59</v>
      </c>
      <c r="H2181">
        <v>54007</v>
      </c>
      <c r="I2181">
        <v>20</v>
      </c>
      <c r="J2181">
        <v>18</v>
      </c>
      <c r="K2181">
        <v>14</v>
      </c>
      <c r="L2181">
        <v>800</v>
      </c>
    </row>
    <row r="2182" spans="1:12" hidden="1" x14ac:dyDescent="0.25">
      <c r="A2182">
        <v>2181</v>
      </c>
      <c r="B2182" s="1" t="s">
        <v>12</v>
      </c>
      <c r="C2182">
        <v>1956</v>
      </c>
      <c r="D2182" s="1" t="s">
        <v>224</v>
      </c>
      <c r="E2182" s="1" t="s">
        <v>58</v>
      </c>
      <c r="F2182">
        <v>54</v>
      </c>
      <c r="G2182" s="1" t="s">
        <v>151</v>
      </c>
      <c r="H2182">
        <v>54056</v>
      </c>
      <c r="I2182">
        <v>15</v>
      </c>
      <c r="J2182">
        <v>13</v>
      </c>
      <c r="K2182">
        <v>10</v>
      </c>
      <c r="L2182">
        <v>769</v>
      </c>
    </row>
    <row r="2183" spans="1:12" hidden="1" x14ac:dyDescent="0.25">
      <c r="A2183">
        <v>2182</v>
      </c>
      <c r="B2183" s="1" t="s">
        <v>12</v>
      </c>
      <c r="C2183">
        <v>1956</v>
      </c>
      <c r="D2183" s="1" t="s">
        <v>224</v>
      </c>
      <c r="E2183" s="1" t="s">
        <v>87</v>
      </c>
      <c r="F2183">
        <v>66</v>
      </c>
      <c r="G2183" s="1" t="s">
        <v>141</v>
      </c>
      <c r="H2183">
        <v>66112</v>
      </c>
      <c r="I2183">
        <v>185</v>
      </c>
      <c r="J2183">
        <v>185</v>
      </c>
      <c r="K2183">
        <v>220</v>
      </c>
      <c r="L2183">
        <v>1189</v>
      </c>
    </row>
    <row r="2184" spans="1:12" hidden="1" x14ac:dyDescent="0.25">
      <c r="A2184">
        <v>2183</v>
      </c>
      <c r="B2184" s="1" t="s">
        <v>12</v>
      </c>
      <c r="C2184">
        <v>1956</v>
      </c>
      <c r="D2184" s="1" t="s">
        <v>224</v>
      </c>
      <c r="E2184" s="1" t="s">
        <v>87</v>
      </c>
      <c r="F2184">
        <v>66</v>
      </c>
      <c r="G2184" s="1" t="s">
        <v>153</v>
      </c>
      <c r="H2184">
        <v>66007</v>
      </c>
      <c r="I2184">
        <v>157</v>
      </c>
      <c r="J2184">
        <v>157</v>
      </c>
      <c r="K2184">
        <v>173</v>
      </c>
      <c r="L2184">
        <v>1102</v>
      </c>
    </row>
    <row r="2185" spans="1:12" hidden="1" x14ac:dyDescent="0.25">
      <c r="A2185">
        <v>2184</v>
      </c>
      <c r="B2185" s="1" t="s">
        <v>12</v>
      </c>
      <c r="C2185">
        <v>1956</v>
      </c>
      <c r="D2185" s="1" t="s">
        <v>224</v>
      </c>
      <c r="E2185" s="1" t="s">
        <v>87</v>
      </c>
      <c r="F2185">
        <v>66</v>
      </c>
      <c r="G2185" s="1" t="s">
        <v>28</v>
      </c>
      <c r="H2185">
        <v>66028</v>
      </c>
      <c r="I2185">
        <v>2</v>
      </c>
      <c r="J2185">
        <v>2</v>
      </c>
      <c r="K2185">
        <v>2</v>
      </c>
      <c r="L2185">
        <v>1000</v>
      </c>
    </row>
    <row r="2186" spans="1:12" hidden="1" x14ac:dyDescent="0.25">
      <c r="A2186">
        <v>2185</v>
      </c>
      <c r="B2186" s="1" t="s">
        <v>12</v>
      </c>
      <c r="C2186">
        <v>1956</v>
      </c>
      <c r="D2186" s="1" t="s">
        <v>224</v>
      </c>
      <c r="E2186" s="1" t="s">
        <v>87</v>
      </c>
      <c r="F2186">
        <v>66</v>
      </c>
      <c r="G2186" s="1" t="s">
        <v>230</v>
      </c>
      <c r="H2186">
        <v>66056</v>
      </c>
      <c r="I2186">
        <v>2</v>
      </c>
      <c r="J2186">
        <v>2</v>
      </c>
      <c r="K2186">
        <v>2</v>
      </c>
      <c r="L2186">
        <v>1000</v>
      </c>
    </row>
    <row r="2187" spans="1:12" hidden="1" x14ac:dyDescent="0.25">
      <c r="A2187">
        <v>2186</v>
      </c>
      <c r="B2187" s="1" t="s">
        <v>12</v>
      </c>
      <c r="C2187">
        <v>1956</v>
      </c>
      <c r="D2187" s="1" t="s">
        <v>224</v>
      </c>
      <c r="E2187" s="1" t="s">
        <v>64</v>
      </c>
      <c r="F2187">
        <v>82</v>
      </c>
      <c r="G2187" s="1" t="s">
        <v>65</v>
      </c>
      <c r="H2187">
        <v>82049</v>
      </c>
      <c r="I2187">
        <v>400</v>
      </c>
      <c r="J2187">
        <v>300</v>
      </c>
      <c r="K2187">
        <v>255</v>
      </c>
      <c r="L2187">
        <v>850</v>
      </c>
    </row>
    <row r="2188" spans="1:12" hidden="1" x14ac:dyDescent="0.25">
      <c r="A2188">
        <v>2187</v>
      </c>
      <c r="B2188" s="1" t="s">
        <v>12</v>
      </c>
      <c r="C2188">
        <v>1956</v>
      </c>
      <c r="D2188" s="1" t="s">
        <v>224</v>
      </c>
      <c r="E2188" s="1" t="s">
        <v>64</v>
      </c>
      <c r="F2188">
        <v>82</v>
      </c>
      <c r="G2188" s="1" t="s">
        <v>66</v>
      </c>
      <c r="H2188">
        <v>82035</v>
      </c>
      <c r="I2188">
        <v>150</v>
      </c>
      <c r="J2188">
        <v>150</v>
      </c>
      <c r="K2188">
        <v>165</v>
      </c>
      <c r="L2188">
        <v>1100</v>
      </c>
    </row>
    <row r="2189" spans="1:12" hidden="1" x14ac:dyDescent="0.25">
      <c r="A2189">
        <v>2188</v>
      </c>
      <c r="B2189" s="1" t="s">
        <v>12</v>
      </c>
      <c r="C2189">
        <v>1956</v>
      </c>
      <c r="D2189" s="1" t="s">
        <v>224</v>
      </c>
      <c r="E2189" s="1" t="s">
        <v>77</v>
      </c>
      <c r="F2189">
        <v>90</v>
      </c>
      <c r="G2189" s="1" t="s">
        <v>94</v>
      </c>
      <c r="H2189">
        <v>90105</v>
      </c>
      <c r="I2189">
        <v>13</v>
      </c>
      <c r="J2189">
        <v>13</v>
      </c>
      <c r="K2189">
        <v>15</v>
      </c>
      <c r="L2189">
        <v>1154</v>
      </c>
    </row>
    <row r="2190" spans="1:12" hidden="1" x14ac:dyDescent="0.25">
      <c r="A2190">
        <v>2189</v>
      </c>
      <c r="B2190" s="1" t="s">
        <v>12</v>
      </c>
      <c r="C2190">
        <v>1956</v>
      </c>
      <c r="D2190" s="1" t="s">
        <v>224</v>
      </c>
      <c r="E2190" s="1" t="s">
        <v>77</v>
      </c>
      <c r="F2190">
        <v>90</v>
      </c>
      <c r="G2190" s="1" t="s">
        <v>78</v>
      </c>
      <c r="H2190">
        <v>90007</v>
      </c>
      <c r="I2190">
        <v>9</v>
      </c>
      <c r="J2190">
        <v>6</v>
      </c>
      <c r="K2190">
        <v>5</v>
      </c>
      <c r="L2190">
        <v>833</v>
      </c>
    </row>
    <row r="2191" spans="1:12" hidden="1" x14ac:dyDescent="0.25">
      <c r="A2191">
        <v>2190</v>
      </c>
      <c r="B2191" s="1" t="s">
        <v>12</v>
      </c>
      <c r="C2191">
        <v>1956</v>
      </c>
      <c r="D2191" s="1" t="s">
        <v>224</v>
      </c>
      <c r="E2191" s="1" t="s">
        <v>77</v>
      </c>
      <c r="F2191">
        <v>90</v>
      </c>
      <c r="G2191" s="1" t="s">
        <v>89</v>
      </c>
      <c r="H2191">
        <v>90028</v>
      </c>
      <c r="I2191">
        <v>6</v>
      </c>
      <c r="J2191">
        <v>5</v>
      </c>
      <c r="K2191">
        <v>4</v>
      </c>
      <c r="L2191">
        <v>800</v>
      </c>
    </row>
    <row r="2192" spans="1:12" hidden="1" x14ac:dyDescent="0.25">
      <c r="A2192">
        <v>2191</v>
      </c>
      <c r="B2192" s="1" t="s">
        <v>12</v>
      </c>
      <c r="C2192">
        <v>1956</v>
      </c>
      <c r="D2192" s="1" t="s">
        <v>224</v>
      </c>
      <c r="E2192" s="1" t="s">
        <v>77</v>
      </c>
      <c r="F2192">
        <v>90</v>
      </c>
      <c r="G2192" s="1" t="s">
        <v>28</v>
      </c>
      <c r="H2192">
        <v>90084</v>
      </c>
      <c r="I2192">
        <v>5</v>
      </c>
      <c r="J2192">
        <v>4</v>
      </c>
      <c r="K2192">
        <v>4</v>
      </c>
      <c r="L2192">
        <v>1000</v>
      </c>
    </row>
    <row r="2193" spans="1:12" hidden="1" x14ac:dyDescent="0.25">
      <c r="A2193">
        <v>2192</v>
      </c>
      <c r="B2193" s="1" t="s">
        <v>12</v>
      </c>
      <c r="C2193">
        <v>1956</v>
      </c>
      <c r="D2193" s="1" t="s">
        <v>224</v>
      </c>
      <c r="E2193" s="1" t="s">
        <v>77</v>
      </c>
      <c r="F2193">
        <v>90</v>
      </c>
      <c r="G2193" s="1" t="s">
        <v>91</v>
      </c>
      <c r="H2193">
        <v>90014</v>
      </c>
      <c r="I2193">
        <v>3</v>
      </c>
      <c r="J2193">
        <v>2</v>
      </c>
      <c r="K2193">
        <v>1</v>
      </c>
      <c r="L2193">
        <v>500</v>
      </c>
    </row>
    <row r="2194" spans="1:12" hidden="1" x14ac:dyDescent="0.25">
      <c r="A2194">
        <v>2193</v>
      </c>
      <c r="B2194" s="1" t="s">
        <v>12</v>
      </c>
      <c r="C2194">
        <v>1956</v>
      </c>
      <c r="D2194" s="1" t="s">
        <v>224</v>
      </c>
      <c r="E2194" s="1" t="s">
        <v>77</v>
      </c>
      <c r="F2194">
        <v>90</v>
      </c>
      <c r="G2194" s="1" t="s">
        <v>93</v>
      </c>
      <c r="H2194">
        <v>90070</v>
      </c>
      <c r="I2194">
        <v>3</v>
      </c>
      <c r="J2194">
        <v>2</v>
      </c>
      <c r="K2194">
        <v>1</v>
      </c>
      <c r="L2194">
        <v>500</v>
      </c>
    </row>
    <row r="2195" spans="1:12" hidden="1" x14ac:dyDescent="0.25">
      <c r="A2195">
        <v>2194</v>
      </c>
      <c r="B2195" s="1" t="s">
        <v>12</v>
      </c>
      <c r="C2195">
        <v>1956</v>
      </c>
      <c r="D2195" s="1" t="s">
        <v>224</v>
      </c>
      <c r="E2195" s="1" t="s">
        <v>77</v>
      </c>
      <c r="F2195">
        <v>90</v>
      </c>
      <c r="G2195" s="1" t="s">
        <v>92</v>
      </c>
      <c r="H2195">
        <v>90056</v>
      </c>
      <c r="I2195">
        <v>2</v>
      </c>
      <c r="J2195">
        <v>2</v>
      </c>
      <c r="K2195">
        <v>1</v>
      </c>
      <c r="L2195">
        <v>500</v>
      </c>
    </row>
    <row r="2196" spans="1:12" hidden="1" x14ac:dyDescent="0.25">
      <c r="A2196">
        <v>2195</v>
      </c>
      <c r="B2196" s="1" t="s">
        <v>12</v>
      </c>
      <c r="C2196">
        <v>1956</v>
      </c>
      <c r="D2196" s="1" t="s">
        <v>224</v>
      </c>
      <c r="E2196" s="1" t="s">
        <v>77</v>
      </c>
      <c r="F2196">
        <v>90</v>
      </c>
      <c r="G2196" s="1" t="s">
        <v>109</v>
      </c>
      <c r="H2196">
        <v>90077</v>
      </c>
      <c r="I2196">
        <v>2</v>
      </c>
      <c r="J2196">
        <v>2</v>
      </c>
      <c r="K2196">
        <v>1</v>
      </c>
      <c r="L2196">
        <v>500</v>
      </c>
    </row>
    <row r="2197" spans="1:12" hidden="1" x14ac:dyDescent="0.25">
      <c r="A2197">
        <v>2196</v>
      </c>
      <c r="B2197" s="1" t="s">
        <v>12</v>
      </c>
      <c r="C2197">
        <v>1956</v>
      </c>
      <c r="D2197" s="1" t="s">
        <v>224</v>
      </c>
      <c r="E2197" s="1" t="s">
        <v>77</v>
      </c>
      <c r="F2197">
        <v>90</v>
      </c>
      <c r="G2197" s="1" t="s">
        <v>90</v>
      </c>
      <c r="H2197">
        <v>90112</v>
      </c>
      <c r="I2197">
        <v>2</v>
      </c>
      <c r="J2197">
        <v>2</v>
      </c>
      <c r="K2197">
        <v>2</v>
      </c>
      <c r="L2197">
        <v>1000</v>
      </c>
    </row>
    <row r="2198" spans="1:12" hidden="1" x14ac:dyDescent="0.25">
      <c r="A2198">
        <v>2197</v>
      </c>
      <c r="B2198" s="1" t="s">
        <v>12</v>
      </c>
      <c r="C2198">
        <v>1956</v>
      </c>
      <c r="D2198" s="1" t="s">
        <v>224</v>
      </c>
      <c r="E2198" s="1" t="s">
        <v>77</v>
      </c>
      <c r="F2198">
        <v>90</v>
      </c>
      <c r="G2198" s="1" t="s">
        <v>110</v>
      </c>
      <c r="H2198">
        <v>90021</v>
      </c>
      <c r="I2198">
        <v>1</v>
      </c>
      <c r="J2198">
        <v>1</v>
      </c>
      <c r="K2198">
        <v>1</v>
      </c>
      <c r="L2198">
        <v>1000</v>
      </c>
    </row>
    <row r="2199" spans="1:12" hidden="1" x14ac:dyDescent="0.25">
      <c r="A2199">
        <v>2198</v>
      </c>
      <c r="B2199" s="1" t="s">
        <v>12</v>
      </c>
      <c r="C2199">
        <v>1957</v>
      </c>
      <c r="D2199" s="1" t="s">
        <v>231</v>
      </c>
      <c r="E2199" s="1" t="s">
        <v>14</v>
      </c>
      <c r="F2199">
        <v>22</v>
      </c>
      <c r="G2199" s="1" t="s">
        <v>119</v>
      </c>
      <c r="H2199">
        <v>22084</v>
      </c>
      <c r="I2199">
        <v>720</v>
      </c>
      <c r="J2199">
        <v>691</v>
      </c>
      <c r="K2199">
        <v>269</v>
      </c>
      <c r="L2199">
        <v>389</v>
      </c>
    </row>
    <row r="2200" spans="1:12" hidden="1" x14ac:dyDescent="0.25">
      <c r="A2200">
        <v>2199</v>
      </c>
      <c r="B2200" s="1" t="s">
        <v>12</v>
      </c>
      <c r="C2200">
        <v>1957</v>
      </c>
      <c r="D2200" s="1" t="s">
        <v>231</v>
      </c>
      <c r="E2200" s="1" t="s">
        <v>14</v>
      </c>
      <c r="F2200">
        <v>22</v>
      </c>
      <c r="G2200" s="1" t="s">
        <v>226</v>
      </c>
      <c r="H2200">
        <v>22154</v>
      </c>
      <c r="I2200">
        <v>58</v>
      </c>
      <c r="J2200">
        <v>50</v>
      </c>
      <c r="K2200">
        <v>25</v>
      </c>
      <c r="L2200">
        <v>500</v>
      </c>
    </row>
    <row r="2201" spans="1:12" hidden="1" x14ac:dyDescent="0.25">
      <c r="A2201">
        <v>2200</v>
      </c>
      <c r="B2201" s="1" t="s">
        <v>12</v>
      </c>
      <c r="C2201">
        <v>1957</v>
      </c>
      <c r="D2201" s="1" t="s">
        <v>231</v>
      </c>
      <c r="E2201" s="1" t="s">
        <v>14</v>
      </c>
      <c r="F2201">
        <v>22</v>
      </c>
      <c r="G2201" s="1" t="s">
        <v>232</v>
      </c>
      <c r="H2201">
        <v>22105</v>
      </c>
      <c r="I2201">
        <v>55</v>
      </c>
      <c r="J2201">
        <v>45</v>
      </c>
      <c r="K2201">
        <v>18</v>
      </c>
      <c r="L2201">
        <v>400</v>
      </c>
    </row>
    <row r="2202" spans="1:12" hidden="1" x14ac:dyDescent="0.25">
      <c r="A2202">
        <v>2201</v>
      </c>
      <c r="B2202" s="1" t="s">
        <v>12</v>
      </c>
      <c r="C2202">
        <v>1957</v>
      </c>
      <c r="D2202" s="1" t="s">
        <v>231</v>
      </c>
      <c r="E2202" s="1" t="s">
        <v>14</v>
      </c>
      <c r="F2202">
        <v>22</v>
      </c>
      <c r="G2202" s="1" t="s">
        <v>233</v>
      </c>
      <c r="H2202">
        <v>22133</v>
      </c>
      <c r="I2202">
        <v>35</v>
      </c>
      <c r="J2202">
        <v>30</v>
      </c>
      <c r="K2202">
        <v>12</v>
      </c>
      <c r="L2202">
        <v>400</v>
      </c>
    </row>
    <row r="2203" spans="1:12" hidden="1" x14ac:dyDescent="0.25">
      <c r="A2203">
        <v>2202</v>
      </c>
      <c r="B2203" s="1" t="s">
        <v>12</v>
      </c>
      <c r="C2203">
        <v>1957</v>
      </c>
      <c r="D2203" s="1" t="s">
        <v>231</v>
      </c>
      <c r="E2203" s="1" t="s">
        <v>14</v>
      </c>
      <c r="F2203">
        <v>22</v>
      </c>
      <c r="G2203" s="1" t="s">
        <v>234</v>
      </c>
      <c r="H2203">
        <v>22168</v>
      </c>
      <c r="I2203">
        <v>30</v>
      </c>
      <c r="J2203">
        <v>25</v>
      </c>
      <c r="K2203">
        <v>10</v>
      </c>
      <c r="L2203">
        <v>400</v>
      </c>
    </row>
    <row r="2204" spans="1:12" hidden="1" x14ac:dyDescent="0.25">
      <c r="A2204">
        <v>2203</v>
      </c>
      <c r="B2204" s="1" t="s">
        <v>12</v>
      </c>
      <c r="C2204">
        <v>1957</v>
      </c>
      <c r="D2204" s="1" t="s">
        <v>231</v>
      </c>
      <c r="E2204" s="1" t="s">
        <v>14</v>
      </c>
      <c r="F2204">
        <v>22</v>
      </c>
      <c r="G2204" s="1" t="s">
        <v>227</v>
      </c>
      <c r="H2204">
        <v>22056</v>
      </c>
      <c r="I2204">
        <v>28</v>
      </c>
      <c r="J2204">
        <v>21</v>
      </c>
      <c r="K2204">
        <v>11</v>
      </c>
      <c r="L2204">
        <v>524</v>
      </c>
    </row>
    <row r="2205" spans="1:12" hidden="1" x14ac:dyDescent="0.25">
      <c r="A2205">
        <v>2204</v>
      </c>
      <c r="B2205" s="1" t="s">
        <v>12</v>
      </c>
      <c r="C2205">
        <v>1957</v>
      </c>
      <c r="D2205" s="1" t="s">
        <v>231</v>
      </c>
      <c r="E2205" s="1" t="s">
        <v>14</v>
      </c>
      <c r="F2205">
        <v>22</v>
      </c>
      <c r="G2205" s="1" t="s">
        <v>183</v>
      </c>
      <c r="H2205">
        <v>22049</v>
      </c>
      <c r="I2205">
        <v>19</v>
      </c>
      <c r="J2205">
        <v>17</v>
      </c>
      <c r="K2205">
        <v>12</v>
      </c>
      <c r="L2205">
        <v>706</v>
      </c>
    </row>
    <row r="2206" spans="1:12" hidden="1" x14ac:dyDescent="0.25">
      <c r="A2206">
        <v>2205</v>
      </c>
      <c r="B2206" s="1" t="s">
        <v>12</v>
      </c>
      <c r="C2206">
        <v>1957</v>
      </c>
      <c r="D2206" s="1" t="s">
        <v>231</v>
      </c>
      <c r="E2206" s="1" t="s">
        <v>14</v>
      </c>
      <c r="F2206">
        <v>22</v>
      </c>
      <c r="G2206" s="1" t="s">
        <v>19</v>
      </c>
      <c r="H2206">
        <v>22014</v>
      </c>
      <c r="I2206">
        <v>17</v>
      </c>
      <c r="J2206">
        <v>12</v>
      </c>
      <c r="K2206">
        <v>6</v>
      </c>
      <c r="L2206">
        <v>500</v>
      </c>
    </row>
    <row r="2207" spans="1:12" hidden="1" x14ac:dyDescent="0.25">
      <c r="A2207">
        <v>2206</v>
      </c>
      <c r="B2207" s="1" t="s">
        <v>12</v>
      </c>
      <c r="C2207">
        <v>1957</v>
      </c>
      <c r="D2207" s="1" t="s">
        <v>231</v>
      </c>
      <c r="E2207" s="1" t="s">
        <v>14</v>
      </c>
      <c r="F2207">
        <v>22</v>
      </c>
      <c r="G2207" s="1" t="s">
        <v>235</v>
      </c>
      <c r="H2207">
        <v>22140</v>
      </c>
      <c r="I2207">
        <v>7</v>
      </c>
      <c r="J2207">
        <v>5</v>
      </c>
      <c r="K2207">
        <v>3</v>
      </c>
      <c r="L2207">
        <v>600</v>
      </c>
    </row>
    <row r="2208" spans="1:12" hidden="1" x14ac:dyDescent="0.25">
      <c r="A2208">
        <v>2207</v>
      </c>
      <c r="B2208" s="1" t="s">
        <v>12</v>
      </c>
      <c r="C2208">
        <v>1957</v>
      </c>
      <c r="D2208" s="1" t="s">
        <v>231</v>
      </c>
      <c r="E2208" s="1" t="s">
        <v>14</v>
      </c>
      <c r="F2208">
        <v>22</v>
      </c>
      <c r="G2208" s="1" t="s">
        <v>236</v>
      </c>
      <c r="H2208">
        <v>22063</v>
      </c>
      <c r="I2208">
        <v>6</v>
      </c>
      <c r="J2208">
        <v>5</v>
      </c>
      <c r="K2208">
        <v>3</v>
      </c>
      <c r="L2208">
        <v>600</v>
      </c>
    </row>
    <row r="2209" spans="1:12" hidden="1" x14ac:dyDescent="0.25">
      <c r="A2209">
        <v>2208</v>
      </c>
      <c r="B2209" s="1" t="s">
        <v>12</v>
      </c>
      <c r="C2209">
        <v>1957</v>
      </c>
      <c r="D2209" s="1" t="s">
        <v>231</v>
      </c>
      <c r="E2209" s="1" t="s">
        <v>14</v>
      </c>
      <c r="F2209">
        <v>22</v>
      </c>
      <c r="G2209" s="1" t="s">
        <v>225</v>
      </c>
      <c r="H2209">
        <v>22119</v>
      </c>
      <c r="I2209">
        <v>6</v>
      </c>
      <c r="J2209">
        <v>4</v>
      </c>
      <c r="K2209">
        <v>2</v>
      </c>
      <c r="L2209">
        <v>500</v>
      </c>
    </row>
    <row r="2210" spans="1:12" hidden="1" x14ac:dyDescent="0.25">
      <c r="A2210">
        <v>2209</v>
      </c>
      <c r="B2210" s="1" t="s">
        <v>12</v>
      </c>
      <c r="C2210">
        <v>1957</v>
      </c>
      <c r="D2210" s="1" t="s">
        <v>231</v>
      </c>
      <c r="E2210" s="1" t="s">
        <v>14</v>
      </c>
      <c r="F2210">
        <v>22</v>
      </c>
      <c r="G2210" s="1" t="s">
        <v>118</v>
      </c>
      <c r="H2210">
        <v>22028</v>
      </c>
      <c r="I2210">
        <v>5</v>
      </c>
      <c r="J2210">
        <v>4</v>
      </c>
      <c r="K2210">
        <v>2</v>
      </c>
      <c r="L2210">
        <v>500</v>
      </c>
    </row>
    <row r="2211" spans="1:12" hidden="1" x14ac:dyDescent="0.25">
      <c r="A2211">
        <v>2210</v>
      </c>
      <c r="B2211" s="1" t="s">
        <v>12</v>
      </c>
      <c r="C2211">
        <v>1957</v>
      </c>
      <c r="D2211" s="1" t="s">
        <v>231</v>
      </c>
      <c r="E2211" s="1" t="s">
        <v>14</v>
      </c>
      <c r="F2211">
        <v>22</v>
      </c>
      <c r="G2211" s="1" t="s">
        <v>237</v>
      </c>
      <c r="H2211">
        <v>22091</v>
      </c>
      <c r="I2211">
        <v>4</v>
      </c>
      <c r="J2211">
        <v>4</v>
      </c>
      <c r="K2211">
        <v>2</v>
      </c>
      <c r="L2211">
        <v>500</v>
      </c>
    </row>
    <row r="2212" spans="1:12" hidden="1" x14ac:dyDescent="0.25">
      <c r="A2212">
        <v>2211</v>
      </c>
      <c r="B2212" s="1" t="s">
        <v>12</v>
      </c>
      <c r="C2212">
        <v>1957</v>
      </c>
      <c r="D2212" s="1" t="s">
        <v>231</v>
      </c>
      <c r="E2212" s="1" t="s">
        <v>14</v>
      </c>
      <c r="F2212">
        <v>22</v>
      </c>
      <c r="G2212" s="1" t="s">
        <v>238</v>
      </c>
      <c r="H2212">
        <v>22036</v>
      </c>
      <c r="I2212">
        <v>2</v>
      </c>
      <c r="J2212">
        <v>2</v>
      </c>
      <c r="K2212">
        <v>1</v>
      </c>
      <c r="L2212">
        <v>500</v>
      </c>
    </row>
    <row r="2213" spans="1:12" hidden="1" x14ac:dyDescent="0.25">
      <c r="A2213">
        <v>2212</v>
      </c>
      <c r="B2213" s="1" t="s">
        <v>12</v>
      </c>
      <c r="C2213">
        <v>1957</v>
      </c>
      <c r="D2213" s="1" t="s">
        <v>231</v>
      </c>
      <c r="E2213" s="1" t="s">
        <v>14</v>
      </c>
      <c r="F2213">
        <v>22</v>
      </c>
      <c r="G2213" s="1" t="s">
        <v>239</v>
      </c>
      <c r="H2213">
        <v>22043</v>
      </c>
      <c r="I2213">
        <v>2</v>
      </c>
      <c r="J2213">
        <v>2</v>
      </c>
      <c r="K2213">
        <v>1</v>
      </c>
      <c r="L2213">
        <v>500</v>
      </c>
    </row>
    <row r="2214" spans="1:12" hidden="1" x14ac:dyDescent="0.25">
      <c r="A2214">
        <v>2213</v>
      </c>
      <c r="B2214" s="1" t="s">
        <v>12</v>
      </c>
      <c r="C2214">
        <v>1957</v>
      </c>
      <c r="D2214" s="1" t="s">
        <v>231</v>
      </c>
      <c r="E2214" s="1" t="s">
        <v>14</v>
      </c>
      <c r="F2214">
        <v>22</v>
      </c>
      <c r="G2214" s="1" t="s">
        <v>240</v>
      </c>
      <c r="H2214">
        <v>22021</v>
      </c>
      <c r="I2214">
        <v>1</v>
      </c>
    </row>
    <row r="2215" spans="1:12" hidden="1" x14ac:dyDescent="0.25">
      <c r="A2215">
        <v>2214</v>
      </c>
      <c r="B2215" s="1" t="s">
        <v>12</v>
      </c>
      <c r="C2215">
        <v>1957</v>
      </c>
      <c r="D2215" s="1" t="s">
        <v>231</v>
      </c>
      <c r="E2215" s="1" t="s">
        <v>14</v>
      </c>
      <c r="F2215">
        <v>22</v>
      </c>
      <c r="G2215" s="1" t="s">
        <v>229</v>
      </c>
      <c r="H2215">
        <v>22077</v>
      </c>
      <c r="I2215">
        <v>1</v>
      </c>
      <c r="J2215">
        <v>1</v>
      </c>
      <c r="K2215">
        <v>1</v>
      </c>
      <c r="L2215">
        <v>1000</v>
      </c>
    </row>
    <row r="2216" spans="1:12" hidden="1" x14ac:dyDescent="0.25">
      <c r="A2216">
        <v>2215</v>
      </c>
      <c r="B2216" s="1" t="s">
        <v>12</v>
      </c>
      <c r="C2216">
        <v>1957</v>
      </c>
      <c r="D2216" s="1" t="s">
        <v>231</v>
      </c>
      <c r="E2216" s="1" t="s">
        <v>14</v>
      </c>
      <c r="F2216">
        <v>22</v>
      </c>
      <c r="G2216" s="1" t="s">
        <v>241</v>
      </c>
      <c r="H2216">
        <v>22112</v>
      </c>
      <c r="I2216">
        <v>1</v>
      </c>
      <c r="J2216">
        <v>1</v>
      </c>
      <c r="K2216">
        <v>1</v>
      </c>
      <c r="L2216">
        <v>1000</v>
      </c>
    </row>
    <row r="2217" spans="1:12" hidden="1" x14ac:dyDescent="0.25">
      <c r="A2217">
        <v>2216</v>
      </c>
      <c r="B2217" s="1" t="s">
        <v>12</v>
      </c>
      <c r="C2217">
        <v>1957</v>
      </c>
      <c r="D2217" s="1" t="s">
        <v>231</v>
      </c>
      <c r="E2217" s="1" t="s">
        <v>14</v>
      </c>
      <c r="F2217">
        <v>22</v>
      </c>
      <c r="G2217" s="1" t="s">
        <v>228</v>
      </c>
      <c r="H2217">
        <v>22126</v>
      </c>
      <c r="I2217">
        <v>1</v>
      </c>
      <c r="J2217">
        <v>1</v>
      </c>
      <c r="K2217">
        <v>1</v>
      </c>
      <c r="L2217">
        <v>1000</v>
      </c>
    </row>
    <row r="2218" spans="1:12" hidden="1" x14ac:dyDescent="0.25">
      <c r="A2218">
        <v>2217</v>
      </c>
      <c r="B2218" s="1" t="s">
        <v>12</v>
      </c>
      <c r="C2218">
        <v>1957</v>
      </c>
      <c r="D2218" s="1" t="s">
        <v>231</v>
      </c>
      <c r="E2218" s="1" t="s">
        <v>22</v>
      </c>
      <c r="F2218">
        <v>14</v>
      </c>
      <c r="G2218" s="1" t="s">
        <v>26</v>
      </c>
      <c r="H2218">
        <v>14161</v>
      </c>
      <c r="I2218">
        <v>100000</v>
      </c>
      <c r="J2218">
        <v>98000</v>
      </c>
      <c r="K2218">
        <v>122400</v>
      </c>
      <c r="L2218">
        <v>1249</v>
      </c>
    </row>
    <row r="2219" spans="1:12" hidden="1" x14ac:dyDescent="0.25">
      <c r="A2219">
        <v>2218</v>
      </c>
      <c r="B2219" s="1" t="s">
        <v>12</v>
      </c>
      <c r="C2219">
        <v>1957</v>
      </c>
      <c r="D2219" s="1" t="s">
        <v>231</v>
      </c>
      <c r="E2219" s="1" t="s">
        <v>22</v>
      </c>
      <c r="F2219">
        <v>14</v>
      </c>
      <c r="G2219" s="1" t="s">
        <v>24</v>
      </c>
      <c r="H2219">
        <v>14119</v>
      </c>
      <c r="I2219">
        <v>65000</v>
      </c>
      <c r="J2219">
        <v>60000</v>
      </c>
      <c r="K2219">
        <v>66000</v>
      </c>
      <c r="L2219">
        <v>1100</v>
      </c>
    </row>
    <row r="2220" spans="1:12" hidden="1" x14ac:dyDescent="0.25">
      <c r="A2220">
        <v>2219</v>
      </c>
      <c r="B2220" s="1" t="s">
        <v>12</v>
      </c>
      <c r="C2220">
        <v>1957</v>
      </c>
      <c r="D2220" s="1" t="s">
        <v>231</v>
      </c>
      <c r="E2220" s="1" t="s">
        <v>22</v>
      </c>
      <c r="F2220">
        <v>14</v>
      </c>
      <c r="G2220" s="1" t="s">
        <v>23</v>
      </c>
      <c r="H2220">
        <v>14147</v>
      </c>
      <c r="I2220">
        <v>31000</v>
      </c>
      <c r="J2220">
        <v>30400</v>
      </c>
      <c r="K2220">
        <v>35811</v>
      </c>
      <c r="L2220">
        <v>1178</v>
      </c>
    </row>
    <row r="2221" spans="1:12" hidden="1" x14ac:dyDescent="0.25">
      <c r="A2221">
        <v>2220</v>
      </c>
      <c r="B2221" s="1" t="s">
        <v>12</v>
      </c>
      <c r="C2221">
        <v>1957</v>
      </c>
      <c r="D2221" s="1" t="s">
        <v>231</v>
      </c>
      <c r="E2221" s="1" t="s">
        <v>22</v>
      </c>
      <c r="F2221">
        <v>14</v>
      </c>
      <c r="G2221" s="1" t="s">
        <v>143</v>
      </c>
      <c r="H2221">
        <v>14056</v>
      </c>
      <c r="I2221">
        <v>23000</v>
      </c>
      <c r="J2221">
        <v>23000</v>
      </c>
      <c r="K2221">
        <v>33350</v>
      </c>
      <c r="L2221">
        <v>1450</v>
      </c>
    </row>
    <row r="2222" spans="1:12" hidden="1" x14ac:dyDescent="0.25">
      <c r="A2222">
        <v>2221</v>
      </c>
      <c r="B2222" s="1" t="s">
        <v>12</v>
      </c>
      <c r="C2222">
        <v>1957</v>
      </c>
      <c r="D2222" s="1" t="s">
        <v>231</v>
      </c>
      <c r="E2222" s="1" t="s">
        <v>22</v>
      </c>
      <c r="F2222">
        <v>14</v>
      </c>
      <c r="G2222" s="1" t="s">
        <v>184</v>
      </c>
      <c r="H2222">
        <v>14042</v>
      </c>
      <c r="I2222">
        <v>8500</v>
      </c>
      <c r="J2222">
        <v>8500</v>
      </c>
      <c r="K2222">
        <v>11050</v>
      </c>
      <c r="L2222">
        <v>1300</v>
      </c>
    </row>
    <row r="2223" spans="1:12" hidden="1" x14ac:dyDescent="0.25">
      <c r="A2223">
        <v>2222</v>
      </c>
      <c r="B2223" s="1" t="s">
        <v>12</v>
      </c>
      <c r="C2223">
        <v>1957</v>
      </c>
      <c r="D2223" s="1" t="s">
        <v>231</v>
      </c>
      <c r="E2223" s="1" t="s">
        <v>22</v>
      </c>
      <c r="F2223">
        <v>14</v>
      </c>
      <c r="G2223" s="1" t="s">
        <v>97</v>
      </c>
      <c r="H2223">
        <v>14007</v>
      </c>
      <c r="I2223">
        <v>7000</v>
      </c>
      <c r="J2223">
        <v>7000</v>
      </c>
      <c r="K2223">
        <v>8750</v>
      </c>
      <c r="L2223">
        <v>1250</v>
      </c>
    </row>
    <row r="2224" spans="1:12" hidden="1" x14ac:dyDescent="0.25">
      <c r="A2224">
        <v>2223</v>
      </c>
      <c r="B2224" s="1" t="s">
        <v>12</v>
      </c>
      <c r="C2224">
        <v>1957</v>
      </c>
      <c r="D2224" s="1" t="s">
        <v>231</v>
      </c>
      <c r="E2224" s="1" t="s">
        <v>22</v>
      </c>
      <c r="F2224">
        <v>14</v>
      </c>
      <c r="G2224" s="1" t="s">
        <v>29</v>
      </c>
      <c r="H2224">
        <v>14098</v>
      </c>
      <c r="I2224">
        <v>5000</v>
      </c>
      <c r="J2224">
        <v>5000</v>
      </c>
      <c r="K2224">
        <v>5750</v>
      </c>
      <c r="L2224">
        <v>1150</v>
      </c>
    </row>
    <row r="2225" spans="1:12" hidden="1" x14ac:dyDescent="0.25">
      <c r="A2225">
        <v>2224</v>
      </c>
      <c r="B2225" s="1" t="s">
        <v>12</v>
      </c>
      <c r="C2225">
        <v>1957</v>
      </c>
      <c r="D2225" s="1" t="s">
        <v>231</v>
      </c>
      <c r="E2225" s="1" t="s">
        <v>22</v>
      </c>
      <c r="F2225">
        <v>14</v>
      </c>
      <c r="G2225" s="1" t="s">
        <v>25</v>
      </c>
      <c r="H2225">
        <v>14105</v>
      </c>
      <c r="I2225">
        <v>3500</v>
      </c>
      <c r="J2225">
        <v>3000</v>
      </c>
      <c r="K2225">
        <v>2400</v>
      </c>
      <c r="L2225">
        <v>800</v>
      </c>
    </row>
    <row r="2226" spans="1:12" hidden="1" x14ac:dyDescent="0.25">
      <c r="A2226">
        <v>2225</v>
      </c>
      <c r="B2226" s="1" t="s">
        <v>12</v>
      </c>
      <c r="C2226">
        <v>1957</v>
      </c>
      <c r="D2226" s="1" t="s">
        <v>231</v>
      </c>
      <c r="E2226" s="1" t="s">
        <v>22</v>
      </c>
      <c r="F2226">
        <v>14</v>
      </c>
      <c r="G2226" s="1" t="s">
        <v>122</v>
      </c>
      <c r="H2226">
        <v>14182</v>
      </c>
      <c r="I2226">
        <v>1500</v>
      </c>
      <c r="J2226">
        <v>1400</v>
      </c>
      <c r="K2226">
        <v>1680</v>
      </c>
      <c r="L2226">
        <v>1200</v>
      </c>
    </row>
    <row r="2227" spans="1:12" hidden="1" x14ac:dyDescent="0.25">
      <c r="A2227">
        <v>2226</v>
      </c>
      <c r="B2227" s="1" t="s">
        <v>12</v>
      </c>
      <c r="C2227">
        <v>1957</v>
      </c>
      <c r="D2227" s="1" t="s">
        <v>231</v>
      </c>
      <c r="E2227" s="1" t="s">
        <v>22</v>
      </c>
      <c r="F2227">
        <v>14</v>
      </c>
      <c r="G2227" s="1" t="s">
        <v>28</v>
      </c>
      <c r="H2227">
        <v>14014</v>
      </c>
      <c r="I2227">
        <v>350</v>
      </c>
      <c r="J2227">
        <v>350</v>
      </c>
      <c r="K2227">
        <v>437</v>
      </c>
      <c r="L2227">
        <v>1249</v>
      </c>
    </row>
    <row r="2228" spans="1:12" hidden="1" x14ac:dyDescent="0.25">
      <c r="A2228">
        <v>2227</v>
      </c>
      <c r="B2228" s="1" t="s">
        <v>12</v>
      </c>
      <c r="C2228">
        <v>1957</v>
      </c>
      <c r="D2228" s="1" t="s">
        <v>231</v>
      </c>
      <c r="E2228" s="1" t="s">
        <v>22</v>
      </c>
      <c r="F2228">
        <v>14</v>
      </c>
      <c r="G2228" s="1" t="s">
        <v>67</v>
      </c>
      <c r="H2228">
        <v>14140</v>
      </c>
      <c r="I2228">
        <v>250</v>
      </c>
      <c r="J2228">
        <v>200</v>
      </c>
      <c r="K2228">
        <v>160</v>
      </c>
      <c r="L2228">
        <v>800</v>
      </c>
    </row>
    <row r="2229" spans="1:12" hidden="1" x14ac:dyDescent="0.25">
      <c r="A2229">
        <v>2228</v>
      </c>
      <c r="B2229" s="1" t="s">
        <v>12</v>
      </c>
      <c r="C2229">
        <v>1957</v>
      </c>
      <c r="D2229" s="1" t="s">
        <v>231</v>
      </c>
      <c r="E2229" s="1" t="s">
        <v>22</v>
      </c>
      <c r="F2229">
        <v>14</v>
      </c>
      <c r="G2229" s="1" t="s">
        <v>173</v>
      </c>
      <c r="H2229">
        <v>14028</v>
      </c>
      <c r="I2229">
        <v>100</v>
      </c>
      <c r="J2229">
        <v>100</v>
      </c>
      <c r="K2229">
        <v>130</v>
      </c>
      <c r="L2229">
        <v>1300</v>
      </c>
    </row>
    <row r="2230" spans="1:12" hidden="1" x14ac:dyDescent="0.25">
      <c r="A2230">
        <v>2229</v>
      </c>
      <c r="B2230" s="1" t="s">
        <v>12</v>
      </c>
      <c r="C2230">
        <v>1957</v>
      </c>
      <c r="D2230" s="1" t="s">
        <v>231</v>
      </c>
      <c r="E2230" s="1" t="s">
        <v>22</v>
      </c>
      <c r="F2230">
        <v>14</v>
      </c>
      <c r="G2230" s="1" t="s">
        <v>114</v>
      </c>
      <c r="H2230">
        <v>14168</v>
      </c>
      <c r="I2230">
        <v>45</v>
      </c>
      <c r="J2230">
        <v>45</v>
      </c>
      <c r="K2230">
        <v>45</v>
      </c>
      <c r="L2230">
        <v>1000</v>
      </c>
    </row>
    <row r="2231" spans="1:12" hidden="1" x14ac:dyDescent="0.25">
      <c r="A2231">
        <v>2230</v>
      </c>
      <c r="B2231" s="1" t="s">
        <v>12</v>
      </c>
      <c r="C2231">
        <v>1957</v>
      </c>
      <c r="D2231" s="1" t="s">
        <v>231</v>
      </c>
      <c r="E2231" s="1" t="s">
        <v>22</v>
      </c>
      <c r="F2231">
        <v>14</v>
      </c>
      <c r="G2231" s="1" t="s">
        <v>27</v>
      </c>
      <c r="H2231">
        <v>14021</v>
      </c>
      <c r="I2231">
        <v>25</v>
      </c>
      <c r="J2231">
        <v>25</v>
      </c>
      <c r="K2231">
        <v>25</v>
      </c>
      <c r="L2231">
        <v>1000</v>
      </c>
    </row>
    <row r="2232" spans="1:12" hidden="1" x14ac:dyDescent="0.25">
      <c r="A2232">
        <v>2231</v>
      </c>
      <c r="B2232" s="1" t="s">
        <v>12</v>
      </c>
      <c r="C2232">
        <v>1957</v>
      </c>
      <c r="D2232" s="1" t="s">
        <v>231</v>
      </c>
      <c r="E2232" s="1" t="s">
        <v>22</v>
      </c>
      <c r="F2232">
        <v>14</v>
      </c>
      <c r="G2232" s="1" t="s">
        <v>169</v>
      </c>
      <c r="H2232">
        <v>14126</v>
      </c>
      <c r="I2232">
        <v>10</v>
      </c>
      <c r="J2232">
        <v>10</v>
      </c>
      <c r="K2232">
        <v>12</v>
      </c>
      <c r="L2232">
        <v>1200</v>
      </c>
    </row>
    <row r="2233" spans="1:12" hidden="1" x14ac:dyDescent="0.25">
      <c r="A2233">
        <v>2232</v>
      </c>
      <c r="B2233" s="1" t="s">
        <v>12</v>
      </c>
      <c r="C2233">
        <v>1957</v>
      </c>
      <c r="D2233" s="1" t="s">
        <v>231</v>
      </c>
      <c r="E2233" s="1" t="s">
        <v>30</v>
      </c>
      <c r="F2233">
        <v>18</v>
      </c>
      <c r="G2233" s="1" t="s">
        <v>32</v>
      </c>
      <c r="H2233">
        <v>18112</v>
      </c>
      <c r="I2233">
        <v>350</v>
      </c>
      <c r="J2233">
        <v>350</v>
      </c>
      <c r="K2233">
        <v>259</v>
      </c>
      <c r="L2233">
        <v>740</v>
      </c>
    </row>
    <row r="2234" spans="1:12" hidden="1" x14ac:dyDescent="0.25">
      <c r="A2234">
        <v>2233</v>
      </c>
      <c r="B2234" s="1" t="s">
        <v>12</v>
      </c>
      <c r="C2234">
        <v>1957</v>
      </c>
      <c r="D2234" s="1" t="s">
        <v>231</v>
      </c>
      <c r="E2234" s="1" t="s">
        <v>30</v>
      </c>
      <c r="F2234">
        <v>18</v>
      </c>
      <c r="G2234" s="1" t="s">
        <v>34</v>
      </c>
      <c r="H2234">
        <v>18042</v>
      </c>
      <c r="I2234">
        <v>40</v>
      </c>
      <c r="J2234">
        <v>35</v>
      </c>
      <c r="K2234">
        <v>28</v>
      </c>
      <c r="L2234">
        <v>800</v>
      </c>
    </row>
    <row r="2235" spans="1:12" hidden="1" x14ac:dyDescent="0.25">
      <c r="A2235">
        <v>2234</v>
      </c>
      <c r="B2235" s="1" t="s">
        <v>12</v>
      </c>
      <c r="C2235">
        <v>1957</v>
      </c>
      <c r="D2235" s="1" t="s">
        <v>231</v>
      </c>
      <c r="E2235" s="1" t="s">
        <v>30</v>
      </c>
      <c r="F2235">
        <v>18</v>
      </c>
      <c r="G2235" s="1" t="s">
        <v>42</v>
      </c>
      <c r="H2235">
        <v>18035</v>
      </c>
      <c r="I2235">
        <v>30</v>
      </c>
      <c r="J2235">
        <v>30</v>
      </c>
      <c r="K2235">
        <v>21</v>
      </c>
      <c r="L2235">
        <v>700</v>
      </c>
    </row>
    <row r="2236" spans="1:12" hidden="1" x14ac:dyDescent="0.25">
      <c r="A2236">
        <v>2235</v>
      </c>
      <c r="B2236" s="1" t="s">
        <v>12</v>
      </c>
      <c r="C2236">
        <v>1957</v>
      </c>
      <c r="D2236" s="1" t="s">
        <v>231</v>
      </c>
      <c r="E2236" s="1" t="s">
        <v>30</v>
      </c>
      <c r="F2236">
        <v>18</v>
      </c>
      <c r="G2236" s="1" t="s">
        <v>40</v>
      </c>
      <c r="H2236">
        <v>18126</v>
      </c>
      <c r="I2236">
        <v>25</v>
      </c>
      <c r="J2236">
        <v>20</v>
      </c>
      <c r="K2236">
        <v>16</v>
      </c>
      <c r="L2236">
        <v>800</v>
      </c>
    </row>
    <row r="2237" spans="1:12" hidden="1" x14ac:dyDescent="0.25">
      <c r="A2237">
        <v>2236</v>
      </c>
      <c r="B2237" s="1" t="s">
        <v>12</v>
      </c>
      <c r="C2237">
        <v>1957</v>
      </c>
      <c r="D2237" s="1" t="s">
        <v>231</v>
      </c>
      <c r="E2237" s="1" t="s">
        <v>30</v>
      </c>
      <c r="F2237">
        <v>18</v>
      </c>
      <c r="G2237" s="1" t="s">
        <v>41</v>
      </c>
      <c r="H2237">
        <v>18140</v>
      </c>
      <c r="I2237">
        <v>20</v>
      </c>
      <c r="J2237">
        <v>16</v>
      </c>
      <c r="K2237">
        <v>14</v>
      </c>
      <c r="L2237">
        <v>875</v>
      </c>
    </row>
    <row r="2238" spans="1:12" hidden="1" x14ac:dyDescent="0.25">
      <c r="A2238">
        <v>2237</v>
      </c>
      <c r="B2238" s="1" t="s">
        <v>12</v>
      </c>
      <c r="C2238">
        <v>1957</v>
      </c>
      <c r="D2238" s="1" t="s">
        <v>231</v>
      </c>
      <c r="E2238" s="1" t="s">
        <v>30</v>
      </c>
      <c r="F2238">
        <v>18</v>
      </c>
      <c r="G2238" s="1" t="s">
        <v>28</v>
      </c>
      <c r="H2238">
        <v>18021</v>
      </c>
      <c r="I2238">
        <v>15</v>
      </c>
      <c r="J2238">
        <v>12</v>
      </c>
      <c r="K2238">
        <v>9</v>
      </c>
      <c r="L2238">
        <v>750</v>
      </c>
    </row>
    <row r="2239" spans="1:12" hidden="1" x14ac:dyDescent="0.25">
      <c r="A2239">
        <v>2238</v>
      </c>
      <c r="B2239" s="1" t="s">
        <v>12</v>
      </c>
      <c r="C2239">
        <v>1957</v>
      </c>
      <c r="D2239" s="1" t="s">
        <v>231</v>
      </c>
      <c r="E2239" s="1" t="s">
        <v>30</v>
      </c>
      <c r="F2239">
        <v>18</v>
      </c>
      <c r="G2239" s="1" t="s">
        <v>99</v>
      </c>
      <c r="H2239">
        <v>18063</v>
      </c>
      <c r="I2239">
        <v>15</v>
      </c>
      <c r="J2239">
        <v>12</v>
      </c>
      <c r="K2239">
        <v>9</v>
      </c>
      <c r="L2239">
        <v>750</v>
      </c>
    </row>
    <row r="2240" spans="1:12" hidden="1" x14ac:dyDescent="0.25">
      <c r="A2240">
        <v>2239</v>
      </c>
      <c r="B2240" s="1" t="s">
        <v>12</v>
      </c>
      <c r="C2240">
        <v>1957</v>
      </c>
      <c r="D2240" s="1" t="s">
        <v>231</v>
      </c>
      <c r="E2240" s="1" t="s">
        <v>30</v>
      </c>
      <c r="F2240">
        <v>18</v>
      </c>
      <c r="G2240" s="1" t="s">
        <v>98</v>
      </c>
      <c r="H2240">
        <v>18098</v>
      </c>
      <c r="I2240">
        <v>15</v>
      </c>
      <c r="J2240">
        <v>13</v>
      </c>
      <c r="K2240">
        <v>10</v>
      </c>
      <c r="L2240">
        <v>769</v>
      </c>
    </row>
    <row r="2241" spans="1:12" hidden="1" x14ac:dyDescent="0.25">
      <c r="A2241">
        <v>2240</v>
      </c>
      <c r="B2241" s="1" t="s">
        <v>12</v>
      </c>
      <c r="C2241">
        <v>1957</v>
      </c>
      <c r="D2241" s="1" t="s">
        <v>231</v>
      </c>
      <c r="E2241" s="1" t="s">
        <v>30</v>
      </c>
      <c r="F2241">
        <v>18</v>
      </c>
      <c r="G2241" s="1" t="s">
        <v>103</v>
      </c>
      <c r="H2241">
        <v>18154</v>
      </c>
      <c r="I2241">
        <v>15</v>
      </c>
      <c r="J2241">
        <v>13</v>
      </c>
      <c r="K2241">
        <v>11</v>
      </c>
      <c r="L2241">
        <v>846</v>
      </c>
    </row>
    <row r="2242" spans="1:12" hidden="1" x14ac:dyDescent="0.25">
      <c r="A2242">
        <v>2241</v>
      </c>
      <c r="B2242" s="1" t="s">
        <v>12</v>
      </c>
      <c r="C2242">
        <v>1957</v>
      </c>
      <c r="D2242" s="1" t="s">
        <v>231</v>
      </c>
      <c r="E2242" s="1" t="s">
        <v>30</v>
      </c>
      <c r="F2242">
        <v>18</v>
      </c>
      <c r="G2242" s="1" t="s">
        <v>63</v>
      </c>
      <c r="H2242">
        <v>18028</v>
      </c>
      <c r="I2242">
        <v>10</v>
      </c>
      <c r="J2242">
        <v>8</v>
      </c>
      <c r="K2242">
        <v>7</v>
      </c>
      <c r="L2242">
        <v>875</v>
      </c>
    </row>
    <row r="2243" spans="1:12" hidden="1" x14ac:dyDescent="0.25">
      <c r="A2243">
        <v>2242</v>
      </c>
      <c r="B2243" s="1" t="s">
        <v>12</v>
      </c>
      <c r="C2243">
        <v>1957</v>
      </c>
      <c r="D2243" s="1" t="s">
        <v>231</v>
      </c>
      <c r="E2243" s="1" t="s">
        <v>30</v>
      </c>
      <c r="F2243">
        <v>18</v>
      </c>
      <c r="G2243" s="1" t="s">
        <v>36</v>
      </c>
      <c r="H2243">
        <v>18133</v>
      </c>
      <c r="I2243">
        <v>10</v>
      </c>
      <c r="J2243">
        <v>8</v>
      </c>
      <c r="K2243">
        <v>7</v>
      </c>
      <c r="L2243">
        <v>875</v>
      </c>
    </row>
    <row r="2244" spans="1:12" hidden="1" x14ac:dyDescent="0.25">
      <c r="A2244">
        <v>2243</v>
      </c>
      <c r="B2244" s="1" t="s">
        <v>12</v>
      </c>
      <c r="C2244">
        <v>1957</v>
      </c>
      <c r="D2244" s="1" t="s">
        <v>231</v>
      </c>
      <c r="E2244" s="1" t="s">
        <v>30</v>
      </c>
      <c r="F2244">
        <v>18</v>
      </c>
      <c r="G2244" s="1" t="s">
        <v>102</v>
      </c>
      <c r="H2244">
        <v>18014</v>
      </c>
      <c r="I2244">
        <v>5</v>
      </c>
      <c r="J2244">
        <v>4</v>
      </c>
      <c r="K2244">
        <v>3</v>
      </c>
      <c r="L2244">
        <v>750</v>
      </c>
    </row>
    <row r="2245" spans="1:12" hidden="1" x14ac:dyDescent="0.25">
      <c r="A2245">
        <v>2244</v>
      </c>
      <c r="B2245" s="1" t="s">
        <v>12</v>
      </c>
      <c r="C2245">
        <v>1957</v>
      </c>
      <c r="D2245" s="1" t="s">
        <v>231</v>
      </c>
      <c r="E2245" s="1" t="s">
        <v>30</v>
      </c>
      <c r="F2245">
        <v>18</v>
      </c>
      <c r="G2245" s="1" t="s">
        <v>100</v>
      </c>
      <c r="H2245">
        <v>18077</v>
      </c>
      <c r="I2245">
        <v>5</v>
      </c>
      <c r="J2245">
        <v>4</v>
      </c>
      <c r="K2245">
        <v>3</v>
      </c>
      <c r="L2245">
        <v>750</v>
      </c>
    </row>
    <row r="2246" spans="1:12" hidden="1" x14ac:dyDescent="0.25">
      <c r="A2246">
        <v>2245</v>
      </c>
      <c r="B2246" s="1" t="s">
        <v>12</v>
      </c>
      <c r="C2246">
        <v>1957</v>
      </c>
      <c r="D2246" s="1" t="s">
        <v>231</v>
      </c>
      <c r="E2246" s="1" t="s">
        <v>30</v>
      </c>
      <c r="F2246">
        <v>18</v>
      </c>
      <c r="G2246" s="1" t="s">
        <v>39</v>
      </c>
      <c r="H2246">
        <v>18084</v>
      </c>
      <c r="I2246">
        <v>5</v>
      </c>
      <c r="J2246">
        <v>4</v>
      </c>
      <c r="K2246">
        <v>3</v>
      </c>
      <c r="L2246">
        <v>750</v>
      </c>
    </row>
    <row r="2247" spans="1:12" hidden="1" x14ac:dyDescent="0.25">
      <c r="A2247">
        <v>2246</v>
      </c>
      <c r="B2247" s="1" t="s">
        <v>12</v>
      </c>
      <c r="C2247">
        <v>1957</v>
      </c>
      <c r="D2247" s="1" t="s">
        <v>231</v>
      </c>
      <c r="E2247" s="1" t="s">
        <v>45</v>
      </c>
      <c r="F2247">
        <v>30</v>
      </c>
      <c r="G2247" s="1" t="s">
        <v>46</v>
      </c>
      <c r="H2247">
        <v>30028</v>
      </c>
      <c r="I2247">
        <v>87</v>
      </c>
      <c r="J2247">
        <v>75</v>
      </c>
      <c r="K2247">
        <v>47</v>
      </c>
      <c r="L2247">
        <v>627</v>
      </c>
    </row>
    <row r="2248" spans="1:12" hidden="1" x14ac:dyDescent="0.25">
      <c r="A2248">
        <v>2247</v>
      </c>
      <c r="B2248" s="1" t="s">
        <v>12</v>
      </c>
      <c r="C2248">
        <v>1957</v>
      </c>
      <c r="D2248" s="1" t="s">
        <v>231</v>
      </c>
      <c r="E2248" s="1" t="s">
        <v>45</v>
      </c>
      <c r="F2248">
        <v>30</v>
      </c>
      <c r="G2248" s="1" t="s">
        <v>47</v>
      </c>
      <c r="H2248">
        <v>30015</v>
      </c>
      <c r="I2248">
        <v>40</v>
      </c>
      <c r="J2248">
        <v>35</v>
      </c>
      <c r="K2248">
        <v>21</v>
      </c>
      <c r="L2248">
        <v>600</v>
      </c>
    </row>
    <row r="2249" spans="1:12" hidden="1" x14ac:dyDescent="0.25">
      <c r="A2249">
        <v>2248</v>
      </c>
      <c r="B2249" s="1" t="s">
        <v>12</v>
      </c>
      <c r="C2249">
        <v>1957</v>
      </c>
      <c r="D2249" s="1" t="s">
        <v>231</v>
      </c>
      <c r="E2249" s="1" t="s">
        <v>45</v>
      </c>
      <c r="F2249">
        <v>30</v>
      </c>
      <c r="G2249" s="1" t="s">
        <v>27</v>
      </c>
      <c r="H2249">
        <v>30008</v>
      </c>
      <c r="I2249">
        <v>3</v>
      </c>
      <c r="J2249">
        <v>3</v>
      </c>
      <c r="K2249">
        <v>2</v>
      </c>
      <c r="L2249">
        <v>667</v>
      </c>
    </row>
    <row r="2250" spans="1:12" hidden="1" x14ac:dyDescent="0.25">
      <c r="A2250">
        <v>2249</v>
      </c>
      <c r="B2250" s="1" t="s">
        <v>12</v>
      </c>
      <c r="C2250">
        <v>1957</v>
      </c>
      <c r="D2250" s="1" t="s">
        <v>231</v>
      </c>
      <c r="E2250" s="1" t="s">
        <v>48</v>
      </c>
      <c r="F2250">
        <v>34</v>
      </c>
      <c r="G2250" s="1" t="s">
        <v>51</v>
      </c>
      <c r="H2250">
        <v>34056</v>
      </c>
      <c r="I2250">
        <v>40</v>
      </c>
      <c r="J2250">
        <v>40</v>
      </c>
      <c r="K2250">
        <v>40</v>
      </c>
      <c r="L2250">
        <v>1000</v>
      </c>
    </row>
    <row r="2251" spans="1:12" hidden="1" x14ac:dyDescent="0.25">
      <c r="A2251">
        <v>2250</v>
      </c>
      <c r="B2251" s="1" t="s">
        <v>12</v>
      </c>
      <c r="C2251">
        <v>1957</v>
      </c>
      <c r="D2251" s="1" t="s">
        <v>231</v>
      </c>
      <c r="E2251" s="1" t="s">
        <v>48</v>
      </c>
      <c r="F2251">
        <v>34</v>
      </c>
      <c r="G2251" s="1" t="s">
        <v>49</v>
      </c>
      <c r="H2251">
        <v>34049</v>
      </c>
      <c r="I2251">
        <v>25</v>
      </c>
      <c r="J2251">
        <v>20</v>
      </c>
      <c r="K2251">
        <v>20</v>
      </c>
      <c r="L2251">
        <v>1000</v>
      </c>
    </row>
    <row r="2252" spans="1:12" hidden="1" x14ac:dyDescent="0.25">
      <c r="A2252">
        <v>2251</v>
      </c>
      <c r="B2252" s="1" t="s">
        <v>12</v>
      </c>
      <c r="C2252">
        <v>1957</v>
      </c>
      <c r="D2252" s="1" t="s">
        <v>231</v>
      </c>
      <c r="E2252" s="1" t="s">
        <v>48</v>
      </c>
      <c r="F2252">
        <v>34</v>
      </c>
      <c r="G2252" s="1" t="s">
        <v>48</v>
      </c>
      <c r="H2252">
        <v>34014</v>
      </c>
      <c r="I2252">
        <v>20</v>
      </c>
      <c r="J2252">
        <v>15</v>
      </c>
      <c r="K2252">
        <v>15</v>
      </c>
      <c r="L2252">
        <v>1000</v>
      </c>
    </row>
    <row r="2253" spans="1:12" hidden="1" x14ac:dyDescent="0.25">
      <c r="A2253">
        <v>2252</v>
      </c>
      <c r="B2253" s="1" t="s">
        <v>12</v>
      </c>
      <c r="C2253">
        <v>1957</v>
      </c>
      <c r="D2253" s="1" t="s">
        <v>231</v>
      </c>
      <c r="E2253" s="1" t="s">
        <v>48</v>
      </c>
      <c r="F2253">
        <v>34</v>
      </c>
      <c r="G2253" s="1" t="s">
        <v>108</v>
      </c>
      <c r="H2253">
        <v>34042</v>
      </c>
      <c r="I2253">
        <v>15</v>
      </c>
      <c r="J2253">
        <v>10</v>
      </c>
      <c r="K2253">
        <v>8</v>
      </c>
      <c r="L2253">
        <v>800</v>
      </c>
    </row>
    <row r="2254" spans="1:12" hidden="1" x14ac:dyDescent="0.25">
      <c r="A2254">
        <v>2253</v>
      </c>
      <c r="B2254" s="1" t="s">
        <v>12</v>
      </c>
      <c r="C2254">
        <v>1957</v>
      </c>
      <c r="D2254" s="1" t="s">
        <v>231</v>
      </c>
      <c r="E2254" s="1" t="s">
        <v>48</v>
      </c>
      <c r="F2254">
        <v>34</v>
      </c>
      <c r="G2254" s="1" t="s">
        <v>50</v>
      </c>
      <c r="H2254">
        <v>34021</v>
      </c>
      <c r="I2254">
        <v>10</v>
      </c>
      <c r="J2254">
        <v>10</v>
      </c>
      <c r="K2254">
        <v>11</v>
      </c>
      <c r="L2254">
        <v>1100</v>
      </c>
    </row>
    <row r="2255" spans="1:12" hidden="1" x14ac:dyDescent="0.25">
      <c r="A2255">
        <v>2254</v>
      </c>
      <c r="B2255" s="1" t="s">
        <v>12</v>
      </c>
      <c r="C2255">
        <v>1957</v>
      </c>
      <c r="D2255" s="1" t="s">
        <v>231</v>
      </c>
      <c r="E2255" s="1" t="s">
        <v>48</v>
      </c>
      <c r="F2255">
        <v>34</v>
      </c>
      <c r="G2255" s="1" t="s">
        <v>52</v>
      </c>
      <c r="H2255">
        <v>34035</v>
      </c>
      <c r="I2255">
        <v>10</v>
      </c>
      <c r="J2255">
        <v>8</v>
      </c>
      <c r="K2255">
        <v>6</v>
      </c>
      <c r="L2255">
        <v>750</v>
      </c>
    </row>
    <row r="2256" spans="1:12" hidden="1" x14ac:dyDescent="0.25">
      <c r="A2256">
        <v>2255</v>
      </c>
      <c r="B2256" s="1" t="s">
        <v>12</v>
      </c>
      <c r="C2256">
        <v>1957</v>
      </c>
      <c r="D2256" s="1" t="s">
        <v>231</v>
      </c>
      <c r="E2256" s="1" t="s">
        <v>58</v>
      </c>
      <c r="F2256">
        <v>54</v>
      </c>
      <c r="G2256" s="1" t="s">
        <v>60</v>
      </c>
      <c r="H2256">
        <v>54021</v>
      </c>
      <c r="I2256">
        <v>80</v>
      </c>
      <c r="J2256">
        <v>75</v>
      </c>
      <c r="K2256">
        <v>45</v>
      </c>
      <c r="L2256">
        <v>600</v>
      </c>
    </row>
    <row r="2257" spans="1:12" hidden="1" x14ac:dyDescent="0.25">
      <c r="A2257">
        <v>2256</v>
      </c>
      <c r="B2257" s="1" t="s">
        <v>12</v>
      </c>
      <c r="C2257">
        <v>1957</v>
      </c>
      <c r="D2257" s="1" t="s">
        <v>231</v>
      </c>
      <c r="E2257" s="1" t="s">
        <v>58</v>
      </c>
      <c r="F2257">
        <v>54</v>
      </c>
      <c r="G2257" s="1" t="s">
        <v>242</v>
      </c>
      <c r="H2257">
        <v>54091</v>
      </c>
      <c r="I2257">
        <v>73</v>
      </c>
      <c r="J2257">
        <v>68</v>
      </c>
      <c r="K2257">
        <v>39</v>
      </c>
      <c r="L2257">
        <v>574</v>
      </c>
    </row>
    <row r="2258" spans="1:12" hidden="1" x14ac:dyDescent="0.25">
      <c r="A2258">
        <v>2257</v>
      </c>
      <c r="B2258" s="1" t="s">
        <v>12</v>
      </c>
      <c r="C2258">
        <v>1957</v>
      </c>
      <c r="D2258" s="1" t="s">
        <v>231</v>
      </c>
      <c r="E2258" s="1" t="s">
        <v>58</v>
      </c>
      <c r="F2258">
        <v>54</v>
      </c>
      <c r="G2258" s="1" t="s">
        <v>61</v>
      </c>
      <c r="H2258">
        <v>54098</v>
      </c>
      <c r="I2258">
        <v>53</v>
      </c>
      <c r="J2258">
        <v>50</v>
      </c>
      <c r="K2258">
        <v>25</v>
      </c>
      <c r="L2258">
        <v>500</v>
      </c>
    </row>
    <row r="2259" spans="1:12" hidden="1" x14ac:dyDescent="0.25">
      <c r="A2259">
        <v>2258</v>
      </c>
      <c r="B2259" s="1" t="s">
        <v>12</v>
      </c>
      <c r="C2259">
        <v>1957</v>
      </c>
      <c r="D2259" s="1" t="s">
        <v>231</v>
      </c>
      <c r="E2259" s="1" t="s">
        <v>58</v>
      </c>
      <c r="F2259">
        <v>54</v>
      </c>
      <c r="G2259" s="1" t="s">
        <v>63</v>
      </c>
      <c r="H2259">
        <v>54035</v>
      </c>
      <c r="I2259">
        <v>25</v>
      </c>
      <c r="J2259">
        <v>23</v>
      </c>
      <c r="K2259">
        <v>12</v>
      </c>
      <c r="L2259">
        <v>522</v>
      </c>
    </row>
    <row r="2260" spans="1:12" hidden="1" x14ac:dyDescent="0.25">
      <c r="A2260">
        <v>2259</v>
      </c>
      <c r="B2260" s="1" t="s">
        <v>12</v>
      </c>
      <c r="C2260">
        <v>1957</v>
      </c>
      <c r="D2260" s="1" t="s">
        <v>231</v>
      </c>
      <c r="E2260" s="1" t="s">
        <v>58</v>
      </c>
      <c r="F2260">
        <v>54</v>
      </c>
      <c r="G2260" s="1" t="s">
        <v>243</v>
      </c>
      <c r="H2260">
        <v>54070</v>
      </c>
      <c r="I2260">
        <v>25</v>
      </c>
      <c r="J2260">
        <v>22</v>
      </c>
      <c r="K2260">
        <v>14</v>
      </c>
      <c r="L2260">
        <v>636</v>
      </c>
    </row>
    <row r="2261" spans="1:12" hidden="1" x14ac:dyDescent="0.25">
      <c r="A2261">
        <v>2260</v>
      </c>
      <c r="B2261" s="1" t="s">
        <v>12</v>
      </c>
      <c r="C2261">
        <v>1957</v>
      </c>
      <c r="D2261" s="1" t="s">
        <v>231</v>
      </c>
      <c r="E2261" s="1" t="s">
        <v>58</v>
      </c>
      <c r="F2261">
        <v>54</v>
      </c>
      <c r="G2261" s="1" t="s">
        <v>62</v>
      </c>
      <c r="H2261">
        <v>54105</v>
      </c>
      <c r="I2261">
        <v>25</v>
      </c>
      <c r="J2261">
        <v>22</v>
      </c>
      <c r="K2261">
        <v>14</v>
      </c>
      <c r="L2261">
        <v>636</v>
      </c>
    </row>
    <row r="2262" spans="1:12" hidden="1" x14ac:dyDescent="0.25">
      <c r="A2262">
        <v>2261</v>
      </c>
      <c r="B2262" s="1" t="s">
        <v>12</v>
      </c>
      <c r="C2262">
        <v>1957</v>
      </c>
      <c r="D2262" s="1" t="s">
        <v>231</v>
      </c>
      <c r="E2262" s="1" t="s">
        <v>58</v>
      </c>
      <c r="F2262">
        <v>54</v>
      </c>
      <c r="G2262" s="1" t="s">
        <v>150</v>
      </c>
      <c r="H2262">
        <v>54014</v>
      </c>
      <c r="I2262">
        <v>22</v>
      </c>
      <c r="J2262">
        <v>21</v>
      </c>
      <c r="K2262">
        <v>10</v>
      </c>
      <c r="L2262">
        <v>476</v>
      </c>
    </row>
    <row r="2263" spans="1:12" hidden="1" x14ac:dyDescent="0.25">
      <c r="A2263">
        <v>2262</v>
      </c>
      <c r="B2263" s="1" t="s">
        <v>12</v>
      </c>
      <c r="C2263">
        <v>1957</v>
      </c>
      <c r="D2263" s="1" t="s">
        <v>231</v>
      </c>
      <c r="E2263" s="1" t="s">
        <v>58</v>
      </c>
      <c r="F2263">
        <v>54</v>
      </c>
      <c r="G2263" s="1" t="s">
        <v>244</v>
      </c>
      <c r="H2263">
        <v>54084</v>
      </c>
      <c r="I2263">
        <v>22</v>
      </c>
      <c r="J2263">
        <v>21</v>
      </c>
      <c r="K2263">
        <v>10</v>
      </c>
      <c r="L2263">
        <v>476</v>
      </c>
    </row>
    <row r="2264" spans="1:12" hidden="1" x14ac:dyDescent="0.25">
      <c r="A2264">
        <v>2263</v>
      </c>
      <c r="B2264" s="1" t="s">
        <v>12</v>
      </c>
      <c r="C2264">
        <v>1957</v>
      </c>
      <c r="D2264" s="1" t="s">
        <v>231</v>
      </c>
      <c r="E2264" s="1" t="s">
        <v>58</v>
      </c>
      <c r="F2264">
        <v>54</v>
      </c>
      <c r="G2264" s="1" t="s">
        <v>59</v>
      </c>
      <c r="H2264">
        <v>54007</v>
      </c>
      <c r="I2264">
        <v>20</v>
      </c>
      <c r="J2264">
        <v>18</v>
      </c>
      <c r="K2264">
        <v>11</v>
      </c>
      <c r="L2264">
        <v>611</v>
      </c>
    </row>
    <row r="2265" spans="1:12" hidden="1" x14ac:dyDescent="0.25">
      <c r="A2265">
        <v>2264</v>
      </c>
      <c r="B2265" s="1" t="s">
        <v>12</v>
      </c>
      <c r="C2265">
        <v>1957</v>
      </c>
      <c r="D2265" s="1" t="s">
        <v>231</v>
      </c>
      <c r="E2265" s="1" t="s">
        <v>58</v>
      </c>
      <c r="F2265">
        <v>54</v>
      </c>
      <c r="G2265" s="1" t="s">
        <v>245</v>
      </c>
      <c r="H2265">
        <v>54042</v>
      </c>
      <c r="I2265">
        <v>15</v>
      </c>
      <c r="J2265">
        <v>12</v>
      </c>
      <c r="K2265">
        <v>6</v>
      </c>
      <c r="L2265">
        <v>500</v>
      </c>
    </row>
    <row r="2266" spans="1:12" hidden="1" x14ac:dyDescent="0.25">
      <c r="A2266">
        <v>2265</v>
      </c>
      <c r="B2266" s="1" t="s">
        <v>12</v>
      </c>
      <c r="C2266">
        <v>1957</v>
      </c>
      <c r="D2266" s="1" t="s">
        <v>231</v>
      </c>
      <c r="E2266" s="1" t="s">
        <v>58</v>
      </c>
      <c r="F2266">
        <v>54</v>
      </c>
      <c r="G2266" s="1" t="s">
        <v>152</v>
      </c>
      <c r="H2266">
        <v>54063</v>
      </c>
      <c r="I2266">
        <v>15</v>
      </c>
      <c r="J2266">
        <v>14</v>
      </c>
      <c r="K2266">
        <v>6</v>
      </c>
      <c r="L2266">
        <v>429</v>
      </c>
    </row>
    <row r="2267" spans="1:12" hidden="1" x14ac:dyDescent="0.25">
      <c r="A2267">
        <v>2266</v>
      </c>
      <c r="B2267" s="1" t="s">
        <v>12</v>
      </c>
      <c r="C2267">
        <v>1957</v>
      </c>
      <c r="D2267" s="1" t="s">
        <v>231</v>
      </c>
      <c r="E2267" s="1" t="s">
        <v>58</v>
      </c>
      <c r="F2267">
        <v>54</v>
      </c>
      <c r="G2267" s="1" t="s">
        <v>119</v>
      </c>
      <c r="H2267">
        <v>54077</v>
      </c>
      <c r="I2267">
        <v>15</v>
      </c>
      <c r="J2267">
        <v>14</v>
      </c>
      <c r="K2267">
        <v>8</v>
      </c>
      <c r="L2267">
        <v>571</v>
      </c>
    </row>
    <row r="2268" spans="1:12" hidden="1" x14ac:dyDescent="0.25">
      <c r="A2268">
        <v>2267</v>
      </c>
      <c r="B2268" s="1" t="s">
        <v>12</v>
      </c>
      <c r="C2268">
        <v>1957</v>
      </c>
      <c r="D2268" s="1" t="s">
        <v>231</v>
      </c>
      <c r="E2268" s="1" t="s">
        <v>87</v>
      </c>
      <c r="F2268">
        <v>66</v>
      </c>
      <c r="G2268" s="1" t="s">
        <v>153</v>
      </c>
      <c r="H2268">
        <v>66007</v>
      </c>
      <c r="I2268">
        <v>159</v>
      </c>
      <c r="J2268">
        <v>127</v>
      </c>
      <c r="K2268">
        <v>128</v>
      </c>
      <c r="L2268">
        <v>1008</v>
      </c>
    </row>
    <row r="2269" spans="1:12" hidden="1" x14ac:dyDescent="0.25">
      <c r="A2269">
        <v>2268</v>
      </c>
      <c r="B2269" s="1" t="s">
        <v>12</v>
      </c>
      <c r="C2269">
        <v>1957</v>
      </c>
      <c r="D2269" s="1" t="s">
        <v>231</v>
      </c>
      <c r="E2269" s="1" t="s">
        <v>87</v>
      </c>
      <c r="F2269">
        <v>66</v>
      </c>
      <c r="G2269" s="1" t="s">
        <v>230</v>
      </c>
      <c r="H2269">
        <v>66056</v>
      </c>
      <c r="I2269">
        <v>15</v>
      </c>
      <c r="J2269">
        <v>12</v>
      </c>
      <c r="K2269">
        <v>14</v>
      </c>
      <c r="L2269">
        <v>1167</v>
      </c>
    </row>
    <row r="2270" spans="1:12" hidden="1" x14ac:dyDescent="0.25">
      <c r="A2270">
        <v>2269</v>
      </c>
      <c r="B2270" s="1" t="s">
        <v>12</v>
      </c>
      <c r="C2270">
        <v>1957</v>
      </c>
      <c r="D2270" s="1" t="s">
        <v>231</v>
      </c>
      <c r="E2270" s="1" t="s">
        <v>87</v>
      </c>
      <c r="F2270">
        <v>66</v>
      </c>
      <c r="G2270" s="1" t="s">
        <v>141</v>
      </c>
      <c r="H2270">
        <v>66112</v>
      </c>
      <c r="I2270">
        <v>4</v>
      </c>
      <c r="J2270">
        <v>4</v>
      </c>
      <c r="K2270">
        <v>5</v>
      </c>
      <c r="L2270">
        <v>1250</v>
      </c>
    </row>
    <row r="2271" spans="1:12" hidden="1" x14ac:dyDescent="0.25">
      <c r="A2271">
        <v>2270</v>
      </c>
      <c r="B2271" s="1" t="s">
        <v>12</v>
      </c>
      <c r="C2271">
        <v>1957</v>
      </c>
      <c r="D2271" s="1" t="s">
        <v>231</v>
      </c>
      <c r="E2271" s="1" t="s">
        <v>87</v>
      </c>
      <c r="F2271">
        <v>66</v>
      </c>
      <c r="G2271" s="1" t="s">
        <v>130</v>
      </c>
      <c r="H2271">
        <v>66147</v>
      </c>
      <c r="I2271">
        <v>2</v>
      </c>
      <c r="J2271">
        <v>2</v>
      </c>
      <c r="K2271">
        <v>3</v>
      </c>
      <c r="L2271">
        <v>1500</v>
      </c>
    </row>
    <row r="2272" spans="1:12" hidden="1" x14ac:dyDescent="0.25">
      <c r="A2272">
        <v>2271</v>
      </c>
      <c r="B2272" s="1" t="s">
        <v>12</v>
      </c>
      <c r="C2272">
        <v>1957</v>
      </c>
      <c r="D2272" s="1" t="s">
        <v>231</v>
      </c>
      <c r="E2272" s="1" t="s">
        <v>64</v>
      </c>
      <c r="F2272">
        <v>82</v>
      </c>
      <c r="G2272" s="1" t="s">
        <v>66</v>
      </c>
      <c r="H2272">
        <v>82035</v>
      </c>
      <c r="I2272">
        <v>380</v>
      </c>
      <c r="J2272">
        <v>380</v>
      </c>
      <c r="K2272">
        <v>950</v>
      </c>
      <c r="L2272">
        <v>2500</v>
      </c>
    </row>
    <row r="2273" spans="1:12" hidden="1" x14ac:dyDescent="0.25">
      <c r="A2273">
        <v>2272</v>
      </c>
      <c r="B2273" s="1" t="s">
        <v>12</v>
      </c>
      <c r="C2273">
        <v>1957</v>
      </c>
      <c r="D2273" s="1" t="s">
        <v>231</v>
      </c>
      <c r="E2273" s="1" t="s">
        <v>64</v>
      </c>
      <c r="F2273">
        <v>82</v>
      </c>
      <c r="G2273" s="1" t="s">
        <v>65</v>
      </c>
      <c r="H2273">
        <v>82049</v>
      </c>
      <c r="I2273">
        <v>20</v>
      </c>
      <c r="J2273">
        <v>20</v>
      </c>
      <c r="K2273">
        <v>20</v>
      </c>
      <c r="L2273">
        <v>1000</v>
      </c>
    </row>
    <row r="2274" spans="1:12" hidden="1" x14ac:dyDescent="0.25">
      <c r="A2274">
        <v>2273</v>
      </c>
      <c r="B2274" s="1" t="s">
        <v>12</v>
      </c>
      <c r="C2274">
        <v>1957</v>
      </c>
      <c r="D2274" s="1" t="s">
        <v>231</v>
      </c>
      <c r="E2274" s="1" t="s">
        <v>77</v>
      </c>
      <c r="F2274">
        <v>90</v>
      </c>
      <c r="G2274" s="1" t="s">
        <v>91</v>
      </c>
      <c r="H2274">
        <v>90014</v>
      </c>
      <c r="I2274">
        <v>10</v>
      </c>
      <c r="J2274">
        <v>6</v>
      </c>
      <c r="K2274">
        <v>6</v>
      </c>
      <c r="L2274">
        <v>1000</v>
      </c>
    </row>
    <row r="2275" spans="1:12" hidden="1" x14ac:dyDescent="0.25">
      <c r="A2275">
        <v>2274</v>
      </c>
      <c r="B2275" s="1" t="s">
        <v>12</v>
      </c>
      <c r="C2275">
        <v>1957</v>
      </c>
      <c r="D2275" s="1" t="s">
        <v>231</v>
      </c>
      <c r="E2275" s="1" t="s">
        <v>77</v>
      </c>
      <c r="F2275">
        <v>90</v>
      </c>
      <c r="G2275" s="1" t="s">
        <v>92</v>
      </c>
      <c r="H2275">
        <v>90056</v>
      </c>
      <c r="I2275">
        <v>10</v>
      </c>
      <c r="J2275">
        <v>7</v>
      </c>
      <c r="K2275">
        <v>7</v>
      </c>
      <c r="L2275">
        <v>1000</v>
      </c>
    </row>
    <row r="2276" spans="1:12" hidden="1" x14ac:dyDescent="0.25">
      <c r="A2276">
        <v>2275</v>
      </c>
      <c r="B2276" s="1" t="s">
        <v>12</v>
      </c>
      <c r="C2276">
        <v>1957</v>
      </c>
      <c r="D2276" s="1" t="s">
        <v>231</v>
      </c>
      <c r="E2276" s="1" t="s">
        <v>77</v>
      </c>
      <c r="F2276">
        <v>90</v>
      </c>
      <c r="G2276" s="1" t="s">
        <v>95</v>
      </c>
      <c r="H2276">
        <v>90035</v>
      </c>
      <c r="I2276">
        <v>8</v>
      </c>
      <c r="J2276">
        <v>7</v>
      </c>
      <c r="K2276">
        <v>7</v>
      </c>
      <c r="L2276">
        <v>1000</v>
      </c>
    </row>
    <row r="2277" spans="1:12" hidden="1" x14ac:dyDescent="0.25">
      <c r="A2277">
        <v>2276</v>
      </c>
      <c r="B2277" s="1" t="s">
        <v>12</v>
      </c>
      <c r="C2277">
        <v>1957</v>
      </c>
      <c r="D2277" s="1" t="s">
        <v>231</v>
      </c>
      <c r="E2277" s="1" t="s">
        <v>77</v>
      </c>
      <c r="F2277">
        <v>90</v>
      </c>
      <c r="G2277" s="1" t="s">
        <v>78</v>
      </c>
      <c r="H2277">
        <v>90007</v>
      </c>
      <c r="I2277">
        <v>3</v>
      </c>
      <c r="J2277">
        <v>3</v>
      </c>
      <c r="K2277">
        <v>3</v>
      </c>
      <c r="L2277">
        <v>1000</v>
      </c>
    </row>
    <row r="2278" spans="1:12" hidden="1" x14ac:dyDescent="0.25">
      <c r="A2278">
        <v>2277</v>
      </c>
      <c r="B2278" s="1" t="s">
        <v>12</v>
      </c>
      <c r="C2278">
        <v>1957</v>
      </c>
      <c r="D2278" s="1" t="s">
        <v>231</v>
      </c>
      <c r="E2278" s="1" t="s">
        <v>77</v>
      </c>
      <c r="F2278">
        <v>90</v>
      </c>
      <c r="G2278" s="1" t="s">
        <v>109</v>
      </c>
      <c r="H2278">
        <v>90077</v>
      </c>
      <c r="I2278">
        <v>3</v>
      </c>
      <c r="J2278">
        <v>1</v>
      </c>
      <c r="K2278">
        <v>1</v>
      </c>
      <c r="L2278">
        <v>1000</v>
      </c>
    </row>
    <row r="2279" spans="1:12" hidden="1" x14ac:dyDescent="0.25">
      <c r="A2279">
        <v>2278</v>
      </c>
      <c r="B2279" s="1" t="s">
        <v>12</v>
      </c>
      <c r="C2279">
        <v>1957</v>
      </c>
      <c r="D2279" s="1" t="s">
        <v>231</v>
      </c>
      <c r="E2279" s="1" t="s">
        <v>77</v>
      </c>
      <c r="F2279">
        <v>90</v>
      </c>
      <c r="G2279" s="1" t="s">
        <v>110</v>
      </c>
      <c r="H2279">
        <v>90021</v>
      </c>
      <c r="I2279">
        <v>2</v>
      </c>
      <c r="J2279">
        <v>2</v>
      </c>
      <c r="K2279">
        <v>2</v>
      </c>
      <c r="L2279">
        <v>1000</v>
      </c>
    </row>
    <row r="2280" spans="1:12" hidden="1" x14ac:dyDescent="0.25">
      <c r="A2280">
        <v>2279</v>
      </c>
      <c r="B2280" s="1" t="s">
        <v>12</v>
      </c>
      <c r="C2280">
        <v>1957</v>
      </c>
      <c r="D2280" s="1" t="s">
        <v>231</v>
      </c>
      <c r="E2280" s="1" t="s">
        <v>77</v>
      </c>
      <c r="F2280">
        <v>90</v>
      </c>
      <c r="G2280" s="1" t="s">
        <v>93</v>
      </c>
      <c r="H2280">
        <v>90070</v>
      </c>
      <c r="I2280">
        <v>2</v>
      </c>
      <c r="J2280">
        <v>2</v>
      </c>
      <c r="K2280">
        <v>2</v>
      </c>
      <c r="L2280">
        <v>1000</v>
      </c>
    </row>
    <row r="2281" spans="1:12" hidden="1" x14ac:dyDescent="0.25">
      <c r="A2281">
        <v>2280</v>
      </c>
      <c r="B2281" s="1" t="s">
        <v>12</v>
      </c>
      <c r="C2281">
        <v>1957</v>
      </c>
      <c r="D2281" s="1" t="s">
        <v>231</v>
      </c>
      <c r="E2281" s="1" t="s">
        <v>77</v>
      </c>
      <c r="F2281">
        <v>90</v>
      </c>
      <c r="G2281" s="1" t="s">
        <v>28</v>
      </c>
      <c r="H2281">
        <v>90084</v>
      </c>
      <c r="I2281">
        <v>1</v>
      </c>
      <c r="J2281">
        <v>1</v>
      </c>
      <c r="K2281">
        <v>1</v>
      </c>
      <c r="L2281">
        <v>1000</v>
      </c>
    </row>
    <row r="2282" spans="1:12" hidden="1" x14ac:dyDescent="0.25">
      <c r="A2282">
        <v>2281</v>
      </c>
      <c r="B2282" s="1" t="s">
        <v>12</v>
      </c>
      <c r="C2282">
        <v>1957</v>
      </c>
      <c r="D2282" s="1" t="s">
        <v>231</v>
      </c>
      <c r="E2282" s="1" t="s">
        <v>77</v>
      </c>
      <c r="F2282">
        <v>90</v>
      </c>
      <c r="G2282" s="1" t="s">
        <v>90</v>
      </c>
      <c r="H2282">
        <v>90112</v>
      </c>
      <c r="I2282">
        <v>1</v>
      </c>
      <c r="J2282">
        <v>1</v>
      </c>
      <c r="K2282">
        <v>1</v>
      </c>
      <c r="L2282">
        <v>1000</v>
      </c>
    </row>
    <row r="2283" spans="1:12" hidden="1" x14ac:dyDescent="0.25">
      <c r="A2283">
        <v>2282</v>
      </c>
      <c r="B2283" s="1" t="s">
        <v>12</v>
      </c>
      <c r="C2283">
        <v>1958</v>
      </c>
      <c r="D2283" s="1" t="s">
        <v>246</v>
      </c>
      <c r="E2283" s="1" t="s">
        <v>14</v>
      </c>
      <c r="F2283">
        <v>22</v>
      </c>
      <c r="G2283" s="1" t="s">
        <v>119</v>
      </c>
      <c r="H2283">
        <v>22084</v>
      </c>
      <c r="I2283">
        <v>700</v>
      </c>
      <c r="J2283">
        <v>400</v>
      </c>
      <c r="K2283">
        <v>190</v>
      </c>
      <c r="L2283">
        <v>475</v>
      </c>
    </row>
    <row r="2284" spans="1:12" hidden="1" x14ac:dyDescent="0.25">
      <c r="A2284">
        <v>2283</v>
      </c>
      <c r="B2284" s="1" t="s">
        <v>12</v>
      </c>
      <c r="C2284">
        <v>1958</v>
      </c>
      <c r="D2284" s="1" t="s">
        <v>246</v>
      </c>
      <c r="E2284" s="1" t="s">
        <v>14</v>
      </c>
      <c r="F2284">
        <v>22</v>
      </c>
      <c r="G2284" s="1" t="s">
        <v>226</v>
      </c>
      <c r="H2284">
        <v>22154</v>
      </c>
      <c r="I2284">
        <v>60</v>
      </c>
      <c r="J2284">
        <v>30</v>
      </c>
      <c r="K2284">
        <v>15</v>
      </c>
      <c r="L2284">
        <v>500</v>
      </c>
    </row>
    <row r="2285" spans="1:12" hidden="1" x14ac:dyDescent="0.25">
      <c r="A2285">
        <v>2284</v>
      </c>
      <c r="B2285" s="1" t="s">
        <v>12</v>
      </c>
      <c r="C2285">
        <v>1958</v>
      </c>
      <c r="D2285" s="1" t="s">
        <v>246</v>
      </c>
      <c r="E2285" s="1" t="s">
        <v>14</v>
      </c>
      <c r="F2285">
        <v>22</v>
      </c>
      <c r="G2285" s="1" t="s">
        <v>232</v>
      </c>
      <c r="H2285">
        <v>22105</v>
      </c>
      <c r="I2285">
        <v>58</v>
      </c>
      <c r="J2285">
        <v>55</v>
      </c>
      <c r="K2285">
        <v>27</v>
      </c>
      <c r="L2285">
        <v>491</v>
      </c>
    </row>
    <row r="2286" spans="1:12" hidden="1" x14ac:dyDescent="0.25">
      <c r="A2286">
        <v>2285</v>
      </c>
      <c r="B2286" s="1" t="s">
        <v>12</v>
      </c>
      <c r="C2286">
        <v>1958</v>
      </c>
      <c r="D2286" s="1" t="s">
        <v>246</v>
      </c>
      <c r="E2286" s="1" t="s">
        <v>14</v>
      </c>
      <c r="F2286">
        <v>22</v>
      </c>
      <c r="G2286" s="1" t="s">
        <v>233</v>
      </c>
      <c r="H2286">
        <v>22133</v>
      </c>
      <c r="I2286">
        <v>35</v>
      </c>
      <c r="J2286">
        <v>33</v>
      </c>
      <c r="K2286">
        <v>19</v>
      </c>
      <c r="L2286">
        <v>576</v>
      </c>
    </row>
    <row r="2287" spans="1:12" hidden="1" x14ac:dyDescent="0.25">
      <c r="A2287">
        <v>2286</v>
      </c>
      <c r="B2287" s="1" t="s">
        <v>12</v>
      </c>
      <c r="C2287">
        <v>1958</v>
      </c>
      <c r="D2287" s="1" t="s">
        <v>246</v>
      </c>
      <c r="E2287" s="1" t="s">
        <v>14</v>
      </c>
      <c r="F2287">
        <v>22</v>
      </c>
      <c r="G2287" s="1" t="s">
        <v>183</v>
      </c>
      <c r="H2287">
        <v>22049</v>
      </c>
      <c r="I2287">
        <v>32</v>
      </c>
      <c r="J2287">
        <v>30</v>
      </c>
      <c r="K2287">
        <v>17</v>
      </c>
      <c r="L2287">
        <v>567</v>
      </c>
    </row>
    <row r="2288" spans="1:12" hidden="1" x14ac:dyDescent="0.25">
      <c r="A2288">
        <v>2287</v>
      </c>
      <c r="B2288" s="1" t="s">
        <v>12</v>
      </c>
      <c r="C2288">
        <v>1958</v>
      </c>
      <c r="D2288" s="1" t="s">
        <v>246</v>
      </c>
      <c r="E2288" s="1" t="s">
        <v>14</v>
      </c>
      <c r="F2288">
        <v>22</v>
      </c>
      <c r="G2288" s="1" t="s">
        <v>234</v>
      </c>
      <c r="H2288">
        <v>22168</v>
      </c>
      <c r="I2288">
        <v>30</v>
      </c>
      <c r="J2288">
        <v>21</v>
      </c>
      <c r="K2288">
        <v>11</v>
      </c>
      <c r="L2288">
        <v>524</v>
      </c>
    </row>
    <row r="2289" spans="1:12" hidden="1" x14ac:dyDescent="0.25">
      <c r="A2289">
        <v>2288</v>
      </c>
      <c r="B2289" s="1" t="s">
        <v>12</v>
      </c>
      <c r="C2289">
        <v>1958</v>
      </c>
      <c r="D2289" s="1" t="s">
        <v>246</v>
      </c>
      <c r="E2289" s="1" t="s">
        <v>14</v>
      </c>
      <c r="F2289">
        <v>22</v>
      </c>
      <c r="G2289" s="1" t="s">
        <v>19</v>
      </c>
      <c r="H2289">
        <v>22014</v>
      </c>
      <c r="I2289">
        <v>16</v>
      </c>
      <c r="J2289">
        <v>10</v>
      </c>
      <c r="K2289">
        <v>3</v>
      </c>
      <c r="L2289">
        <v>300</v>
      </c>
    </row>
    <row r="2290" spans="1:12" hidden="1" x14ac:dyDescent="0.25">
      <c r="A2290">
        <v>2289</v>
      </c>
      <c r="B2290" s="1" t="s">
        <v>12</v>
      </c>
      <c r="C2290">
        <v>1958</v>
      </c>
      <c r="D2290" s="1" t="s">
        <v>246</v>
      </c>
      <c r="E2290" s="1" t="s">
        <v>14</v>
      </c>
      <c r="F2290">
        <v>22</v>
      </c>
      <c r="G2290" s="1" t="s">
        <v>227</v>
      </c>
      <c r="H2290">
        <v>22056</v>
      </c>
      <c r="I2290">
        <v>15</v>
      </c>
      <c r="J2290">
        <v>5</v>
      </c>
      <c r="K2290">
        <v>1</v>
      </c>
      <c r="L2290">
        <v>200</v>
      </c>
    </row>
    <row r="2291" spans="1:12" hidden="1" x14ac:dyDescent="0.25">
      <c r="A2291">
        <v>2290</v>
      </c>
      <c r="B2291" s="1" t="s">
        <v>12</v>
      </c>
      <c r="C2291">
        <v>1958</v>
      </c>
      <c r="D2291" s="1" t="s">
        <v>246</v>
      </c>
      <c r="E2291" s="1" t="s">
        <v>14</v>
      </c>
      <c r="F2291">
        <v>22</v>
      </c>
      <c r="G2291" s="1" t="s">
        <v>225</v>
      </c>
      <c r="H2291">
        <v>22119</v>
      </c>
      <c r="I2291">
        <v>15</v>
      </c>
      <c r="J2291">
        <v>9</v>
      </c>
      <c r="K2291">
        <v>5</v>
      </c>
      <c r="L2291">
        <v>556</v>
      </c>
    </row>
    <row r="2292" spans="1:12" hidden="1" x14ac:dyDescent="0.25">
      <c r="A2292">
        <v>2291</v>
      </c>
      <c r="B2292" s="1" t="s">
        <v>12</v>
      </c>
      <c r="C2292">
        <v>1958</v>
      </c>
      <c r="D2292" s="1" t="s">
        <v>246</v>
      </c>
      <c r="E2292" s="1" t="s">
        <v>14</v>
      </c>
      <c r="F2292">
        <v>22</v>
      </c>
      <c r="G2292" s="1" t="s">
        <v>235</v>
      </c>
      <c r="H2292">
        <v>22140</v>
      </c>
      <c r="I2292">
        <v>8</v>
      </c>
      <c r="J2292">
        <v>4</v>
      </c>
      <c r="K2292">
        <v>2</v>
      </c>
      <c r="L2292">
        <v>500</v>
      </c>
    </row>
    <row r="2293" spans="1:12" hidden="1" x14ac:dyDescent="0.25">
      <c r="A2293">
        <v>2292</v>
      </c>
      <c r="B2293" s="1" t="s">
        <v>12</v>
      </c>
      <c r="C2293">
        <v>1958</v>
      </c>
      <c r="D2293" s="1" t="s">
        <v>246</v>
      </c>
      <c r="E2293" s="1" t="s">
        <v>14</v>
      </c>
      <c r="F2293">
        <v>22</v>
      </c>
      <c r="G2293" s="1" t="s">
        <v>236</v>
      </c>
      <c r="H2293">
        <v>22063</v>
      </c>
      <c r="I2293">
        <v>7</v>
      </c>
      <c r="J2293">
        <v>7</v>
      </c>
      <c r="K2293">
        <v>4</v>
      </c>
      <c r="L2293">
        <v>571</v>
      </c>
    </row>
    <row r="2294" spans="1:12" hidden="1" x14ac:dyDescent="0.25">
      <c r="A2294">
        <v>2293</v>
      </c>
      <c r="B2294" s="1" t="s">
        <v>12</v>
      </c>
      <c r="C2294">
        <v>1958</v>
      </c>
      <c r="D2294" s="1" t="s">
        <v>246</v>
      </c>
      <c r="E2294" s="1" t="s">
        <v>14</v>
      </c>
      <c r="F2294">
        <v>22</v>
      </c>
      <c r="G2294" s="1" t="s">
        <v>118</v>
      </c>
      <c r="H2294">
        <v>22028</v>
      </c>
      <c r="I2294">
        <v>5</v>
      </c>
      <c r="J2294">
        <v>5</v>
      </c>
      <c r="K2294">
        <v>3</v>
      </c>
      <c r="L2294">
        <v>600</v>
      </c>
    </row>
    <row r="2295" spans="1:12" hidden="1" x14ac:dyDescent="0.25">
      <c r="A2295">
        <v>2294</v>
      </c>
      <c r="B2295" s="1" t="s">
        <v>12</v>
      </c>
      <c r="C2295">
        <v>1958</v>
      </c>
      <c r="D2295" s="1" t="s">
        <v>246</v>
      </c>
      <c r="E2295" s="1" t="s">
        <v>14</v>
      </c>
      <c r="F2295">
        <v>22</v>
      </c>
      <c r="G2295" s="1" t="s">
        <v>237</v>
      </c>
      <c r="H2295">
        <v>22091</v>
      </c>
      <c r="I2295">
        <v>4</v>
      </c>
      <c r="J2295">
        <v>4</v>
      </c>
      <c r="K2295">
        <v>2</v>
      </c>
      <c r="L2295">
        <v>500</v>
      </c>
    </row>
    <row r="2296" spans="1:12" hidden="1" x14ac:dyDescent="0.25">
      <c r="A2296">
        <v>2295</v>
      </c>
      <c r="B2296" s="1" t="s">
        <v>12</v>
      </c>
      <c r="C2296">
        <v>1958</v>
      </c>
      <c r="D2296" s="1" t="s">
        <v>246</v>
      </c>
      <c r="E2296" s="1" t="s">
        <v>14</v>
      </c>
      <c r="F2296">
        <v>22</v>
      </c>
      <c r="G2296" s="1" t="s">
        <v>240</v>
      </c>
      <c r="H2296">
        <v>22021</v>
      </c>
      <c r="I2296">
        <v>3</v>
      </c>
      <c r="J2296">
        <v>3</v>
      </c>
      <c r="K2296">
        <v>1</v>
      </c>
      <c r="L2296">
        <v>333</v>
      </c>
    </row>
    <row r="2297" spans="1:12" hidden="1" x14ac:dyDescent="0.25">
      <c r="A2297">
        <v>2296</v>
      </c>
      <c r="B2297" s="1" t="s">
        <v>12</v>
      </c>
      <c r="C2297">
        <v>1958</v>
      </c>
      <c r="D2297" s="1" t="s">
        <v>246</v>
      </c>
      <c r="E2297" s="1" t="s">
        <v>14</v>
      </c>
      <c r="F2297">
        <v>22</v>
      </c>
      <c r="G2297" s="1" t="s">
        <v>238</v>
      </c>
      <c r="H2297">
        <v>22036</v>
      </c>
      <c r="I2297">
        <v>3</v>
      </c>
      <c r="J2297">
        <v>3</v>
      </c>
      <c r="K2297">
        <v>2</v>
      </c>
      <c r="L2297">
        <v>667</v>
      </c>
    </row>
    <row r="2298" spans="1:12" hidden="1" x14ac:dyDescent="0.25">
      <c r="A2298">
        <v>2297</v>
      </c>
      <c r="B2298" s="1" t="s">
        <v>12</v>
      </c>
      <c r="C2298">
        <v>1958</v>
      </c>
      <c r="D2298" s="1" t="s">
        <v>246</v>
      </c>
      <c r="E2298" s="1" t="s">
        <v>14</v>
      </c>
      <c r="F2298">
        <v>22</v>
      </c>
      <c r="G2298" s="1" t="s">
        <v>239</v>
      </c>
      <c r="H2298">
        <v>22043</v>
      </c>
      <c r="I2298">
        <v>3</v>
      </c>
      <c r="J2298">
        <v>3</v>
      </c>
      <c r="K2298">
        <v>1</v>
      </c>
      <c r="L2298">
        <v>333</v>
      </c>
    </row>
    <row r="2299" spans="1:12" hidden="1" x14ac:dyDescent="0.25">
      <c r="A2299">
        <v>2298</v>
      </c>
      <c r="B2299" s="1" t="s">
        <v>12</v>
      </c>
      <c r="C2299">
        <v>1958</v>
      </c>
      <c r="D2299" s="1" t="s">
        <v>246</v>
      </c>
      <c r="E2299" s="1" t="s">
        <v>14</v>
      </c>
      <c r="F2299">
        <v>22</v>
      </c>
      <c r="G2299" s="1" t="s">
        <v>229</v>
      </c>
      <c r="H2299">
        <v>22077</v>
      </c>
      <c r="I2299">
        <v>3</v>
      </c>
      <c r="J2299">
        <v>1</v>
      </c>
      <c r="K2299">
        <v>1</v>
      </c>
      <c r="L2299">
        <v>1000</v>
      </c>
    </row>
    <row r="2300" spans="1:12" hidden="1" x14ac:dyDescent="0.25">
      <c r="A2300">
        <v>2299</v>
      </c>
      <c r="B2300" s="1" t="s">
        <v>12</v>
      </c>
      <c r="C2300">
        <v>1958</v>
      </c>
      <c r="D2300" s="1" t="s">
        <v>246</v>
      </c>
      <c r="E2300" s="1" t="s">
        <v>14</v>
      </c>
      <c r="F2300">
        <v>22</v>
      </c>
      <c r="G2300" s="1" t="s">
        <v>228</v>
      </c>
      <c r="H2300">
        <v>22126</v>
      </c>
      <c r="I2300">
        <v>2</v>
      </c>
      <c r="J2300">
        <v>1</v>
      </c>
      <c r="K2300">
        <v>1</v>
      </c>
      <c r="L2300">
        <v>1000</v>
      </c>
    </row>
    <row r="2301" spans="1:12" hidden="1" x14ac:dyDescent="0.25">
      <c r="A2301">
        <v>2300</v>
      </c>
      <c r="B2301" s="1" t="s">
        <v>12</v>
      </c>
      <c r="C2301">
        <v>1958</v>
      </c>
      <c r="D2301" s="1" t="s">
        <v>246</v>
      </c>
      <c r="E2301" s="1" t="s">
        <v>14</v>
      </c>
      <c r="F2301">
        <v>22</v>
      </c>
      <c r="G2301" s="1" t="s">
        <v>21</v>
      </c>
      <c r="H2301">
        <v>22161</v>
      </c>
      <c r="I2301">
        <v>1</v>
      </c>
      <c r="J2301">
        <v>1</v>
      </c>
      <c r="K2301">
        <v>1</v>
      </c>
      <c r="L2301">
        <v>1000</v>
      </c>
    </row>
    <row r="2302" spans="1:12" hidden="1" x14ac:dyDescent="0.25">
      <c r="A2302">
        <v>2301</v>
      </c>
      <c r="B2302" s="1" t="s">
        <v>12</v>
      </c>
      <c r="C2302">
        <v>1958</v>
      </c>
      <c r="D2302" s="1" t="s">
        <v>246</v>
      </c>
      <c r="E2302" s="1" t="s">
        <v>22</v>
      </c>
      <c r="F2302">
        <v>14</v>
      </c>
      <c r="G2302" s="1" t="s">
        <v>26</v>
      </c>
      <c r="H2302">
        <v>14161</v>
      </c>
      <c r="I2302">
        <v>100000</v>
      </c>
      <c r="J2302">
        <v>95000</v>
      </c>
      <c r="K2302">
        <v>95000</v>
      </c>
      <c r="L2302">
        <v>1000</v>
      </c>
    </row>
    <row r="2303" spans="1:12" hidden="1" x14ac:dyDescent="0.25">
      <c r="A2303">
        <v>2302</v>
      </c>
      <c r="B2303" s="1" t="s">
        <v>12</v>
      </c>
      <c r="C2303">
        <v>1958</v>
      </c>
      <c r="D2303" s="1" t="s">
        <v>246</v>
      </c>
      <c r="E2303" s="1" t="s">
        <v>22</v>
      </c>
      <c r="F2303">
        <v>14</v>
      </c>
      <c r="G2303" s="1" t="s">
        <v>24</v>
      </c>
      <c r="H2303">
        <v>14119</v>
      </c>
      <c r="I2303">
        <v>65000</v>
      </c>
      <c r="J2303">
        <v>58500</v>
      </c>
      <c r="K2303">
        <v>58500</v>
      </c>
      <c r="L2303">
        <v>1000</v>
      </c>
    </row>
    <row r="2304" spans="1:12" hidden="1" x14ac:dyDescent="0.25">
      <c r="A2304">
        <v>2303</v>
      </c>
      <c r="B2304" s="1" t="s">
        <v>12</v>
      </c>
      <c r="C2304">
        <v>1958</v>
      </c>
      <c r="D2304" s="1" t="s">
        <v>246</v>
      </c>
      <c r="E2304" s="1" t="s">
        <v>22</v>
      </c>
      <c r="F2304">
        <v>14</v>
      </c>
      <c r="G2304" s="1" t="s">
        <v>143</v>
      </c>
      <c r="H2304">
        <v>14056</v>
      </c>
      <c r="I2304">
        <v>44000</v>
      </c>
      <c r="J2304">
        <v>41000</v>
      </c>
      <c r="K2304">
        <v>41000</v>
      </c>
      <c r="L2304">
        <v>1000</v>
      </c>
    </row>
    <row r="2305" spans="1:12" hidden="1" x14ac:dyDescent="0.25">
      <c r="A2305">
        <v>2304</v>
      </c>
      <c r="B2305" s="1" t="s">
        <v>12</v>
      </c>
      <c r="C2305">
        <v>1958</v>
      </c>
      <c r="D2305" s="1" t="s">
        <v>246</v>
      </c>
      <c r="E2305" s="1" t="s">
        <v>22</v>
      </c>
      <c r="F2305">
        <v>14</v>
      </c>
      <c r="G2305" s="1" t="s">
        <v>23</v>
      </c>
      <c r="H2305">
        <v>14147</v>
      </c>
      <c r="I2305">
        <v>31000</v>
      </c>
      <c r="J2305">
        <v>27280</v>
      </c>
      <c r="K2305">
        <v>17684</v>
      </c>
      <c r="L2305">
        <v>648</v>
      </c>
    </row>
    <row r="2306" spans="1:12" hidden="1" x14ac:dyDescent="0.25">
      <c r="A2306">
        <v>2305</v>
      </c>
      <c r="B2306" s="1" t="s">
        <v>12</v>
      </c>
      <c r="C2306">
        <v>1958</v>
      </c>
      <c r="D2306" s="1" t="s">
        <v>246</v>
      </c>
      <c r="E2306" s="1" t="s">
        <v>22</v>
      </c>
      <c r="F2306">
        <v>14</v>
      </c>
      <c r="G2306" s="1" t="s">
        <v>184</v>
      </c>
      <c r="H2306">
        <v>14042</v>
      </c>
      <c r="I2306">
        <v>12480</v>
      </c>
      <c r="J2306">
        <v>10625</v>
      </c>
      <c r="K2306">
        <v>8500</v>
      </c>
      <c r="L2306">
        <v>800</v>
      </c>
    </row>
    <row r="2307" spans="1:12" hidden="1" x14ac:dyDescent="0.25">
      <c r="A2307">
        <v>2306</v>
      </c>
      <c r="B2307" s="1" t="s">
        <v>12</v>
      </c>
      <c r="C2307">
        <v>1958</v>
      </c>
      <c r="D2307" s="1" t="s">
        <v>246</v>
      </c>
      <c r="E2307" s="1" t="s">
        <v>22</v>
      </c>
      <c r="F2307">
        <v>14</v>
      </c>
      <c r="G2307" s="1" t="s">
        <v>97</v>
      </c>
      <c r="H2307">
        <v>14007</v>
      </c>
      <c r="I2307">
        <v>12000</v>
      </c>
      <c r="J2307">
        <v>11000</v>
      </c>
      <c r="K2307">
        <v>7700</v>
      </c>
      <c r="L2307">
        <v>700</v>
      </c>
    </row>
    <row r="2308" spans="1:12" hidden="1" x14ac:dyDescent="0.25">
      <c r="A2308">
        <v>2307</v>
      </c>
      <c r="B2308" s="1" t="s">
        <v>12</v>
      </c>
      <c r="C2308">
        <v>1958</v>
      </c>
      <c r="D2308" s="1" t="s">
        <v>246</v>
      </c>
      <c r="E2308" s="1" t="s">
        <v>22</v>
      </c>
      <c r="F2308">
        <v>14</v>
      </c>
      <c r="G2308" s="1" t="s">
        <v>29</v>
      </c>
      <c r="H2308">
        <v>14098</v>
      </c>
      <c r="I2308">
        <v>9000</v>
      </c>
      <c r="J2308">
        <v>8000</v>
      </c>
      <c r="K2308">
        <v>5600</v>
      </c>
      <c r="L2308">
        <v>700</v>
      </c>
    </row>
    <row r="2309" spans="1:12" hidden="1" x14ac:dyDescent="0.25">
      <c r="A2309">
        <v>2308</v>
      </c>
      <c r="B2309" s="1" t="s">
        <v>12</v>
      </c>
      <c r="C2309">
        <v>1958</v>
      </c>
      <c r="D2309" s="1" t="s">
        <v>246</v>
      </c>
      <c r="E2309" s="1" t="s">
        <v>22</v>
      </c>
      <c r="F2309">
        <v>14</v>
      </c>
      <c r="G2309" s="1" t="s">
        <v>25</v>
      </c>
      <c r="H2309">
        <v>14105</v>
      </c>
      <c r="I2309">
        <v>3000</v>
      </c>
      <c r="J2309">
        <v>2700</v>
      </c>
      <c r="K2309">
        <v>2430</v>
      </c>
      <c r="L2309">
        <v>900</v>
      </c>
    </row>
    <row r="2310" spans="1:12" hidden="1" x14ac:dyDescent="0.25">
      <c r="A2310">
        <v>2309</v>
      </c>
      <c r="B2310" s="1" t="s">
        <v>12</v>
      </c>
      <c r="C2310">
        <v>1958</v>
      </c>
      <c r="D2310" s="1" t="s">
        <v>246</v>
      </c>
      <c r="E2310" s="1" t="s">
        <v>22</v>
      </c>
      <c r="F2310">
        <v>14</v>
      </c>
      <c r="G2310" s="1" t="s">
        <v>122</v>
      </c>
      <c r="H2310">
        <v>14182</v>
      </c>
      <c r="I2310">
        <v>3000</v>
      </c>
      <c r="J2310">
        <v>2000</v>
      </c>
      <c r="K2310">
        <v>1800</v>
      </c>
      <c r="L2310">
        <v>900</v>
      </c>
    </row>
    <row r="2311" spans="1:12" hidden="1" x14ac:dyDescent="0.25">
      <c r="A2311">
        <v>2310</v>
      </c>
      <c r="B2311" s="1" t="s">
        <v>12</v>
      </c>
      <c r="C2311">
        <v>1958</v>
      </c>
      <c r="D2311" s="1" t="s">
        <v>246</v>
      </c>
      <c r="E2311" s="1" t="s">
        <v>22</v>
      </c>
      <c r="F2311">
        <v>14</v>
      </c>
      <c r="G2311" s="1" t="s">
        <v>28</v>
      </c>
      <c r="H2311">
        <v>14014</v>
      </c>
      <c r="I2311">
        <v>350</v>
      </c>
      <c r="J2311">
        <v>350</v>
      </c>
      <c r="K2311">
        <v>262</v>
      </c>
      <c r="L2311">
        <v>750</v>
      </c>
    </row>
    <row r="2312" spans="1:12" hidden="1" x14ac:dyDescent="0.25">
      <c r="A2312">
        <v>2311</v>
      </c>
      <c r="B2312" s="1" t="s">
        <v>12</v>
      </c>
      <c r="C2312">
        <v>1958</v>
      </c>
      <c r="D2312" s="1" t="s">
        <v>246</v>
      </c>
      <c r="E2312" s="1" t="s">
        <v>22</v>
      </c>
      <c r="F2312">
        <v>14</v>
      </c>
      <c r="G2312" s="1" t="s">
        <v>67</v>
      </c>
      <c r="H2312">
        <v>14140</v>
      </c>
      <c r="I2312">
        <v>300</v>
      </c>
      <c r="J2312">
        <v>290</v>
      </c>
      <c r="K2312">
        <v>232</v>
      </c>
      <c r="L2312">
        <v>800</v>
      </c>
    </row>
    <row r="2313" spans="1:12" hidden="1" x14ac:dyDescent="0.25">
      <c r="A2313">
        <v>2312</v>
      </c>
      <c r="B2313" s="1" t="s">
        <v>12</v>
      </c>
      <c r="C2313">
        <v>1958</v>
      </c>
      <c r="D2313" s="1" t="s">
        <v>246</v>
      </c>
      <c r="E2313" s="1" t="s">
        <v>22</v>
      </c>
      <c r="F2313">
        <v>14</v>
      </c>
      <c r="G2313" s="1" t="s">
        <v>247</v>
      </c>
      <c r="H2313">
        <v>14063</v>
      </c>
      <c r="I2313">
        <v>200</v>
      </c>
      <c r="J2313">
        <v>150</v>
      </c>
      <c r="K2313">
        <v>150</v>
      </c>
      <c r="L2313">
        <v>1000</v>
      </c>
    </row>
    <row r="2314" spans="1:12" hidden="1" x14ac:dyDescent="0.25">
      <c r="A2314">
        <v>2313</v>
      </c>
      <c r="B2314" s="1" t="s">
        <v>12</v>
      </c>
      <c r="C2314">
        <v>1958</v>
      </c>
      <c r="D2314" s="1" t="s">
        <v>246</v>
      </c>
      <c r="E2314" s="1" t="s">
        <v>22</v>
      </c>
      <c r="F2314">
        <v>14</v>
      </c>
      <c r="G2314" s="1" t="s">
        <v>27</v>
      </c>
      <c r="H2314">
        <v>14021</v>
      </c>
      <c r="I2314">
        <v>45</v>
      </c>
      <c r="J2314">
        <v>45</v>
      </c>
      <c r="K2314">
        <v>27</v>
      </c>
      <c r="L2314">
        <v>600</v>
      </c>
    </row>
    <row r="2315" spans="1:12" hidden="1" x14ac:dyDescent="0.25">
      <c r="A2315">
        <v>2314</v>
      </c>
      <c r="B2315" s="1" t="s">
        <v>12</v>
      </c>
      <c r="C2315">
        <v>1958</v>
      </c>
      <c r="D2315" s="1" t="s">
        <v>246</v>
      </c>
      <c r="E2315" s="1" t="s">
        <v>22</v>
      </c>
      <c r="F2315">
        <v>14</v>
      </c>
      <c r="G2315" s="1" t="s">
        <v>114</v>
      </c>
      <c r="H2315">
        <v>14168</v>
      </c>
      <c r="I2315">
        <v>25</v>
      </c>
      <c r="J2315">
        <v>25</v>
      </c>
      <c r="K2315">
        <v>15</v>
      </c>
      <c r="L2315">
        <v>600</v>
      </c>
    </row>
    <row r="2316" spans="1:12" hidden="1" x14ac:dyDescent="0.25">
      <c r="A2316">
        <v>2315</v>
      </c>
      <c r="B2316" s="1" t="s">
        <v>12</v>
      </c>
      <c r="C2316">
        <v>1958</v>
      </c>
      <c r="D2316" s="1" t="s">
        <v>246</v>
      </c>
      <c r="E2316" s="1" t="s">
        <v>30</v>
      </c>
      <c r="F2316">
        <v>18</v>
      </c>
      <c r="G2316" s="1" t="s">
        <v>32</v>
      </c>
      <c r="H2316">
        <v>18112</v>
      </c>
      <c r="I2316">
        <v>340</v>
      </c>
      <c r="J2316">
        <v>269</v>
      </c>
      <c r="K2316">
        <v>134</v>
      </c>
      <c r="L2316">
        <v>502</v>
      </c>
    </row>
    <row r="2317" spans="1:12" hidden="1" x14ac:dyDescent="0.25">
      <c r="A2317">
        <v>2316</v>
      </c>
      <c r="B2317" s="1" t="s">
        <v>12</v>
      </c>
      <c r="C2317">
        <v>1958</v>
      </c>
      <c r="D2317" s="1" t="s">
        <v>246</v>
      </c>
      <c r="E2317" s="1" t="s">
        <v>30</v>
      </c>
      <c r="F2317">
        <v>18</v>
      </c>
      <c r="G2317" s="1" t="s">
        <v>42</v>
      </c>
      <c r="H2317">
        <v>18035</v>
      </c>
      <c r="I2317">
        <v>50</v>
      </c>
      <c r="J2317">
        <v>30</v>
      </c>
      <c r="K2317">
        <v>15</v>
      </c>
      <c r="L2317">
        <v>500</v>
      </c>
    </row>
    <row r="2318" spans="1:12" hidden="1" x14ac:dyDescent="0.25">
      <c r="A2318">
        <v>2317</v>
      </c>
      <c r="B2318" s="1" t="s">
        <v>12</v>
      </c>
      <c r="C2318">
        <v>1958</v>
      </c>
      <c r="D2318" s="1" t="s">
        <v>246</v>
      </c>
      <c r="E2318" s="1" t="s">
        <v>30</v>
      </c>
      <c r="F2318">
        <v>18</v>
      </c>
      <c r="G2318" s="1" t="s">
        <v>34</v>
      </c>
      <c r="H2318">
        <v>18042</v>
      </c>
      <c r="I2318">
        <v>45</v>
      </c>
      <c r="J2318">
        <v>30</v>
      </c>
      <c r="K2318">
        <v>15</v>
      </c>
      <c r="L2318">
        <v>500</v>
      </c>
    </row>
    <row r="2319" spans="1:12" hidden="1" x14ac:dyDescent="0.25">
      <c r="A2319">
        <v>2318</v>
      </c>
      <c r="B2319" s="1" t="s">
        <v>12</v>
      </c>
      <c r="C2319">
        <v>1958</v>
      </c>
      <c r="D2319" s="1" t="s">
        <v>246</v>
      </c>
      <c r="E2319" s="1" t="s">
        <v>30</v>
      </c>
      <c r="F2319">
        <v>18</v>
      </c>
      <c r="G2319" s="1" t="s">
        <v>99</v>
      </c>
      <c r="H2319">
        <v>18063</v>
      </c>
      <c r="I2319">
        <v>25</v>
      </c>
      <c r="J2319">
        <v>10</v>
      </c>
      <c r="K2319">
        <v>5</v>
      </c>
      <c r="L2319">
        <v>500</v>
      </c>
    </row>
    <row r="2320" spans="1:12" hidden="1" x14ac:dyDescent="0.25">
      <c r="A2320">
        <v>2319</v>
      </c>
      <c r="B2320" s="1" t="s">
        <v>12</v>
      </c>
      <c r="C2320">
        <v>1958</v>
      </c>
      <c r="D2320" s="1" t="s">
        <v>246</v>
      </c>
      <c r="E2320" s="1" t="s">
        <v>30</v>
      </c>
      <c r="F2320">
        <v>18</v>
      </c>
      <c r="G2320" s="1" t="s">
        <v>98</v>
      </c>
      <c r="H2320">
        <v>18098</v>
      </c>
      <c r="I2320">
        <v>25</v>
      </c>
      <c r="J2320">
        <v>10</v>
      </c>
      <c r="K2320">
        <v>3</v>
      </c>
      <c r="L2320">
        <v>300</v>
      </c>
    </row>
    <row r="2321" spans="1:12" hidden="1" x14ac:dyDescent="0.25">
      <c r="A2321">
        <v>2320</v>
      </c>
      <c r="B2321" s="1" t="s">
        <v>12</v>
      </c>
      <c r="C2321">
        <v>1958</v>
      </c>
      <c r="D2321" s="1" t="s">
        <v>246</v>
      </c>
      <c r="E2321" s="1" t="s">
        <v>30</v>
      </c>
      <c r="F2321">
        <v>18</v>
      </c>
      <c r="G2321" s="1" t="s">
        <v>40</v>
      </c>
      <c r="H2321">
        <v>18126</v>
      </c>
      <c r="I2321">
        <v>25</v>
      </c>
      <c r="J2321">
        <v>10</v>
      </c>
      <c r="K2321">
        <v>4</v>
      </c>
      <c r="L2321">
        <v>400</v>
      </c>
    </row>
    <row r="2322" spans="1:12" hidden="1" x14ac:dyDescent="0.25">
      <c r="A2322">
        <v>2321</v>
      </c>
      <c r="B2322" s="1" t="s">
        <v>12</v>
      </c>
      <c r="C2322">
        <v>1958</v>
      </c>
      <c r="D2322" s="1" t="s">
        <v>246</v>
      </c>
      <c r="E2322" s="1" t="s">
        <v>30</v>
      </c>
      <c r="F2322">
        <v>18</v>
      </c>
      <c r="G2322" s="1" t="s">
        <v>41</v>
      </c>
      <c r="H2322">
        <v>18140</v>
      </c>
      <c r="I2322">
        <v>25</v>
      </c>
      <c r="J2322">
        <v>15</v>
      </c>
      <c r="K2322">
        <v>8</v>
      </c>
      <c r="L2322">
        <v>533</v>
      </c>
    </row>
    <row r="2323" spans="1:12" hidden="1" x14ac:dyDescent="0.25">
      <c r="A2323">
        <v>2322</v>
      </c>
      <c r="B2323" s="1" t="s">
        <v>12</v>
      </c>
      <c r="C2323">
        <v>1958</v>
      </c>
      <c r="D2323" s="1" t="s">
        <v>246</v>
      </c>
      <c r="E2323" s="1" t="s">
        <v>30</v>
      </c>
      <c r="F2323">
        <v>18</v>
      </c>
      <c r="G2323" s="1" t="s">
        <v>28</v>
      </c>
      <c r="H2323">
        <v>18021</v>
      </c>
      <c r="I2323">
        <v>20</v>
      </c>
      <c r="J2323">
        <v>15</v>
      </c>
      <c r="K2323">
        <v>7</v>
      </c>
      <c r="L2323">
        <v>467</v>
      </c>
    </row>
    <row r="2324" spans="1:12" hidden="1" x14ac:dyDescent="0.25">
      <c r="A2324">
        <v>2323</v>
      </c>
      <c r="B2324" s="1" t="s">
        <v>12</v>
      </c>
      <c r="C2324">
        <v>1958</v>
      </c>
      <c r="D2324" s="1" t="s">
        <v>246</v>
      </c>
      <c r="E2324" s="1" t="s">
        <v>30</v>
      </c>
      <c r="F2324">
        <v>18</v>
      </c>
      <c r="G2324" s="1" t="s">
        <v>36</v>
      </c>
      <c r="H2324">
        <v>18133</v>
      </c>
      <c r="I2324">
        <v>20</v>
      </c>
      <c r="J2324">
        <v>15</v>
      </c>
      <c r="K2324">
        <v>7</v>
      </c>
      <c r="L2324">
        <v>467</v>
      </c>
    </row>
    <row r="2325" spans="1:12" hidden="1" x14ac:dyDescent="0.25">
      <c r="A2325">
        <v>2324</v>
      </c>
      <c r="B2325" s="1" t="s">
        <v>12</v>
      </c>
      <c r="C2325">
        <v>1958</v>
      </c>
      <c r="D2325" s="1" t="s">
        <v>246</v>
      </c>
      <c r="E2325" s="1" t="s">
        <v>30</v>
      </c>
      <c r="F2325">
        <v>18</v>
      </c>
      <c r="G2325" s="1" t="s">
        <v>103</v>
      </c>
      <c r="H2325">
        <v>18154</v>
      </c>
      <c r="I2325">
        <v>20</v>
      </c>
      <c r="J2325">
        <v>12</v>
      </c>
      <c r="K2325">
        <v>5</v>
      </c>
      <c r="L2325">
        <v>417</v>
      </c>
    </row>
    <row r="2326" spans="1:12" hidden="1" x14ac:dyDescent="0.25">
      <c r="A2326">
        <v>2325</v>
      </c>
      <c r="B2326" s="1" t="s">
        <v>12</v>
      </c>
      <c r="C2326">
        <v>1958</v>
      </c>
      <c r="D2326" s="1" t="s">
        <v>246</v>
      </c>
      <c r="E2326" s="1" t="s">
        <v>30</v>
      </c>
      <c r="F2326">
        <v>18</v>
      </c>
      <c r="G2326" s="1" t="s">
        <v>63</v>
      </c>
      <c r="H2326">
        <v>18028</v>
      </c>
      <c r="I2326">
        <v>15</v>
      </c>
      <c r="J2326">
        <v>10</v>
      </c>
      <c r="K2326">
        <v>4</v>
      </c>
      <c r="L2326">
        <v>400</v>
      </c>
    </row>
    <row r="2327" spans="1:12" hidden="1" x14ac:dyDescent="0.25">
      <c r="A2327">
        <v>2326</v>
      </c>
      <c r="B2327" s="1" t="s">
        <v>12</v>
      </c>
      <c r="C2327">
        <v>1958</v>
      </c>
      <c r="D2327" s="1" t="s">
        <v>246</v>
      </c>
      <c r="E2327" s="1" t="s">
        <v>30</v>
      </c>
      <c r="F2327">
        <v>18</v>
      </c>
      <c r="G2327" s="1" t="s">
        <v>102</v>
      </c>
      <c r="H2327">
        <v>18014</v>
      </c>
      <c r="I2327">
        <v>6</v>
      </c>
      <c r="J2327">
        <v>4</v>
      </c>
      <c r="K2327">
        <v>1</v>
      </c>
      <c r="L2327">
        <v>250</v>
      </c>
    </row>
    <row r="2328" spans="1:12" hidden="1" x14ac:dyDescent="0.25">
      <c r="A2328">
        <v>2327</v>
      </c>
      <c r="B2328" s="1" t="s">
        <v>12</v>
      </c>
      <c r="C2328">
        <v>1958</v>
      </c>
      <c r="D2328" s="1" t="s">
        <v>246</v>
      </c>
      <c r="E2328" s="1" t="s">
        <v>30</v>
      </c>
      <c r="F2328">
        <v>18</v>
      </c>
      <c r="G2328" s="1" t="s">
        <v>100</v>
      </c>
      <c r="H2328">
        <v>18077</v>
      </c>
      <c r="I2328">
        <v>5</v>
      </c>
      <c r="J2328">
        <v>3</v>
      </c>
      <c r="K2328">
        <v>1</v>
      </c>
      <c r="L2328">
        <v>333</v>
      </c>
    </row>
    <row r="2329" spans="1:12" hidden="1" x14ac:dyDescent="0.25">
      <c r="A2329">
        <v>2328</v>
      </c>
      <c r="B2329" s="1" t="s">
        <v>12</v>
      </c>
      <c r="C2329">
        <v>1958</v>
      </c>
      <c r="D2329" s="1" t="s">
        <v>246</v>
      </c>
      <c r="E2329" s="1" t="s">
        <v>30</v>
      </c>
      <c r="F2329">
        <v>18</v>
      </c>
      <c r="G2329" s="1" t="s">
        <v>39</v>
      </c>
      <c r="H2329">
        <v>18084</v>
      </c>
      <c r="I2329">
        <v>5</v>
      </c>
      <c r="J2329">
        <v>3</v>
      </c>
      <c r="K2329">
        <v>1</v>
      </c>
      <c r="L2329">
        <v>333</v>
      </c>
    </row>
    <row r="2330" spans="1:12" hidden="1" x14ac:dyDescent="0.25">
      <c r="A2330">
        <v>2329</v>
      </c>
      <c r="B2330" s="1" t="s">
        <v>12</v>
      </c>
      <c r="C2330">
        <v>1958</v>
      </c>
      <c r="D2330" s="1" t="s">
        <v>246</v>
      </c>
      <c r="E2330" s="1" t="s">
        <v>45</v>
      </c>
      <c r="F2330">
        <v>30</v>
      </c>
      <c r="G2330" s="1" t="s">
        <v>46</v>
      </c>
      <c r="H2330">
        <v>30028</v>
      </c>
      <c r="I2330">
        <v>80</v>
      </c>
      <c r="J2330">
        <v>55</v>
      </c>
      <c r="K2330">
        <v>33</v>
      </c>
      <c r="L2330">
        <v>600</v>
      </c>
    </row>
    <row r="2331" spans="1:12" hidden="1" x14ac:dyDescent="0.25">
      <c r="A2331">
        <v>2330</v>
      </c>
      <c r="B2331" s="1" t="s">
        <v>12</v>
      </c>
      <c r="C2331">
        <v>1958</v>
      </c>
      <c r="D2331" s="1" t="s">
        <v>246</v>
      </c>
      <c r="E2331" s="1" t="s">
        <v>45</v>
      </c>
      <c r="F2331">
        <v>30</v>
      </c>
      <c r="G2331" s="1" t="s">
        <v>47</v>
      </c>
      <c r="H2331">
        <v>30015</v>
      </c>
      <c r="I2331">
        <v>30</v>
      </c>
      <c r="J2331">
        <v>20</v>
      </c>
      <c r="K2331">
        <v>12</v>
      </c>
      <c r="L2331">
        <v>600</v>
      </c>
    </row>
    <row r="2332" spans="1:12" hidden="1" x14ac:dyDescent="0.25">
      <c r="A2332">
        <v>2331</v>
      </c>
      <c r="B2332" s="1" t="s">
        <v>12</v>
      </c>
      <c r="C2332">
        <v>1958</v>
      </c>
      <c r="D2332" s="1" t="s">
        <v>246</v>
      </c>
      <c r="E2332" s="1" t="s">
        <v>45</v>
      </c>
      <c r="F2332">
        <v>30</v>
      </c>
      <c r="G2332" s="1" t="s">
        <v>27</v>
      </c>
      <c r="H2332">
        <v>30008</v>
      </c>
      <c r="I2332">
        <v>5</v>
      </c>
      <c r="J2332">
        <v>5</v>
      </c>
      <c r="K2332">
        <v>3</v>
      </c>
      <c r="L2332">
        <v>600</v>
      </c>
    </row>
    <row r="2333" spans="1:12" hidden="1" x14ac:dyDescent="0.25">
      <c r="A2333">
        <v>2332</v>
      </c>
      <c r="B2333" s="1" t="s">
        <v>12</v>
      </c>
      <c r="C2333">
        <v>1958</v>
      </c>
      <c r="D2333" s="1" t="s">
        <v>246</v>
      </c>
      <c r="E2333" s="1" t="s">
        <v>48</v>
      </c>
      <c r="F2333">
        <v>34</v>
      </c>
      <c r="G2333" s="1" t="s">
        <v>51</v>
      </c>
      <c r="H2333">
        <v>34056</v>
      </c>
      <c r="I2333">
        <v>30</v>
      </c>
      <c r="J2333">
        <v>25</v>
      </c>
      <c r="K2333">
        <v>20</v>
      </c>
      <c r="L2333">
        <v>800</v>
      </c>
    </row>
    <row r="2334" spans="1:12" hidden="1" x14ac:dyDescent="0.25">
      <c r="A2334">
        <v>2333</v>
      </c>
      <c r="B2334" s="1" t="s">
        <v>12</v>
      </c>
      <c r="C2334">
        <v>1958</v>
      </c>
      <c r="D2334" s="1" t="s">
        <v>246</v>
      </c>
      <c r="E2334" s="1" t="s">
        <v>48</v>
      </c>
      <c r="F2334">
        <v>34</v>
      </c>
      <c r="G2334" s="1" t="s">
        <v>49</v>
      </c>
      <c r="H2334">
        <v>34049</v>
      </c>
      <c r="I2334">
        <v>20</v>
      </c>
      <c r="J2334">
        <v>15</v>
      </c>
      <c r="K2334">
        <v>11</v>
      </c>
      <c r="L2334">
        <v>733</v>
      </c>
    </row>
    <row r="2335" spans="1:12" hidden="1" x14ac:dyDescent="0.25">
      <c r="A2335">
        <v>2334</v>
      </c>
      <c r="B2335" s="1" t="s">
        <v>12</v>
      </c>
      <c r="C2335">
        <v>1958</v>
      </c>
      <c r="D2335" s="1" t="s">
        <v>246</v>
      </c>
      <c r="E2335" s="1" t="s">
        <v>48</v>
      </c>
      <c r="F2335">
        <v>34</v>
      </c>
      <c r="G2335" s="1" t="s">
        <v>48</v>
      </c>
      <c r="H2335">
        <v>34014</v>
      </c>
      <c r="I2335">
        <v>15</v>
      </c>
      <c r="J2335">
        <v>12</v>
      </c>
      <c r="K2335">
        <v>10</v>
      </c>
      <c r="L2335">
        <v>833</v>
      </c>
    </row>
    <row r="2336" spans="1:12" hidden="1" x14ac:dyDescent="0.25">
      <c r="A2336">
        <v>2335</v>
      </c>
      <c r="B2336" s="1" t="s">
        <v>12</v>
      </c>
      <c r="C2336">
        <v>1958</v>
      </c>
      <c r="D2336" s="1" t="s">
        <v>246</v>
      </c>
      <c r="E2336" s="1" t="s">
        <v>48</v>
      </c>
      <c r="F2336">
        <v>34</v>
      </c>
      <c r="G2336" s="1" t="s">
        <v>108</v>
      </c>
      <c r="H2336">
        <v>34042</v>
      </c>
      <c r="I2336">
        <v>12</v>
      </c>
      <c r="J2336">
        <v>10</v>
      </c>
      <c r="K2336">
        <v>7</v>
      </c>
      <c r="L2336">
        <v>700</v>
      </c>
    </row>
    <row r="2337" spans="1:12" hidden="1" x14ac:dyDescent="0.25">
      <c r="A2337">
        <v>2336</v>
      </c>
      <c r="B2337" s="1" t="s">
        <v>12</v>
      </c>
      <c r="C2337">
        <v>1958</v>
      </c>
      <c r="D2337" s="1" t="s">
        <v>246</v>
      </c>
      <c r="E2337" s="1" t="s">
        <v>48</v>
      </c>
      <c r="F2337">
        <v>34</v>
      </c>
      <c r="G2337" s="1" t="s">
        <v>52</v>
      </c>
      <c r="H2337">
        <v>34035</v>
      </c>
      <c r="I2337">
        <v>10</v>
      </c>
      <c r="J2337">
        <v>8</v>
      </c>
      <c r="K2337">
        <v>6</v>
      </c>
      <c r="L2337">
        <v>750</v>
      </c>
    </row>
    <row r="2338" spans="1:12" hidden="1" x14ac:dyDescent="0.25">
      <c r="A2338">
        <v>2337</v>
      </c>
      <c r="B2338" s="1" t="s">
        <v>12</v>
      </c>
      <c r="C2338">
        <v>1958</v>
      </c>
      <c r="D2338" s="1" t="s">
        <v>246</v>
      </c>
      <c r="E2338" s="1" t="s">
        <v>48</v>
      </c>
      <c r="F2338">
        <v>34</v>
      </c>
      <c r="G2338" s="1" t="s">
        <v>50</v>
      </c>
      <c r="H2338">
        <v>34021</v>
      </c>
      <c r="I2338">
        <v>8</v>
      </c>
      <c r="J2338">
        <v>8</v>
      </c>
      <c r="K2338">
        <v>6</v>
      </c>
      <c r="L2338">
        <v>750</v>
      </c>
    </row>
    <row r="2339" spans="1:12" hidden="1" x14ac:dyDescent="0.25">
      <c r="A2339">
        <v>2338</v>
      </c>
      <c r="B2339" s="1" t="s">
        <v>12</v>
      </c>
      <c r="C2339">
        <v>1958</v>
      </c>
      <c r="D2339" s="1" t="s">
        <v>246</v>
      </c>
      <c r="E2339" s="1" t="s">
        <v>58</v>
      </c>
      <c r="F2339">
        <v>54</v>
      </c>
      <c r="G2339" s="1" t="s">
        <v>60</v>
      </c>
      <c r="H2339">
        <v>54021</v>
      </c>
      <c r="I2339">
        <v>80</v>
      </c>
      <c r="J2339">
        <v>73</v>
      </c>
      <c r="K2339">
        <v>51</v>
      </c>
      <c r="L2339">
        <v>699</v>
      </c>
    </row>
    <row r="2340" spans="1:12" hidden="1" x14ac:dyDescent="0.25">
      <c r="A2340">
        <v>2339</v>
      </c>
      <c r="B2340" s="1" t="s">
        <v>12</v>
      </c>
      <c r="C2340">
        <v>1958</v>
      </c>
      <c r="D2340" s="1" t="s">
        <v>246</v>
      </c>
      <c r="E2340" s="1" t="s">
        <v>58</v>
      </c>
      <c r="F2340">
        <v>54</v>
      </c>
      <c r="G2340" s="1" t="s">
        <v>242</v>
      </c>
      <c r="H2340">
        <v>54091</v>
      </c>
      <c r="I2340">
        <v>72</v>
      </c>
      <c r="J2340">
        <v>67</v>
      </c>
      <c r="K2340">
        <v>48</v>
      </c>
      <c r="L2340">
        <v>716</v>
      </c>
    </row>
    <row r="2341" spans="1:12" hidden="1" x14ac:dyDescent="0.25">
      <c r="A2341">
        <v>2340</v>
      </c>
      <c r="B2341" s="1" t="s">
        <v>12</v>
      </c>
      <c r="C2341">
        <v>1958</v>
      </c>
      <c r="D2341" s="1" t="s">
        <v>246</v>
      </c>
      <c r="E2341" s="1" t="s">
        <v>58</v>
      </c>
      <c r="F2341">
        <v>54</v>
      </c>
      <c r="G2341" s="1" t="s">
        <v>61</v>
      </c>
      <c r="H2341">
        <v>54098</v>
      </c>
      <c r="I2341">
        <v>53</v>
      </c>
      <c r="J2341">
        <v>50</v>
      </c>
      <c r="K2341">
        <v>35</v>
      </c>
      <c r="L2341">
        <v>700</v>
      </c>
    </row>
    <row r="2342" spans="1:12" hidden="1" x14ac:dyDescent="0.25">
      <c r="A2342">
        <v>2341</v>
      </c>
      <c r="B2342" s="1" t="s">
        <v>12</v>
      </c>
      <c r="C2342">
        <v>1958</v>
      </c>
      <c r="D2342" s="1" t="s">
        <v>246</v>
      </c>
      <c r="E2342" s="1" t="s">
        <v>58</v>
      </c>
      <c r="F2342">
        <v>54</v>
      </c>
      <c r="G2342" s="1" t="s">
        <v>243</v>
      </c>
      <c r="H2342">
        <v>54070</v>
      </c>
      <c r="I2342">
        <v>28</v>
      </c>
      <c r="J2342">
        <v>25</v>
      </c>
      <c r="K2342">
        <v>17</v>
      </c>
      <c r="L2342">
        <v>680</v>
      </c>
    </row>
    <row r="2343" spans="1:12" hidden="1" x14ac:dyDescent="0.25">
      <c r="A2343">
        <v>2342</v>
      </c>
      <c r="B2343" s="1" t="s">
        <v>12</v>
      </c>
      <c r="C2343">
        <v>1958</v>
      </c>
      <c r="D2343" s="1" t="s">
        <v>246</v>
      </c>
      <c r="E2343" s="1" t="s">
        <v>58</v>
      </c>
      <c r="F2343">
        <v>54</v>
      </c>
      <c r="G2343" s="1" t="s">
        <v>59</v>
      </c>
      <c r="H2343">
        <v>54007</v>
      </c>
      <c r="I2343">
        <v>25</v>
      </c>
      <c r="J2343">
        <v>22</v>
      </c>
      <c r="K2343">
        <v>15</v>
      </c>
      <c r="L2343">
        <v>682</v>
      </c>
    </row>
    <row r="2344" spans="1:12" hidden="1" x14ac:dyDescent="0.25">
      <c r="A2344">
        <v>2343</v>
      </c>
      <c r="B2344" s="1" t="s">
        <v>12</v>
      </c>
      <c r="C2344">
        <v>1958</v>
      </c>
      <c r="D2344" s="1" t="s">
        <v>246</v>
      </c>
      <c r="E2344" s="1" t="s">
        <v>58</v>
      </c>
      <c r="F2344">
        <v>54</v>
      </c>
      <c r="G2344" s="1" t="s">
        <v>63</v>
      </c>
      <c r="H2344">
        <v>54035</v>
      </c>
      <c r="I2344">
        <v>25</v>
      </c>
      <c r="J2344">
        <v>23</v>
      </c>
      <c r="K2344">
        <v>16</v>
      </c>
      <c r="L2344">
        <v>696</v>
      </c>
    </row>
    <row r="2345" spans="1:12" hidden="1" x14ac:dyDescent="0.25">
      <c r="A2345">
        <v>2344</v>
      </c>
      <c r="B2345" s="1" t="s">
        <v>12</v>
      </c>
      <c r="C2345">
        <v>1958</v>
      </c>
      <c r="D2345" s="1" t="s">
        <v>246</v>
      </c>
      <c r="E2345" s="1" t="s">
        <v>58</v>
      </c>
      <c r="F2345">
        <v>54</v>
      </c>
      <c r="G2345" s="1" t="s">
        <v>150</v>
      </c>
      <c r="H2345">
        <v>54014</v>
      </c>
      <c r="I2345">
        <v>22</v>
      </c>
      <c r="J2345">
        <v>20</v>
      </c>
      <c r="K2345">
        <v>16</v>
      </c>
      <c r="L2345">
        <v>800</v>
      </c>
    </row>
    <row r="2346" spans="1:12" hidden="1" x14ac:dyDescent="0.25">
      <c r="A2346">
        <v>2345</v>
      </c>
      <c r="B2346" s="1" t="s">
        <v>12</v>
      </c>
      <c r="C2346">
        <v>1958</v>
      </c>
      <c r="D2346" s="1" t="s">
        <v>246</v>
      </c>
      <c r="E2346" s="1" t="s">
        <v>58</v>
      </c>
      <c r="F2346">
        <v>54</v>
      </c>
      <c r="G2346" s="1" t="s">
        <v>244</v>
      </c>
      <c r="H2346">
        <v>54084</v>
      </c>
      <c r="I2346">
        <v>22</v>
      </c>
      <c r="J2346">
        <v>20</v>
      </c>
      <c r="K2346">
        <v>16</v>
      </c>
      <c r="L2346">
        <v>800</v>
      </c>
    </row>
    <row r="2347" spans="1:12" hidden="1" x14ac:dyDescent="0.25">
      <c r="A2347">
        <v>2346</v>
      </c>
      <c r="B2347" s="1" t="s">
        <v>12</v>
      </c>
      <c r="C2347">
        <v>1958</v>
      </c>
      <c r="D2347" s="1" t="s">
        <v>246</v>
      </c>
      <c r="E2347" s="1" t="s">
        <v>58</v>
      </c>
      <c r="F2347">
        <v>54</v>
      </c>
      <c r="G2347" s="1" t="s">
        <v>62</v>
      </c>
      <c r="H2347">
        <v>54105</v>
      </c>
      <c r="I2347">
        <v>20</v>
      </c>
      <c r="J2347">
        <v>18</v>
      </c>
      <c r="K2347">
        <v>13</v>
      </c>
      <c r="L2347">
        <v>722</v>
      </c>
    </row>
    <row r="2348" spans="1:12" hidden="1" x14ac:dyDescent="0.25">
      <c r="A2348">
        <v>2347</v>
      </c>
      <c r="B2348" s="1" t="s">
        <v>12</v>
      </c>
      <c r="C2348">
        <v>1958</v>
      </c>
      <c r="D2348" s="1" t="s">
        <v>246</v>
      </c>
      <c r="E2348" s="1" t="s">
        <v>58</v>
      </c>
      <c r="F2348">
        <v>54</v>
      </c>
      <c r="G2348" s="1" t="s">
        <v>245</v>
      </c>
      <c r="H2348">
        <v>54042</v>
      </c>
      <c r="I2348">
        <v>15</v>
      </c>
      <c r="J2348">
        <v>14</v>
      </c>
      <c r="K2348">
        <v>11</v>
      </c>
      <c r="L2348">
        <v>786</v>
      </c>
    </row>
    <row r="2349" spans="1:12" hidden="1" x14ac:dyDescent="0.25">
      <c r="A2349">
        <v>2348</v>
      </c>
      <c r="B2349" s="1" t="s">
        <v>12</v>
      </c>
      <c r="C2349">
        <v>1958</v>
      </c>
      <c r="D2349" s="1" t="s">
        <v>246</v>
      </c>
      <c r="E2349" s="1" t="s">
        <v>58</v>
      </c>
      <c r="F2349">
        <v>54</v>
      </c>
      <c r="G2349" s="1" t="s">
        <v>152</v>
      </c>
      <c r="H2349">
        <v>54063</v>
      </c>
      <c r="I2349">
        <v>15</v>
      </c>
      <c r="J2349">
        <v>14</v>
      </c>
      <c r="K2349">
        <v>11</v>
      </c>
      <c r="L2349">
        <v>786</v>
      </c>
    </row>
    <row r="2350" spans="1:12" hidden="1" x14ac:dyDescent="0.25">
      <c r="A2350">
        <v>2349</v>
      </c>
      <c r="B2350" s="1" t="s">
        <v>12</v>
      </c>
      <c r="C2350">
        <v>1958</v>
      </c>
      <c r="D2350" s="1" t="s">
        <v>246</v>
      </c>
      <c r="E2350" s="1" t="s">
        <v>58</v>
      </c>
      <c r="F2350">
        <v>54</v>
      </c>
      <c r="G2350" s="1" t="s">
        <v>119</v>
      </c>
      <c r="H2350">
        <v>54077</v>
      </c>
      <c r="I2350">
        <v>15</v>
      </c>
      <c r="J2350">
        <v>14</v>
      </c>
      <c r="K2350">
        <v>11</v>
      </c>
      <c r="L2350">
        <v>786</v>
      </c>
    </row>
    <row r="2351" spans="1:12" hidden="1" x14ac:dyDescent="0.25">
      <c r="A2351">
        <v>2350</v>
      </c>
      <c r="B2351" s="1" t="s">
        <v>12</v>
      </c>
      <c r="C2351">
        <v>1958</v>
      </c>
      <c r="D2351" s="1" t="s">
        <v>246</v>
      </c>
      <c r="E2351" s="1" t="s">
        <v>87</v>
      </c>
      <c r="F2351">
        <v>66</v>
      </c>
      <c r="G2351" s="1" t="s">
        <v>230</v>
      </c>
      <c r="H2351">
        <v>66056</v>
      </c>
      <c r="I2351">
        <v>10</v>
      </c>
      <c r="J2351">
        <v>10</v>
      </c>
      <c r="K2351">
        <v>12</v>
      </c>
      <c r="L2351">
        <v>1200</v>
      </c>
    </row>
    <row r="2352" spans="1:12" hidden="1" x14ac:dyDescent="0.25">
      <c r="A2352">
        <v>2351</v>
      </c>
      <c r="B2352" s="1" t="s">
        <v>12</v>
      </c>
      <c r="C2352">
        <v>1958</v>
      </c>
      <c r="D2352" s="1" t="s">
        <v>246</v>
      </c>
      <c r="E2352" s="1" t="s">
        <v>87</v>
      </c>
      <c r="F2352">
        <v>66</v>
      </c>
      <c r="G2352" s="1" t="s">
        <v>141</v>
      </c>
      <c r="H2352">
        <v>66112</v>
      </c>
      <c r="I2352">
        <v>8</v>
      </c>
      <c r="J2352">
        <v>8</v>
      </c>
      <c r="K2352">
        <v>11</v>
      </c>
      <c r="L2352">
        <v>1375</v>
      </c>
    </row>
    <row r="2353" spans="1:12" hidden="1" x14ac:dyDescent="0.25">
      <c r="A2353">
        <v>2352</v>
      </c>
      <c r="B2353" s="1" t="s">
        <v>12</v>
      </c>
      <c r="C2353">
        <v>1958</v>
      </c>
      <c r="D2353" s="1" t="s">
        <v>246</v>
      </c>
      <c r="E2353" s="1" t="s">
        <v>87</v>
      </c>
      <c r="F2353">
        <v>66</v>
      </c>
      <c r="G2353" s="1" t="s">
        <v>248</v>
      </c>
      <c r="H2353">
        <v>66161</v>
      </c>
      <c r="I2353">
        <v>7</v>
      </c>
      <c r="J2353">
        <v>7</v>
      </c>
      <c r="K2353">
        <v>5</v>
      </c>
      <c r="L2353">
        <v>714</v>
      </c>
    </row>
    <row r="2354" spans="1:12" hidden="1" x14ac:dyDescent="0.25">
      <c r="A2354">
        <v>2353</v>
      </c>
      <c r="B2354" s="1" t="s">
        <v>12</v>
      </c>
      <c r="C2354">
        <v>1958</v>
      </c>
      <c r="D2354" s="1" t="s">
        <v>246</v>
      </c>
      <c r="E2354" s="1" t="s">
        <v>87</v>
      </c>
      <c r="F2354">
        <v>66</v>
      </c>
      <c r="G2354" s="1" t="s">
        <v>179</v>
      </c>
      <c r="H2354">
        <v>66126</v>
      </c>
      <c r="I2354">
        <v>5</v>
      </c>
      <c r="J2354">
        <v>5</v>
      </c>
      <c r="K2354">
        <v>6</v>
      </c>
      <c r="L2354">
        <v>1200</v>
      </c>
    </row>
    <row r="2355" spans="1:12" hidden="1" x14ac:dyDescent="0.25">
      <c r="A2355">
        <v>2354</v>
      </c>
      <c r="B2355" s="1" t="s">
        <v>12</v>
      </c>
      <c r="C2355">
        <v>1958</v>
      </c>
      <c r="D2355" s="1" t="s">
        <v>246</v>
      </c>
      <c r="E2355" s="1" t="s">
        <v>87</v>
      </c>
      <c r="F2355">
        <v>66</v>
      </c>
      <c r="G2355" s="1" t="s">
        <v>130</v>
      </c>
      <c r="H2355">
        <v>66147</v>
      </c>
      <c r="I2355">
        <v>2</v>
      </c>
      <c r="J2355">
        <v>2</v>
      </c>
      <c r="K2355">
        <v>3</v>
      </c>
      <c r="L2355">
        <v>1500</v>
      </c>
    </row>
    <row r="2356" spans="1:12" hidden="1" x14ac:dyDescent="0.25">
      <c r="A2356">
        <v>2355</v>
      </c>
      <c r="B2356" s="1" t="s">
        <v>12</v>
      </c>
      <c r="C2356">
        <v>1958</v>
      </c>
      <c r="D2356" s="1" t="s">
        <v>246</v>
      </c>
      <c r="E2356" s="1" t="s">
        <v>87</v>
      </c>
      <c r="F2356">
        <v>66</v>
      </c>
      <c r="G2356" s="1" t="s">
        <v>125</v>
      </c>
      <c r="H2356">
        <v>66035</v>
      </c>
      <c r="I2356">
        <v>1</v>
      </c>
      <c r="J2356">
        <v>1</v>
      </c>
      <c r="K2356">
        <v>1</v>
      </c>
      <c r="L2356">
        <v>1000</v>
      </c>
    </row>
    <row r="2357" spans="1:12" hidden="1" x14ac:dyDescent="0.25">
      <c r="A2357">
        <v>2356</v>
      </c>
      <c r="B2357" s="1" t="s">
        <v>12</v>
      </c>
      <c r="C2357">
        <v>1958</v>
      </c>
      <c r="D2357" s="1" t="s">
        <v>246</v>
      </c>
      <c r="E2357" s="1" t="s">
        <v>116</v>
      </c>
      <c r="F2357">
        <v>74</v>
      </c>
      <c r="G2357" s="1" t="s">
        <v>126</v>
      </c>
      <c r="H2357">
        <v>74035</v>
      </c>
      <c r="I2357">
        <v>700</v>
      </c>
      <c r="J2357">
        <v>600</v>
      </c>
      <c r="K2357">
        <v>350</v>
      </c>
      <c r="L2357">
        <v>583</v>
      </c>
    </row>
    <row r="2358" spans="1:12" hidden="1" x14ac:dyDescent="0.25">
      <c r="A2358">
        <v>2357</v>
      </c>
      <c r="B2358" s="1" t="s">
        <v>12</v>
      </c>
      <c r="C2358">
        <v>1958</v>
      </c>
      <c r="D2358" s="1" t="s">
        <v>246</v>
      </c>
      <c r="E2358" s="1" t="s">
        <v>64</v>
      </c>
      <c r="F2358">
        <v>82</v>
      </c>
      <c r="G2358" s="1" t="s">
        <v>66</v>
      </c>
      <c r="H2358">
        <v>82035</v>
      </c>
      <c r="I2358">
        <v>370</v>
      </c>
      <c r="J2358">
        <v>290</v>
      </c>
      <c r="K2358">
        <v>590</v>
      </c>
      <c r="L2358">
        <v>2034</v>
      </c>
    </row>
    <row r="2359" spans="1:12" hidden="1" x14ac:dyDescent="0.25">
      <c r="A2359">
        <v>2358</v>
      </c>
      <c r="B2359" s="1" t="s">
        <v>12</v>
      </c>
      <c r="C2359">
        <v>1958</v>
      </c>
      <c r="D2359" s="1" t="s">
        <v>246</v>
      </c>
      <c r="E2359" s="1" t="s">
        <v>64</v>
      </c>
      <c r="F2359">
        <v>82</v>
      </c>
      <c r="G2359" s="1" t="s">
        <v>65</v>
      </c>
      <c r="H2359">
        <v>82049</v>
      </c>
      <c r="I2359">
        <v>30</v>
      </c>
      <c r="J2359">
        <v>10</v>
      </c>
      <c r="K2359">
        <v>10</v>
      </c>
      <c r="L2359">
        <v>1000</v>
      </c>
    </row>
    <row r="2360" spans="1:12" hidden="1" x14ac:dyDescent="0.25">
      <c r="A2360">
        <v>2359</v>
      </c>
      <c r="B2360" s="1" t="s">
        <v>12</v>
      </c>
      <c r="C2360">
        <v>1958</v>
      </c>
      <c r="D2360" s="1" t="s">
        <v>246</v>
      </c>
      <c r="E2360" s="1" t="s">
        <v>77</v>
      </c>
      <c r="F2360">
        <v>90</v>
      </c>
      <c r="G2360" s="1" t="s">
        <v>92</v>
      </c>
      <c r="H2360">
        <v>90056</v>
      </c>
      <c r="I2360">
        <v>10</v>
      </c>
      <c r="J2360">
        <v>8</v>
      </c>
      <c r="K2360">
        <v>4</v>
      </c>
      <c r="L2360">
        <v>500</v>
      </c>
    </row>
    <row r="2361" spans="1:12" hidden="1" x14ac:dyDescent="0.25">
      <c r="A2361">
        <v>2360</v>
      </c>
      <c r="B2361" s="1" t="s">
        <v>12</v>
      </c>
      <c r="C2361">
        <v>1958</v>
      </c>
      <c r="D2361" s="1" t="s">
        <v>246</v>
      </c>
      <c r="E2361" s="1" t="s">
        <v>77</v>
      </c>
      <c r="F2361">
        <v>90</v>
      </c>
      <c r="G2361" s="1" t="s">
        <v>94</v>
      </c>
      <c r="H2361">
        <v>90105</v>
      </c>
      <c r="I2361">
        <v>10</v>
      </c>
      <c r="J2361">
        <v>9</v>
      </c>
      <c r="K2361">
        <v>9</v>
      </c>
      <c r="L2361">
        <v>1000</v>
      </c>
    </row>
    <row r="2362" spans="1:12" hidden="1" x14ac:dyDescent="0.25">
      <c r="A2362">
        <v>2361</v>
      </c>
      <c r="B2362" s="1" t="s">
        <v>12</v>
      </c>
      <c r="C2362">
        <v>1958</v>
      </c>
      <c r="D2362" s="1" t="s">
        <v>246</v>
      </c>
      <c r="E2362" s="1" t="s">
        <v>77</v>
      </c>
      <c r="F2362">
        <v>90</v>
      </c>
      <c r="G2362" s="1" t="s">
        <v>78</v>
      </c>
      <c r="H2362">
        <v>90007</v>
      </c>
      <c r="I2362">
        <v>5</v>
      </c>
      <c r="J2362">
        <v>4</v>
      </c>
      <c r="K2362">
        <v>4</v>
      </c>
      <c r="L2362">
        <v>1000</v>
      </c>
    </row>
    <row r="2363" spans="1:12" hidden="1" x14ac:dyDescent="0.25">
      <c r="A2363">
        <v>2362</v>
      </c>
      <c r="B2363" s="1" t="s">
        <v>12</v>
      </c>
      <c r="C2363">
        <v>1958</v>
      </c>
      <c r="D2363" s="1" t="s">
        <v>246</v>
      </c>
      <c r="E2363" s="1" t="s">
        <v>77</v>
      </c>
      <c r="F2363">
        <v>90</v>
      </c>
      <c r="G2363" s="1" t="s">
        <v>91</v>
      </c>
      <c r="H2363">
        <v>90014</v>
      </c>
      <c r="I2363">
        <v>5</v>
      </c>
      <c r="J2363">
        <v>4</v>
      </c>
      <c r="K2363">
        <v>4</v>
      </c>
      <c r="L2363">
        <v>1000</v>
      </c>
    </row>
    <row r="2364" spans="1:12" hidden="1" x14ac:dyDescent="0.25">
      <c r="A2364">
        <v>2363</v>
      </c>
      <c r="B2364" s="1" t="s">
        <v>12</v>
      </c>
      <c r="C2364">
        <v>1958</v>
      </c>
      <c r="D2364" s="1" t="s">
        <v>246</v>
      </c>
      <c r="E2364" s="1" t="s">
        <v>77</v>
      </c>
      <c r="F2364">
        <v>90</v>
      </c>
      <c r="G2364" s="1" t="s">
        <v>109</v>
      </c>
      <c r="H2364">
        <v>90077</v>
      </c>
      <c r="I2364">
        <v>3</v>
      </c>
      <c r="J2364">
        <v>2</v>
      </c>
      <c r="K2364">
        <v>2</v>
      </c>
      <c r="L2364">
        <v>1000</v>
      </c>
    </row>
    <row r="2365" spans="1:12" hidden="1" x14ac:dyDescent="0.25">
      <c r="A2365">
        <v>2364</v>
      </c>
      <c r="B2365" s="1" t="s">
        <v>12</v>
      </c>
      <c r="C2365">
        <v>1958</v>
      </c>
      <c r="D2365" s="1" t="s">
        <v>246</v>
      </c>
      <c r="E2365" s="1" t="s">
        <v>77</v>
      </c>
      <c r="F2365">
        <v>90</v>
      </c>
      <c r="G2365" s="1" t="s">
        <v>110</v>
      </c>
      <c r="H2365">
        <v>90021</v>
      </c>
      <c r="I2365">
        <v>2</v>
      </c>
      <c r="J2365">
        <v>2</v>
      </c>
      <c r="K2365">
        <v>1</v>
      </c>
      <c r="L2365">
        <v>500</v>
      </c>
    </row>
    <row r="2366" spans="1:12" hidden="1" x14ac:dyDescent="0.25">
      <c r="A2366">
        <v>2365</v>
      </c>
      <c r="B2366" s="1" t="s">
        <v>12</v>
      </c>
      <c r="C2366">
        <v>1958</v>
      </c>
      <c r="D2366" s="1" t="s">
        <v>246</v>
      </c>
      <c r="E2366" s="1" t="s">
        <v>77</v>
      </c>
      <c r="F2366">
        <v>90</v>
      </c>
      <c r="G2366" s="1" t="s">
        <v>93</v>
      </c>
      <c r="H2366">
        <v>90070</v>
      </c>
      <c r="I2366">
        <v>2</v>
      </c>
      <c r="J2366">
        <v>2</v>
      </c>
      <c r="K2366">
        <v>2</v>
      </c>
      <c r="L2366">
        <v>1000</v>
      </c>
    </row>
    <row r="2367" spans="1:12" hidden="1" x14ac:dyDescent="0.25">
      <c r="A2367">
        <v>2366</v>
      </c>
      <c r="B2367" s="1" t="s">
        <v>12</v>
      </c>
      <c r="C2367">
        <v>1958</v>
      </c>
      <c r="D2367" s="1" t="s">
        <v>246</v>
      </c>
      <c r="E2367" s="1" t="s">
        <v>77</v>
      </c>
      <c r="F2367">
        <v>90</v>
      </c>
      <c r="G2367" s="1" t="s">
        <v>28</v>
      </c>
      <c r="H2367">
        <v>90084</v>
      </c>
      <c r="I2367">
        <v>1</v>
      </c>
      <c r="J2367">
        <v>1</v>
      </c>
      <c r="K2367">
        <v>1</v>
      </c>
      <c r="L2367">
        <v>1000</v>
      </c>
    </row>
    <row r="2368" spans="1:12" hidden="1" x14ac:dyDescent="0.25">
      <c r="A2368">
        <v>2367</v>
      </c>
      <c r="B2368" s="1" t="s">
        <v>12</v>
      </c>
      <c r="C2368">
        <v>1958</v>
      </c>
      <c r="D2368" s="1" t="s">
        <v>246</v>
      </c>
      <c r="E2368" s="1" t="s">
        <v>77</v>
      </c>
      <c r="F2368">
        <v>90</v>
      </c>
      <c r="G2368" s="1" t="s">
        <v>90</v>
      </c>
      <c r="H2368">
        <v>90112</v>
      </c>
      <c r="I2368">
        <v>1</v>
      </c>
      <c r="J2368">
        <v>1</v>
      </c>
      <c r="K2368">
        <v>1</v>
      </c>
      <c r="L2368">
        <v>1000</v>
      </c>
    </row>
    <row r="2369" spans="1:12" hidden="1" x14ac:dyDescent="0.25">
      <c r="A2369">
        <v>2368</v>
      </c>
      <c r="B2369" s="1" t="s">
        <v>12</v>
      </c>
      <c r="C2369">
        <v>1959</v>
      </c>
      <c r="D2369" s="1" t="s">
        <v>249</v>
      </c>
      <c r="E2369" s="1" t="s">
        <v>14</v>
      </c>
      <c r="F2369">
        <v>22</v>
      </c>
      <c r="G2369" s="1" t="s">
        <v>119</v>
      </c>
      <c r="H2369">
        <v>22084</v>
      </c>
      <c r="I2369">
        <v>600</v>
      </c>
      <c r="J2369">
        <v>570</v>
      </c>
      <c r="K2369">
        <v>341</v>
      </c>
      <c r="L2369">
        <v>598</v>
      </c>
    </row>
    <row r="2370" spans="1:12" hidden="1" x14ac:dyDescent="0.25">
      <c r="A2370">
        <v>2369</v>
      </c>
      <c r="B2370" s="1" t="s">
        <v>12</v>
      </c>
      <c r="C2370">
        <v>1959</v>
      </c>
      <c r="D2370" s="1" t="s">
        <v>249</v>
      </c>
      <c r="E2370" s="1" t="s">
        <v>14</v>
      </c>
      <c r="F2370">
        <v>22</v>
      </c>
      <c r="G2370" s="1" t="s">
        <v>226</v>
      </c>
      <c r="H2370">
        <v>22154</v>
      </c>
      <c r="I2370">
        <v>65</v>
      </c>
      <c r="J2370">
        <v>62</v>
      </c>
      <c r="K2370">
        <v>37</v>
      </c>
      <c r="L2370">
        <v>597</v>
      </c>
    </row>
    <row r="2371" spans="1:12" hidden="1" x14ac:dyDescent="0.25">
      <c r="A2371">
        <v>2370</v>
      </c>
      <c r="B2371" s="1" t="s">
        <v>12</v>
      </c>
      <c r="C2371">
        <v>1959</v>
      </c>
      <c r="D2371" s="1" t="s">
        <v>249</v>
      </c>
      <c r="E2371" s="1" t="s">
        <v>14</v>
      </c>
      <c r="F2371">
        <v>22</v>
      </c>
      <c r="G2371" s="1" t="s">
        <v>232</v>
      </c>
      <c r="H2371">
        <v>22105</v>
      </c>
      <c r="I2371">
        <v>48</v>
      </c>
      <c r="J2371">
        <v>43</v>
      </c>
      <c r="K2371">
        <v>32</v>
      </c>
      <c r="L2371">
        <v>744</v>
      </c>
    </row>
    <row r="2372" spans="1:12" hidden="1" x14ac:dyDescent="0.25">
      <c r="A2372">
        <v>2371</v>
      </c>
      <c r="B2372" s="1" t="s">
        <v>12</v>
      </c>
      <c r="C2372">
        <v>1959</v>
      </c>
      <c r="D2372" s="1" t="s">
        <v>249</v>
      </c>
      <c r="E2372" s="1" t="s">
        <v>14</v>
      </c>
      <c r="F2372">
        <v>22</v>
      </c>
      <c r="G2372" s="1" t="s">
        <v>233</v>
      </c>
      <c r="H2372">
        <v>22133</v>
      </c>
      <c r="I2372">
        <v>34</v>
      </c>
      <c r="J2372">
        <v>25</v>
      </c>
      <c r="K2372">
        <v>18</v>
      </c>
      <c r="L2372">
        <v>720</v>
      </c>
    </row>
    <row r="2373" spans="1:12" hidden="1" x14ac:dyDescent="0.25">
      <c r="A2373">
        <v>2372</v>
      </c>
      <c r="B2373" s="1" t="s">
        <v>12</v>
      </c>
      <c r="C2373">
        <v>1959</v>
      </c>
      <c r="D2373" s="1" t="s">
        <v>249</v>
      </c>
      <c r="E2373" s="1" t="s">
        <v>14</v>
      </c>
      <c r="F2373">
        <v>22</v>
      </c>
      <c r="G2373" s="1" t="s">
        <v>183</v>
      </c>
      <c r="H2373">
        <v>22049</v>
      </c>
      <c r="I2373">
        <v>32</v>
      </c>
      <c r="J2373">
        <v>27</v>
      </c>
      <c r="K2373">
        <v>18</v>
      </c>
      <c r="L2373">
        <v>667</v>
      </c>
    </row>
    <row r="2374" spans="1:12" hidden="1" x14ac:dyDescent="0.25">
      <c r="A2374">
        <v>2373</v>
      </c>
      <c r="B2374" s="1" t="s">
        <v>12</v>
      </c>
      <c r="C2374">
        <v>1959</v>
      </c>
      <c r="D2374" s="1" t="s">
        <v>249</v>
      </c>
      <c r="E2374" s="1" t="s">
        <v>14</v>
      </c>
      <c r="F2374">
        <v>22</v>
      </c>
      <c r="G2374" s="1" t="s">
        <v>234</v>
      </c>
      <c r="H2374">
        <v>22168</v>
      </c>
      <c r="I2374">
        <v>20</v>
      </c>
      <c r="J2374">
        <v>15</v>
      </c>
      <c r="K2374">
        <v>12</v>
      </c>
      <c r="L2374">
        <v>800</v>
      </c>
    </row>
    <row r="2375" spans="1:12" hidden="1" x14ac:dyDescent="0.25">
      <c r="A2375">
        <v>2374</v>
      </c>
      <c r="B2375" s="1" t="s">
        <v>12</v>
      </c>
      <c r="C2375">
        <v>1959</v>
      </c>
      <c r="D2375" s="1" t="s">
        <v>249</v>
      </c>
      <c r="E2375" s="1" t="s">
        <v>14</v>
      </c>
      <c r="F2375">
        <v>22</v>
      </c>
      <c r="G2375" s="1" t="s">
        <v>225</v>
      </c>
      <c r="H2375">
        <v>22119</v>
      </c>
      <c r="I2375">
        <v>18</v>
      </c>
      <c r="J2375">
        <v>14</v>
      </c>
      <c r="K2375">
        <v>11</v>
      </c>
      <c r="L2375">
        <v>786</v>
      </c>
    </row>
    <row r="2376" spans="1:12" hidden="1" x14ac:dyDescent="0.25">
      <c r="A2376">
        <v>2375</v>
      </c>
      <c r="B2376" s="1" t="s">
        <v>12</v>
      </c>
      <c r="C2376">
        <v>1959</v>
      </c>
      <c r="D2376" s="1" t="s">
        <v>249</v>
      </c>
      <c r="E2376" s="1" t="s">
        <v>14</v>
      </c>
      <c r="F2376">
        <v>22</v>
      </c>
      <c r="G2376" s="1" t="s">
        <v>250</v>
      </c>
      <c r="H2376">
        <v>22007</v>
      </c>
      <c r="I2376">
        <v>17</v>
      </c>
      <c r="J2376">
        <v>16</v>
      </c>
      <c r="K2376">
        <v>8</v>
      </c>
      <c r="L2376">
        <v>500</v>
      </c>
    </row>
    <row r="2377" spans="1:12" hidden="1" x14ac:dyDescent="0.25">
      <c r="A2377">
        <v>2376</v>
      </c>
      <c r="B2377" s="1" t="s">
        <v>12</v>
      </c>
      <c r="C2377">
        <v>1959</v>
      </c>
      <c r="D2377" s="1" t="s">
        <v>249</v>
      </c>
      <c r="E2377" s="1" t="s">
        <v>14</v>
      </c>
      <c r="F2377">
        <v>22</v>
      </c>
      <c r="G2377" s="1" t="s">
        <v>227</v>
      </c>
      <c r="H2377">
        <v>22056</v>
      </c>
      <c r="I2377">
        <v>15</v>
      </c>
      <c r="J2377">
        <v>15</v>
      </c>
      <c r="K2377">
        <v>6</v>
      </c>
      <c r="L2377">
        <v>400</v>
      </c>
    </row>
    <row r="2378" spans="1:12" hidden="1" x14ac:dyDescent="0.25">
      <c r="A2378">
        <v>2377</v>
      </c>
      <c r="B2378" s="1" t="s">
        <v>12</v>
      </c>
      <c r="C2378">
        <v>1959</v>
      </c>
      <c r="D2378" s="1" t="s">
        <v>249</v>
      </c>
      <c r="E2378" s="1" t="s">
        <v>14</v>
      </c>
      <c r="F2378">
        <v>22</v>
      </c>
      <c r="G2378" s="1" t="s">
        <v>235</v>
      </c>
      <c r="H2378">
        <v>22140</v>
      </c>
      <c r="I2378">
        <v>8</v>
      </c>
      <c r="J2378">
        <v>6</v>
      </c>
      <c r="K2378">
        <v>4</v>
      </c>
      <c r="L2378">
        <v>667</v>
      </c>
    </row>
    <row r="2379" spans="1:12" hidden="1" x14ac:dyDescent="0.25">
      <c r="A2379">
        <v>2378</v>
      </c>
      <c r="B2379" s="1" t="s">
        <v>12</v>
      </c>
      <c r="C2379">
        <v>1959</v>
      </c>
      <c r="D2379" s="1" t="s">
        <v>249</v>
      </c>
      <c r="E2379" s="1" t="s">
        <v>14</v>
      </c>
      <c r="F2379">
        <v>22</v>
      </c>
      <c r="G2379" s="1" t="s">
        <v>236</v>
      </c>
      <c r="H2379">
        <v>22063</v>
      </c>
      <c r="I2379">
        <v>7</v>
      </c>
      <c r="J2379">
        <v>7</v>
      </c>
      <c r="K2379">
        <v>4</v>
      </c>
      <c r="L2379">
        <v>571</v>
      </c>
    </row>
    <row r="2380" spans="1:12" hidden="1" x14ac:dyDescent="0.25">
      <c r="A2380">
        <v>2379</v>
      </c>
      <c r="B2380" s="1" t="s">
        <v>12</v>
      </c>
      <c r="C2380">
        <v>1959</v>
      </c>
      <c r="D2380" s="1" t="s">
        <v>249</v>
      </c>
      <c r="E2380" s="1" t="s">
        <v>14</v>
      </c>
      <c r="F2380">
        <v>22</v>
      </c>
      <c r="G2380" s="1" t="s">
        <v>118</v>
      </c>
      <c r="H2380">
        <v>22028</v>
      </c>
      <c r="I2380">
        <v>5</v>
      </c>
      <c r="J2380">
        <v>5</v>
      </c>
      <c r="K2380">
        <v>3</v>
      </c>
      <c r="L2380">
        <v>600</v>
      </c>
    </row>
    <row r="2381" spans="1:12" hidden="1" x14ac:dyDescent="0.25">
      <c r="A2381">
        <v>2380</v>
      </c>
      <c r="B2381" s="1" t="s">
        <v>12</v>
      </c>
      <c r="C2381">
        <v>1959</v>
      </c>
      <c r="D2381" s="1" t="s">
        <v>249</v>
      </c>
      <c r="E2381" s="1" t="s">
        <v>14</v>
      </c>
      <c r="F2381">
        <v>22</v>
      </c>
      <c r="G2381" s="1" t="s">
        <v>240</v>
      </c>
      <c r="H2381">
        <v>22021</v>
      </c>
      <c r="I2381">
        <v>4</v>
      </c>
      <c r="J2381">
        <v>4</v>
      </c>
      <c r="K2381">
        <v>2</v>
      </c>
      <c r="L2381">
        <v>500</v>
      </c>
    </row>
    <row r="2382" spans="1:12" hidden="1" x14ac:dyDescent="0.25">
      <c r="A2382">
        <v>2381</v>
      </c>
      <c r="B2382" s="1" t="s">
        <v>12</v>
      </c>
      <c r="C2382">
        <v>1959</v>
      </c>
      <c r="D2382" s="1" t="s">
        <v>249</v>
      </c>
      <c r="E2382" s="1" t="s">
        <v>14</v>
      </c>
      <c r="F2382">
        <v>22</v>
      </c>
      <c r="G2382" s="1" t="s">
        <v>237</v>
      </c>
      <c r="H2382">
        <v>22091</v>
      </c>
      <c r="I2382">
        <v>4</v>
      </c>
      <c r="J2382">
        <v>4</v>
      </c>
      <c r="K2382">
        <v>2</v>
      </c>
      <c r="L2382">
        <v>500</v>
      </c>
    </row>
    <row r="2383" spans="1:12" hidden="1" x14ac:dyDescent="0.25">
      <c r="A2383">
        <v>2382</v>
      </c>
      <c r="B2383" s="1" t="s">
        <v>12</v>
      </c>
      <c r="C2383">
        <v>1959</v>
      </c>
      <c r="D2383" s="1" t="s">
        <v>249</v>
      </c>
      <c r="E2383" s="1" t="s">
        <v>14</v>
      </c>
      <c r="F2383">
        <v>22</v>
      </c>
      <c r="G2383" s="1" t="s">
        <v>238</v>
      </c>
      <c r="H2383">
        <v>22036</v>
      </c>
      <c r="I2383">
        <v>3</v>
      </c>
      <c r="J2383">
        <v>3</v>
      </c>
      <c r="K2383">
        <v>2</v>
      </c>
      <c r="L2383">
        <v>667</v>
      </c>
    </row>
    <row r="2384" spans="1:12" hidden="1" x14ac:dyDescent="0.25">
      <c r="A2384">
        <v>2383</v>
      </c>
      <c r="B2384" s="1" t="s">
        <v>12</v>
      </c>
      <c r="C2384">
        <v>1959</v>
      </c>
      <c r="D2384" s="1" t="s">
        <v>249</v>
      </c>
      <c r="E2384" s="1" t="s">
        <v>14</v>
      </c>
      <c r="F2384">
        <v>22</v>
      </c>
      <c r="G2384" s="1" t="s">
        <v>239</v>
      </c>
      <c r="H2384">
        <v>22043</v>
      </c>
      <c r="I2384">
        <v>3</v>
      </c>
      <c r="J2384">
        <v>3</v>
      </c>
      <c r="K2384">
        <v>2</v>
      </c>
      <c r="L2384">
        <v>667</v>
      </c>
    </row>
    <row r="2385" spans="1:12" hidden="1" x14ac:dyDescent="0.25">
      <c r="A2385">
        <v>2384</v>
      </c>
      <c r="B2385" s="1" t="s">
        <v>12</v>
      </c>
      <c r="C2385">
        <v>1959</v>
      </c>
      <c r="D2385" s="1" t="s">
        <v>249</v>
      </c>
      <c r="E2385" s="1" t="s">
        <v>14</v>
      </c>
      <c r="F2385">
        <v>22</v>
      </c>
      <c r="G2385" s="1" t="s">
        <v>229</v>
      </c>
      <c r="H2385">
        <v>22077</v>
      </c>
      <c r="I2385">
        <v>3</v>
      </c>
      <c r="J2385">
        <v>2</v>
      </c>
      <c r="K2385">
        <v>1</v>
      </c>
      <c r="L2385">
        <v>500</v>
      </c>
    </row>
    <row r="2386" spans="1:12" hidden="1" x14ac:dyDescent="0.25">
      <c r="A2386">
        <v>2385</v>
      </c>
      <c r="B2386" s="1" t="s">
        <v>12</v>
      </c>
      <c r="C2386">
        <v>1959</v>
      </c>
      <c r="D2386" s="1" t="s">
        <v>249</v>
      </c>
      <c r="E2386" s="1" t="s">
        <v>14</v>
      </c>
      <c r="F2386">
        <v>22</v>
      </c>
      <c r="G2386" s="1" t="s">
        <v>228</v>
      </c>
      <c r="H2386">
        <v>22126</v>
      </c>
      <c r="I2386">
        <v>3</v>
      </c>
      <c r="J2386">
        <v>3</v>
      </c>
      <c r="K2386">
        <v>1</v>
      </c>
      <c r="L2386">
        <v>333</v>
      </c>
    </row>
    <row r="2387" spans="1:12" hidden="1" x14ac:dyDescent="0.25">
      <c r="A2387">
        <v>2386</v>
      </c>
      <c r="B2387" s="1" t="s">
        <v>12</v>
      </c>
      <c r="C2387">
        <v>1959</v>
      </c>
      <c r="D2387" s="1" t="s">
        <v>249</v>
      </c>
      <c r="E2387" s="1" t="s">
        <v>14</v>
      </c>
      <c r="F2387">
        <v>22</v>
      </c>
      <c r="G2387" s="1" t="s">
        <v>21</v>
      </c>
      <c r="H2387">
        <v>22161</v>
      </c>
      <c r="I2387">
        <v>1</v>
      </c>
      <c r="J2387">
        <v>1</v>
      </c>
      <c r="K2387">
        <v>1</v>
      </c>
      <c r="L2387">
        <v>1000</v>
      </c>
    </row>
    <row r="2388" spans="1:12" hidden="1" x14ac:dyDescent="0.25">
      <c r="A2388">
        <v>2387</v>
      </c>
      <c r="B2388" s="1" t="s">
        <v>12</v>
      </c>
      <c r="C2388">
        <v>1959</v>
      </c>
      <c r="D2388" s="1" t="s">
        <v>249</v>
      </c>
      <c r="E2388" s="1" t="s">
        <v>22</v>
      </c>
      <c r="F2388">
        <v>14</v>
      </c>
      <c r="G2388" s="1" t="s">
        <v>26</v>
      </c>
      <c r="H2388">
        <v>14161</v>
      </c>
      <c r="I2388">
        <v>66120</v>
      </c>
      <c r="J2388">
        <v>66070</v>
      </c>
      <c r="K2388">
        <v>79200</v>
      </c>
      <c r="L2388">
        <v>1199</v>
      </c>
    </row>
    <row r="2389" spans="1:12" hidden="1" x14ac:dyDescent="0.25">
      <c r="A2389">
        <v>2388</v>
      </c>
      <c r="B2389" s="1" t="s">
        <v>12</v>
      </c>
      <c r="C2389">
        <v>1959</v>
      </c>
      <c r="D2389" s="1" t="s">
        <v>249</v>
      </c>
      <c r="E2389" s="1" t="s">
        <v>22</v>
      </c>
      <c r="F2389">
        <v>14</v>
      </c>
      <c r="G2389" s="1" t="s">
        <v>24</v>
      </c>
      <c r="H2389">
        <v>14119</v>
      </c>
      <c r="I2389">
        <v>50000</v>
      </c>
      <c r="J2389">
        <v>47000</v>
      </c>
      <c r="K2389">
        <v>51700</v>
      </c>
      <c r="L2389">
        <v>1100</v>
      </c>
    </row>
    <row r="2390" spans="1:12" hidden="1" x14ac:dyDescent="0.25">
      <c r="A2390">
        <v>2389</v>
      </c>
      <c r="B2390" s="1" t="s">
        <v>12</v>
      </c>
      <c r="C2390">
        <v>1959</v>
      </c>
      <c r="D2390" s="1" t="s">
        <v>249</v>
      </c>
      <c r="E2390" s="1" t="s">
        <v>22</v>
      </c>
      <c r="F2390">
        <v>14</v>
      </c>
      <c r="G2390" s="1" t="s">
        <v>143</v>
      </c>
      <c r="H2390">
        <v>14056</v>
      </c>
      <c r="I2390">
        <v>30000</v>
      </c>
      <c r="J2390">
        <v>26000</v>
      </c>
      <c r="K2390">
        <v>28600</v>
      </c>
      <c r="L2390">
        <v>1100</v>
      </c>
    </row>
    <row r="2391" spans="1:12" hidden="1" x14ac:dyDescent="0.25">
      <c r="A2391">
        <v>2390</v>
      </c>
      <c r="B2391" s="1" t="s">
        <v>12</v>
      </c>
      <c r="C2391">
        <v>1959</v>
      </c>
      <c r="D2391" s="1" t="s">
        <v>249</v>
      </c>
      <c r="E2391" s="1" t="s">
        <v>22</v>
      </c>
      <c r="F2391">
        <v>14</v>
      </c>
      <c r="G2391" s="1" t="s">
        <v>23</v>
      </c>
      <c r="H2391">
        <v>14147</v>
      </c>
      <c r="I2391">
        <v>21600</v>
      </c>
      <c r="J2391">
        <v>21600</v>
      </c>
      <c r="K2391">
        <v>21600</v>
      </c>
      <c r="L2391">
        <v>1000</v>
      </c>
    </row>
    <row r="2392" spans="1:12" hidden="1" x14ac:dyDescent="0.25">
      <c r="A2392">
        <v>2391</v>
      </c>
      <c r="B2392" s="1" t="s">
        <v>12</v>
      </c>
      <c r="C2392">
        <v>1959</v>
      </c>
      <c r="D2392" s="1" t="s">
        <v>249</v>
      </c>
      <c r="E2392" s="1" t="s">
        <v>22</v>
      </c>
      <c r="F2392">
        <v>14</v>
      </c>
      <c r="G2392" s="1" t="s">
        <v>97</v>
      </c>
      <c r="H2392">
        <v>14007</v>
      </c>
      <c r="I2392">
        <v>10000</v>
      </c>
      <c r="J2392">
        <v>9000</v>
      </c>
      <c r="K2392">
        <v>8550</v>
      </c>
      <c r="L2392">
        <v>950</v>
      </c>
    </row>
    <row r="2393" spans="1:12" hidden="1" x14ac:dyDescent="0.25">
      <c r="A2393">
        <v>2392</v>
      </c>
      <c r="B2393" s="1" t="s">
        <v>12</v>
      </c>
      <c r="C2393">
        <v>1959</v>
      </c>
      <c r="D2393" s="1" t="s">
        <v>249</v>
      </c>
      <c r="E2393" s="1" t="s">
        <v>22</v>
      </c>
      <c r="F2393">
        <v>14</v>
      </c>
      <c r="G2393" s="1" t="s">
        <v>184</v>
      </c>
      <c r="H2393">
        <v>14042</v>
      </c>
      <c r="I2393">
        <v>7000</v>
      </c>
      <c r="J2393">
        <v>7000</v>
      </c>
      <c r="K2393">
        <v>8400</v>
      </c>
      <c r="L2393">
        <v>1200</v>
      </c>
    </row>
    <row r="2394" spans="1:12" hidden="1" x14ac:dyDescent="0.25">
      <c r="A2394">
        <v>2393</v>
      </c>
      <c r="B2394" s="1" t="s">
        <v>12</v>
      </c>
      <c r="C2394">
        <v>1959</v>
      </c>
      <c r="D2394" s="1" t="s">
        <v>249</v>
      </c>
      <c r="E2394" s="1" t="s">
        <v>22</v>
      </c>
      <c r="F2394">
        <v>14</v>
      </c>
      <c r="G2394" s="1" t="s">
        <v>29</v>
      </c>
      <c r="H2394">
        <v>14098</v>
      </c>
      <c r="I2394">
        <v>6000</v>
      </c>
      <c r="J2394">
        <v>5400</v>
      </c>
      <c r="K2394">
        <v>5130</v>
      </c>
      <c r="L2394">
        <v>950</v>
      </c>
    </row>
    <row r="2395" spans="1:12" hidden="1" x14ac:dyDescent="0.25">
      <c r="A2395">
        <v>2394</v>
      </c>
      <c r="B2395" s="1" t="s">
        <v>12</v>
      </c>
      <c r="C2395">
        <v>1959</v>
      </c>
      <c r="D2395" s="1" t="s">
        <v>249</v>
      </c>
      <c r="E2395" s="1" t="s">
        <v>22</v>
      </c>
      <c r="F2395">
        <v>14</v>
      </c>
      <c r="G2395" s="1" t="s">
        <v>25</v>
      </c>
      <c r="H2395">
        <v>14105</v>
      </c>
      <c r="I2395">
        <v>3500</v>
      </c>
      <c r="J2395">
        <v>3000</v>
      </c>
      <c r="K2395">
        <v>2677</v>
      </c>
      <c r="L2395">
        <v>892</v>
      </c>
    </row>
    <row r="2396" spans="1:12" hidden="1" x14ac:dyDescent="0.25">
      <c r="A2396">
        <v>2395</v>
      </c>
      <c r="B2396" s="1" t="s">
        <v>12</v>
      </c>
      <c r="C2396">
        <v>1959</v>
      </c>
      <c r="D2396" s="1" t="s">
        <v>249</v>
      </c>
      <c r="E2396" s="1" t="s">
        <v>22</v>
      </c>
      <c r="F2396">
        <v>14</v>
      </c>
      <c r="G2396" s="1" t="s">
        <v>122</v>
      </c>
      <c r="H2396">
        <v>14182</v>
      </c>
      <c r="I2396">
        <v>2000</v>
      </c>
      <c r="J2396">
        <v>1200</v>
      </c>
      <c r="K2396">
        <v>960</v>
      </c>
      <c r="L2396">
        <v>800</v>
      </c>
    </row>
    <row r="2397" spans="1:12" hidden="1" x14ac:dyDescent="0.25">
      <c r="A2397">
        <v>2396</v>
      </c>
      <c r="B2397" s="1" t="s">
        <v>12</v>
      </c>
      <c r="C2397">
        <v>1959</v>
      </c>
      <c r="D2397" s="1" t="s">
        <v>249</v>
      </c>
      <c r="E2397" s="1" t="s">
        <v>22</v>
      </c>
      <c r="F2397">
        <v>14</v>
      </c>
      <c r="G2397" s="1" t="s">
        <v>67</v>
      </c>
      <c r="H2397">
        <v>14140</v>
      </c>
      <c r="I2397">
        <v>400</v>
      </c>
      <c r="J2397">
        <v>400</v>
      </c>
      <c r="K2397">
        <v>320</v>
      </c>
      <c r="L2397">
        <v>800</v>
      </c>
    </row>
    <row r="2398" spans="1:12" hidden="1" x14ac:dyDescent="0.25">
      <c r="A2398">
        <v>2397</v>
      </c>
      <c r="B2398" s="1" t="s">
        <v>12</v>
      </c>
      <c r="C2398">
        <v>1959</v>
      </c>
      <c r="D2398" s="1" t="s">
        <v>249</v>
      </c>
      <c r="E2398" s="1" t="s">
        <v>22</v>
      </c>
      <c r="F2398">
        <v>14</v>
      </c>
      <c r="G2398" s="1" t="s">
        <v>28</v>
      </c>
      <c r="H2398">
        <v>14014</v>
      </c>
      <c r="I2398">
        <v>200</v>
      </c>
      <c r="J2398">
        <v>200</v>
      </c>
      <c r="K2398">
        <v>165</v>
      </c>
      <c r="L2398">
        <v>825</v>
      </c>
    </row>
    <row r="2399" spans="1:12" hidden="1" x14ac:dyDescent="0.25">
      <c r="A2399">
        <v>2398</v>
      </c>
      <c r="B2399" s="1" t="s">
        <v>12</v>
      </c>
      <c r="C2399">
        <v>1959</v>
      </c>
      <c r="D2399" s="1" t="s">
        <v>249</v>
      </c>
      <c r="E2399" s="1" t="s">
        <v>22</v>
      </c>
      <c r="F2399">
        <v>14</v>
      </c>
      <c r="G2399" s="1" t="s">
        <v>247</v>
      </c>
      <c r="H2399">
        <v>14063</v>
      </c>
      <c r="I2399">
        <v>100</v>
      </c>
      <c r="J2399">
        <v>50</v>
      </c>
      <c r="K2399">
        <v>40</v>
      </c>
      <c r="L2399">
        <v>800</v>
      </c>
    </row>
    <row r="2400" spans="1:12" hidden="1" x14ac:dyDescent="0.25">
      <c r="A2400">
        <v>2399</v>
      </c>
      <c r="B2400" s="1" t="s">
        <v>12</v>
      </c>
      <c r="C2400">
        <v>1959</v>
      </c>
      <c r="D2400" s="1" t="s">
        <v>249</v>
      </c>
      <c r="E2400" s="1" t="s">
        <v>22</v>
      </c>
      <c r="F2400">
        <v>14</v>
      </c>
      <c r="G2400" s="1" t="s">
        <v>27</v>
      </c>
      <c r="H2400">
        <v>14021</v>
      </c>
      <c r="I2400">
        <v>50</v>
      </c>
      <c r="J2400">
        <v>50</v>
      </c>
      <c r="K2400">
        <v>36</v>
      </c>
      <c r="L2400">
        <v>720</v>
      </c>
    </row>
    <row r="2401" spans="1:12" hidden="1" x14ac:dyDescent="0.25">
      <c r="A2401">
        <v>2400</v>
      </c>
      <c r="B2401" s="1" t="s">
        <v>12</v>
      </c>
      <c r="C2401">
        <v>1959</v>
      </c>
      <c r="D2401" s="1" t="s">
        <v>249</v>
      </c>
      <c r="E2401" s="1" t="s">
        <v>22</v>
      </c>
      <c r="F2401">
        <v>14</v>
      </c>
      <c r="G2401" s="1" t="s">
        <v>114</v>
      </c>
      <c r="H2401">
        <v>14168</v>
      </c>
      <c r="I2401">
        <v>20</v>
      </c>
      <c r="J2401">
        <v>20</v>
      </c>
      <c r="K2401">
        <v>16</v>
      </c>
      <c r="L2401">
        <v>800</v>
      </c>
    </row>
    <row r="2402" spans="1:12" hidden="1" x14ac:dyDescent="0.25">
      <c r="A2402">
        <v>2401</v>
      </c>
      <c r="B2402" s="1" t="s">
        <v>12</v>
      </c>
      <c r="C2402">
        <v>1959</v>
      </c>
      <c r="D2402" s="1" t="s">
        <v>249</v>
      </c>
      <c r="E2402" s="1" t="s">
        <v>22</v>
      </c>
      <c r="F2402">
        <v>14</v>
      </c>
      <c r="G2402" s="1" t="s">
        <v>173</v>
      </c>
      <c r="H2402">
        <v>14028</v>
      </c>
      <c r="I2402">
        <v>10</v>
      </c>
      <c r="J2402">
        <v>10</v>
      </c>
      <c r="K2402">
        <v>6</v>
      </c>
      <c r="L2402">
        <v>600</v>
      </c>
    </row>
    <row r="2403" spans="1:12" hidden="1" x14ac:dyDescent="0.25">
      <c r="A2403">
        <v>2402</v>
      </c>
      <c r="B2403" s="1" t="s">
        <v>12</v>
      </c>
      <c r="C2403">
        <v>1959</v>
      </c>
      <c r="D2403" s="1" t="s">
        <v>249</v>
      </c>
      <c r="E2403" s="1" t="s">
        <v>30</v>
      </c>
      <c r="F2403">
        <v>18</v>
      </c>
      <c r="G2403" s="1" t="s">
        <v>32</v>
      </c>
      <c r="H2403">
        <v>18112</v>
      </c>
      <c r="I2403">
        <v>350</v>
      </c>
      <c r="J2403">
        <v>268</v>
      </c>
      <c r="K2403">
        <v>156</v>
      </c>
      <c r="L2403">
        <v>582</v>
      </c>
    </row>
    <row r="2404" spans="1:12" hidden="1" x14ac:dyDescent="0.25">
      <c r="A2404">
        <v>2403</v>
      </c>
      <c r="B2404" s="1" t="s">
        <v>12</v>
      </c>
      <c r="C2404">
        <v>1959</v>
      </c>
      <c r="D2404" s="1" t="s">
        <v>249</v>
      </c>
      <c r="E2404" s="1" t="s">
        <v>30</v>
      </c>
      <c r="F2404">
        <v>18</v>
      </c>
      <c r="G2404" s="1" t="s">
        <v>42</v>
      </c>
      <c r="H2404">
        <v>18035</v>
      </c>
      <c r="I2404">
        <v>50</v>
      </c>
      <c r="J2404">
        <v>30</v>
      </c>
      <c r="K2404">
        <v>15</v>
      </c>
      <c r="L2404">
        <v>500</v>
      </c>
    </row>
    <row r="2405" spans="1:12" hidden="1" x14ac:dyDescent="0.25">
      <c r="A2405">
        <v>2404</v>
      </c>
      <c r="B2405" s="1" t="s">
        <v>12</v>
      </c>
      <c r="C2405">
        <v>1959</v>
      </c>
      <c r="D2405" s="1" t="s">
        <v>249</v>
      </c>
      <c r="E2405" s="1" t="s">
        <v>30</v>
      </c>
      <c r="F2405">
        <v>18</v>
      </c>
      <c r="G2405" s="1" t="s">
        <v>41</v>
      </c>
      <c r="H2405">
        <v>18140</v>
      </c>
      <c r="I2405">
        <v>37</v>
      </c>
      <c r="J2405">
        <v>30</v>
      </c>
      <c r="K2405">
        <v>20</v>
      </c>
      <c r="L2405">
        <v>667</v>
      </c>
    </row>
    <row r="2406" spans="1:12" hidden="1" x14ac:dyDescent="0.25">
      <c r="A2406">
        <v>2405</v>
      </c>
      <c r="B2406" s="1" t="s">
        <v>12</v>
      </c>
      <c r="C2406">
        <v>1959</v>
      </c>
      <c r="D2406" s="1" t="s">
        <v>249</v>
      </c>
      <c r="E2406" s="1" t="s">
        <v>30</v>
      </c>
      <c r="F2406">
        <v>18</v>
      </c>
      <c r="G2406" s="1" t="s">
        <v>34</v>
      </c>
      <c r="H2406">
        <v>18042</v>
      </c>
      <c r="I2406">
        <v>35</v>
      </c>
      <c r="J2406">
        <v>25</v>
      </c>
      <c r="K2406">
        <v>17</v>
      </c>
      <c r="L2406">
        <v>680</v>
      </c>
    </row>
    <row r="2407" spans="1:12" hidden="1" x14ac:dyDescent="0.25">
      <c r="A2407">
        <v>2406</v>
      </c>
      <c r="B2407" s="1" t="s">
        <v>12</v>
      </c>
      <c r="C2407">
        <v>1959</v>
      </c>
      <c r="D2407" s="1" t="s">
        <v>249</v>
      </c>
      <c r="E2407" s="1" t="s">
        <v>30</v>
      </c>
      <c r="F2407">
        <v>18</v>
      </c>
      <c r="G2407" s="1" t="s">
        <v>28</v>
      </c>
      <c r="H2407">
        <v>18021</v>
      </c>
      <c r="I2407">
        <v>30</v>
      </c>
      <c r="J2407">
        <v>25</v>
      </c>
      <c r="K2407">
        <v>15</v>
      </c>
      <c r="L2407">
        <v>600</v>
      </c>
    </row>
    <row r="2408" spans="1:12" hidden="1" x14ac:dyDescent="0.25">
      <c r="A2408">
        <v>2407</v>
      </c>
      <c r="B2408" s="1" t="s">
        <v>12</v>
      </c>
      <c r="C2408">
        <v>1959</v>
      </c>
      <c r="D2408" s="1" t="s">
        <v>249</v>
      </c>
      <c r="E2408" s="1" t="s">
        <v>30</v>
      </c>
      <c r="F2408">
        <v>18</v>
      </c>
      <c r="G2408" s="1" t="s">
        <v>103</v>
      </c>
      <c r="H2408">
        <v>18154</v>
      </c>
      <c r="I2408">
        <v>30</v>
      </c>
      <c r="J2408">
        <v>15</v>
      </c>
      <c r="K2408">
        <v>9</v>
      </c>
      <c r="L2408">
        <v>600</v>
      </c>
    </row>
    <row r="2409" spans="1:12" hidden="1" x14ac:dyDescent="0.25">
      <c r="A2409">
        <v>2408</v>
      </c>
      <c r="B2409" s="1" t="s">
        <v>12</v>
      </c>
      <c r="C2409">
        <v>1959</v>
      </c>
      <c r="D2409" s="1" t="s">
        <v>249</v>
      </c>
      <c r="E2409" s="1" t="s">
        <v>30</v>
      </c>
      <c r="F2409">
        <v>18</v>
      </c>
      <c r="G2409" s="1" t="s">
        <v>99</v>
      </c>
      <c r="H2409">
        <v>18063</v>
      </c>
      <c r="I2409">
        <v>25</v>
      </c>
      <c r="J2409">
        <v>20</v>
      </c>
      <c r="K2409">
        <v>13</v>
      </c>
      <c r="L2409">
        <v>650</v>
      </c>
    </row>
    <row r="2410" spans="1:12" hidden="1" x14ac:dyDescent="0.25">
      <c r="A2410">
        <v>2409</v>
      </c>
      <c r="B2410" s="1" t="s">
        <v>12</v>
      </c>
      <c r="C2410">
        <v>1959</v>
      </c>
      <c r="D2410" s="1" t="s">
        <v>249</v>
      </c>
      <c r="E2410" s="1" t="s">
        <v>30</v>
      </c>
      <c r="F2410">
        <v>18</v>
      </c>
      <c r="G2410" s="1" t="s">
        <v>98</v>
      </c>
      <c r="H2410">
        <v>18098</v>
      </c>
      <c r="I2410">
        <v>25</v>
      </c>
      <c r="J2410">
        <v>22</v>
      </c>
      <c r="K2410">
        <v>15</v>
      </c>
      <c r="L2410">
        <v>682</v>
      </c>
    </row>
    <row r="2411" spans="1:12" hidden="1" x14ac:dyDescent="0.25">
      <c r="A2411">
        <v>2410</v>
      </c>
      <c r="B2411" s="1" t="s">
        <v>12</v>
      </c>
      <c r="C2411">
        <v>1959</v>
      </c>
      <c r="D2411" s="1" t="s">
        <v>249</v>
      </c>
      <c r="E2411" s="1" t="s">
        <v>30</v>
      </c>
      <c r="F2411">
        <v>18</v>
      </c>
      <c r="G2411" s="1" t="s">
        <v>36</v>
      </c>
      <c r="H2411">
        <v>18133</v>
      </c>
      <c r="I2411">
        <v>25</v>
      </c>
      <c r="J2411">
        <v>20</v>
      </c>
      <c r="K2411">
        <v>13</v>
      </c>
      <c r="L2411">
        <v>650</v>
      </c>
    </row>
    <row r="2412" spans="1:12" hidden="1" x14ac:dyDescent="0.25">
      <c r="A2412">
        <v>2411</v>
      </c>
      <c r="B2412" s="1" t="s">
        <v>12</v>
      </c>
      <c r="C2412">
        <v>1959</v>
      </c>
      <c r="D2412" s="1" t="s">
        <v>249</v>
      </c>
      <c r="E2412" s="1" t="s">
        <v>30</v>
      </c>
      <c r="F2412">
        <v>18</v>
      </c>
      <c r="G2412" s="1" t="s">
        <v>63</v>
      </c>
      <c r="H2412">
        <v>18028</v>
      </c>
      <c r="I2412">
        <v>20</v>
      </c>
      <c r="J2412">
        <v>15</v>
      </c>
      <c r="K2412">
        <v>10</v>
      </c>
      <c r="L2412">
        <v>667</v>
      </c>
    </row>
    <row r="2413" spans="1:12" hidden="1" x14ac:dyDescent="0.25">
      <c r="A2413">
        <v>2412</v>
      </c>
      <c r="B2413" s="1" t="s">
        <v>12</v>
      </c>
      <c r="C2413">
        <v>1959</v>
      </c>
      <c r="D2413" s="1" t="s">
        <v>249</v>
      </c>
      <c r="E2413" s="1" t="s">
        <v>30</v>
      </c>
      <c r="F2413">
        <v>18</v>
      </c>
      <c r="G2413" s="1" t="s">
        <v>102</v>
      </c>
      <c r="H2413">
        <v>18014</v>
      </c>
      <c r="I2413">
        <v>5</v>
      </c>
      <c r="J2413">
        <v>4</v>
      </c>
      <c r="K2413">
        <v>3</v>
      </c>
      <c r="L2413">
        <v>750</v>
      </c>
    </row>
    <row r="2414" spans="1:12" hidden="1" x14ac:dyDescent="0.25">
      <c r="A2414">
        <v>2413</v>
      </c>
      <c r="B2414" s="1" t="s">
        <v>12</v>
      </c>
      <c r="C2414">
        <v>1959</v>
      </c>
      <c r="D2414" s="1" t="s">
        <v>249</v>
      </c>
      <c r="E2414" s="1" t="s">
        <v>30</v>
      </c>
      <c r="F2414">
        <v>18</v>
      </c>
      <c r="G2414" s="1" t="s">
        <v>100</v>
      </c>
      <c r="H2414">
        <v>18077</v>
      </c>
      <c r="I2414">
        <v>5</v>
      </c>
      <c r="J2414">
        <v>3</v>
      </c>
      <c r="K2414">
        <v>2</v>
      </c>
      <c r="L2414">
        <v>667</v>
      </c>
    </row>
    <row r="2415" spans="1:12" hidden="1" x14ac:dyDescent="0.25">
      <c r="A2415">
        <v>2414</v>
      </c>
      <c r="B2415" s="1" t="s">
        <v>12</v>
      </c>
      <c r="C2415">
        <v>1959</v>
      </c>
      <c r="D2415" s="1" t="s">
        <v>249</v>
      </c>
      <c r="E2415" s="1" t="s">
        <v>30</v>
      </c>
      <c r="F2415">
        <v>18</v>
      </c>
      <c r="G2415" s="1" t="s">
        <v>39</v>
      </c>
      <c r="H2415">
        <v>18084</v>
      </c>
      <c r="I2415">
        <v>3</v>
      </c>
      <c r="J2415">
        <v>3</v>
      </c>
      <c r="K2415">
        <v>2</v>
      </c>
      <c r="L2415">
        <v>667</v>
      </c>
    </row>
    <row r="2416" spans="1:12" hidden="1" x14ac:dyDescent="0.25">
      <c r="A2416">
        <v>2415</v>
      </c>
      <c r="B2416" s="1" t="s">
        <v>12</v>
      </c>
      <c r="C2416">
        <v>1959</v>
      </c>
      <c r="D2416" s="1" t="s">
        <v>249</v>
      </c>
      <c r="E2416" s="1" t="s">
        <v>45</v>
      </c>
      <c r="F2416">
        <v>30</v>
      </c>
      <c r="G2416" s="1" t="s">
        <v>46</v>
      </c>
      <c r="H2416">
        <v>30028</v>
      </c>
      <c r="I2416">
        <v>38</v>
      </c>
      <c r="J2416">
        <v>30</v>
      </c>
      <c r="K2416">
        <v>17</v>
      </c>
      <c r="L2416">
        <v>567</v>
      </c>
    </row>
    <row r="2417" spans="1:12" hidden="1" x14ac:dyDescent="0.25">
      <c r="A2417">
        <v>2416</v>
      </c>
      <c r="B2417" s="1" t="s">
        <v>12</v>
      </c>
      <c r="C2417">
        <v>1959</v>
      </c>
      <c r="D2417" s="1" t="s">
        <v>249</v>
      </c>
      <c r="E2417" s="1" t="s">
        <v>45</v>
      </c>
      <c r="F2417">
        <v>30</v>
      </c>
      <c r="G2417" s="1" t="s">
        <v>47</v>
      </c>
      <c r="H2417">
        <v>30015</v>
      </c>
      <c r="I2417">
        <v>20</v>
      </c>
      <c r="J2417">
        <v>15</v>
      </c>
      <c r="K2417">
        <v>7</v>
      </c>
      <c r="L2417">
        <v>467</v>
      </c>
    </row>
    <row r="2418" spans="1:12" hidden="1" x14ac:dyDescent="0.25">
      <c r="A2418">
        <v>2417</v>
      </c>
      <c r="B2418" s="1" t="s">
        <v>12</v>
      </c>
      <c r="C2418">
        <v>1959</v>
      </c>
      <c r="D2418" s="1" t="s">
        <v>249</v>
      </c>
      <c r="E2418" s="1" t="s">
        <v>45</v>
      </c>
      <c r="F2418">
        <v>30</v>
      </c>
      <c r="G2418" s="1" t="s">
        <v>27</v>
      </c>
      <c r="H2418">
        <v>30008</v>
      </c>
      <c r="I2418">
        <v>7</v>
      </c>
      <c r="J2418">
        <v>7</v>
      </c>
      <c r="K2418">
        <v>3</v>
      </c>
      <c r="L2418">
        <v>429</v>
      </c>
    </row>
    <row r="2419" spans="1:12" hidden="1" x14ac:dyDescent="0.25">
      <c r="A2419">
        <v>2418</v>
      </c>
      <c r="B2419" s="1" t="s">
        <v>12</v>
      </c>
      <c r="C2419">
        <v>1959</v>
      </c>
      <c r="D2419" s="1" t="s">
        <v>249</v>
      </c>
      <c r="E2419" s="1" t="s">
        <v>48</v>
      </c>
      <c r="F2419">
        <v>34</v>
      </c>
      <c r="G2419" s="1" t="s">
        <v>51</v>
      </c>
      <c r="H2419">
        <v>34056</v>
      </c>
      <c r="I2419">
        <v>35</v>
      </c>
      <c r="J2419">
        <v>30</v>
      </c>
      <c r="K2419">
        <v>39</v>
      </c>
      <c r="L2419">
        <v>1300</v>
      </c>
    </row>
    <row r="2420" spans="1:12" hidden="1" x14ac:dyDescent="0.25">
      <c r="A2420">
        <v>2419</v>
      </c>
      <c r="B2420" s="1" t="s">
        <v>12</v>
      </c>
      <c r="C2420">
        <v>1959</v>
      </c>
      <c r="D2420" s="1" t="s">
        <v>249</v>
      </c>
      <c r="E2420" s="1" t="s">
        <v>48</v>
      </c>
      <c r="F2420">
        <v>34</v>
      </c>
      <c r="G2420" s="1" t="s">
        <v>49</v>
      </c>
      <c r="H2420">
        <v>34049</v>
      </c>
      <c r="I2420">
        <v>25</v>
      </c>
      <c r="J2420">
        <v>22</v>
      </c>
      <c r="K2420">
        <v>33</v>
      </c>
      <c r="L2420">
        <v>1500</v>
      </c>
    </row>
    <row r="2421" spans="1:12" hidden="1" x14ac:dyDescent="0.25">
      <c r="A2421">
        <v>2420</v>
      </c>
      <c r="B2421" s="1" t="s">
        <v>12</v>
      </c>
      <c r="C2421">
        <v>1959</v>
      </c>
      <c r="D2421" s="1" t="s">
        <v>249</v>
      </c>
      <c r="E2421" s="1" t="s">
        <v>48</v>
      </c>
      <c r="F2421">
        <v>34</v>
      </c>
      <c r="G2421" s="1" t="s">
        <v>48</v>
      </c>
      <c r="H2421">
        <v>34014</v>
      </c>
      <c r="I2421">
        <v>15</v>
      </c>
      <c r="J2421">
        <v>13</v>
      </c>
      <c r="K2421">
        <v>17</v>
      </c>
      <c r="L2421">
        <v>1308</v>
      </c>
    </row>
    <row r="2422" spans="1:12" hidden="1" x14ac:dyDescent="0.25">
      <c r="A2422">
        <v>2421</v>
      </c>
      <c r="B2422" s="1" t="s">
        <v>12</v>
      </c>
      <c r="C2422">
        <v>1959</v>
      </c>
      <c r="D2422" s="1" t="s">
        <v>249</v>
      </c>
      <c r="E2422" s="1" t="s">
        <v>48</v>
      </c>
      <c r="F2422">
        <v>34</v>
      </c>
      <c r="G2422" s="1" t="s">
        <v>108</v>
      </c>
      <c r="H2422">
        <v>34042</v>
      </c>
      <c r="I2422">
        <v>15</v>
      </c>
      <c r="J2422">
        <v>14</v>
      </c>
      <c r="K2422">
        <v>21</v>
      </c>
      <c r="L2422">
        <v>1500</v>
      </c>
    </row>
    <row r="2423" spans="1:12" hidden="1" x14ac:dyDescent="0.25">
      <c r="A2423">
        <v>2422</v>
      </c>
      <c r="B2423" s="1" t="s">
        <v>12</v>
      </c>
      <c r="C2423">
        <v>1959</v>
      </c>
      <c r="D2423" s="1" t="s">
        <v>249</v>
      </c>
      <c r="E2423" s="1" t="s">
        <v>48</v>
      </c>
      <c r="F2423">
        <v>34</v>
      </c>
      <c r="G2423" s="1" t="s">
        <v>50</v>
      </c>
      <c r="H2423">
        <v>34021</v>
      </c>
      <c r="I2423">
        <v>10</v>
      </c>
      <c r="J2423">
        <v>9</v>
      </c>
      <c r="K2423">
        <v>12</v>
      </c>
      <c r="L2423">
        <v>1333</v>
      </c>
    </row>
    <row r="2424" spans="1:12" hidden="1" x14ac:dyDescent="0.25">
      <c r="A2424">
        <v>2423</v>
      </c>
      <c r="B2424" s="1" t="s">
        <v>12</v>
      </c>
      <c r="C2424">
        <v>1959</v>
      </c>
      <c r="D2424" s="1" t="s">
        <v>249</v>
      </c>
      <c r="E2424" s="1" t="s">
        <v>48</v>
      </c>
      <c r="F2424">
        <v>34</v>
      </c>
      <c r="G2424" s="1" t="s">
        <v>52</v>
      </c>
      <c r="H2424">
        <v>34035</v>
      </c>
      <c r="I2424">
        <v>10</v>
      </c>
      <c r="J2424">
        <v>8</v>
      </c>
      <c r="K2424">
        <v>8</v>
      </c>
      <c r="L2424">
        <v>1000</v>
      </c>
    </row>
    <row r="2425" spans="1:12" hidden="1" x14ac:dyDescent="0.25">
      <c r="A2425">
        <v>2424</v>
      </c>
      <c r="B2425" s="1" t="s">
        <v>12</v>
      </c>
      <c r="C2425">
        <v>1959</v>
      </c>
      <c r="D2425" s="1" t="s">
        <v>249</v>
      </c>
      <c r="E2425" s="1" t="s">
        <v>58</v>
      </c>
      <c r="F2425">
        <v>54</v>
      </c>
      <c r="G2425" s="1" t="s">
        <v>60</v>
      </c>
      <c r="H2425">
        <v>54021</v>
      </c>
      <c r="I2425">
        <v>77</v>
      </c>
      <c r="J2425">
        <v>68</v>
      </c>
      <c r="K2425">
        <v>40</v>
      </c>
      <c r="L2425">
        <v>588</v>
      </c>
    </row>
    <row r="2426" spans="1:12" hidden="1" x14ac:dyDescent="0.25">
      <c r="A2426">
        <v>2425</v>
      </c>
      <c r="B2426" s="1" t="s">
        <v>12</v>
      </c>
      <c r="C2426">
        <v>1959</v>
      </c>
      <c r="D2426" s="1" t="s">
        <v>249</v>
      </c>
      <c r="E2426" s="1" t="s">
        <v>58</v>
      </c>
      <c r="F2426">
        <v>54</v>
      </c>
      <c r="G2426" s="1" t="s">
        <v>242</v>
      </c>
      <c r="H2426">
        <v>54091</v>
      </c>
      <c r="I2426">
        <v>72</v>
      </c>
      <c r="J2426">
        <v>67</v>
      </c>
      <c r="K2426">
        <v>53</v>
      </c>
      <c r="L2426">
        <v>791</v>
      </c>
    </row>
    <row r="2427" spans="1:12" hidden="1" x14ac:dyDescent="0.25">
      <c r="A2427">
        <v>2426</v>
      </c>
      <c r="B2427" s="1" t="s">
        <v>12</v>
      </c>
      <c r="C2427">
        <v>1959</v>
      </c>
      <c r="D2427" s="1" t="s">
        <v>249</v>
      </c>
      <c r="E2427" s="1" t="s">
        <v>58</v>
      </c>
      <c r="F2427">
        <v>54</v>
      </c>
      <c r="G2427" s="1" t="s">
        <v>61</v>
      </c>
      <c r="H2427">
        <v>54098</v>
      </c>
      <c r="I2427">
        <v>53</v>
      </c>
      <c r="J2427">
        <v>50</v>
      </c>
      <c r="K2427">
        <v>37</v>
      </c>
      <c r="L2427">
        <v>740</v>
      </c>
    </row>
    <row r="2428" spans="1:12" hidden="1" x14ac:dyDescent="0.25">
      <c r="A2428">
        <v>2427</v>
      </c>
      <c r="B2428" s="1" t="s">
        <v>12</v>
      </c>
      <c r="C2428">
        <v>1959</v>
      </c>
      <c r="D2428" s="1" t="s">
        <v>249</v>
      </c>
      <c r="E2428" s="1" t="s">
        <v>58</v>
      </c>
      <c r="F2428">
        <v>54</v>
      </c>
      <c r="G2428" s="1" t="s">
        <v>63</v>
      </c>
      <c r="H2428">
        <v>54035</v>
      </c>
      <c r="I2428">
        <v>27</v>
      </c>
      <c r="J2428">
        <v>24</v>
      </c>
      <c r="K2428">
        <v>14</v>
      </c>
      <c r="L2428">
        <v>583</v>
      </c>
    </row>
    <row r="2429" spans="1:12" hidden="1" x14ac:dyDescent="0.25">
      <c r="A2429">
        <v>2428</v>
      </c>
      <c r="B2429" s="1" t="s">
        <v>12</v>
      </c>
      <c r="C2429">
        <v>1959</v>
      </c>
      <c r="D2429" s="1" t="s">
        <v>249</v>
      </c>
      <c r="E2429" s="1" t="s">
        <v>58</v>
      </c>
      <c r="F2429">
        <v>54</v>
      </c>
      <c r="G2429" s="1" t="s">
        <v>59</v>
      </c>
      <c r="H2429">
        <v>54007</v>
      </c>
      <c r="I2429">
        <v>25</v>
      </c>
      <c r="J2429">
        <v>22</v>
      </c>
      <c r="K2429">
        <v>16</v>
      </c>
      <c r="L2429">
        <v>727</v>
      </c>
    </row>
    <row r="2430" spans="1:12" hidden="1" x14ac:dyDescent="0.25">
      <c r="A2430">
        <v>2429</v>
      </c>
      <c r="B2430" s="1" t="s">
        <v>12</v>
      </c>
      <c r="C2430">
        <v>1959</v>
      </c>
      <c r="D2430" s="1" t="s">
        <v>249</v>
      </c>
      <c r="E2430" s="1" t="s">
        <v>58</v>
      </c>
      <c r="F2430">
        <v>54</v>
      </c>
      <c r="G2430" s="1" t="s">
        <v>243</v>
      </c>
      <c r="H2430">
        <v>54070</v>
      </c>
      <c r="I2430">
        <v>25</v>
      </c>
      <c r="J2430">
        <v>22</v>
      </c>
      <c r="K2430">
        <v>16</v>
      </c>
      <c r="L2430">
        <v>727</v>
      </c>
    </row>
    <row r="2431" spans="1:12" hidden="1" x14ac:dyDescent="0.25">
      <c r="A2431">
        <v>2430</v>
      </c>
      <c r="B2431" s="1" t="s">
        <v>12</v>
      </c>
      <c r="C2431">
        <v>1959</v>
      </c>
      <c r="D2431" s="1" t="s">
        <v>249</v>
      </c>
      <c r="E2431" s="1" t="s">
        <v>58</v>
      </c>
      <c r="F2431">
        <v>54</v>
      </c>
      <c r="G2431" s="1" t="s">
        <v>150</v>
      </c>
      <c r="H2431">
        <v>54014</v>
      </c>
      <c r="I2431">
        <v>22</v>
      </c>
      <c r="J2431">
        <v>20</v>
      </c>
      <c r="K2431">
        <v>16</v>
      </c>
      <c r="L2431">
        <v>800</v>
      </c>
    </row>
    <row r="2432" spans="1:12" hidden="1" x14ac:dyDescent="0.25">
      <c r="A2432">
        <v>2431</v>
      </c>
      <c r="B2432" s="1" t="s">
        <v>12</v>
      </c>
      <c r="C2432">
        <v>1959</v>
      </c>
      <c r="D2432" s="1" t="s">
        <v>249</v>
      </c>
      <c r="E2432" s="1" t="s">
        <v>58</v>
      </c>
      <c r="F2432">
        <v>54</v>
      </c>
      <c r="G2432" s="1" t="s">
        <v>244</v>
      </c>
      <c r="H2432">
        <v>54084</v>
      </c>
      <c r="I2432">
        <v>22</v>
      </c>
      <c r="J2432">
        <v>20</v>
      </c>
      <c r="K2432">
        <v>16</v>
      </c>
      <c r="L2432">
        <v>800</v>
      </c>
    </row>
    <row r="2433" spans="1:12" hidden="1" x14ac:dyDescent="0.25">
      <c r="A2433">
        <v>2432</v>
      </c>
      <c r="B2433" s="1" t="s">
        <v>12</v>
      </c>
      <c r="C2433">
        <v>1959</v>
      </c>
      <c r="D2433" s="1" t="s">
        <v>249</v>
      </c>
      <c r="E2433" s="1" t="s">
        <v>58</v>
      </c>
      <c r="F2433">
        <v>54</v>
      </c>
      <c r="G2433" s="1" t="s">
        <v>62</v>
      </c>
      <c r="H2433">
        <v>54105</v>
      </c>
      <c r="I2433">
        <v>22</v>
      </c>
      <c r="J2433">
        <v>20</v>
      </c>
      <c r="K2433">
        <v>14</v>
      </c>
      <c r="L2433">
        <v>700</v>
      </c>
    </row>
    <row r="2434" spans="1:12" hidden="1" x14ac:dyDescent="0.25">
      <c r="A2434">
        <v>2433</v>
      </c>
      <c r="B2434" s="1" t="s">
        <v>12</v>
      </c>
      <c r="C2434">
        <v>1959</v>
      </c>
      <c r="D2434" s="1" t="s">
        <v>249</v>
      </c>
      <c r="E2434" s="1" t="s">
        <v>58</v>
      </c>
      <c r="F2434">
        <v>54</v>
      </c>
      <c r="G2434" s="1" t="s">
        <v>245</v>
      </c>
      <c r="H2434">
        <v>54042</v>
      </c>
      <c r="I2434">
        <v>15</v>
      </c>
      <c r="J2434">
        <v>14</v>
      </c>
      <c r="K2434">
        <v>11</v>
      </c>
      <c r="L2434">
        <v>786</v>
      </c>
    </row>
    <row r="2435" spans="1:12" hidden="1" x14ac:dyDescent="0.25">
      <c r="A2435">
        <v>2434</v>
      </c>
      <c r="B2435" s="1" t="s">
        <v>12</v>
      </c>
      <c r="C2435">
        <v>1959</v>
      </c>
      <c r="D2435" s="1" t="s">
        <v>249</v>
      </c>
      <c r="E2435" s="1" t="s">
        <v>58</v>
      </c>
      <c r="F2435">
        <v>54</v>
      </c>
      <c r="G2435" s="1" t="s">
        <v>152</v>
      </c>
      <c r="H2435">
        <v>54063</v>
      </c>
      <c r="I2435">
        <v>15</v>
      </c>
      <c r="J2435">
        <v>14</v>
      </c>
      <c r="K2435">
        <v>11</v>
      </c>
      <c r="L2435">
        <v>786</v>
      </c>
    </row>
    <row r="2436" spans="1:12" hidden="1" x14ac:dyDescent="0.25">
      <c r="A2436">
        <v>2435</v>
      </c>
      <c r="B2436" s="1" t="s">
        <v>12</v>
      </c>
      <c r="C2436">
        <v>1959</v>
      </c>
      <c r="D2436" s="1" t="s">
        <v>249</v>
      </c>
      <c r="E2436" s="1" t="s">
        <v>58</v>
      </c>
      <c r="F2436">
        <v>54</v>
      </c>
      <c r="G2436" s="1" t="s">
        <v>119</v>
      </c>
      <c r="H2436">
        <v>54077</v>
      </c>
      <c r="I2436">
        <v>15</v>
      </c>
      <c r="J2436">
        <v>14</v>
      </c>
      <c r="K2436">
        <v>11</v>
      </c>
      <c r="L2436">
        <v>786</v>
      </c>
    </row>
    <row r="2437" spans="1:12" hidden="1" x14ac:dyDescent="0.25">
      <c r="A2437">
        <v>2436</v>
      </c>
      <c r="B2437" s="1" t="s">
        <v>12</v>
      </c>
      <c r="C2437">
        <v>1959</v>
      </c>
      <c r="D2437" s="1" t="s">
        <v>249</v>
      </c>
      <c r="E2437" s="1" t="s">
        <v>87</v>
      </c>
      <c r="F2437">
        <v>66</v>
      </c>
      <c r="G2437" s="1" t="s">
        <v>230</v>
      </c>
      <c r="H2437">
        <v>66056</v>
      </c>
      <c r="I2437">
        <v>12</v>
      </c>
      <c r="J2437">
        <v>10</v>
      </c>
      <c r="K2437">
        <v>12</v>
      </c>
      <c r="L2437">
        <v>1200</v>
      </c>
    </row>
    <row r="2438" spans="1:12" hidden="1" x14ac:dyDescent="0.25">
      <c r="A2438">
        <v>2437</v>
      </c>
      <c r="B2438" s="1" t="s">
        <v>12</v>
      </c>
      <c r="C2438">
        <v>1959</v>
      </c>
      <c r="D2438" s="1" t="s">
        <v>249</v>
      </c>
      <c r="E2438" s="1" t="s">
        <v>87</v>
      </c>
      <c r="F2438">
        <v>66</v>
      </c>
      <c r="G2438" s="1" t="s">
        <v>141</v>
      </c>
      <c r="H2438">
        <v>66112</v>
      </c>
      <c r="I2438">
        <v>8</v>
      </c>
      <c r="J2438">
        <v>8</v>
      </c>
      <c r="K2438">
        <v>15</v>
      </c>
      <c r="L2438">
        <v>1875</v>
      </c>
    </row>
    <row r="2439" spans="1:12" hidden="1" x14ac:dyDescent="0.25">
      <c r="A2439">
        <v>2438</v>
      </c>
      <c r="B2439" s="1" t="s">
        <v>12</v>
      </c>
      <c r="C2439">
        <v>1959</v>
      </c>
      <c r="D2439" s="1" t="s">
        <v>249</v>
      </c>
      <c r="E2439" s="1" t="s">
        <v>87</v>
      </c>
      <c r="F2439">
        <v>66</v>
      </c>
      <c r="G2439" s="1" t="s">
        <v>248</v>
      </c>
      <c r="H2439">
        <v>66161</v>
      </c>
      <c r="I2439">
        <v>7</v>
      </c>
      <c r="J2439">
        <v>7</v>
      </c>
      <c r="K2439">
        <v>5</v>
      </c>
      <c r="L2439">
        <v>714</v>
      </c>
    </row>
    <row r="2440" spans="1:12" hidden="1" x14ac:dyDescent="0.25">
      <c r="A2440">
        <v>2439</v>
      </c>
      <c r="B2440" s="1" t="s">
        <v>12</v>
      </c>
      <c r="C2440">
        <v>1959</v>
      </c>
      <c r="D2440" s="1" t="s">
        <v>249</v>
      </c>
      <c r="E2440" s="1" t="s">
        <v>87</v>
      </c>
      <c r="F2440">
        <v>66</v>
      </c>
      <c r="G2440" s="1" t="s">
        <v>179</v>
      </c>
      <c r="H2440">
        <v>66126</v>
      </c>
      <c r="I2440">
        <v>5</v>
      </c>
      <c r="J2440">
        <v>5</v>
      </c>
      <c r="K2440">
        <v>6</v>
      </c>
      <c r="L2440">
        <v>1200</v>
      </c>
    </row>
    <row r="2441" spans="1:12" hidden="1" x14ac:dyDescent="0.25">
      <c r="A2441">
        <v>2440</v>
      </c>
      <c r="B2441" s="1" t="s">
        <v>12</v>
      </c>
      <c r="C2441">
        <v>1959</v>
      </c>
      <c r="D2441" s="1" t="s">
        <v>249</v>
      </c>
      <c r="E2441" s="1" t="s">
        <v>87</v>
      </c>
      <c r="F2441">
        <v>66</v>
      </c>
      <c r="G2441" s="1" t="s">
        <v>130</v>
      </c>
      <c r="H2441">
        <v>66147</v>
      </c>
      <c r="I2441">
        <v>2</v>
      </c>
      <c r="J2441">
        <v>2</v>
      </c>
      <c r="K2441">
        <v>3</v>
      </c>
      <c r="L2441">
        <v>1500</v>
      </c>
    </row>
    <row r="2442" spans="1:12" hidden="1" x14ac:dyDescent="0.25">
      <c r="A2442">
        <v>2441</v>
      </c>
      <c r="B2442" s="1" t="s">
        <v>12</v>
      </c>
      <c r="C2442">
        <v>1959</v>
      </c>
      <c r="D2442" s="1" t="s">
        <v>249</v>
      </c>
      <c r="E2442" s="1" t="s">
        <v>87</v>
      </c>
      <c r="F2442">
        <v>66</v>
      </c>
      <c r="G2442" s="1" t="s">
        <v>125</v>
      </c>
      <c r="H2442">
        <v>66035</v>
      </c>
      <c r="I2442">
        <v>1</v>
      </c>
      <c r="J2442">
        <v>1</v>
      </c>
      <c r="K2442">
        <v>1</v>
      </c>
      <c r="L2442">
        <v>1000</v>
      </c>
    </row>
    <row r="2443" spans="1:12" hidden="1" x14ac:dyDescent="0.25">
      <c r="A2443">
        <v>2442</v>
      </c>
      <c r="B2443" s="1" t="s">
        <v>12</v>
      </c>
      <c r="C2443">
        <v>1959</v>
      </c>
      <c r="D2443" s="1" t="s">
        <v>249</v>
      </c>
      <c r="E2443" s="1" t="s">
        <v>116</v>
      </c>
      <c r="F2443">
        <v>74</v>
      </c>
      <c r="G2443" s="1" t="s">
        <v>126</v>
      </c>
      <c r="H2443">
        <v>74035</v>
      </c>
      <c r="I2443">
        <v>900</v>
      </c>
      <c r="J2443">
        <v>400</v>
      </c>
      <c r="K2443">
        <v>200</v>
      </c>
      <c r="L2443">
        <v>500</v>
      </c>
    </row>
    <row r="2444" spans="1:12" hidden="1" x14ac:dyDescent="0.25">
      <c r="A2444">
        <v>2443</v>
      </c>
      <c r="B2444" s="1" t="s">
        <v>12</v>
      </c>
      <c r="C2444">
        <v>1959</v>
      </c>
      <c r="D2444" s="1" t="s">
        <v>249</v>
      </c>
      <c r="E2444" s="1" t="s">
        <v>64</v>
      </c>
      <c r="F2444">
        <v>82</v>
      </c>
      <c r="G2444" s="1" t="s">
        <v>66</v>
      </c>
      <c r="H2444">
        <v>82035</v>
      </c>
      <c r="I2444">
        <v>270</v>
      </c>
      <c r="J2444">
        <v>200</v>
      </c>
      <c r="K2444">
        <v>400</v>
      </c>
      <c r="L2444">
        <v>2000</v>
      </c>
    </row>
    <row r="2445" spans="1:12" hidden="1" x14ac:dyDescent="0.25">
      <c r="A2445">
        <v>2444</v>
      </c>
      <c r="B2445" s="1" t="s">
        <v>12</v>
      </c>
      <c r="C2445">
        <v>1959</v>
      </c>
      <c r="D2445" s="1" t="s">
        <v>249</v>
      </c>
      <c r="E2445" s="1" t="s">
        <v>64</v>
      </c>
      <c r="F2445">
        <v>82</v>
      </c>
      <c r="G2445" s="1" t="s">
        <v>65</v>
      </c>
      <c r="H2445">
        <v>82049</v>
      </c>
      <c r="I2445">
        <v>50</v>
      </c>
      <c r="J2445">
        <v>20</v>
      </c>
      <c r="K2445">
        <v>15</v>
      </c>
      <c r="L2445">
        <v>750</v>
      </c>
    </row>
    <row r="2446" spans="1:12" hidden="1" x14ac:dyDescent="0.25">
      <c r="A2446">
        <v>2445</v>
      </c>
      <c r="B2446" s="1" t="s">
        <v>12</v>
      </c>
      <c r="C2446">
        <v>1959</v>
      </c>
      <c r="D2446" s="1" t="s">
        <v>249</v>
      </c>
      <c r="E2446" s="1" t="s">
        <v>77</v>
      </c>
      <c r="F2446">
        <v>90</v>
      </c>
      <c r="G2446" s="1" t="s">
        <v>95</v>
      </c>
      <c r="H2446">
        <v>90035</v>
      </c>
      <c r="I2446">
        <v>10</v>
      </c>
      <c r="J2446">
        <v>9</v>
      </c>
      <c r="K2446">
        <v>9</v>
      </c>
      <c r="L2446">
        <v>1000</v>
      </c>
    </row>
    <row r="2447" spans="1:12" hidden="1" x14ac:dyDescent="0.25">
      <c r="A2447">
        <v>2446</v>
      </c>
      <c r="B2447" s="1" t="s">
        <v>12</v>
      </c>
      <c r="C2447">
        <v>1959</v>
      </c>
      <c r="D2447" s="1" t="s">
        <v>249</v>
      </c>
      <c r="E2447" s="1" t="s">
        <v>77</v>
      </c>
      <c r="F2447">
        <v>90</v>
      </c>
      <c r="G2447" s="1" t="s">
        <v>92</v>
      </c>
      <c r="H2447">
        <v>90056</v>
      </c>
      <c r="I2447">
        <v>10</v>
      </c>
      <c r="J2447">
        <v>7</v>
      </c>
      <c r="K2447">
        <v>7</v>
      </c>
      <c r="L2447">
        <v>1000</v>
      </c>
    </row>
    <row r="2448" spans="1:12" hidden="1" x14ac:dyDescent="0.25">
      <c r="A2448">
        <v>2447</v>
      </c>
      <c r="B2448" s="1" t="s">
        <v>12</v>
      </c>
      <c r="C2448">
        <v>1959</v>
      </c>
      <c r="D2448" s="1" t="s">
        <v>249</v>
      </c>
      <c r="E2448" s="1" t="s">
        <v>77</v>
      </c>
      <c r="F2448">
        <v>90</v>
      </c>
      <c r="G2448" s="1" t="s">
        <v>94</v>
      </c>
      <c r="H2448">
        <v>90105</v>
      </c>
      <c r="I2448">
        <v>8</v>
      </c>
      <c r="J2448">
        <v>5</v>
      </c>
      <c r="K2448">
        <v>3</v>
      </c>
      <c r="L2448">
        <v>600</v>
      </c>
    </row>
    <row r="2449" spans="1:12" hidden="1" x14ac:dyDescent="0.25">
      <c r="A2449">
        <v>2448</v>
      </c>
      <c r="B2449" s="1" t="s">
        <v>12</v>
      </c>
      <c r="C2449">
        <v>1959</v>
      </c>
      <c r="D2449" s="1" t="s">
        <v>249</v>
      </c>
      <c r="E2449" s="1" t="s">
        <v>77</v>
      </c>
      <c r="F2449">
        <v>90</v>
      </c>
      <c r="G2449" s="1" t="s">
        <v>78</v>
      </c>
      <c r="H2449">
        <v>90007</v>
      </c>
      <c r="I2449">
        <v>6</v>
      </c>
      <c r="J2449">
        <v>4</v>
      </c>
      <c r="K2449">
        <v>4</v>
      </c>
      <c r="L2449">
        <v>1000</v>
      </c>
    </row>
    <row r="2450" spans="1:12" hidden="1" x14ac:dyDescent="0.25">
      <c r="A2450">
        <v>2449</v>
      </c>
      <c r="B2450" s="1" t="s">
        <v>12</v>
      </c>
      <c r="C2450">
        <v>1959</v>
      </c>
      <c r="D2450" s="1" t="s">
        <v>249</v>
      </c>
      <c r="E2450" s="1" t="s">
        <v>77</v>
      </c>
      <c r="F2450">
        <v>90</v>
      </c>
      <c r="G2450" s="1" t="s">
        <v>91</v>
      </c>
      <c r="H2450">
        <v>90014</v>
      </c>
      <c r="I2450">
        <v>6</v>
      </c>
      <c r="J2450">
        <v>5</v>
      </c>
      <c r="K2450">
        <v>6</v>
      </c>
      <c r="L2450">
        <v>1200</v>
      </c>
    </row>
    <row r="2451" spans="1:12" hidden="1" x14ac:dyDescent="0.25">
      <c r="A2451">
        <v>2450</v>
      </c>
      <c r="B2451" s="1" t="s">
        <v>12</v>
      </c>
      <c r="C2451">
        <v>1959</v>
      </c>
      <c r="D2451" s="1" t="s">
        <v>249</v>
      </c>
      <c r="E2451" s="1" t="s">
        <v>77</v>
      </c>
      <c r="F2451">
        <v>90</v>
      </c>
      <c r="G2451" s="1" t="s">
        <v>109</v>
      </c>
      <c r="H2451">
        <v>90077</v>
      </c>
      <c r="I2451">
        <v>3</v>
      </c>
      <c r="J2451">
        <v>2</v>
      </c>
      <c r="K2451">
        <v>1</v>
      </c>
      <c r="L2451">
        <v>500</v>
      </c>
    </row>
    <row r="2452" spans="1:12" hidden="1" x14ac:dyDescent="0.25">
      <c r="A2452">
        <v>2451</v>
      </c>
      <c r="B2452" s="1" t="s">
        <v>12</v>
      </c>
      <c r="C2452">
        <v>1959</v>
      </c>
      <c r="D2452" s="1" t="s">
        <v>249</v>
      </c>
      <c r="E2452" s="1" t="s">
        <v>77</v>
      </c>
      <c r="F2452">
        <v>90</v>
      </c>
      <c r="G2452" s="1" t="s">
        <v>28</v>
      </c>
      <c r="H2452">
        <v>90084</v>
      </c>
      <c r="I2452">
        <v>2</v>
      </c>
      <c r="J2452">
        <v>2</v>
      </c>
      <c r="K2452">
        <v>1</v>
      </c>
      <c r="L2452">
        <v>500</v>
      </c>
    </row>
    <row r="2453" spans="1:12" hidden="1" x14ac:dyDescent="0.25">
      <c r="A2453">
        <v>2452</v>
      </c>
      <c r="B2453" s="1" t="s">
        <v>12</v>
      </c>
      <c r="C2453">
        <v>1959</v>
      </c>
      <c r="D2453" s="1" t="s">
        <v>249</v>
      </c>
      <c r="E2453" s="1" t="s">
        <v>77</v>
      </c>
      <c r="F2453">
        <v>90</v>
      </c>
      <c r="G2453" s="1" t="s">
        <v>110</v>
      </c>
      <c r="H2453">
        <v>90021</v>
      </c>
      <c r="I2453">
        <v>2</v>
      </c>
      <c r="J2453">
        <v>2</v>
      </c>
      <c r="K2453">
        <v>2</v>
      </c>
      <c r="L2453">
        <v>1000</v>
      </c>
    </row>
    <row r="2454" spans="1:12" hidden="1" x14ac:dyDescent="0.25">
      <c r="A2454">
        <v>2453</v>
      </c>
      <c r="B2454" s="1" t="s">
        <v>12</v>
      </c>
      <c r="C2454">
        <v>1959</v>
      </c>
      <c r="D2454" s="1" t="s">
        <v>249</v>
      </c>
      <c r="E2454" s="1" t="s">
        <v>77</v>
      </c>
      <c r="F2454">
        <v>90</v>
      </c>
      <c r="G2454" s="1" t="s">
        <v>93</v>
      </c>
      <c r="H2454">
        <v>90070</v>
      </c>
      <c r="I2454">
        <v>2</v>
      </c>
      <c r="J2454">
        <v>2</v>
      </c>
      <c r="K2454">
        <v>2</v>
      </c>
      <c r="L2454">
        <v>1000</v>
      </c>
    </row>
    <row r="2455" spans="1:12" hidden="1" x14ac:dyDescent="0.25">
      <c r="A2455">
        <v>2454</v>
      </c>
      <c r="B2455" s="1" t="s">
        <v>12</v>
      </c>
      <c r="C2455">
        <v>1959</v>
      </c>
      <c r="D2455" s="1" t="s">
        <v>249</v>
      </c>
      <c r="E2455" s="1" t="s">
        <v>77</v>
      </c>
      <c r="F2455">
        <v>90</v>
      </c>
      <c r="G2455" s="1" t="s">
        <v>90</v>
      </c>
      <c r="H2455">
        <v>90112</v>
      </c>
      <c r="I2455">
        <v>1</v>
      </c>
      <c r="J2455">
        <v>1</v>
      </c>
      <c r="K2455">
        <v>1</v>
      </c>
      <c r="L2455">
        <v>1000</v>
      </c>
    </row>
    <row r="2456" spans="1:12" hidden="1" x14ac:dyDescent="0.25">
      <c r="A2456">
        <v>2455</v>
      </c>
      <c r="B2456" s="1" t="s">
        <v>12</v>
      </c>
      <c r="C2456">
        <v>1960</v>
      </c>
      <c r="D2456" s="1" t="s">
        <v>251</v>
      </c>
      <c r="E2456" s="1" t="s">
        <v>14</v>
      </c>
      <c r="F2456">
        <v>22</v>
      </c>
      <c r="G2456" s="1" t="s">
        <v>119</v>
      </c>
      <c r="H2456">
        <v>22084</v>
      </c>
      <c r="I2456">
        <v>545</v>
      </c>
      <c r="J2456">
        <v>496</v>
      </c>
      <c r="K2456">
        <v>375</v>
      </c>
      <c r="L2456">
        <v>756</v>
      </c>
    </row>
    <row r="2457" spans="1:12" hidden="1" x14ac:dyDescent="0.25">
      <c r="A2457">
        <v>2456</v>
      </c>
      <c r="B2457" s="1" t="s">
        <v>12</v>
      </c>
      <c r="C2457">
        <v>1960</v>
      </c>
      <c r="D2457" s="1" t="s">
        <v>251</v>
      </c>
      <c r="E2457" s="1" t="s">
        <v>14</v>
      </c>
      <c r="F2457">
        <v>22</v>
      </c>
      <c r="G2457" s="1" t="s">
        <v>232</v>
      </c>
      <c r="H2457">
        <v>22105</v>
      </c>
      <c r="I2457">
        <v>59</v>
      </c>
      <c r="J2457">
        <v>52</v>
      </c>
      <c r="K2457">
        <v>28</v>
      </c>
      <c r="L2457">
        <v>528</v>
      </c>
    </row>
    <row r="2458" spans="1:12" hidden="1" x14ac:dyDescent="0.25">
      <c r="A2458">
        <v>2457</v>
      </c>
      <c r="B2458" s="1" t="s">
        <v>12</v>
      </c>
      <c r="C2458">
        <v>1960</v>
      </c>
      <c r="D2458" s="1" t="s">
        <v>251</v>
      </c>
      <c r="E2458" s="1" t="s">
        <v>14</v>
      </c>
      <c r="F2458">
        <v>22</v>
      </c>
      <c r="G2458" s="1" t="s">
        <v>226</v>
      </c>
      <c r="H2458">
        <v>22154</v>
      </c>
      <c r="I2458">
        <v>50</v>
      </c>
      <c r="J2458">
        <v>45</v>
      </c>
      <c r="K2458">
        <v>31</v>
      </c>
      <c r="L2458">
        <v>689</v>
      </c>
    </row>
    <row r="2459" spans="1:12" hidden="1" x14ac:dyDescent="0.25">
      <c r="A2459">
        <v>2458</v>
      </c>
      <c r="B2459" s="1" t="s">
        <v>12</v>
      </c>
      <c r="C2459">
        <v>1960</v>
      </c>
      <c r="D2459" s="1" t="s">
        <v>251</v>
      </c>
      <c r="E2459" s="1" t="s">
        <v>14</v>
      </c>
      <c r="F2459">
        <v>22</v>
      </c>
      <c r="G2459" s="1" t="s">
        <v>183</v>
      </c>
      <c r="H2459">
        <v>22049</v>
      </c>
      <c r="I2459">
        <v>35</v>
      </c>
      <c r="J2459">
        <v>29</v>
      </c>
      <c r="K2459">
        <v>17</v>
      </c>
      <c r="L2459">
        <v>586</v>
      </c>
    </row>
    <row r="2460" spans="1:12" hidden="1" x14ac:dyDescent="0.25">
      <c r="A2460">
        <v>2459</v>
      </c>
      <c r="B2460" s="1" t="s">
        <v>12</v>
      </c>
      <c r="C2460">
        <v>1960</v>
      </c>
      <c r="D2460" s="1" t="s">
        <v>251</v>
      </c>
      <c r="E2460" s="1" t="s">
        <v>14</v>
      </c>
      <c r="F2460">
        <v>22</v>
      </c>
      <c r="G2460" s="1" t="s">
        <v>233</v>
      </c>
      <c r="H2460">
        <v>22133</v>
      </c>
      <c r="I2460">
        <v>30</v>
      </c>
      <c r="J2460">
        <v>26</v>
      </c>
      <c r="K2460">
        <v>14</v>
      </c>
      <c r="L2460">
        <v>538</v>
      </c>
    </row>
    <row r="2461" spans="1:12" hidden="1" x14ac:dyDescent="0.25">
      <c r="A2461">
        <v>2460</v>
      </c>
      <c r="B2461" s="1" t="s">
        <v>12</v>
      </c>
      <c r="C2461">
        <v>1960</v>
      </c>
      <c r="D2461" s="1" t="s">
        <v>251</v>
      </c>
      <c r="E2461" s="1" t="s">
        <v>14</v>
      </c>
      <c r="F2461">
        <v>22</v>
      </c>
      <c r="G2461" s="1" t="s">
        <v>234</v>
      </c>
      <c r="H2461">
        <v>22168</v>
      </c>
      <c r="I2461">
        <v>20</v>
      </c>
      <c r="J2461">
        <v>12</v>
      </c>
      <c r="K2461">
        <v>9</v>
      </c>
      <c r="L2461">
        <v>750</v>
      </c>
    </row>
    <row r="2462" spans="1:12" hidden="1" x14ac:dyDescent="0.25">
      <c r="A2462">
        <v>2461</v>
      </c>
      <c r="B2462" s="1" t="s">
        <v>12</v>
      </c>
      <c r="C2462">
        <v>1960</v>
      </c>
      <c r="D2462" s="1" t="s">
        <v>251</v>
      </c>
      <c r="E2462" s="1" t="s">
        <v>14</v>
      </c>
      <c r="F2462">
        <v>22</v>
      </c>
      <c r="G2462" s="1" t="s">
        <v>225</v>
      </c>
      <c r="H2462">
        <v>22119</v>
      </c>
      <c r="I2462">
        <v>16</v>
      </c>
      <c r="J2462">
        <v>11</v>
      </c>
      <c r="K2462">
        <v>9</v>
      </c>
      <c r="L2462">
        <v>818</v>
      </c>
    </row>
    <row r="2463" spans="1:12" hidden="1" x14ac:dyDescent="0.25">
      <c r="A2463">
        <v>2462</v>
      </c>
      <c r="B2463" s="1" t="s">
        <v>12</v>
      </c>
      <c r="C2463">
        <v>1960</v>
      </c>
      <c r="D2463" s="1" t="s">
        <v>251</v>
      </c>
      <c r="E2463" s="1" t="s">
        <v>14</v>
      </c>
      <c r="F2463">
        <v>22</v>
      </c>
      <c r="G2463" s="1" t="s">
        <v>19</v>
      </c>
      <c r="H2463">
        <v>22014</v>
      </c>
      <c r="I2463">
        <v>12</v>
      </c>
      <c r="J2463">
        <v>10</v>
      </c>
      <c r="K2463">
        <v>7</v>
      </c>
      <c r="L2463">
        <v>700</v>
      </c>
    </row>
    <row r="2464" spans="1:12" hidden="1" x14ac:dyDescent="0.25">
      <c r="A2464">
        <v>2463</v>
      </c>
      <c r="B2464" s="1" t="s">
        <v>12</v>
      </c>
      <c r="C2464">
        <v>1960</v>
      </c>
      <c r="D2464" s="1" t="s">
        <v>251</v>
      </c>
      <c r="E2464" s="1" t="s">
        <v>14</v>
      </c>
      <c r="F2464">
        <v>22</v>
      </c>
      <c r="G2464" s="1" t="s">
        <v>235</v>
      </c>
      <c r="H2464">
        <v>22140</v>
      </c>
      <c r="I2464">
        <v>9</v>
      </c>
      <c r="J2464">
        <v>7</v>
      </c>
      <c r="K2464">
        <v>5</v>
      </c>
      <c r="L2464">
        <v>714</v>
      </c>
    </row>
    <row r="2465" spans="1:12" hidden="1" x14ac:dyDescent="0.25">
      <c r="A2465">
        <v>2464</v>
      </c>
      <c r="B2465" s="1" t="s">
        <v>12</v>
      </c>
      <c r="C2465">
        <v>1960</v>
      </c>
      <c r="D2465" s="1" t="s">
        <v>251</v>
      </c>
      <c r="E2465" s="1" t="s">
        <v>14</v>
      </c>
      <c r="F2465">
        <v>22</v>
      </c>
      <c r="G2465" s="1" t="s">
        <v>227</v>
      </c>
      <c r="H2465">
        <v>22056</v>
      </c>
      <c r="I2465">
        <v>8</v>
      </c>
      <c r="J2465">
        <v>7</v>
      </c>
      <c r="K2465">
        <v>5</v>
      </c>
      <c r="L2465">
        <v>714</v>
      </c>
    </row>
    <row r="2466" spans="1:12" hidden="1" x14ac:dyDescent="0.25">
      <c r="A2466">
        <v>2465</v>
      </c>
      <c r="B2466" s="1" t="s">
        <v>12</v>
      </c>
      <c r="C2466">
        <v>1960</v>
      </c>
      <c r="D2466" s="1" t="s">
        <v>251</v>
      </c>
      <c r="E2466" s="1" t="s">
        <v>14</v>
      </c>
      <c r="F2466">
        <v>22</v>
      </c>
      <c r="G2466" s="1" t="s">
        <v>236</v>
      </c>
      <c r="H2466">
        <v>22063</v>
      </c>
      <c r="I2466">
        <v>7</v>
      </c>
      <c r="J2466">
        <v>6</v>
      </c>
      <c r="K2466">
        <v>3</v>
      </c>
      <c r="L2466">
        <v>500</v>
      </c>
    </row>
    <row r="2467" spans="1:12" hidden="1" x14ac:dyDescent="0.25">
      <c r="A2467">
        <v>2466</v>
      </c>
      <c r="B2467" s="1" t="s">
        <v>12</v>
      </c>
      <c r="C2467">
        <v>1960</v>
      </c>
      <c r="D2467" s="1" t="s">
        <v>251</v>
      </c>
      <c r="E2467" s="1" t="s">
        <v>14</v>
      </c>
      <c r="F2467">
        <v>22</v>
      </c>
      <c r="G2467" s="1" t="s">
        <v>240</v>
      </c>
      <c r="H2467">
        <v>22021</v>
      </c>
      <c r="I2467">
        <v>5</v>
      </c>
      <c r="J2467">
        <v>5</v>
      </c>
      <c r="K2467">
        <v>3</v>
      </c>
      <c r="L2467">
        <v>600</v>
      </c>
    </row>
    <row r="2468" spans="1:12" hidden="1" x14ac:dyDescent="0.25">
      <c r="A2468">
        <v>2467</v>
      </c>
      <c r="B2468" s="1" t="s">
        <v>12</v>
      </c>
      <c r="C2468">
        <v>1960</v>
      </c>
      <c r="D2468" s="1" t="s">
        <v>251</v>
      </c>
      <c r="E2468" s="1" t="s">
        <v>14</v>
      </c>
      <c r="F2468">
        <v>22</v>
      </c>
      <c r="G2468" s="1" t="s">
        <v>118</v>
      </c>
      <c r="H2468">
        <v>22028</v>
      </c>
      <c r="I2468">
        <v>5</v>
      </c>
      <c r="J2468">
        <v>5</v>
      </c>
      <c r="K2468">
        <v>2</v>
      </c>
      <c r="L2468">
        <v>400</v>
      </c>
    </row>
    <row r="2469" spans="1:12" hidden="1" x14ac:dyDescent="0.25">
      <c r="A2469">
        <v>2468</v>
      </c>
      <c r="B2469" s="1" t="s">
        <v>12</v>
      </c>
      <c r="C2469">
        <v>1960</v>
      </c>
      <c r="D2469" s="1" t="s">
        <v>251</v>
      </c>
      <c r="E2469" s="1" t="s">
        <v>14</v>
      </c>
      <c r="F2469">
        <v>22</v>
      </c>
      <c r="G2469" s="1" t="s">
        <v>237</v>
      </c>
      <c r="H2469">
        <v>22091</v>
      </c>
      <c r="I2469">
        <v>5</v>
      </c>
      <c r="J2469">
        <v>5</v>
      </c>
      <c r="K2469">
        <v>3</v>
      </c>
      <c r="L2469">
        <v>600</v>
      </c>
    </row>
    <row r="2470" spans="1:12" hidden="1" x14ac:dyDescent="0.25">
      <c r="A2470">
        <v>2469</v>
      </c>
      <c r="B2470" s="1" t="s">
        <v>12</v>
      </c>
      <c r="C2470">
        <v>1960</v>
      </c>
      <c r="D2470" s="1" t="s">
        <v>251</v>
      </c>
      <c r="E2470" s="1" t="s">
        <v>14</v>
      </c>
      <c r="F2470">
        <v>22</v>
      </c>
      <c r="G2470" s="1" t="s">
        <v>228</v>
      </c>
      <c r="H2470">
        <v>22126</v>
      </c>
      <c r="I2470">
        <v>5</v>
      </c>
      <c r="J2470">
        <v>5</v>
      </c>
      <c r="K2470">
        <v>3</v>
      </c>
      <c r="L2470">
        <v>600</v>
      </c>
    </row>
    <row r="2471" spans="1:12" hidden="1" x14ac:dyDescent="0.25">
      <c r="A2471">
        <v>2470</v>
      </c>
      <c r="B2471" s="1" t="s">
        <v>12</v>
      </c>
      <c r="C2471">
        <v>1960</v>
      </c>
      <c r="D2471" s="1" t="s">
        <v>251</v>
      </c>
      <c r="E2471" s="1" t="s">
        <v>14</v>
      </c>
      <c r="F2471">
        <v>22</v>
      </c>
      <c r="G2471" s="1" t="s">
        <v>239</v>
      </c>
      <c r="H2471">
        <v>22043</v>
      </c>
      <c r="I2471">
        <v>3</v>
      </c>
      <c r="J2471">
        <v>3</v>
      </c>
      <c r="K2471">
        <v>2</v>
      </c>
      <c r="L2471">
        <v>667</v>
      </c>
    </row>
    <row r="2472" spans="1:12" hidden="1" x14ac:dyDescent="0.25">
      <c r="A2472">
        <v>2471</v>
      </c>
      <c r="B2472" s="1" t="s">
        <v>12</v>
      </c>
      <c r="C2472">
        <v>1960</v>
      </c>
      <c r="D2472" s="1" t="s">
        <v>251</v>
      </c>
      <c r="E2472" s="1" t="s">
        <v>14</v>
      </c>
      <c r="F2472">
        <v>22</v>
      </c>
      <c r="G2472" s="1" t="s">
        <v>229</v>
      </c>
      <c r="H2472">
        <v>22077</v>
      </c>
      <c r="I2472">
        <v>3</v>
      </c>
      <c r="J2472">
        <v>3</v>
      </c>
      <c r="K2472">
        <v>2</v>
      </c>
      <c r="L2472">
        <v>667</v>
      </c>
    </row>
    <row r="2473" spans="1:12" hidden="1" x14ac:dyDescent="0.25">
      <c r="A2473">
        <v>2472</v>
      </c>
      <c r="B2473" s="1" t="s">
        <v>12</v>
      </c>
      <c r="C2473">
        <v>1960</v>
      </c>
      <c r="D2473" s="1" t="s">
        <v>251</v>
      </c>
      <c r="E2473" s="1" t="s">
        <v>14</v>
      </c>
      <c r="F2473">
        <v>22</v>
      </c>
      <c r="G2473" s="1" t="s">
        <v>238</v>
      </c>
      <c r="H2473">
        <v>22036</v>
      </c>
      <c r="I2473">
        <v>2</v>
      </c>
      <c r="J2473">
        <v>2</v>
      </c>
      <c r="K2473">
        <v>1</v>
      </c>
      <c r="L2473">
        <v>500</v>
      </c>
    </row>
    <row r="2474" spans="1:12" hidden="1" x14ac:dyDescent="0.25">
      <c r="A2474">
        <v>2473</v>
      </c>
      <c r="B2474" s="1" t="s">
        <v>12</v>
      </c>
      <c r="C2474">
        <v>1960</v>
      </c>
      <c r="D2474" s="1" t="s">
        <v>251</v>
      </c>
      <c r="E2474" s="1" t="s">
        <v>14</v>
      </c>
      <c r="F2474">
        <v>22</v>
      </c>
      <c r="G2474" s="1" t="s">
        <v>21</v>
      </c>
      <c r="H2474">
        <v>22161</v>
      </c>
      <c r="I2474">
        <v>1</v>
      </c>
      <c r="J2474">
        <v>1</v>
      </c>
      <c r="K2474">
        <v>1</v>
      </c>
      <c r="L2474">
        <v>1000</v>
      </c>
    </row>
    <row r="2475" spans="1:12" hidden="1" x14ac:dyDescent="0.25">
      <c r="A2475">
        <v>2474</v>
      </c>
      <c r="B2475" s="1" t="s">
        <v>12</v>
      </c>
      <c r="C2475">
        <v>1960</v>
      </c>
      <c r="D2475" s="1" t="s">
        <v>251</v>
      </c>
      <c r="E2475" s="1" t="s">
        <v>22</v>
      </c>
      <c r="F2475">
        <v>14</v>
      </c>
      <c r="G2475" s="1" t="s">
        <v>26</v>
      </c>
      <c r="H2475">
        <v>14161</v>
      </c>
      <c r="I2475">
        <v>72700</v>
      </c>
      <c r="J2475">
        <v>71000</v>
      </c>
      <c r="K2475">
        <v>106200</v>
      </c>
      <c r="L2475">
        <v>1496</v>
      </c>
    </row>
    <row r="2476" spans="1:12" hidden="1" x14ac:dyDescent="0.25">
      <c r="A2476">
        <v>2475</v>
      </c>
      <c r="B2476" s="1" t="s">
        <v>12</v>
      </c>
      <c r="C2476">
        <v>1960</v>
      </c>
      <c r="D2476" s="1" t="s">
        <v>251</v>
      </c>
      <c r="E2476" s="1" t="s">
        <v>22</v>
      </c>
      <c r="F2476">
        <v>14</v>
      </c>
      <c r="G2476" s="1" t="s">
        <v>24</v>
      </c>
      <c r="H2476">
        <v>14119</v>
      </c>
      <c r="I2476">
        <v>55000</v>
      </c>
      <c r="J2476">
        <v>53900</v>
      </c>
      <c r="K2476">
        <v>86107</v>
      </c>
      <c r="L2476">
        <v>1598</v>
      </c>
    </row>
    <row r="2477" spans="1:12" hidden="1" x14ac:dyDescent="0.25">
      <c r="A2477">
        <v>2476</v>
      </c>
      <c r="B2477" s="1" t="s">
        <v>12</v>
      </c>
      <c r="C2477">
        <v>1960</v>
      </c>
      <c r="D2477" s="1" t="s">
        <v>251</v>
      </c>
      <c r="E2477" s="1" t="s">
        <v>22</v>
      </c>
      <c r="F2477">
        <v>14</v>
      </c>
      <c r="G2477" s="1" t="s">
        <v>23</v>
      </c>
      <c r="H2477">
        <v>14147</v>
      </c>
      <c r="I2477">
        <v>23700</v>
      </c>
      <c r="J2477">
        <v>17775</v>
      </c>
      <c r="K2477">
        <v>20885</v>
      </c>
      <c r="L2477">
        <v>1175</v>
      </c>
    </row>
    <row r="2478" spans="1:12" hidden="1" x14ac:dyDescent="0.25">
      <c r="A2478">
        <v>2477</v>
      </c>
      <c r="B2478" s="1" t="s">
        <v>12</v>
      </c>
      <c r="C2478">
        <v>1960</v>
      </c>
      <c r="D2478" s="1" t="s">
        <v>251</v>
      </c>
      <c r="E2478" s="1" t="s">
        <v>22</v>
      </c>
      <c r="F2478">
        <v>14</v>
      </c>
      <c r="G2478" s="1" t="s">
        <v>143</v>
      </c>
      <c r="H2478">
        <v>14056</v>
      </c>
      <c r="I2478">
        <v>22500</v>
      </c>
      <c r="J2478">
        <v>21500</v>
      </c>
      <c r="K2478">
        <v>25800</v>
      </c>
      <c r="L2478">
        <v>1200</v>
      </c>
    </row>
    <row r="2479" spans="1:12" hidden="1" x14ac:dyDescent="0.25">
      <c r="A2479">
        <v>2478</v>
      </c>
      <c r="B2479" s="1" t="s">
        <v>12</v>
      </c>
      <c r="C2479">
        <v>1960</v>
      </c>
      <c r="D2479" s="1" t="s">
        <v>251</v>
      </c>
      <c r="E2479" s="1" t="s">
        <v>22</v>
      </c>
      <c r="F2479">
        <v>14</v>
      </c>
      <c r="G2479" s="1" t="s">
        <v>97</v>
      </c>
      <c r="H2479">
        <v>14007</v>
      </c>
      <c r="I2479">
        <v>8500</v>
      </c>
      <c r="J2479">
        <v>8100</v>
      </c>
      <c r="K2479">
        <v>8100</v>
      </c>
      <c r="L2479">
        <v>1000</v>
      </c>
    </row>
    <row r="2480" spans="1:12" hidden="1" x14ac:dyDescent="0.25">
      <c r="A2480">
        <v>2479</v>
      </c>
      <c r="B2480" s="1" t="s">
        <v>12</v>
      </c>
      <c r="C2480">
        <v>1960</v>
      </c>
      <c r="D2480" s="1" t="s">
        <v>251</v>
      </c>
      <c r="E2480" s="1" t="s">
        <v>22</v>
      </c>
      <c r="F2480">
        <v>14</v>
      </c>
      <c r="G2480" s="1" t="s">
        <v>184</v>
      </c>
      <c r="H2480">
        <v>14042</v>
      </c>
      <c r="I2480">
        <v>6000</v>
      </c>
      <c r="J2480">
        <v>6000</v>
      </c>
      <c r="K2480">
        <v>8400</v>
      </c>
      <c r="L2480">
        <v>1400</v>
      </c>
    </row>
    <row r="2481" spans="1:12" hidden="1" x14ac:dyDescent="0.25">
      <c r="A2481">
        <v>2480</v>
      </c>
      <c r="B2481" s="1" t="s">
        <v>12</v>
      </c>
      <c r="C2481">
        <v>1960</v>
      </c>
      <c r="D2481" s="1" t="s">
        <v>251</v>
      </c>
      <c r="E2481" s="1" t="s">
        <v>22</v>
      </c>
      <c r="F2481">
        <v>14</v>
      </c>
      <c r="G2481" s="1" t="s">
        <v>25</v>
      </c>
      <c r="H2481">
        <v>14105</v>
      </c>
      <c r="I2481">
        <v>4030</v>
      </c>
      <c r="J2481">
        <v>3900</v>
      </c>
      <c r="K2481">
        <v>3393</v>
      </c>
      <c r="L2481">
        <v>870</v>
      </c>
    </row>
    <row r="2482" spans="1:12" hidden="1" x14ac:dyDescent="0.25">
      <c r="A2482">
        <v>2481</v>
      </c>
      <c r="B2482" s="1" t="s">
        <v>12</v>
      </c>
      <c r="C2482">
        <v>1960</v>
      </c>
      <c r="D2482" s="1" t="s">
        <v>251</v>
      </c>
      <c r="E2482" s="1" t="s">
        <v>22</v>
      </c>
      <c r="F2482">
        <v>14</v>
      </c>
      <c r="G2482" s="1" t="s">
        <v>29</v>
      </c>
      <c r="H2482">
        <v>14098</v>
      </c>
      <c r="I2482">
        <v>4000</v>
      </c>
      <c r="J2482">
        <v>3700</v>
      </c>
      <c r="K2482">
        <v>3700</v>
      </c>
      <c r="L2482">
        <v>1000</v>
      </c>
    </row>
    <row r="2483" spans="1:12" hidden="1" x14ac:dyDescent="0.25">
      <c r="A2483">
        <v>2482</v>
      </c>
      <c r="B2483" s="1" t="s">
        <v>12</v>
      </c>
      <c r="C2483">
        <v>1960</v>
      </c>
      <c r="D2483" s="1" t="s">
        <v>251</v>
      </c>
      <c r="E2483" s="1" t="s">
        <v>22</v>
      </c>
      <c r="F2483">
        <v>14</v>
      </c>
      <c r="G2483" s="1" t="s">
        <v>122</v>
      </c>
      <c r="H2483">
        <v>14182</v>
      </c>
      <c r="I2483">
        <v>1200</v>
      </c>
      <c r="J2483">
        <v>900</v>
      </c>
      <c r="K2483">
        <v>990</v>
      </c>
      <c r="L2483">
        <v>1100</v>
      </c>
    </row>
    <row r="2484" spans="1:12" hidden="1" x14ac:dyDescent="0.25">
      <c r="A2484">
        <v>2483</v>
      </c>
      <c r="B2484" s="1" t="s">
        <v>12</v>
      </c>
      <c r="C2484">
        <v>1960</v>
      </c>
      <c r="D2484" s="1" t="s">
        <v>251</v>
      </c>
      <c r="E2484" s="1" t="s">
        <v>22</v>
      </c>
      <c r="F2484">
        <v>14</v>
      </c>
      <c r="G2484" s="1" t="s">
        <v>67</v>
      </c>
      <c r="H2484">
        <v>14140</v>
      </c>
      <c r="I2484">
        <v>470</v>
      </c>
      <c r="J2484">
        <v>420</v>
      </c>
      <c r="K2484">
        <v>336</v>
      </c>
      <c r="L2484">
        <v>800</v>
      </c>
    </row>
    <row r="2485" spans="1:12" hidden="1" x14ac:dyDescent="0.25">
      <c r="A2485">
        <v>2484</v>
      </c>
      <c r="B2485" s="1" t="s">
        <v>12</v>
      </c>
      <c r="C2485">
        <v>1960</v>
      </c>
      <c r="D2485" s="1" t="s">
        <v>251</v>
      </c>
      <c r="E2485" s="1" t="s">
        <v>22</v>
      </c>
      <c r="F2485">
        <v>14</v>
      </c>
      <c r="G2485" s="1" t="s">
        <v>28</v>
      </c>
      <c r="H2485">
        <v>14014</v>
      </c>
      <c r="I2485">
        <v>100</v>
      </c>
      <c r="J2485">
        <v>85</v>
      </c>
      <c r="K2485">
        <v>89</v>
      </c>
      <c r="L2485">
        <v>1047</v>
      </c>
    </row>
    <row r="2486" spans="1:12" hidden="1" x14ac:dyDescent="0.25">
      <c r="A2486">
        <v>2485</v>
      </c>
      <c r="B2486" s="1" t="s">
        <v>12</v>
      </c>
      <c r="C2486">
        <v>1960</v>
      </c>
      <c r="D2486" s="1" t="s">
        <v>251</v>
      </c>
      <c r="E2486" s="1" t="s">
        <v>30</v>
      </c>
      <c r="F2486">
        <v>18</v>
      </c>
      <c r="G2486" s="1" t="s">
        <v>41</v>
      </c>
      <c r="H2486">
        <v>18140</v>
      </c>
      <c r="I2486">
        <v>35</v>
      </c>
      <c r="J2486">
        <v>30</v>
      </c>
      <c r="K2486">
        <v>20</v>
      </c>
      <c r="L2486">
        <v>667</v>
      </c>
    </row>
    <row r="2487" spans="1:12" hidden="1" x14ac:dyDescent="0.25">
      <c r="A2487">
        <v>2486</v>
      </c>
      <c r="B2487" s="1" t="s">
        <v>12</v>
      </c>
      <c r="C2487">
        <v>1960</v>
      </c>
      <c r="D2487" s="1" t="s">
        <v>251</v>
      </c>
      <c r="E2487" s="1" t="s">
        <v>30</v>
      </c>
      <c r="F2487">
        <v>18</v>
      </c>
      <c r="G2487" s="1" t="s">
        <v>34</v>
      </c>
      <c r="H2487">
        <v>18042</v>
      </c>
      <c r="I2487">
        <v>30</v>
      </c>
      <c r="J2487">
        <v>25</v>
      </c>
      <c r="K2487">
        <v>16</v>
      </c>
      <c r="L2487">
        <v>640</v>
      </c>
    </row>
    <row r="2488" spans="1:12" hidden="1" x14ac:dyDescent="0.25">
      <c r="A2488">
        <v>2487</v>
      </c>
      <c r="B2488" s="1" t="s">
        <v>12</v>
      </c>
      <c r="C2488">
        <v>1960</v>
      </c>
      <c r="D2488" s="1" t="s">
        <v>251</v>
      </c>
      <c r="E2488" s="1" t="s">
        <v>30</v>
      </c>
      <c r="F2488">
        <v>18</v>
      </c>
      <c r="G2488" s="1" t="s">
        <v>28</v>
      </c>
      <c r="H2488">
        <v>18021</v>
      </c>
      <c r="I2488">
        <v>25</v>
      </c>
      <c r="J2488">
        <v>22</v>
      </c>
      <c r="K2488">
        <v>12</v>
      </c>
      <c r="L2488">
        <v>545</v>
      </c>
    </row>
    <row r="2489" spans="1:12" hidden="1" x14ac:dyDescent="0.25">
      <c r="A2489">
        <v>2488</v>
      </c>
      <c r="B2489" s="1" t="s">
        <v>12</v>
      </c>
      <c r="C2489">
        <v>1960</v>
      </c>
      <c r="D2489" s="1" t="s">
        <v>251</v>
      </c>
      <c r="E2489" s="1" t="s">
        <v>30</v>
      </c>
      <c r="F2489">
        <v>18</v>
      </c>
      <c r="G2489" s="1" t="s">
        <v>63</v>
      </c>
      <c r="H2489">
        <v>18028</v>
      </c>
      <c r="I2489">
        <v>20</v>
      </c>
      <c r="J2489">
        <v>16</v>
      </c>
      <c r="K2489">
        <v>9</v>
      </c>
      <c r="L2489">
        <v>563</v>
      </c>
    </row>
    <row r="2490" spans="1:12" hidden="1" x14ac:dyDescent="0.25">
      <c r="A2490">
        <v>2489</v>
      </c>
      <c r="B2490" s="1" t="s">
        <v>12</v>
      </c>
      <c r="C2490">
        <v>1960</v>
      </c>
      <c r="D2490" s="1" t="s">
        <v>251</v>
      </c>
      <c r="E2490" s="1" t="s">
        <v>30</v>
      </c>
      <c r="F2490">
        <v>18</v>
      </c>
      <c r="G2490" s="1" t="s">
        <v>36</v>
      </c>
      <c r="H2490">
        <v>18133</v>
      </c>
      <c r="I2490">
        <v>20</v>
      </c>
      <c r="J2490">
        <v>16</v>
      </c>
      <c r="K2490">
        <v>11</v>
      </c>
      <c r="L2490">
        <v>687</v>
      </c>
    </row>
    <row r="2491" spans="1:12" hidden="1" x14ac:dyDescent="0.25">
      <c r="A2491">
        <v>2490</v>
      </c>
      <c r="B2491" s="1" t="s">
        <v>12</v>
      </c>
      <c r="C2491">
        <v>1960</v>
      </c>
      <c r="D2491" s="1" t="s">
        <v>251</v>
      </c>
      <c r="E2491" s="1" t="s">
        <v>30</v>
      </c>
      <c r="F2491">
        <v>18</v>
      </c>
      <c r="G2491" s="1" t="s">
        <v>103</v>
      </c>
      <c r="H2491">
        <v>18154</v>
      </c>
      <c r="I2491">
        <v>20</v>
      </c>
      <c r="J2491">
        <v>17</v>
      </c>
      <c r="K2491">
        <v>10</v>
      </c>
      <c r="L2491">
        <v>588</v>
      </c>
    </row>
    <row r="2492" spans="1:12" hidden="1" x14ac:dyDescent="0.25">
      <c r="A2492">
        <v>2491</v>
      </c>
      <c r="B2492" s="1" t="s">
        <v>12</v>
      </c>
      <c r="C2492">
        <v>1960</v>
      </c>
      <c r="D2492" s="1" t="s">
        <v>251</v>
      </c>
      <c r="E2492" s="1" t="s">
        <v>30</v>
      </c>
      <c r="F2492">
        <v>18</v>
      </c>
      <c r="G2492" s="1" t="s">
        <v>98</v>
      </c>
      <c r="H2492">
        <v>18098</v>
      </c>
      <c r="I2492">
        <v>15</v>
      </c>
      <c r="J2492">
        <v>13</v>
      </c>
      <c r="K2492">
        <v>7</v>
      </c>
      <c r="L2492">
        <v>538</v>
      </c>
    </row>
    <row r="2493" spans="1:12" hidden="1" x14ac:dyDescent="0.25">
      <c r="A2493">
        <v>2492</v>
      </c>
      <c r="B2493" s="1" t="s">
        <v>12</v>
      </c>
      <c r="C2493">
        <v>1960</v>
      </c>
      <c r="D2493" s="1" t="s">
        <v>251</v>
      </c>
      <c r="E2493" s="1" t="s">
        <v>30</v>
      </c>
      <c r="F2493">
        <v>18</v>
      </c>
      <c r="G2493" s="1" t="s">
        <v>40</v>
      </c>
      <c r="H2493">
        <v>18126</v>
      </c>
      <c r="I2493">
        <v>15</v>
      </c>
      <c r="J2493">
        <v>10</v>
      </c>
      <c r="K2493">
        <v>6</v>
      </c>
      <c r="L2493">
        <v>600</v>
      </c>
    </row>
    <row r="2494" spans="1:12" hidden="1" x14ac:dyDescent="0.25">
      <c r="A2494">
        <v>2493</v>
      </c>
      <c r="B2494" s="1" t="s">
        <v>12</v>
      </c>
      <c r="C2494">
        <v>1960</v>
      </c>
      <c r="D2494" s="1" t="s">
        <v>251</v>
      </c>
      <c r="E2494" s="1" t="s">
        <v>30</v>
      </c>
      <c r="F2494">
        <v>18</v>
      </c>
      <c r="G2494" s="1" t="s">
        <v>99</v>
      </c>
      <c r="H2494">
        <v>18063</v>
      </c>
      <c r="I2494">
        <v>10</v>
      </c>
      <c r="J2494">
        <v>8</v>
      </c>
      <c r="K2494">
        <v>5</v>
      </c>
      <c r="L2494">
        <v>625</v>
      </c>
    </row>
    <row r="2495" spans="1:12" hidden="1" x14ac:dyDescent="0.25">
      <c r="A2495">
        <v>2494</v>
      </c>
      <c r="B2495" s="1" t="s">
        <v>12</v>
      </c>
      <c r="C2495">
        <v>1960</v>
      </c>
      <c r="D2495" s="1" t="s">
        <v>251</v>
      </c>
      <c r="E2495" s="1" t="s">
        <v>30</v>
      </c>
      <c r="F2495">
        <v>18</v>
      </c>
      <c r="G2495" s="1" t="s">
        <v>102</v>
      </c>
      <c r="H2495">
        <v>18014</v>
      </c>
      <c r="I2495">
        <v>5</v>
      </c>
      <c r="J2495">
        <v>4</v>
      </c>
      <c r="K2495">
        <v>2</v>
      </c>
      <c r="L2495">
        <v>500</v>
      </c>
    </row>
    <row r="2496" spans="1:12" hidden="1" x14ac:dyDescent="0.25">
      <c r="A2496">
        <v>2495</v>
      </c>
      <c r="B2496" s="1" t="s">
        <v>12</v>
      </c>
      <c r="C2496">
        <v>1960</v>
      </c>
      <c r="D2496" s="1" t="s">
        <v>251</v>
      </c>
      <c r="E2496" s="1" t="s">
        <v>30</v>
      </c>
      <c r="F2496">
        <v>18</v>
      </c>
      <c r="G2496" s="1" t="s">
        <v>100</v>
      </c>
      <c r="H2496">
        <v>18077</v>
      </c>
      <c r="I2496">
        <v>5</v>
      </c>
      <c r="J2496">
        <v>4</v>
      </c>
      <c r="K2496">
        <v>2</v>
      </c>
      <c r="L2496">
        <v>500</v>
      </c>
    </row>
    <row r="2497" spans="1:12" hidden="1" x14ac:dyDescent="0.25">
      <c r="A2497">
        <v>2496</v>
      </c>
      <c r="B2497" s="1" t="s">
        <v>12</v>
      </c>
      <c r="C2497">
        <v>1960</v>
      </c>
      <c r="D2497" s="1" t="s">
        <v>251</v>
      </c>
      <c r="E2497" s="1" t="s">
        <v>45</v>
      </c>
      <c r="F2497">
        <v>30</v>
      </c>
      <c r="G2497" s="1" t="s">
        <v>46</v>
      </c>
      <c r="H2497">
        <v>30028</v>
      </c>
      <c r="I2497">
        <v>40</v>
      </c>
      <c r="J2497">
        <v>35</v>
      </c>
      <c r="K2497">
        <v>25</v>
      </c>
      <c r="L2497">
        <v>715</v>
      </c>
    </row>
    <row r="2498" spans="1:12" hidden="1" x14ac:dyDescent="0.25">
      <c r="A2498">
        <v>2497</v>
      </c>
      <c r="B2498" s="1" t="s">
        <v>12</v>
      </c>
      <c r="C2498">
        <v>1960</v>
      </c>
      <c r="D2498" s="1" t="s">
        <v>251</v>
      </c>
      <c r="E2498" s="1" t="s">
        <v>45</v>
      </c>
      <c r="F2498">
        <v>30</v>
      </c>
      <c r="G2498" s="1" t="s">
        <v>47</v>
      </c>
      <c r="H2498">
        <v>30015</v>
      </c>
      <c r="I2498">
        <v>18</v>
      </c>
      <c r="J2498">
        <v>15</v>
      </c>
      <c r="K2498">
        <v>11</v>
      </c>
      <c r="L2498">
        <v>733</v>
      </c>
    </row>
    <row r="2499" spans="1:12" hidden="1" x14ac:dyDescent="0.25">
      <c r="A2499">
        <v>2498</v>
      </c>
      <c r="B2499" s="1" t="s">
        <v>12</v>
      </c>
      <c r="C2499">
        <v>1960</v>
      </c>
      <c r="D2499" s="1" t="s">
        <v>251</v>
      </c>
      <c r="E2499" s="1" t="s">
        <v>45</v>
      </c>
      <c r="F2499">
        <v>30</v>
      </c>
      <c r="G2499" s="1" t="s">
        <v>27</v>
      </c>
      <c r="H2499">
        <v>30008</v>
      </c>
      <c r="I2499">
        <v>8</v>
      </c>
      <c r="J2499">
        <v>5</v>
      </c>
      <c r="K2499">
        <v>4</v>
      </c>
      <c r="L2499">
        <v>800</v>
      </c>
    </row>
    <row r="2500" spans="1:12" hidden="1" x14ac:dyDescent="0.25">
      <c r="A2500">
        <v>2499</v>
      </c>
      <c r="B2500" s="1" t="s">
        <v>12</v>
      </c>
      <c r="C2500">
        <v>1960</v>
      </c>
      <c r="D2500" s="1" t="s">
        <v>251</v>
      </c>
      <c r="E2500" s="1" t="s">
        <v>48</v>
      </c>
      <c r="F2500">
        <v>34</v>
      </c>
      <c r="G2500" s="1" t="s">
        <v>51</v>
      </c>
      <c r="H2500">
        <v>34056</v>
      </c>
      <c r="I2500">
        <v>40</v>
      </c>
      <c r="J2500">
        <v>34</v>
      </c>
      <c r="K2500">
        <v>47</v>
      </c>
      <c r="L2500">
        <v>1382</v>
      </c>
    </row>
    <row r="2501" spans="1:12" hidden="1" x14ac:dyDescent="0.25">
      <c r="A2501">
        <v>2500</v>
      </c>
      <c r="B2501" s="1" t="s">
        <v>12</v>
      </c>
      <c r="C2501">
        <v>1960</v>
      </c>
      <c r="D2501" s="1" t="s">
        <v>251</v>
      </c>
      <c r="E2501" s="1" t="s">
        <v>48</v>
      </c>
      <c r="F2501">
        <v>34</v>
      </c>
      <c r="G2501" s="1" t="s">
        <v>49</v>
      </c>
      <c r="H2501">
        <v>34049</v>
      </c>
      <c r="I2501">
        <v>30</v>
      </c>
      <c r="J2501">
        <v>23</v>
      </c>
      <c r="K2501">
        <v>35</v>
      </c>
      <c r="L2501">
        <v>1522</v>
      </c>
    </row>
    <row r="2502" spans="1:12" hidden="1" x14ac:dyDescent="0.25">
      <c r="A2502">
        <v>2501</v>
      </c>
      <c r="B2502" s="1" t="s">
        <v>12</v>
      </c>
      <c r="C2502">
        <v>1960</v>
      </c>
      <c r="D2502" s="1" t="s">
        <v>251</v>
      </c>
      <c r="E2502" s="1" t="s">
        <v>48</v>
      </c>
      <c r="F2502">
        <v>34</v>
      </c>
      <c r="G2502" s="1" t="s">
        <v>108</v>
      </c>
      <c r="H2502">
        <v>34042</v>
      </c>
      <c r="I2502">
        <v>20</v>
      </c>
      <c r="J2502">
        <v>15</v>
      </c>
      <c r="K2502">
        <v>23</v>
      </c>
      <c r="L2502">
        <v>1533</v>
      </c>
    </row>
    <row r="2503" spans="1:12" hidden="1" x14ac:dyDescent="0.25">
      <c r="A2503">
        <v>2502</v>
      </c>
      <c r="B2503" s="1" t="s">
        <v>12</v>
      </c>
      <c r="C2503">
        <v>1960</v>
      </c>
      <c r="D2503" s="1" t="s">
        <v>251</v>
      </c>
      <c r="E2503" s="1" t="s">
        <v>48</v>
      </c>
      <c r="F2503">
        <v>34</v>
      </c>
      <c r="G2503" s="1" t="s">
        <v>48</v>
      </c>
      <c r="H2503">
        <v>34014</v>
      </c>
      <c r="I2503">
        <v>15</v>
      </c>
      <c r="J2503">
        <v>11</v>
      </c>
      <c r="K2503">
        <v>17</v>
      </c>
      <c r="L2503">
        <v>1545</v>
      </c>
    </row>
    <row r="2504" spans="1:12" hidden="1" x14ac:dyDescent="0.25">
      <c r="A2504">
        <v>2503</v>
      </c>
      <c r="B2504" s="1" t="s">
        <v>12</v>
      </c>
      <c r="C2504">
        <v>1960</v>
      </c>
      <c r="D2504" s="1" t="s">
        <v>251</v>
      </c>
      <c r="E2504" s="1" t="s">
        <v>48</v>
      </c>
      <c r="F2504">
        <v>34</v>
      </c>
      <c r="G2504" s="1" t="s">
        <v>52</v>
      </c>
      <c r="H2504">
        <v>34035</v>
      </c>
      <c r="I2504">
        <v>12</v>
      </c>
      <c r="J2504">
        <v>9</v>
      </c>
      <c r="K2504">
        <v>11</v>
      </c>
      <c r="L2504">
        <v>1222</v>
      </c>
    </row>
    <row r="2505" spans="1:12" hidden="1" x14ac:dyDescent="0.25">
      <c r="A2505">
        <v>2504</v>
      </c>
      <c r="B2505" s="1" t="s">
        <v>12</v>
      </c>
      <c r="C2505">
        <v>1960</v>
      </c>
      <c r="D2505" s="1" t="s">
        <v>251</v>
      </c>
      <c r="E2505" s="1" t="s">
        <v>48</v>
      </c>
      <c r="F2505">
        <v>34</v>
      </c>
      <c r="G2505" s="1" t="s">
        <v>50</v>
      </c>
      <c r="H2505">
        <v>34021</v>
      </c>
      <c r="I2505">
        <v>10</v>
      </c>
      <c r="J2505">
        <v>8</v>
      </c>
      <c r="K2505">
        <v>12</v>
      </c>
      <c r="L2505">
        <v>1500</v>
      </c>
    </row>
    <row r="2506" spans="1:12" hidden="1" x14ac:dyDescent="0.25">
      <c r="A2506">
        <v>2505</v>
      </c>
      <c r="B2506" s="1" t="s">
        <v>12</v>
      </c>
      <c r="C2506">
        <v>1960</v>
      </c>
      <c r="D2506" s="1" t="s">
        <v>251</v>
      </c>
      <c r="E2506" s="1" t="s">
        <v>58</v>
      </c>
      <c r="F2506">
        <v>54</v>
      </c>
      <c r="G2506" s="1" t="s">
        <v>242</v>
      </c>
      <c r="H2506">
        <v>54091</v>
      </c>
      <c r="I2506">
        <v>72</v>
      </c>
      <c r="J2506">
        <v>62</v>
      </c>
      <c r="K2506">
        <v>51</v>
      </c>
      <c r="L2506">
        <v>823</v>
      </c>
    </row>
    <row r="2507" spans="1:12" hidden="1" x14ac:dyDescent="0.25">
      <c r="A2507">
        <v>2506</v>
      </c>
      <c r="B2507" s="1" t="s">
        <v>12</v>
      </c>
      <c r="C2507">
        <v>1960</v>
      </c>
      <c r="D2507" s="1" t="s">
        <v>251</v>
      </c>
      <c r="E2507" s="1" t="s">
        <v>58</v>
      </c>
      <c r="F2507">
        <v>54</v>
      </c>
      <c r="G2507" s="1" t="s">
        <v>60</v>
      </c>
      <c r="H2507">
        <v>54021</v>
      </c>
      <c r="I2507">
        <v>70</v>
      </c>
      <c r="J2507">
        <v>61</v>
      </c>
      <c r="K2507">
        <v>39</v>
      </c>
      <c r="L2507">
        <v>639</v>
      </c>
    </row>
    <row r="2508" spans="1:12" hidden="1" x14ac:dyDescent="0.25">
      <c r="A2508">
        <v>2507</v>
      </c>
      <c r="B2508" s="1" t="s">
        <v>12</v>
      </c>
      <c r="C2508">
        <v>1960</v>
      </c>
      <c r="D2508" s="1" t="s">
        <v>251</v>
      </c>
      <c r="E2508" s="1" t="s">
        <v>58</v>
      </c>
      <c r="F2508">
        <v>54</v>
      </c>
      <c r="G2508" s="1" t="s">
        <v>61</v>
      </c>
      <c r="H2508">
        <v>54098</v>
      </c>
      <c r="I2508">
        <v>53</v>
      </c>
      <c r="J2508">
        <v>47</v>
      </c>
      <c r="K2508">
        <v>34</v>
      </c>
      <c r="L2508">
        <v>723</v>
      </c>
    </row>
    <row r="2509" spans="1:12" hidden="1" x14ac:dyDescent="0.25">
      <c r="A2509">
        <v>2508</v>
      </c>
      <c r="B2509" s="1" t="s">
        <v>12</v>
      </c>
      <c r="C2509">
        <v>1960</v>
      </c>
      <c r="D2509" s="1" t="s">
        <v>251</v>
      </c>
      <c r="E2509" s="1" t="s">
        <v>58</v>
      </c>
      <c r="F2509">
        <v>54</v>
      </c>
      <c r="G2509" s="1" t="s">
        <v>59</v>
      </c>
      <c r="H2509">
        <v>54007</v>
      </c>
      <c r="I2509">
        <v>30</v>
      </c>
      <c r="J2509">
        <v>26</v>
      </c>
      <c r="K2509">
        <v>24</v>
      </c>
      <c r="L2509">
        <v>923</v>
      </c>
    </row>
    <row r="2510" spans="1:12" hidden="1" x14ac:dyDescent="0.25">
      <c r="A2510">
        <v>2509</v>
      </c>
      <c r="B2510" s="1" t="s">
        <v>12</v>
      </c>
      <c r="C2510">
        <v>1960</v>
      </c>
      <c r="D2510" s="1" t="s">
        <v>251</v>
      </c>
      <c r="E2510" s="1" t="s">
        <v>58</v>
      </c>
      <c r="F2510">
        <v>54</v>
      </c>
      <c r="G2510" s="1" t="s">
        <v>243</v>
      </c>
      <c r="H2510">
        <v>54070</v>
      </c>
      <c r="I2510">
        <v>30</v>
      </c>
      <c r="J2510">
        <v>27</v>
      </c>
      <c r="K2510">
        <v>24</v>
      </c>
      <c r="L2510">
        <v>889</v>
      </c>
    </row>
    <row r="2511" spans="1:12" hidden="1" x14ac:dyDescent="0.25">
      <c r="A2511">
        <v>2510</v>
      </c>
      <c r="B2511" s="1" t="s">
        <v>12</v>
      </c>
      <c r="C2511">
        <v>1960</v>
      </c>
      <c r="D2511" s="1" t="s">
        <v>251</v>
      </c>
      <c r="E2511" s="1" t="s">
        <v>58</v>
      </c>
      <c r="F2511">
        <v>54</v>
      </c>
      <c r="G2511" s="1" t="s">
        <v>63</v>
      </c>
      <c r="H2511">
        <v>54035</v>
      </c>
      <c r="I2511">
        <v>27</v>
      </c>
      <c r="J2511">
        <v>25</v>
      </c>
      <c r="K2511">
        <v>21</v>
      </c>
      <c r="L2511">
        <v>840</v>
      </c>
    </row>
    <row r="2512" spans="1:12" hidden="1" x14ac:dyDescent="0.25">
      <c r="A2512">
        <v>2511</v>
      </c>
      <c r="B2512" s="1" t="s">
        <v>12</v>
      </c>
      <c r="C2512">
        <v>1960</v>
      </c>
      <c r="D2512" s="1" t="s">
        <v>251</v>
      </c>
      <c r="E2512" s="1" t="s">
        <v>58</v>
      </c>
      <c r="F2512">
        <v>54</v>
      </c>
      <c r="G2512" s="1" t="s">
        <v>150</v>
      </c>
      <c r="H2512">
        <v>54014</v>
      </c>
      <c r="I2512">
        <v>22</v>
      </c>
      <c r="J2512">
        <v>20</v>
      </c>
      <c r="K2512">
        <v>15</v>
      </c>
      <c r="L2512">
        <v>750</v>
      </c>
    </row>
    <row r="2513" spans="1:12" hidden="1" x14ac:dyDescent="0.25">
      <c r="A2513">
        <v>2512</v>
      </c>
      <c r="B2513" s="1" t="s">
        <v>12</v>
      </c>
      <c r="C2513">
        <v>1960</v>
      </c>
      <c r="D2513" s="1" t="s">
        <v>251</v>
      </c>
      <c r="E2513" s="1" t="s">
        <v>58</v>
      </c>
      <c r="F2513">
        <v>54</v>
      </c>
      <c r="G2513" s="1" t="s">
        <v>244</v>
      </c>
      <c r="H2513">
        <v>54084</v>
      </c>
      <c r="I2513">
        <v>22</v>
      </c>
      <c r="J2513">
        <v>19</v>
      </c>
      <c r="K2513">
        <v>15</v>
      </c>
      <c r="L2513">
        <v>789</v>
      </c>
    </row>
    <row r="2514" spans="1:12" hidden="1" x14ac:dyDescent="0.25">
      <c r="A2514">
        <v>2513</v>
      </c>
      <c r="B2514" s="1" t="s">
        <v>12</v>
      </c>
      <c r="C2514">
        <v>1960</v>
      </c>
      <c r="D2514" s="1" t="s">
        <v>251</v>
      </c>
      <c r="E2514" s="1" t="s">
        <v>58</v>
      </c>
      <c r="F2514">
        <v>54</v>
      </c>
      <c r="G2514" s="1" t="s">
        <v>62</v>
      </c>
      <c r="H2514">
        <v>54105</v>
      </c>
      <c r="I2514">
        <v>22</v>
      </c>
      <c r="J2514">
        <v>21</v>
      </c>
      <c r="K2514">
        <v>15</v>
      </c>
      <c r="L2514">
        <v>714</v>
      </c>
    </row>
    <row r="2515" spans="1:12" hidden="1" x14ac:dyDescent="0.25">
      <c r="A2515">
        <v>2514</v>
      </c>
      <c r="B2515" s="1" t="s">
        <v>12</v>
      </c>
      <c r="C2515">
        <v>1960</v>
      </c>
      <c r="D2515" s="1" t="s">
        <v>251</v>
      </c>
      <c r="E2515" s="1" t="s">
        <v>58</v>
      </c>
      <c r="F2515">
        <v>54</v>
      </c>
      <c r="G2515" s="1" t="s">
        <v>245</v>
      </c>
      <c r="H2515">
        <v>54042</v>
      </c>
      <c r="I2515">
        <v>15</v>
      </c>
      <c r="J2515">
        <v>14</v>
      </c>
      <c r="K2515">
        <v>11</v>
      </c>
      <c r="L2515">
        <v>786</v>
      </c>
    </row>
    <row r="2516" spans="1:12" hidden="1" x14ac:dyDescent="0.25">
      <c r="A2516">
        <v>2515</v>
      </c>
      <c r="B2516" s="1" t="s">
        <v>12</v>
      </c>
      <c r="C2516">
        <v>1960</v>
      </c>
      <c r="D2516" s="1" t="s">
        <v>251</v>
      </c>
      <c r="E2516" s="1" t="s">
        <v>58</v>
      </c>
      <c r="F2516">
        <v>54</v>
      </c>
      <c r="G2516" s="1" t="s">
        <v>152</v>
      </c>
      <c r="H2516">
        <v>54063</v>
      </c>
      <c r="I2516">
        <v>15</v>
      </c>
      <c r="J2516">
        <v>14</v>
      </c>
      <c r="K2516">
        <v>11</v>
      </c>
      <c r="L2516">
        <v>786</v>
      </c>
    </row>
    <row r="2517" spans="1:12" hidden="1" x14ac:dyDescent="0.25">
      <c r="A2517">
        <v>2516</v>
      </c>
      <c r="B2517" s="1" t="s">
        <v>12</v>
      </c>
      <c r="C2517">
        <v>1960</v>
      </c>
      <c r="D2517" s="1" t="s">
        <v>251</v>
      </c>
      <c r="E2517" s="1" t="s">
        <v>58</v>
      </c>
      <c r="F2517">
        <v>54</v>
      </c>
      <c r="G2517" s="1" t="s">
        <v>119</v>
      </c>
      <c r="H2517">
        <v>54077</v>
      </c>
      <c r="I2517">
        <v>15</v>
      </c>
      <c r="J2517">
        <v>14</v>
      </c>
      <c r="K2517">
        <v>10</v>
      </c>
      <c r="L2517">
        <v>714</v>
      </c>
    </row>
    <row r="2518" spans="1:12" hidden="1" x14ac:dyDescent="0.25">
      <c r="A2518">
        <v>2517</v>
      </c>
      <c r="B2518" s="1" t="s">
        <v>12</v>
      </c>
      <c r="C2518">
        <v>1960</v>
      </c>
      <c r="D2518" s="1" t="s">
        <v>251</v>
      </c>
      <c r="E2518" s="1" t="s">
        <v>87</v>
      </c>
      <c r="F2518">
        <v>66</v>
      </c>
      <c r="G2518" s="1" t="s">
        <v>141</v>
      </c>
      <c r="H2518">
        <v>66112</v>
      </c>
      <c r="I2518">
        <v>10</v>
      </c>
      <c r="J2518">
        <v>10</v>
      </c>
      <c r="K2518">
        <v>13</v>
      </c>
      <c r="L2518">
        <v>1300</v>
      </c>
    </row>
    <row r="2519" spans="1:12" hidden="1" x14ac:dyDescent="0.25">
      <c r="A2519">
        <v>2518</v>
      </c>
      <c r="B2519" s="1" t="s">
        <v>12</v>
      </c>
      <c r="C2519">
        <v>1960</v>
      </c>
      <c r="D2519" s="1" t="s">
        <v>251</v>
      </c>
      <c r="E2519" s="1" t="s">
        <v>87</v>
      </c>
      <c r="F2519">
        <v>66</v>
      </c>
      <c r="G2519" s="1" t="s">
        <v>248</v>
      </c>
      <c r="H2519">
        <v>66161</v>
      </c>
      <c r="I2519">
        <v>7</v>
      </c>
      <c r="J2519">
        <v>6</v>
      </c>
      <c r="K2519">
        <v>5</v>
      </c>
      <c r="L2519">
        <v>833</v>
      </c>
    </row>
    <row r="2520" spans="1:12" hidden="1" x14ac:dyDescent="0.25">
      <c r="A2520">
        <v>2519</v>
      </c>
      <c r="B2520" s="1" t="s">
        <v>12</v>
      </c>
      <c r="C2520">
        <v>1960</v>
      </c>
      <c r="D2520" s="1" t="s">
        <v>251</v>
      </c>
      <c r="E2520" s="1" t="s">
        <v>87</v>
      </c>
      <c r="F2520">
        <v>66</v>
      </c>
      <c r="G2520" s="1" t="s">
        <v>230</v>
      </c>
      <c r="H2520">
        <v>66056</v>
      </c>
      <c r="I2520">
        <v>6</v>
      </c>
      <c r="J2520">
        <v>6</v>
      </c>
      <c r="K2520">
        <v>7</v>
      </c>
      <c r="L2520">
        <v>1167</v>
      </c>
    </row>
    <row r="2521" spans="1:12" hidden="1" x14ac:dyDescent="0.25">
      <c r="A2521">
        <v>2520</v>
      </c>
      <c r="B2521" s="1" t="s">
        <v>12</v>
      </c>
      <c r="C2521">
        <v>1960</v>
      </c>
      <c r="D2521" s="1" t="s">
        <v>251</v>
      </c>
      <c r="E2521" s="1" t="s">
        <v>87</v>
      </c>
      <c r="F2521">
        <v>66</v>
      </c>
      <c r="G2521" s="1" t="s">
        <v>179</v>
      </c>
      <c r="H2521">
        <v>66126</v>
      </c>
      <c r="I2521">
        <v>5</v>
      </c>
      <c r="J2521">
        <v>5</v>
      </c>
      <c r="K2521">
        <v>6</v>
      </c>
      <c r="L2521">
        <v>1200</v>
      </c>
    </row>
    <row r="2522" spans="1:12" hidden="1" x14ac:dyDescent="0.25">
      <c r="A2522">
        <v>2521</v>
      </c>
      <c r="B2522" s="1" t="s">
        <v>12</v>
      </c>
      <c r="C2522">
        <v>1960</v>
      </c>
      <c r="D2522" s="1" t="s">
        <v>251</v>
      </c>
      <c r="E2522" s="1" t="s">
        <v>87</v>
      </c>
      <c r="F2522">
        <v>66</v>
      </c>
      <c r="G2522" s="1" t="s">
        <v>130</v>
      </c>
      <c r="H2522">
        <v>66147</v>
      </c>
      <c r="I2522">
        <v>2</v>
      </c>
      <c r="J2522">
        <v>2</v>
      </c>
      <c r="K2522">
        <v>3</v>
      </c>
      <c r="L2522">
        <v>1500</v>
      </c>
    </row>
    <row r="2523" spans="1:12" hidden="1" x14ac:dyDescent="0.25">
      <c r="A2523">
        <v>2522</v>
      </c>
      <c r="B2523" s="1" t="s">
        <v>12</v>
      </c>
      <c r="C2523">
        <v>1960</v>
      </c>
      <c r="D2523" s="1" t="s">
        <v>251</v>
      </c>
      <c r="E2523" s="1" t="s">
        <v>87</v>
      </c>
      <c r="F2523">
        <v>66</v>
      </c>
      <c r="G2523" s="1" t="s">
        <v>125</v>
      </c>
      <c r="H2523">
        <v>66035</v>
      </c>
      <c r="I2523">
        <v>1</v>
      </c>
      <c r="J2523">
        <v>1</v>
      </c>
      <c r="K2523">
        <v>1</v>
      </c>
      <c r="L2523">
        <v>1000</v>
      </c>
    </row>
    <row r="2524" spans="1:12" hidden="1" x14ac:dyDescent="0.25">
      <c r="A2524">
        <v>2523</v>
      </c>
      <c r="B2524" s="1" t="s">
        <v>12</v>
      </c>
      <c r="C2524">
        <v>1960</v>
      </c>
      <c r="D2524" s="1" t="s">
        <v>251</v>
      </c>
      <c r="E2524" s="1" t="s">
        <v>64</v>
      </c>
      <c r="F2524">
        <v>82</v>
      </c>
      <c r="G2524" s="1" t="s">
        <v>66</v>
      </c>
      <c r="H2524">
        <v>82035</v>
      </c>
      <c r="I2524">
        <v>340</v>
      </c>
      <c r="J2524">
        <v>260</v>
      </c>
      <c r="K2524">
        <v>570</v>
      </c>
      <c r="L2524">
        <v>2192</v>
      </c>
    </row>
    <row r="2525" spans="1:12" hidden="1" x14ac:dyDescent="0.25">
      <c r="A2525">
        <v>2524</v>
      </c>
      <c r="B2525" s="1" t="s">
        <v>12</v>
      </c>
      <c r="C2525">
        <v>1960</v>
      </c>
      <c r="D2525" s="1" t="s">
        <v>251</v>
      </c>
      <c r="E2525" s="1" t="s">
        <v>64</v>
      </c>
      <c r="F2525">
        <v>82</v>
      </c>
      <c r="G2525" s="1" t="s">
        <v>65</v>
      </c>
      <c r="H2525">
        <v>82049</v>
      </c>
      <c r="I2525">
        <v>140</v>
      </c>
      <c r="J2525">
        <v>100</v>
      </c>
      <c r="K2525">
        <v>100</v>
      </c>
      <c r="L2525">
        <v>1000</v>
      </c>
    </row>
    <row r="2526" spans="1:12" hidden="1" x14ac:dyDescent="0.25">
      <c r="A2526">
        <v>2525</v>
      </c>
      <c r="B2526" s="1" t="s">
        <v>12</v>
      </c>
      <c r="C2526">
        <v>1960</v>
      </c>
      <c r="D2526" s="1" t="s">
        <v>251</v>
      </c>
      <c r="E2526" s="1" t="s">
        <v>77</v>
      </c>
      <c r="F2526">
        <v>90</v>
      </c>
      <c r="G2526" s="1" t="s">
        <v>78</v>
      </c>
      <c r="H2526">
        <v>90007</v>
      </c>
      <c r="I2526">
        <v>256</v>
      </c>
      <c r="J2526">
        <v>205</v>
      </c>
      <c r="K2526">
        <v>196</v>
      </c>
      <c r="L2526">
        <v>957</v>
      </c>
    </row>
    <row r="2527" spans="1:12" hidden="1" x14ac:dyDescent="0.25">
      <c r="A2527">
        <v>2526</v>
      </c>
      <c r="B2527" s="1" t="s">
        <v>12</v>
      </c>
      <c r="C2527">
        <v>1960</v>
      </c>
      <c r="D2527" s="1" t="s">
        <v>251</v>
      </c>
      <c r="E2527" s="1" t="s">
        <v>77</v>
      </c>
      <c r="F2527">
        <v>90</v>
      </c>
      <c r="G2527" s="1" t="s">
        <v>110</v>
      </c>
      <c r="H2527">
        <v>90021</v>
      </c>
      <c r="I2527">
        <v>10</v>
      </c>
      <c r="J2527">
        <v>9</v>
      </c>
      <c r="K2527">
        <v>9</v>
      </c>
      <c r="L2527">
        <v>1000</v>
      </c>
    </row>
    <row r="2528" spans="1:12" hidden="1" x14ac:dyDescent="0.25">
      <c r="A2528">
        <v>2527</v>
      </c>
      <c r="B2528" s="1" t="s">
        <v>12</v>
      </c>
      <c r="C2528">
        <v>1960</v>
      </c>
      <c r="D2528" s="1" t="s">
        <v>251</v>
      </c>
      <c r="E2528" s="1" t="s">
        <v>77</v>
      </c>
      <c r="F2528">
        <v>90</v>
      </c>
      <c r="G2528" s="1" t="s">
        <v>94</v>
      </c>
      <c r="H2528">
        <v>90105</v>
      </c>
      <c r="I2528">
        <v>6</v>
      </c>
      <c r="J2528">
        <v>5</v>
      </c>
      <c r="K2528">
        <v>4</v>
      </c>
      <c r="L2528">
        <v>800</v>
      </c>
    </row>
    <row r="2529" spans="1:12" hidden="1" x14ac:dyDescent="0.25">
      <c r="A2529">
        <v>2528</v>
      </c>
      <c r="B2529" s="1" t="s">
        <v>12</v>
      </c>
      <c r="C2529">
        <v>1960</v>
      </c>
      <c r="D2529" s="1" t="s">
        <v>251</v>
      </c>
      <c r="E2529" s="1" t="s">
        <v>77</v>
      </c>
      <c r="F2529">
        <v>90</v>
      </c>
      <c r="G2529" s="1" t="s">
        <v>95</v>
      </c>
      <c r="H2529">
        <v>90035</v>
      </c>
      <c r="I2529">
        <v>4</v>
      </c>
      <c r="J2529">
        <v>4</v>
      </c>
      <c r="K2529">
        <v>4</v>
      </c>
      <c r="L2529">
        <v>1000</v>
      </c>
    </row>
    <row r="2530" spans="1:12" hidden="1" x14ac:dyDescent="0.25">
      <c r="A2530">
        <v>2529</v>
      </c>
      <c r="B2530" s="1" t="s">
        <v>12</v>
      </c>
      <c r="C2530">
        <v>1960</v>
      </c>
      <c r="D2530" s="1" t="s">
        <v>251</v>
      </c>
      <c r="E2530" s="1" t="s">
        <v>77</v>
      </c>
      <c r="F2530">
        <v>90</v>
      </c>
      <c r="G2530" s="1" t="s">
        <v>91</v>
      </c>
      <c r="H2530">
        <v>90014</v>
      </c>
      <c r="I2530">
        <v>3</v>
      </c>
      <c r="J2530">
        <v>3</v>
      </c>
      <c r="K2530">
        <v>3</v>
      </c>
      <c r="L2530">
        <v>1000</v>
      </c>
    </row>
    <row r="2531" spans="1:12" hidden="1" x14ac:dyDescent="0.25">
      <c r="A2531">
        <v>2530</v>
      </c>
      <c r="B2531" s="1" t="s">
        <v>12</v>
      </c>
      <c r="C2531">
        <v>1960</v>
      </c>
      <c r="D2531" s="1" t="s">
        <v>251</v>
      </c>
      <c r="E2531" s="1" t="s">
        <v>77</v>
      </c>
      <c r="F2531">
        <v>90</v>
      </c>
      <c r="G2531" s="1" t="s">
        <v>92</v>
      </c>
      <c r="H2531">
        <v>90056</v>
      </c>
      <c r="I2531">
        <v>2</v>
      </c>
      <c r="J2531">
        <v>2</v>
      </c>
      <c r="K2531">
        <v>2</v>
      </c>
      <c r="L2531">
        <v>1000</v>
      </c>
    </row>
    <row r="2532" spans="1:12" hidden="1" x14ac:dyDescent="0.25">
      <c r="A2532">
        <v>2531</v>
      </c>
      <c r="B2532" s="1" t="s">
        <v>12</v>
      </c>
      <c r="C2532">
        <v>1960</v>
      </c>
      <c r="D2532" s="1" t="s">
        <v>251</v>
      </c>
      <c r="E2532" s="1" t="s">
        <v>77</v>
      </c>
      <c r="F2532">
        <v>90</v>
      </c>
      <c r="G2532" s="1" t="s">
        <v>93</v>
      </c>
      <c r="H2532">
        <v>90070</v>
      </c>
      <c r="I2532">
        <v>1</v>
      </c>
      <c r="J2532">
        <v>1</v>
      </c>
      <c r="K2532">
        <v>1</v>
      </c>
      <c r="L2532">
        <v>1000</v>
      </c>
    </row>
    <row r="2533" spans="1:12" hidden="1" x14ac:dyDescent="0.25">
      <c r="A2533">
        <v>2532</v>
      </c>
      <c r="B2533" s="1" t="s">
        <v>12</v>
      </c>
      <c r="C2533">
        <v>1960</v>
      </c>
      <c r="D2533" s="1" t="s">
        <v>251</v>
      </c>
      <c r="E2533" s="1" t="s">
        <v>77</v>
      </c>
      <c r="F2533">
        <v>90</v>
      </c>
      <c r="G2533" s="1" t="s">
        <v>90</v>
      </c>
      <c r="H2533">
        <v>90112</v>
      </c>
      <c r="I2533">
        <v>1</v>
      </c>
      <c r="J2533">
        <v>1</v>
      </c>
      <c r="K2533">
        <v>1</v>
      </c>
      <c r="L2533">
        <v>1000</v>
      </c>
    </row>
    <row r="2534" spans="1:12" hidden="1" x14ac:dyDescent="0.25">
      <c r="A2534">
        <v>2533</v>
      </c>
      <c r="B2534" s="1" t="s">
        <v>12</v>
      </c>
      <c r="C2534">
        <v>1961</v>
      </c>
      <c r="D2534" s="1" t="s">
        <v>252</v>
      </c>
      <c r="E2534" s="1" t="s">
        <v>14</v>
      </c>
      <c r="F2534">
        <v>22</v>
      </c>
      <c r="G2534" s="1" t="s">
        <v>119</v>
      </c>
      <c r="H2534">
        <v>22084</v>
      </c>
      <c r="I2534">
        <v>550</v>
      </c>
      <c r="J2534">
        <v>520</v>
      </c>
      <c r="K2534">
        <v>364</v>
      </c>
      <c r="L2534">
        <v>700</v>
      </c>
    </row>
    <row r="2535" spans="1:12" hidden="1" x14ac:dyDescent="0.25">
      <c r="A2535">
        <v>2534</v>
      </c>
      <c r="B2535" s="1" t="s">
        <v>12</v>
      </c>
      <c r="C2535">
        <v>1961</v>
      </c>
      <c r="D2535" s="1" t="s">
        <v>252</v>
      </c>
      <c r="E2535" s="1" t="s">
        <v>14</v>
      </c>
      <c r="F2535">
        <v>22</v>
      </c>
      <c r="G2535" s="1" t="s">
        <v>226</v>
      </c>
      <c r="H2535">
        <v>22154</v>
      </c>
      <c r="I2535">
        <v>65</v>
      </c>
      <c r="J2535">
        <v>60</v>
      </c>
      <c r="K2535">
        <v>45</v>
      </c>
      <c r="L2535">
        <v>750</v>
      </c>
    </row>
    <row r="2536" spans="1:12" hidden="1" x14ac:dyDescent="0.25">
      <c r="A2536">
        <v>2535</v>
      </c>
      <c r="B2536" s="1" t="s">
        <v>12</v>
      </c>
      <c r="C2536">
        <v>1961</v>
      </c>
      <c r="D2536" s="1" t="s">
        <v>252</v>
      </c>
      <c r="E2536" s="1" t="s">
        <v>14</v>
      </c>
      <c r="F2536">
        <v>22</v>
      </c>
      <c r="G2536" s="1" t="s">
        <v>233</v>
      </c>
      <c r="H2536">
        <v>22133</v>
      </c>
      <c r="I2536">
        <v>51</v>
      </c>
      <c r="J2536">
        <v>48</v>
      </c>
      <c r="K2536">
        <v>30</v>
      </c>
      <c r="L2536">
        <v>625</v>
      </c>
    </row>
    <row r="2537" spans="1:12" hidden="1" x14ac:dyDescent="0.25">
      <c r="A2537">
        <v>2536</v>
      </c>
      <c r="B2537" s="1" t="s">
        <v>12</v>
      </c>
      <c r="C2537">
        <v>1961</v>
      </c>
      <c r="D2537" s="1" t="s">
        <v>252</v>
      </c>
      <c r="E2537" s="1" t="s">
        <v>14</v>
      </c>
      <c r="F2537">
        <v>22</v>
      </c>
      <c r="G2537" s="1" t="s">
        <v>232</v>
      </c>
      <c r="H2537">
        <v>22105</v>
      </c>
      <c r="I2537">
        <v>50</v>
      </c>
      <c r="J2537">
        <v>47</v>
      </c>
      <c r="K2537">
        <v>23</v>
      </c>
      <c r="L2537">
        <v>489</v>
      </c>
    </row>
    <row r="2538" spans="1:12" hidden="1" x14ac:dyDescent="0.25">
      <c r="A2538">
        <v>2537</v>
      </c>
      <c r="B2538" s="1" t="s">
        <v>12</v>
      </c>
      <c r="C2538">
        <v>1961</v>
      </c>
      <c r="D2538" s="1" t="s">
        <v>252</v>
      </c>
      <c r="E2538" s="1" t="s">
        <v>14</v>
      </c>
      <c r="F2538">
        <v>22</v>
      </c>
      <c r="G2538" s="1" t="s">
        <v>183</v>
      </c>
      <c r="H2538">
        <v>22049</v>
      </c>
      <c r="I2538">
        <v>40</v>
      </c>
      <c r="J2538">
        <v>38</v>
      </c>
      <c r="K2538">
        <v>23</v>
      </c>
      <c r="L2538">
        <v>605</v>
      </c>
    </row>
    <row r="2539" spans="1:12" hidden="1" x14ac:dyDescent="0.25">
      <c r="A2539">
        <v>2538</v>
      </c>
      <c r="B2539" s="1" t="s">
        <v>12</v>
      </c>
      <c r="C2539">
        <v>1961</v>
      </c>
      <c r="D2539" s="1" t="s">
        <v>252</v>
      </c>
      <c r="E2539" s="1" t="s">
        <v>14</v>
      </c>
      <c r="F2539">
        <v>22</v>
      </c>
      <c r="G2539" s="1" t="s">
        <v>234</v>
      </c>
      <c r="H2539">
        <v>22168</v>
      </c>
      <c r="I2539">
        <v>20</v>
      </c>
      <c r="J2539">
        <v>14</v>
      </c>
      <c r="K2539">
        <v>11</v>
      </c>
      <c r="L2539">
        <v>786</v>
      </c>
    </row>
    <row r="2540" spans="1:12" hidden="1" x14ac:dyDescent="0.25">
      <c r="A2540">
        <v>2539</v>
      </c>
      <c r="B2540" s="1" t="s">
        <v>12</v>
      </c>
      <c r="C2540">
        <v>1961</v>
      </c>
      <c r="D2540" s="1" t="s">
        <v>252</v>
      </c>
      <c r="E2540" s="1" t="s">
        <v>14</v>
      </c>
      <c r="F2540">
        <v>22</v>
      </c>
      <c r="G2540" s="1" t="s">
        <v>19</v>
      </c>
      <c r="H2540">
        <v>22014</v>
      </c>
      <c r="I2540">
        <v>17</v>
      </c>
      <c r="J2540">
        <v>14</v>
      </c>
      <c r="K2540">
        <v>9</v>
      </c>
      <c r="L2540">
        <v>643</v>
      </c>
    </row>
    <row r="2541" spans="1:12" hidden="1" x14ac:dyDescent="0.25">
      <c r="A2541">
        <v>2540</v>
      </c>
      <c r="B2541" s="1" t="s">
        <v>12</v>
      </c>
      <c r="C2541">
        <v>1961</v>
      </c>
      <c r="D2541" s="1" t="s">
        <v>252</v>
      </c>
      <c r="E2541" s="1" t="s">
        <v>14</v>
      </c>
      <c r="F2541">
        <v>22</v>
      </c>
      <c r="G2541" s="1" t="s">
        <v>225</v>
      </c>
      <c r="H2541">
        <v>22119</v>
      </c>
      <c r="I2541">
        <v>16</v>
      </c>
      <c r="J2541">
        <v>13</v>
      </c>
      <c r="K2541">
        <v>10</v>
      </c>
      <c r="L2541">
        <v>769</v>
      </c>
    </row>
    <row r="2542" spans="1:12" hidden="1" x14ac:dyDescent="0.25">
      <c r="A2542">
        <v>2541</v>
      </c>
      <c r="B2542" s="1" t="s">
        <v>12</v>
      </c>
      <c r="C2542">
        <v>1961</v>
      </c>
      <c r="D2542" s="1" t="s">
        <v>252</v>
      </c>
      <c r="E2542" s="1" t="s">
        <v>14</v>
      </c>
      <c r="F2542">
        <v>22</v>
      </c>
      <c r="G2542" s="1" t="s">
        <v>227</v>
      </c>
      <c r="H2542">
        <v>22056</v>
      </c>
      <c r="I2542">
        <v>15</v>
      </c>
      <c r="J2542">
        <v>13</v>
      </c>
      <c r="K2542">
        <v>9</v>
      </c>
      <c r="L2542">
        <v>692</v>
      </c>
    </row>
    <row r="2543" spans="1:12" hidden="1" x14ac:dyDescent="0.25">
      <c r="A2543">
        <v>2542</v>
      </c>
      <c r="B2543" s="1" t="s">
        <v>12</v>
      </c>
      <c r="C2543">
        <v>1961</v>
      </c>
      <c r="D2543" s="1" t="s">
        <v>252</v>
      </c>
      <c r="E2543" s="1" t="s">
        <v>14</v>
      </c>
      <c r="F2543">
        <v>22</v>
      </c>
      <c r="G2543" s="1" t="s">
        <v>236</v>
      </c>
      <c r="H2543">
        <v>22063</v>
      </c>
      <c r="I2543">
        <v>10</v>
      </c>
      <c r="J2543">
        <v>10</v>
      </c>
      <c r="K2543">
        <v>6</v>
      </c>
      <c r="L2543">
        <v>600</v>
      </c>
    </row>
    <row r="2544" spans="1:12" hidden="1" x14ac:dyDescent="0.25">
      <c r="A2544">
        <v>2543</v>
      </c>
      <c r="B2544" s="1" t="s">
        <v>12</v>
      </c>
      <c r="C2544">
        <v>1961</v>
      </c>
      <c r="D2544" s="1" t="s">
        <v>252</v>
      </c>
      <c r="E2544" s="1" t="s">
        <v>14</v>
      </c>
      <c r="F2544">
        <v>22</v>
      </c>
      <c r="G2544" s="1" t="s">
        <v>235</v>
      </c>
      <c r="H2544">
        <v>22140</v>
      </c>
      <c r="I2544">
        <v>9</v>
      </c>
      <c r="J2544">
        <v>7</v>
      </c>
      <c r="K2544">
        <v>5</v>
      </c>
      <c r="L2544">
        <v>714</v>
      </c>
    </row>
    <row r="2545" spans="1:12" hidden="1" x14ac:dyDescent="0.25">
      <c r="A2545">
        <v>2544</v>
      </c>
      <c r="B2545" s="1" t="s">
        <v>12</v>
      </c>
      <c r="C2545">
        <v>1961</v>
      </c>
      <c r="D2545" s="1" t="s">
        <v>252</v>
      </c>
      <c r="E2545" s="1" t="s">
        <v>14</v>
      </c>
      <c r="F2545">
        <v>22</v>
      </c>
      <c r="G2545" s="1" t="s">
        <v>118</v>
      </c>
      <c r="H2545">
        <v>22028</v>
      </c>
      <c r="I2545">
        <v>5</v>
      </c>
      <c r="J2545">
        <v>5</v>
      </c>
      <c r="K2545">
        <v>3</v>
      </c>
      <c r="L2545">
        <v>460</v>
      </c>
    </row>
    <row r="2546" spans="1:12" hidden="1" x14ac:dyDescent="0.25">
      <c r="A2546">
        <v>2545</v>
      </c>
      <c r="B2546" s="1" t="s">
        <v>12</v>
      </c>
      <c r="C2546">
        <v>1961</v>
      </c>
      <c r="D2546" s="1" t="s">
        <v>252</v>
      </c>
      <c r="E2546" s="1" t="s">
        <v>14</v>
      </c>
      <c r="F2546">
        <v>22</v>
      </c>
      <c r="G2546" s="1" t="s">
        <v>229</v>
      </c>
      <c r="H2546">
        <v>22077</v>
      </c>
      <c r="I2546">
        <v>3</v>
      </c>
      <c r="J2546">
        <v>3</v>
      </c>
      <c r="K2546">
        <v>2</v>
      </c>
      <c r="L2546">
        <v>667</v>
      </c>
    </row>
    <row r="2547" spans="1:12" hidden="1" x14ac:dyDescent="0.25">
      <c r="A2547">
        <v>2546</v>
      </c>
      <c r="B2547" s="1" t="s">
        <v>12</v>
      </c>
      <c r="C2547">
        <v>1961</v>
      </c>
      <c r="D2547" s="1" t="s">
        <v>252</v>
      </c>
      <c r="E2547" s="1" t="s">
        <v>14</v>
      </c>
      <c r="F2547">
        <v>22</v>
      </c>
      <c r="G2547" s="1" t="s">
        <v>228</v>
      </c>
      <c r="H2547">
        <v>22126</v>
      </c>
      <c r="I2547">
        <v>3</v>
      </c>
      <c r="J2547">
        <v>3</v>
      </c>
      <c r="K2547">
        <v>2</v>
      </c>
      <c r="L2547">
        <v>667</v>
      </c>
    </row>
    <row r="2548" spans="1:12" hidden="1" x14ac:dyDescent="0.25">
      <c r="A2548">
        <v>2547</v>
      </c>
      <c r="B2548" s="1" t="s">
        <v>12</v>
      </c>
      <c r="C2548">
        <v>1961</v>
      </c>
      <c r="D2548" s="1" t="s">
        <v>252</v>
      </c>
      <c r="E2548" s="1" t="s">
        <v>14</v>
      </c>
      <c r="F2548">
        <v>22</v>
      </c>
      <c r="G2548" s="1" t="s">
        <v>21</v>
      </c>
      <c r="H2548">
        <v>22161</v>
      </c>
      <c r="I2548">
        <v>1</v>
      </c>
      <c r="J2548">
        <v>1</v>
      </c>
      <c r="K2548">
        <v>1</v>
      </c>
      <c r="L2548">
        <v>1000</v>
      </c>
    </row>
    <row r="2549" spans="1:12" hidden="1" x14ac:dyDescent="0.25">
      <c r="A2549">
        <v>2548</v>
      </c>
      <c r="B2549" s="1" t="s">
        <v>12</v>
      </c>
      <c r="C2549">
        <v>1961</v>
      </c>
      <c r="D2549" s="1" t="s">
        <v>252</v>
      </c>
      <c r="E2549" s="1" t="s">
        <v>22</v>
      </c>
      <c r="F2549">
        <v>14</v>
      </c>
      <c r="G2549" s="1" t="s">
        <v>26</v>
      </c>
      <c r="H2549">
        <v>14161</v>
      </c>
      <c r="I2549">
        <v>100000</v>
      </c>
      <c r="J2549">
        <v>95000</v>
      </c>
      <c r="K2549">
        <v>175400</v>
      </c>
      <c r="L2549">
        <v>1846</v>
      </c>
    </row>
    <row r="2550" spans="1:12" hidden="1" x14ac:dyDescent="0.25">
      <c r="A2550">
        <v>2549</v>
      </c>
      <c r="B2550" s="1" t="s">
        <v>12</v>
      </c>
      <c r="C2550">
        <v>1961</v>
      </c>
      <c r="D2550" s="1" t="s">
        <v>252</v>
      </c>
      <c r="E2550" s="1" t="s">
        <v>22</v>
      </c>
      <c r="F2550">
        <v>14</v>
      </c>
      <c r="G2550" s="1" t="s">
        <v>24</v>
      </c>
      <c r="H2550">
        <v>14119</v>
      </c>
      <c r="I2550">
        <v>85000</v>
      </c>
      <c r="J2550">
        <v>85000</v>
      </c>
      <c r="K2550">
        <v>130000</v>
      </c>
      <c r="L2550">
        <v>1529</v>
      </c>
    </row>
    <row r="2551" spans="1:12" hidden="1" x14ac:dyDescent="0.25">
      <c r="A2551">
        <v>2550</v>
      </c>
      <c r="B2551" s="1" t="s">
        <v>12</v>
      </c>
      <c r="C2551">
        <v>1961</v>
      </c>
      <c r="D2551" s="1" t="s">
        <v>252</v>
      </c>
      <c r="E2551" s="1" t="s">
        <v>22</v>
      </c>
      <c r="F2551">
        <v>14</v>
      </c>
      <c r="G2551" s="1" t="s">
        <v>143</v>
      </c>
      <c r="H2551">
        <v>14056</v>
      </c>
      <c r="I2551">
        <v>30000</v>
      </c>
      <c r="J2551">
        <v>29000</v>
      </c>
      <c r="K2551">
        <v>49300</v>
      </c>
      <c r="L2551">
        <v>1700</v>
      </c>
    </row>
    <row r="2552" spans="1:12" hidden="1" x14ac:dyDescent="0.25">
      <c r="A2552">
        <v>2551</v>
      </c>
      <c r="B2552" s="1" t="s">
        <v>12</v>
      </c>
      <c r="C2552">
        <v>1961</v>
      </c>
      <c r="D2552" s="1" t="s">
        <v>252</v>
      </c>
      <c r="E2552" s="1" t="s">
        <v>22</v>
      </c>
      <c r="F2552">
        <v>14</v>
      </c>
      <c r="G2552" s="1" t="s">
        <v>23</v>
      </c>
      <c r="H2552">
        <v>14147</v>
      </c>
      <c r="I2552">
        <v>20900</v>
      </c>
      <c r="J2552">
        <v>20000</v>
      </c>
      <c r="K2552">
        <v>18000</v>
      </c>
      <c r="L2552">
        <v>900</v>
      </c>
    </row>
    <row r="2553" spans="1:12" hidden="1" x14ac:dyDescent="0.25">
      <c r="A2553">
        <v>2552</v>
      </c>
      <c r="B2553" s="1" t="s">
        <v>12</v>
      </c>
      <c r="C2553">
        <v>1961</v>
      </c>
      <c r="D2553" s="1" t="s">
        <v>252</v>
      </c>
      <c r="E2553" s="1" t="s">
        <v>22</v>
      </c>
      <c r="F2553">
        <v>14</v>
      </c>
      <c r="G2553" s="1" t="s">
        <v>184</v>
      </c>
      <c r="H2553">
        <v>14042</v>
      </c>
      <c r="I2553">
        <v>17500</v>
      </c>
      <c r="J2553">
        <v>17500</v>
      </c>
      <c r="K2553">
        <v>20000</v>
      </c>
      <c r="L2553">
        <v>1143</v>
      </c>
    </row>
    <row r="2554" spans="1:12" hidden="1" x14ac:dyDescent="0.25">
      <c r="A2554">
        <v>2553</v>
      </c>
      <c r="B2554" s="1" t="s">
        <v>12</v>
      </c>
      <c r="C2554">
        <v>1961</v>
      </c>
      <c r="D2554" s="1" t="s">
        <v>252</v>
      </c>
      <c r="E2554" s="1" t="s">
        <v>22</v>
      </c>
      <c r="F2554">
        <v>14</v>
      </c>
      <c r="G2554" s="1" t="s">
        <v>29</v>
      </c>
      <c r="H2554">
        <v>14098</v>
      </c>
      <c r="I2554">
        <v>15000</v>
      </c>
      <c r="J2554">
        <v>14200</v>
      </c>
      <c r="K2554">
        <v>17020</v>
      </c>
      <c r="L2554">
        <v>1199</v>
      </c>
    </row>
    <row r="2555" spans="1:12" hidden="1" x14ac:dyDescent="0.25">
      <c r="A2555">
        <v>2554</v>
      </c>
      <c r="B2555" s="1" t="s">
        <v>12</v>
      </c>
      <c r="C2555">
        <v>1961</v>
      </c>
      <c r="D2555" s="1" t="s">
        <v>252</v>
      </c>
      <c r="E2555" s="1" t="s">
        <v>22</v>
      </c>
      <c r="F2555">
        <v>14</v>
      </c>
      <c r="G2555" s="1" t="s">
        <v>97</v>
      </c>
      <c r="H2555">
        <v>14007</v>
      </c>
      <c r="I2555">
        <v>10000</v>
      </c>
      <c r="J2555">
        <v>9500</v>
      </c>
      <c r="K2555">
        <v>11400</v>
      </c>
      <c r="L2555">
        <v>1200</v>
      </c>
    </row>
    <row r="2556" spans="1:12" hidden="1" x14ac:dyDescent="0.25">
      <c r="A2556">
        <v>2555</v>
      </c>
      <c r="B2556" s="1" t="s">
        <v>12</v>
      </c>
      <c r="C2556">
        <v>1961</v>
      </c>
      <c r="D2556" s="1" t="s">
        <v>252</v>
      </c>
      <c r="E2556" s="1" t="s">
        <v>22</v>
      </c>
      <c r="F2556">
        <v>14</v>
      </c>
      <c r="G2556" s="1" t="s">
        <v>25</v>
      </c>
      <c r="H2556">
        <v>14105</v>
      </c>
      <c r="I2556">
        <v>4600</v>
      </c>
      <c r="J2556">
        <v>4300</v>
      </c>
      <c r="K2556">
        <v>5590</v>
      </c>
      <c r="L2556">
        <v>1300</v>
      </c>
    </row>
    <row r="2557" spans="1:12" hidden="1" x14ac:dyDescent="0.25">
      <c r="A2557">
        <v>2556</v>
      </c>
      <c r="B2557" s="1" t="s">
        <v>12</v>
      </c>
      <c r="C2557">
        <v>1961</v>
      </c>
      <c r="D2557" s="1" t="s">
        <v>252</v>
      </c>
      <c r="E2557" s="1" t="s">
        <v>22</v>
      </c>
      <c r="F2557">
        <v>14</v>
      </c>
      <c r="G2557" s="1" t="s">
        <v>122</v>
      </c>
      <c r="H2557">
        <v>14182</v>
      </c>
      <c r="I2557">
        <v>2000</v>
      </c>
      <c r="J2557">
        <v>1800</v>
      </c>
      <c r="K2557">
        <v>2520</v>
      </c>
      <c r="L2557">
        <v>1400</v>
      </c>
    </row>
    <row r="2558" spans="1:12" hidden="1" x14ac:dyDescent="0.25">
      <c r="A2558">
        <v>2557</v>
      </c>
      <c r="B2558" s="1" t="s">
        <v>12</v>
      </c>
      <c r="C2558">
        <v>1961</v>
      </c>
      <c r="D2558" s="1" t="s">
        <v>252</v>
      </c>
      <c r="E2558" s="1" t="s">
        <v>22</v>
      </c>
      <c r="F2558">
        <v>14</v>
      </c>
      <c r="G2558" s="1" t="s">
        <v>194</v>
      </c>
      <c r="H2558">
        <v>14077</v>
      </c>
      <c r="I2558">
        <v>600</v>
      </c>
      <c r="J2558">
        <v>600</v>
      </c>
      <c r="K2558">
        <v>780</v>
      </c>
      <c r="L2558">
        <v>1300</v>
      </c>
    </row>
    <row r="2559" spans="1:12" hidden="1" x14ac:dyDescent="0.25">
      <c r="A2559">
        <v>2558</v>
      </c>
      <c r="B2559" s="1" t="s">
        <v>12</v>
      </c>
      <c r="C2559">
        <v>1961</v>
      </c>
      <c r="D2559" s="1" t="s">
        <v>252</v>
      </c>
      <c r="E2559" s="1" t="s">
        <v>22</v>
      </c>
      <c r="F2559">
        <v>14</v>
      </c>
      <c r="G2559" s="1" t="s">
        <v>169</v>
      </c>
      <c r="H2559">
        <v>14126</v>
      </c>
      <c r="I2559">
        <v>200</v>
      </c>
      <c r="J2559">
        <v>200</v>
      </c>
      <c r="K2559">
        <v>260</v>
      </c>
      <c r="L2559">
        <v>1300</v>
      </c>
    </row>
    <row r="2560" spans="1:12" hidden="1" x14ac:dyDescent="0.25">
      <c r="A2560">
        <v>2559</v>
      </c>
      <c r="B2560" s="1" t="s">
        <v>12</v>
      </c>
      <c r="C2560">
        <v>1961</v>
      </c>
      <c r="D2560" s="1" t="s">
        <v>252</v>
      </c>
      <c r="E2560" s="1" t="s">
        <v>22</v>
      </c>
      <c r="F2560">
        <v>14</v>
      </c>
      <c r="G2560" s="1" t="s">
        <v>28</v>
      </c>
      <c r="H2560">
        <v>14014</v>
      </c>
      <c r="I2560">
        <v>100</v>
      </c>
      <c r="J2560">
        <v>100</v>
      </c>
      <c r="K2560">
        <v>100</v>
      </c>
      <c r="L2560">
        <v>1000</v>
      </c>
    </row>
    <row r="2561" spans="1:12" hidden="1" x14ac:dyDescent="0.25">
      <c r="A2561">
        <v>2560</v>
      </c>
      <c r="B2561" s="1" t="s">
        <v>12</v>
      </c>
      <c r="C2561">
        <v>1961</v>
      </c>
      <c r="D2561" s="1" t="s">
        <v>252</v>
      </c>
      <c r="E2561" s="1" t="s">
        <v>22</v>
      </c>
      <c r="F2561">
        <v>14</v>
      </c>
      <c r="G2561" s="1" t="s">
        <v>62</v>
      </c>
      <c r="H2561">
        <v>14133</v>
      </c>
      <c r="I2561">
        <v>100</v>
      </c>
      <c r="J2561">
        <v>100</v>
      </c>
      <c r="K2561">
        <v>130</v>
      </c>
      <c r="L2561">
        <v>1300</v>
      </c>
    </row>
    <row r="2562" spans="1:12" hidden="1" x14ac:dyDescent="0.25">
      <c r="A2562">
        <v>2561</v>
      </c>
      <c r="B2562" s="1" t="s">
        <v>12</v>
      </c>
      <c r="C2562">
        <v>1961</v>
      </c>
      <c r="D2562" s="1" t="s">
        <v>252</v>
      </c>
      <c r="E2562" s="1" t="s">
        <v>30</v>
      </c>
      <c r="F2562">
        <v>18</v>
      </c>
      <c r="G2562" s="1" t="s">
        <v>28</v>
      </c>
      <c r="H2562">
        <v>18021</v>
      </c>
      <c r="I2562">
        <v>10</v>
      </c>
      <c r="J2562">
        <v>8</v>
      </c>
      <c r="K2562">
        <v>5</v>
      </c>
      <c r="L2562">
        <v>625</v>
      </c>
    </row>
    <row r="2563" spans="1:12" hidden="1" x14ac:dyDescent="0.25">
      <c r="A2563">
        <v>2562</v>
      </c>
      <c r="B2563" s="1" t="s">
        <v>12</v>
      </c>
      <c r="C2563">
        <v>1961</v>
      </c>
      <c r="D2563" s="1" t="s">
        <v>252</v>
      </c>
      <c r="E2563" s="1" t="s">
        <v>30</v>
      </c>
      <c r="F2563">
        <v>18</v>
      </c>
      <c r="G2563" s="1" t="s">
        <v>63</v>
      </c>
      <c r="H2563">
        <v>18028</v>
      </c>
      <c r="I2563">
        <v>10</v>
      </c>
      <c r="J2563">
        <v>9</v>
      </c>
      <c r="K2563">
        <v>7</v>
      </c>
      <c r="L2563">
        <v>778</v>
      </c>
    </row>
    <row r="2564" spans="1:12" hidden="1" x14ac:dyDescent="0.25">
      <c r="A2564">
        <v>2563</v>
      </c>
      <c r="B2564" s="1" t="s">
        <v>12</v>
      </c>
      <c r="C2564">
        <v>1961</v>
      </c>
      <c r="D2564" s="1" t="s">
        <v>252</v>
      </c>
      <c r="E2564" s="1" t="s">
        <v>30</v>
      </c>
      <c r="F2564">
        <v>18</v>
      </c>
      <c r="G2564" s="1" t="s">
        <v>34</v>
      </c>
      <c r="H2564">
        <v>18042</v>
      </c>
      <c r="I2564">
        <v>10</v>
      </c>
      <c r="J2564">
        <v>9</v>
      </c>
      <c r="K2564">
        <v>6</v>
      </c>
      <c r="L2564">
        <v>667</v>
      </c>
    </row>
    <row r="2565" spans="1:12" hidden="1" x14ac:dyDescent="0.25">
      <c r="A2565">
        <v>2564</v>
      </c>
      <c r="B2565" s="1" t="s">
        <v>12</v>
      </c>
      <c r="C2565">
        <v>1961</v>
      </c>
      <c r="D2565" s="1" t="s">
        <v>252</v>
      </c>
      <c r="E2565" s="1" t="s">
        <v>30</v>
      </c>
      <c r="F2565">
        <v>18</v>
      </c>
      <c r="G2565" s="1" t="s">
        <v>41</v>
      </c>
      <c r="H2565">
        <v>18140</v>
      </c>
      <c r="I2565">
        <v>10</v>
      </c>
      <c r="J2565">
        <v>10</v>
      </c>
      <c r="K2565">
        <v>6</v>
      </c>
      <c r="L2565">
        <v>600</v>
      </c>
    </row>
    <row r="2566" spans="1:12" hidden="1" x14ac:dyDescent="0.25">
      <c r="A2566">
        <v>2565</v>
      </c>
      <c r="B2566" s="1" t="s">
        <v>12</v>
      </c>
      <c r="C2566">
        <v>1961</v>
      </c>
      <c r="D2566" s="1" t="s">
        <v>252</v>
      </c>
      <c r="E2566" s="1" t="s">
        <v>30</v>
      </c>
      <c r="F2566">
        <v>18</v>
      </c>
      <c r="G2566" s="1" t="s">
        <v>103</v>
      </c>
      <c r="H2566">
        <v>18154</v>
      </c>
      <c r="I2566">
        <v>10</v>
      </c>
      <c r="J2566">
        <v>9</v>
      </c>
      <c r="K2566">
        <v>6</v>
      </c>
      <c r="L2566">
        <v>667</v>
      </c>
    </row>
    <row r="2567" spans="1:12" hidden="1" x14ac:dyDescent="0.25">
      <c r="A2567">
        <v>2566</v>
      </c>
      <c r="B2567" s="1" t="s">
        <v>12</v>
      </c>
      <c r="C2567">
        <v>1961</v>
      </c>
      <c r="D2567" s="1" t="s">
        <v>252</v>
      </c>
      <c r="E2567" s="1" t="s">
        <v>30</v>
      </c>
      <c r="F2567">
        <v>18</v>
      </c>
      <c r="G2567" s="1" t="s">
        <v>102</v>
      </c>
      <c r="H2567">
        <v>18014</v>
      </c>
      <c r="I2567">
        <v>5</v>
      </c>
      <c r="J2567">
        <v>5</v>
      </c>
      <c r="K2567">
        <v>3</v>
      </c>
      <c r="L2567">
        <v>600</v>
      </c>
    </row>
    <row r="2568" spans="1:12" hidden="1" x14ac:dyDescent="0.25">
      <c r="A2568">
        <v>2567</v>
      </c>
      <c r="B2568" s="1" t="s">
        <v>12</v>
      </c>
      <c r="C2568">
        <v>1961</v>
      </c>
      <c r="D2568" s="1" t="s">
        <v>252</v>
      </c>
      <c r="E2568" s="1" t="s">
        <v>30</v>
      </c>
      <c r="F2568">
        <v>18</v>
      </c>
      <c r="G2568" s="1" t="s">
        <v>99</v>
      </c>
      <c r="H2568">
        <v>18063</v>
      </c>
      <c r="I2568">
        <v>5</v>
      </c>
      <c r="J2568">
        <v>5</v>
      </c>
      <c r="K2568">
        <v>3</v>
      </c>
      <c r="L2568">
        <v>600</v>
      </c>
    </row>
    <row r="2569" spans="1:12" hidden="1" x14ac:dyDescent="0.25">
      <c r="A2569">
        <v>2568</v>
      </c>
      <c r="B2569" s="1" t="s">
        <v>12</v>
      </c>
      <c r="C2569">
        <v>1961</v>
      </c>
      <c r="D2569" s="1" t="s">
        <v>252</v>
      </c>
      <c r="E2569" s="1" t="s">
        <v>30</v>
      </c>
      <c r="F2569">
        <v>18</v>
      </c>
      <c r="G2569" s="1" t="s">
        <v>100</v>
      </c>
      <c r="H2569">
        <v>18077</v>
      </c>
      <c r="I2569">
        <v>5</v>
      </c>
      <c r="J2569">
        <v>4</v>
      </c>
      <c r="K2569">
        <v>3</v>
      </c>
      <c r="L2569">
        <v>750</v>
      </c>
    </row>
    <row r="2570" spans="1:12" hidden="1" x14ac:dyDescent="0.25">
      <c r="A2570">
        <v>2569</v>
      </c>
      <c r="B2570" s="1" t="s">
        <v>12</v>
      </c>
      <c r="C2570">
        <v>1961</v>
      </c>
      <c r="D2570" s="1" t="s">
        <v>252</v>
      </c>
      <c r="E2570" s="1" t="s">
        <v>30</v>
      </c>
      <c r="F2570">
        <v>18</v>
      </c>
      <c r="G2570" s="1" t="s">
        <v>98</v>
      </c>
      <c r="H2570">
        <v>18098</v>
      </c>
      <c r="I2570">
        <v>5</v>
      </c>
      <c r="J2570">
        <v>4</v>
      </c>
      <c r="K2570">
        <v>3</v>
      </c>
      <c r="L2570">
        <v>750</v>
      </c>
    </row>
    <row r="2571" spans="1:12" hidden="1" x14ac:dyDescent="0.25">
      <c r="A2571">
        <v>2570</v>
      </c>
      <c r="B2571" s="1" t="s">
        <v>12</v>
      </c>
      <c r="C2571">
        <v>1961</v>
      </c>
      <c r="D2571" s="1" t="s">
        <v>252</v>
      </c>
      <c r="E2571" s="1" t="s">
        <v>30</v>
      </c>
      <c r="F2571">
        <v>18</v>
      </c>
      <c r="G2571" s="1" t="s">
        <v>40</v>
      </c>
      <c r="H2571">
        <v>18126</v>
      </c>
      <c r="I2571">
        <v>5</v>
      </c>
      <c r="J2571">
        <v>5</v>
      </c>
      <c r="K2571">
        <v>3</v>
      </c>
      <c r="L2571">
        <v>600</v>
      </c>
    </row>
    <row r="2572" spans="1:12" hidden="1" x14ac:dyDescent="0.25">
      <c r="A2572">
        <v>2571</v>
      </c>
      <c r="B2572" s="1" t="s">
        <v>12</v>
      </c>
      <c r="C2572">
        <v>1961</v>
      </c>
      <c r="D2572" s="1" t="s">
        <v>252</v>
      </c>
      <c r="E2572" s="1" t="s">
        <v>30</v>
      </c>
      <c r="F2572">
        <v>18</v>
      </c>
      <c r="G2572" s="1" t="s">
        <v>36</v>
      </c>
      <c r="H2572">
        <v>18133</v>
      </c>
      <c r="I2572">
        <v>5</v>
      </c>
      <c r="J2572">
        <v>4</v>
      </c>
      <c r="K2572">
        <v>2</v>
      </c>
      <c r="L2572">
        <v>500</v>
      </c>
    </row>
    <row r="2573" spans="1:12" hidden="1" x14ac:dyDescent="0.25">
      <c r="A2573">
        <v>2572</v>
      </c>
      <c r="B2573" s="1" t="s">
        <v>12</v>
      </c>
      <c r="C2573">
        <v>1961</v>
      </c>
      <c r="D2573" s="1" t="s">
        <v>252</v>
      </c>
      <c r="E2573" s="1" t="s">
        <v>45</v>
      </c>
      <c r="F2573">
        <v>30</v>
      </c>
      <c r="G2573" s="1" t="s">
        <v>46</v>
      </c>
      <c r="H2573">
        <v>30028</v>
      </c>
      <c r="I2573">
        <v>23</v>
      </c>
      <c r="J2573">
        <v>22</v>
      </c>
      <c r="K2573">
        <v>15</v>
      </c>
      <c r="L2573">
        <v>682</v>
      </c>
    </row>
    <row r="2574" spans="1:12" hidden="1" x14ac:dyDescent="0.25">
      <c r="A2574">
        <v>2573</v>
      </c>
      <c r="B2574" s="1" t="s">
        <v>12</v>
      </c>
      <c r="C2574">
        <v>1961</v>
      </c>
      <c r="D2574" s="1" t="s">
        <v>252</v>
      </c>
      <c r="E2574" s="1" t="s">
        <v>45</v>
      </c>
      <c r="F2574">
        <v>30</v>
      </c>
      <c r="G2574" s="1" t="s">
        <v>47</v>
      </c>
      <c r="H2574">
        <v>30015</v>
      </c>
      <c r="I2574">
        <v>10</v>
      </c>
      <c r="J2574">
        <v>8</v>
      </c>
      <c r="K2574">
        <v>6</v>
      </c>
      <c r="L2574">
        <v>750</v>
      </c>
    </row>
    <row r="2575" spans="1:12" hidden="1" x14ac:dyDescent="0.25">
      <c r="A2575">
        <v>2574</v>
      </c>
      <c r="B2575" s="1" t="s">
        <v>12</v>
      </c>
      <c r="C2575">
        <v>1961</v>
      </c>
      <c r="D2575" s="1" t="s">
        <v>252</v>
      </c>
      <c r="E2575" s="1" t="s">
        <v>45</v>
      </c>
      <c r="F2575">
        <v>30</v>
      </c>
      <c r="G2575" s="1" t="s">
        <v>27</v>
      </c>
      <c r="H2575">
        <v>30008</v>
      </c>
      <c r="I2575">
        <v>7</v>
      </c>
      <c r="J2575">
        <v>7</v>
      </c>
      <c r="K2575">
        <v>3</v>
      </c>
      <c r="L2575">
        <v>429</v>
      </c>
    </row>
    <row r="2576" spans="1:12" hidden="1" x14ac:dyDescent="0.25">
      <c r="A2576">
        <v>2575</v>
      </c>
      <c r="B2576" s="1" t="s">
        <v>12</v>
      </c>
      <c r="C2576">
        <v>1961</v>
      </c>
      <c r="D2576" s="1" t="s">
        <v>252</v>
      </c>
      <c r="E2576" s="1" t="s">
        <v>48</v>
      </c>
      <c r="F2576">
        <v>34</v>
      </c>
      <c r="G2576" s="1" t="s">
        <v>51</v>
      </c>
      <c r="H2576">
        <v>34056</v>
      </c>
      <c r="I2576">
        <v>33</v>
      </c>
      <c r="J2576">
        <v>20</v>
      </c>
      <c r="K2576">
        <v>20</v>
      </c>
      <c r="L2576">
        <v>1000</v>
      </c>
    </row>
    <row r="2577" spans="1:12" hidden="1" x14ac:dyDescent="0.25">
      <c r="A2577">
        <v>2576</v>
      </c>
      <c r="B2577" s="1" t="s">
        <v>12</v>
      </c>
      <c r="C2577">
        <v>1961</v>
      </c>
      <c r="D2577" s="1" t="s">
        <v>252</v>
      </c>
      <c r="E2577" s="1" t="s">
        <v>48</v>
      </c>
      <c r="F2577">
        <v>34</v>
      </c>
      <c r="G2577" s="1" t="s">
        <v>49</v>
      </c>
      <c r="H2577">
        <v>34049</v>
      </c>
      <c r="I2577">
        <v>25</v>
      </c>
      <c r="J2577">
        <v>17</v>
      </c>
      <c r="K2577">
        <v>20</v>
      </c>
      <c r="L2577">
        <v>1176</v>
      </c>
    </row>
    <row r="2578" spans="1:12" hidden="1" x14ac:dyDescent="0.25">
      <c r="A2578">
        <v>2577</v>
      </c>
      <c r="B2578" s="1" t="s">
        <v>12</v>
      </c>
      <c r="C2578">
        <v>1961</v>
      </c>
      <c r="D2578" s="1" t="s">
        <v>252</v>
      </c>
      <c r="E2578" s="1" t="s">
        <v>48</v>
      </c>
      <c r="F2578">
        <v>34</v>
      </c>
      <c r="G2578" s="1" t="s">
        <v>48</v>
      </c>
      <c r="H2578">
        <v>34014</v>
      </c>
      <c r="I2578">
        <v>15</v>
      </c>
      <c r="J2578">
        <v>10</v>
      </c>
      <c r="K2578">
        <v>10</v>
      </c>
      <c r="L2578">
        <v>1000</v>
      </c>
    </row>
    <row r="2579" spans="1:12" hidden="1" x14ac:dyDescent="0.25">
      <c r="A2579">
        <v>2578</v>
      </c>
      <c r="B2579" s="1" t="s">
        <v>12</v>
      </c>
      <c r="C2579">
        <v>1961</v>
      </c>
      <c r="D2579" s="1" t="s">
        <v>252</v>
      </c>
      <c r="E2579" s="1" t="s">
        <v>48</v>
      </c>
      <c r="F2579">
        <v>34</v>
      </c>
      <c r="G2579" s="1" t="s">
        <v>108</v>
      </c>
      <c r="H2579">
        <v>34042</v>
      </c>
      <c r="I2579">
        <v>15</v>
      </c>
      <c r="J2579">
        <v>10</v>
      </c>
      <c r="K2579">
        <v>12</v>
      </c>
      <c r="L2579">
        <v>1200</v>
      </c>
    </row>
    <row r="2580" spans="1:12" hidden="1" x14ac:dyDescent="0.25">
      <c r="A2580">
        <v>2579</v>
      </c>
      <c r="B2580" s="1" t="s">
        <v>12</v>
      </c>
      <c r="C2580">
        <v>1961</v>
      </c>
      <c r="D2580" s="1" t="s">
        <v>252</v>
      </c>
      <c r="E2580" s="1" t="s">
        <v>48</v>
      </c>
      <c r="F2580">
        <v>34</v>
      </c>
      <c r="G2580" s="1" t="s">
        <v>50</v>
      </c>
      <c r="H2580">
        <v>34021</v>
      </c>
      <c r="I2580">
        <v>12</v>
      </c>
      <c r="J2580">
        <v>8</v>
      </c>
      <c r="K2580">
        <v>8</v>
      </c>
      <c r="L2580">
        <v>1000</v>
      </c>
    </row>
    <row r="2581" spans="1:12" hidden="1" x14ac:dyDescent="0.25">
      <c r="A2581">
        <v>2580</v>
      </c>
      <c r="B2581" s="1" t="s">
        <v>12</v>
      </c>
      <c r="C2581">
        <v>1961</v>
      </c>
      <c r="D2581" s="1" t="s">
        <v>252</v>
      </c>
      <c r="E2581" s="1" t="s">
        <v>48</v>
      </c>
      <c r="F2581">
        <v>34</v>
      </c>
      <c r="G2581" s="1" t="s">
        <v>52</v>
      </c>
      <c r="H2581">
        <v>34035</v>
      </c>
      <c r="I2581">
        <v>10</v>
      </c>
      <c r="J2581">
        <v>7</v>
      </c>
      <c r="K2581">
        <v>7</v>
      </c>
      <c r="L2581">
        <v>1000</v>
      </c>
    </row>
    <row r="2582" spans="1:12" hidden="1" x14ac:dyDescent="0.25">
      <c r="A2582">
        <v>2581</v>
      </c>
      <c r="B2582" s="1" t="s">
        <v>12</v>
      </c>
      <c r="C2582">
        <v>1961</v>
      </c>
      <c r="D2582" s="1" t="s">
        <v>252</v>
      </c>
      <c r="E2582" s="1" t="s">
        <v>58</v>
      </c>
      <c r="F2582">
        <v>54</v>
      </c>
      <c r="G2582" s="1" t="s">
        <v>242</v>
      </c>
      <c r="H2582">
        <v>54091</v>
      </c>
      <c r="I2582">
        <v>63</v>
      </c>
      <c r="J2582">
        <v>61</v>
      </c>
      <c r="K2582">
        <v>46</v>
      </c>
      <c r="L2582">
        <v>754</v>
      </c>
    </row>
    <row r="2583" spans="1:12" hidden="1" x14ac:dyDescent="0.25">
      <c r="A2583">
        <v>2582</v>
      </c>
      <c r="B2583" s="1" t="s">
        <v>12</v>
      </c>
      <c r="C2583">
        <v>1961</v>
      </c>
      <c r="D2583" s="1" t="s">
        <v>252</v>
      </c>
      <c r="E2583" s="1" t="s">
        <v>58</v>
      </c>
      <c r="F2583">
        <v>54</v>
      </c>
      <c r="G2583" s="1" t="s">
        <v>60</v>
      </c>
      <c r="H2583">
        <v>54021</v>
      </c>
      <c r="I2583">
        <v>60</v>
      </c>
      <c r="J2583">
        <v>56</v>
      </c>
      <c r="K2583">
        <v>39</v>
      </c>
      <c r="L2583">
        <v>696</v>
      </c>
    </row>
    <row r="2584" spans="1:12" hidden="1" x14ac:dyDescent="0.25">
      <c r="A2584">
        <v>2583</v>
      </c>
      <c r="B2584" s="1" t="s">
        <v>12</v>
      </c>
      <c r="C2584">
        <v>1961</v>
      </c>
      <c r="D2584" s="1" t="s">
        <v>252</v>
      </c>
      <c r="E2584" s="1" t="s">
        <v>58</v>
      </c>
      <c r="F2584">
        <v>54</v>
      </c>
      <c r="G2584" s="1" t="s">
        <v>61</v>
      </c>
      <c r="H2584">
        <v>54098</v>
      </c>
      <c r="I2584">
        <v>53</v>
      </c>
      <c r="J2584">
        <v>47</v>
      </c>
      <c r="K2584">
        <v>32</v>
      </c>
      <c r="L2584">
        <v>681</v>
      </c>
    </row>
    <row r="2585" spans="1:12" hidden="1" x14ac:dyDescent="0.25">
      <c r="A2585">
        <v>2584</v>
      </c>
      <c r="B2585" s="1" t="s">
        <v>12</v>
      </c>
      <c r="C2585">
        <v>1961</v>
      </c>
      <c r="D2585" s="1" t="s">
        <v>252</v>
      </c>
      <c r="E2585" s="1" t="s">
        <v>58</v>
      </c>
      <c r="F2585">
        <v>54</v>
      </c>
      <c r="G2585" s="1" t="s">
        <v>59</v>
      </c>
      <c r="H2585">
        <v>54007</v>
      </c>
      <c r="I2585">
        <v>35</v>
      </c>
      <c r="J2585">
        <v>32</v>
      </c>
      <c r="K2585">
        <v>25</v>
      </c>
      <c r="L2585">
        <v>781</v>
      </c>
    </row>
    <row r="2586" spans="1:12" hidden="1" x14ac:dyDescent="0.25">
      <c r="A2586">
        <v>2585</v>
      </c>
      <c r="B2586" s="1" t="s">
        <v>12</v>
      </c>
      <c r="C2586">
        <v>1961</v>
      </c>
      <c r="D2586" s="1" t="s">
        <v>252</v>
      </c>
      <c r="E2586" s="1" t="s">
        <v>58</v>
      </c>
      <c r="F2586">
        <v>54</v>
      </c>
      <c r="G2586" s="1" t="s">
        <v>243</v>
      </c>
      <c r="H2586">
        <v>54070</v>
      </c>
      <c r="I2586">
        <v>35</v>
      </c>
      <c r="J2586">
        <v>32</v>
      </c>
      <c r="K2586">
        <v>25</v>
      </c>
      <c r="L2586">
        <v>781</v>
      </c>
    </row>
    <row r="2587" spans="1:12" hidden="1" x14ac:dyDescent="0.25">
      <c r="A2587">
        <v>2586</v>
      </c>
      <c r="B2587" s="1" t="s">
        <v>12</v>
      </c>
      <c r="C2587">
        <v>1961</v>
      </c>
      <c r="D2587" s="1" t="s">
        <v>252</v>
      </c>
      <c r="E2587" s="1" t="s">
        <v>58</v>
      </c>
      <c r="F2587">
        <v>54</v>
      </c>
      <c r="G2587" s="1" t="s">
        <v>63</v>
      </c>
      <c r="H2587">
        <v>54035</v>
      </c>
      <c r="I2587">
        <v>30</v>
      </c>
      <c r="J2587">
        <v>28</v>
      </c>
      <c r="K2587">
        <v>22</v>
      </c>
      <c r="L2587">
        <v>786</v>
      </c>
    </row>
    <row r="2588" spans="1:12" hidden="1" x14ac:dyDescent="0.25">
      <c r="A2588">
        <v>2587</v>
      </c>
      <c r="B2588" s="1" t="s">
        <v>12</v>
      </c>
      <c r="C2588">
        <v>1961</v>
      </c>
      <c r="D2588" s="1" t="s">
        <v>252</v>
      </c>
      <c r="E2588" s="1" t="s">
        <v>58</v>
      </c>
      <c r="F2588">
        <v>54</v>
      </c>
      <c r="G2588" s="1" t="s">
        <v>62</v>
      </c>
      <c r="H2588">
        <v>54105</v>
      </c>
      <c r="I2588">
        <v>25</v>
      </c>
      <c r="J2588">
        <v>23</v>
      </c>
      <c r="K2588">
        <v>16</v>
      </c>
      <c r="L2588">
        <v>696</v>
      </c>
    </row>
    <row r="2589" spans="1:12" hidden="1" x14ac:dyDescent="0.25">
      <c r="A2589">
        <v>2588</v>
      </c>
      <c r="B2589" s="1" t="s">
        <v>12</v>
      </c>
      <c r="C2589">
        <v>1961</v>
      </c>
      <c r="D2589" s="1" t="s">
        <v>252</v>
      </c>
      <c r="E2589" s="1" t="s">
        <v>58</v>
      </c>
      <c r="F2589">
        <v>54</v>
      </c>
      <c r="G2589" s="1" t="s">
        <v>150</v>
      </c>
      <c r="H2589">
        <v>54014</v>
      </c>
      <c r="I2589">
        <v>22</v>
      </c>
      <c r="J2589">
        <v>20</v>
      </c>
      <c r="K2589">
        <v>16</v>
      </c>
      <c r="L2589">
        <v>800</v>
      </c>
    </row>
    <row r="2590" spans="1:12" hidden="1" x14ac:dyDescent="0.25">
      <c r="A2590">
        <v>2589</v>
      </c>
      <c r="B2590" s="1" t="s">
        <v>12</v>
      </c>
      <c r="C2590">
        <v>1961</v>
      </c>
      <c r="D2590" s="1" t="s">
        <v>252</v>
      </c>
      <c r="E2590" s="1" t="s">
        <v>58</v>
      </c>
      <c r="F2590">
        <v>54</v>
      </c>
      <c r="G2590" s="1" t="s">
        <v>244</v>
      </c>
      <c r="H2590">
        <v>54084</v>
      </c>
      <c r="I2590">
        <v>22</v>
      </c>
      <c r="J2590">
        <v>19</v>
      </c>
      <c r="K2590">
        <v>16</v>
      </c>
      <c r="L2590">
        <v>842</v>
      </c>
    </row>
    <row r="2591" spans="1:12" hidden="1" x14ac:dyDescent="0.25">
      <c r="A2591">
        <v>2590</v>
      </c>
      <c r="B2591" s="1" t="s">
        <v>12</v>
      </c>
      <c r="C2591">
        <v>1961</v>
      </c>
      <c r="D2591" s="1" t="s">
        <v>252</v>
      </c>
      <c r="E2591" s="1" t="s">
        <v>58</v>
      </c>
      <c r="F2591">
        <v>54</v>
      </c>
      <c r="G2591" s="1" t="s">
        <v>245</v>
      </c>
      <c r="H2591">
        <v>54042</v>
      </c>
      <c r="I2591">
        <v>15</v>
      </c>
      <c r="J2591">
        <v>14</v>
      </c>
      <c r="K2591">
        <v>11</v>
      </c>
      <c r="L2591">
        <v>786</v>
      </c>
    </row>
    <row r="2592" spans="1:12" hidden="1" x14ac:dyDescent="0.25">
      <c r="A2592">
        <v>2591</v>
      </c>
      <c r="B2592" s="1" t="s">
        <v>12</v>
      </c>
      <c r="C2592">
        <v>1961</v>
      </c>
      <c r="D2592" s="1" t="s">
        <v>252</v>
      </c>
      <c r="E2592" s="1" t="s">
        <v>58</v>
      </c>
      <c r="F2592">
        <v>54</v>
      </c>
      <c r="G2592" s="1" t="s">
        <v>152</v>
      </c>
      <c r="H2592">
        <v>54063</v>
      </c>
      <c r="I2592">
        <v>15</v>
      </c>
      <c r="J2592">
        <v>14</v>
      </c>
      <c r="K2592">
        <v>11</v>
      </c>
      <c r="L2592">
        <v>786</v>
      </c>
    </row>
    <row r="2593" spans="1:12" hidden="1" x14ac:dyDescent="0.25">
      <c r="A2593">
        <v>2592</v>
      </c>
      <c r="B2593" s="1" t="s">
        <v>12</v>
      </c>
      <c r="C2593">
        <v>1961</v>
      </c>
      <c r="D2593" s="1" t="s">
        <v>252</v>
      </c>
      <c r="E2593" s="1" t="s">
        <v>58</v>
      </c>
      <c r="F2593">
        <v>54</v>
      </c>
      <c r="G2593" s="1" t="s">
        <v>119</v>
      </c>
      <c r="H2593">
        <v>54077</v>
      </c>
      <c r="I2593">
        <v>15</v>
      </c>
      <c r="J2593">
        <v>14</v>
      </c>
      <c r="K2593">
        <v>11</v>
      </c>
      <c r="L2593">
        <v>786</v>
      </c>
    </row>
    <row r="2594" spans="1:12" hidden="1" x14ac:dyDescent="0.25">
      <c r="A2594">
        <v>2593</v>
      </c>
      <c r="B2594" s="1" t="s">
        <v>12</v>
      </c>
      <c r="C2594">
        <v>1961</v>
      </c>
      <c r="D2594" s="1" t="s">
        <v>252</v>
      </c>
      <c r="E2594" s="1" t="s">
        <v>87</v>
      </c>
      <c r="F2594">
        <v>66</v>
      </c>
      <c r="G2594" s="1" t="s">
        <v>230</v>
      </c>
      <c r="H2594">
        <v>66056</v>
      </c>
      <c r="I2594">
        <v>8</v>
      </c>
      <c r="J2594">
        <v>6</v>
      </c>
      <c r="K2594">
        <v>7</v>
      </c>
      <c r="L2594">
        <v>1167</v>
      </c>
    </row>
    <row r="2595" spans="1:12" hidden="1" x14ac:dyDescent="0.25">
      <c r="A2595">
        <v>2594</v>
      </c>
      <c r="B2595" s="1" t="s">
        <v>12</v>
      </c>
      <c r="C2595">
        <v>1961</v>
      </c>
      <c r="D2595" s="1" t="s">
        <v>252</v>
      </c>
      <c r="E2595" s="1" t="s">
        <v>87</v>
      </c>
      <c r="F2595">
        <v>66</v>
      </c>
      <c r="G2595" s="1" t="s">
        <v>141</v>
      </c>
      <c r="H2595">
        <v>66112</v>
      </c>
      <c r="I2595">
        <v>8</v>
      </c>
      <c r="J2595">
        <v>8</v>
      </c>
      <c r="K2595">
        <v>12</v>
      </c>
      <c r="L2595">
        <v>1500</v>
      </c>
    </row>
    <row r="2596" spans="1:12" hidden="1" x14ac:dyDescent="0.25">
      <c r="A2596">
        <v>2595</v>
      </c>
      <c r="B2596" s="1" t="s">
        <v>12</v>
      </c>
      <c r="C2596">
        <v>1961</v>
      </c>
      <c r="D2596" s="1" t="s">
        <v>252</v>
      </c>
      <c r="E2596" s="1" t="s">
        <v>87</v>
      </c>
      <c r="F2596">
        <v>66</v>
      </c>
      <c r="G2596" s="1" t="s">
        <v>248</v>
      </c>
      <c r="H2596">
        <v>66161</v>
      </c>
      <c r="I2596">
        <v>3</v>
      </c>
      <c r="J2596">
        <v>3</v>
      </c>
      <c r="K2596">
        <v>2</v>
      </c>
      <c r="L2596">
        <v>667</v>
      </c>
    </row>
    <row r="2597" spans="1:12" hidden="1" x14ac:dyDescent="0.25">
      <c r="A2597">
        <v>2596</v>
      </c>
      <c r="B2597" s="1" t="s">
        <v>12</v>
      </c>
      <c r="C2597">
        <v>1961</v>
      </c>
      <c r="D2597" s="1" t="s">
        <v>252</v>
      </c>
      <c r="E2597" s="1" t="s">
        <v>87</v>
      </c>
      <c r="F2597">
        <v>66</v>
      </c>
      <c r="G2597" s="1" t="s">
        <v>125</v>
      </c>
      <c r="H2597">
        <v>66035</v>
      </c>
      <c r="I2597">
        <v>2</v>
      </c>
      <c r="J2597">
        <v>2</v>
      </c>
      <c r="K2597">
        <v>3</v>
      </c>
      <c r="L2597">
        <v>1500</v>
      </c>
    </row>
    <row r="2598" spans="1:12" hidden="1" x14ac:dyDescent="0.25">
      <c r="A2598">
        <v>2597</v>
      </c>
      <c r="B2598" s="1" t="s">
        <v>12</v>
      </c>
      <c r="C2598">
        <v>1961</v>
      </c>
      <c r="D2598" s="1" t="s">
        <v>252</v>
      </c>
      <c r="E2598" s="1" t="s">
        <v>87</v>
      </c>
      <c r="F2598">
        <v>66</v>
      </c>
      <c r="G2598" s="1" t="s">
        <v>179</v>
      </c>
      <c r="H2598">
        <v>66126</v>
      </c>
      <c r="I2598">
        <v>2</v>
      </c>
      <c r="J2598">
        <v>2</v>
      </c>
      <c r="K2598">
        <v>2</v>
      </c>
      <c r="L2598">
        <v>1000</v>
      </c>
    </row>
    <row r="2599" spans="1:12" hidden="1" x14ac:dyDescent="0.25">
      <c r="A2599">
        <v>2598</v>
      </c>
      <c r="B2599" s="1" t="s">
        <v>12</v>
      </c>
      <c r="C2599">
        <v>1961</v>
      </c>
      <c r="D2599" s="1" t="s">
        <v>252</v>
      </c>
      <c r="E2599" s="1" t="s">
        <v>87</v>
      </c>
      <c r="F2599">
        <v>66</v>
      </c>
      <c r="G2599" s="1" t="s">
        <v>130</v>
      </c>
      <c r="H2599">
        <v>66147</v>
      </c>
      <c r="I2599">
        <v>2</v>
      </c>
      <c r="J2599">
        <v>2</v>
      </c>
      <c r="K2599">
        <v>3</v>
      </c>
      <c r="L2599">
        <v>1500</v>
      </c>
    </row>
    <row r="2600" spans="1:12" hidden="1" x14ac:dyDescent="0.25">
      <c r="A2600">
        <v>2599</v>
      </c>
      <c r="B2600" s="1" t="s">
        <v>12</v>
      </c>
      <c r="C2600">
        <v>1961</v>
      </c>
      <c r="D2600" s="1" t="s">
        <v>252</v>
      </c>
      <c r="E2600" s="1" t="s">
        <v>64</v>
      </c>
      <c r="F2600">
        <v>82</v>
      </c>
      <c r="G2600" s="1" t="s">
        <v>66</v>
      </c>
      <c r="H2600">
        <v>82035</v>
      </c>
      <c r="I2600">
        <v>520</v>
      </c>
      <c r="J2600">
        <v>470</v>
      </c>
      <c r="K2600">
        <v>938</v>
      </c>
      <c r="L2600">
        <v>1996</v>
      </c>
    </row>
    <row r="2601" spans="1:12" hidden="1" x14ac:dyDescent="0.25">
      <c r="A2601">
        <v>2600</v>
      </c>
      <c r="B2601" s="1" t="s">
        <v>12</v>
      </c>
      <c r="C2601">
        <v>1961</v>
      </c>
      <c r="D2601" s="1" t="s">
        <v>252</v>
      </c>
      <c r="E2601" s="1" t="s">
        <v>64</v>
      </c>
      <c r="F2601">
        <v>82</v>
      </c>
      <c r="G2601" s="1" t="s">
        <v>65</v>
      </c>
      <c r="H2601">
        <v>82049</v>
      </c>
      <c r="I2601">
        <v>150</v>
      </c>
      <c r="J2601">
        <v>120</v>
      </c>
      <c r="K2601">
        <v>102</v>
      </c>
      <c r="L2601">
        <v>850</v>
      </c>
    </row>
    <row r="2602" spans="1:12" hidden="1" x14ac:dyDescent="0.25">
      <c r="A2602">
        <v>2601</v>
      </c>
      <c r="B2602" s="1" t="s">
        <v>12</v>
      </c>
      <c r="C2602">
        <v>1961</v>
      </c>
      <c r="D2602" s="1" t="s">
        <v>252</v>
      </c>
      <c r="E2602" s="1" t="s">
        <v>77</v>
      </c>
      <c r="F2602">
        <v>90</v>
      </c>
      <c r="G2602" s="1" t="s">
        <v>91</v>
      </c>
      <c r="H2602">
        <v>90014</v>
      </c>
      <c r="I2602">
        <v>156</v>
      </c>
      <c r="J2602">
        <v>156</v>
      </c>
      <c r="K2602">
        <v>262</v>
      </c>
      <c r="L2602">
        <v>1679</v>
      </c>
    </row>
    <row r="2603" spans="1:12" hidden="1" x14ac:dyDescent="0.25">
      <c r="A2603">
        <v>2602</v>
      </c>
      <c r="B2603" s="1" t="s">
        <v>12</v>
      </c>
      <c r="C2603">
        <v>1961</v>
      </c>
      <c r="D2603" s="1" t="s">
        <v>252</v>
      </c>
      <c r="E2603" s="1" t="s">
        <v>77</v>
      </c>
      <c r="F2603">
        <v>90</v>
      </c>
      <c r="G2603" s="1" t="s">
        <v>78</v>
      </c>
      <c r="H2603">
        <v>90007</v>
      </c>
      <c r="I2603">
        <v>150</v>
      </c>
      <c r="J2603">
        <v>150</v>
      </c>
      <c r="K2603">
        <v>180</v>
      </c>
      <c r="L2603">
        <v>1200</v>
      </c>
    </row>
    <row r="2604" spans="1:12" hidden="1" x14ac:dyDescent="0.25">
      <c r="A2604">
        <v>2603</v>
      </c>
      <c r="B2604" s="1" t="s">
        <v>12</v>
      </c>
      <c r="C2604">
        <v>1961</v>
      </c>
      <c r="D2604" s="1" t="s">
        <v>252</v>
      </c>
      <c r="E2604" s="1" t="s">
        <v>77</v>
      </c>
      <c r="F2604">
        <v>90</v>
      </c>
      <c r="G2604" s="1" t="s">
        <v>110</v>
      </c>
      <c r="H2604">
        <v>90021</v>
      </c>
      <c r="I2604">
        <v>10</v>
      </c>
      <c r="J2604">
        <v>10</v>
      </c>
      <c r="K2604">
        <v>12</v>
      </c>
      <c r="L2604">
        <v>1200</v>
      </c>
    </row>
    <row r="2605" spans="1:12" hidden="1" x14ac:dyDescent="0.25">
      <c r="A2605">
        <v>2604</v>
      </c>
      <c r="B2605" s="1" t="s">
        <v>12</v>
      </c>
      <c r="C2605">
        <v>1961</v>
      </c>
      <c r="D2605" s="1" t="s">
        <v>252</v>
      </c>
      <c r="E2605" s="1" t="s">
        <v>77</v>
      </c>
      <c r="F2605">
        <v>90</v>
      </c>
      <c r="G2605" s="1" t="s">
        <v>95</v>
      </c>
      <c r="H2605">
        <v>90035</v>
      </c>
      <c r="I2605">
        <v>5</v>
      </c>
      <c r="J2605">
        <v>5</v>
      </c>
      <c r="K2605">
        <v>6</v>
      </c>
      <c r="L2605">
        <v>1200</v>
      </c>
    </row>
    <row r="2606" spans="1:12" hidden="1" x14ac:dyDescent="0.25">
      <c r="A2606">
        <v>2605</v>
      </c>
      <c r="B2606" s="1" t="s">
        <v>12</v>
      </c>
      <c r="C2606">
        <v>1961</v>
      </c>
      <c r="D2606" s="1" t="s">
        <v>252</v>
      </c>
      <c r="E2606" s="1" t="s">
        <v>77</v>
      </c>
      <c r="F2606">
        <v>90</v>
      </c>
      <c r="G2606" s="1" t="s">
        <v>92</v>
      </c>
      <c r="H2606">
        <v>90056</v>
      </c>
      <c r="I2606">
        <v>3</v>
      </c>
      <c r="J2606">
        <v>3</v>
      </c>
      <c r="K2606">
        <v>4</v>
      </c>
      <c r="L2606">
        <v>1333</v>
      </c>
    </row>
    <row r="2607" spans="1:12" hidden="1" x14ac:dyDescent="0.25">
      <c r="A2607">
        <v>2606</v>
      </c>
      <c r="B2607" s="1" t="s">
        <v>12</v>
      </c>
      <c r="C2607">
        <v>1961</v>
      </c>
      <c r="D2607" s="1" t="s">
        <v>252</v>
      </c>
      <c r="E2607" s="1" t="s">
        <v>77</v>
      </c>
      <c r="F2607">
        <v>90</v>
      </c>
      <c r="G2607" s="1" t="s">
        <v>94</v>
      </c>
      <c r="H2607">
        <v>90105</v>
      </c>
      <c r="I2607">
        <v>3</v>
      </c>
      <c r="J2607">
        <v>3</v>
      </c>
      <c r="K2607">
        <v>2</v>
      </c>
      <c r="L2607">
        <v>667</v>
      </c>
    </row>
    <row r="2608" spans="1:12" hidden="1" x14ac:dyDescent="0.25">
      <c r="A2608">
        <v>2607</v>
      </c>
      <c r="B2608" s="1" t="s">
        <v>12</v>
      </c>
      <c r="C2608">
        <v>1961</v>
      </c>
      <c r="D2608" s="1" t="s">
        <v>252</v>
      </c>
      <c r="E2608" s="1" t="s">
        <v>77</v>
      </c>
      <c r="F2608">
        <v>90</v>
      </c>
      <c r="G2608" s="1" t="s">
        <v>93</v>
      </c>
      <c r="H2608">
        <v>90070</v>
      </c>
      <c r="I2608">
        <v>2</v>
      </c>
      <c r="J2608">
        <v>2</v>
      </c>
      <c r="K2608">
        <v>3</v>
      </c>
      <c r="L2608">
        <v>1500</v>
      </c>
    </row>
    <row r="2609" spans="1:12" hidden="1" x14ac:dyDescent="0.25">
      <c r="A2609">
        <v>2608</v>
      </c>
      <c r="B2609" s="1" t="s">
        <v>12</v>
      </c>
      <c r="C2609">
        <v>1961</v>
      </c>
      <c r="D2609" s="1" t="s">
        <v>252</v>
      </c>
      <c r="E2609" s="1" t="s">
        <v>77</v>
      </c>
      <c r="F2609">
        <v>90</v>
      </c>
      <c r="G2609" s="1" t="s">
        <v>90</v>
      </c>
      <c r="H2609">
        <v>90112</v>
      </c>
      <c r="I2609">
        <v>1</v>
      </c>
      <c r="J2609">
        <v>1</v>
      </c>
      <c r="K2609">
        <v>1</v>
      </c>
      <c r="L2609">
        <v>1000</v>
      </c>
    </row>
    <row r="2610" spans="1:12" hidden="1" x14ac:dyDescent="0.25">
      <c r="A2610">
        <v>2609</v>
      </c>
      <c r="B2610" s="1" t="s">
        <v>12</v>
      </c>
      <c r="C2610">
        <v>1962</v>
      </c>
      <c r="D2610" s="1" t="s">
        <v>253</v>
      </c>
      <c r="E2610" s="1" t="s">
        <v>14</v>
      </c>
      <c r="F2610">
        <v>22</v>
      </c>
      <c r="G2610" s="1" t="s">
        <v>119</v>
      </c>
      <c r="H2610">
        <v>22084</v>
      </c>
      <c r="I2610">
        <v>550</v>
      </c>
      <c r="J2610">
        <v>514</v>
      </c>
      <c r="K2610">
        <v>267</v>
      </c>
      <c r="L2610">
        <v>519</v>
      </c>
    </row>
    <row r="2611" spans="1:12" hidden="1" x14ac:dyDescent="0.25">
      <c r="A2611">
        <v>2610</v>
      </c>
      <c r="B2611" s="1" t="s">
        <v>12</v>
      </c>
      <c r="C2611">
        <v>1962</v>
      </c>
      <c r="D2611" s="1" t="s">
        <v>253</v>
      </c>
      <c r="E2611" s="1" t="s">
        <v>14</v>
      </c>
      <c r="F2611">
        <v>22</v>
      </c>
      <c r="G2611" s="1" t="s">
        <v>226</v>
      </c>
      <c r="H2611">
        <v>22154</v>
      </c>
      <c r="I2611">
        <v>65</v>
      </c>
      <c r="J2611">
        <v>59</v>
      </c>
      <c r="K2611">
        <v>27</v>
      </c>
      <c r="L2611">
        <v>458</v>
      </c>
    </row>
    <row r="2612" spans="1:12" hidden="1" x14ac:dyDescent="0.25">
      <c r="A2612">
        <v>2611</v>
      </c>
      <c r="B2612" s="1" t="s">
        <v>12</v>
      </c>
      <c r="C2612">
        <v>1962</v>
      </c>
      <c r="D2612" s="1" t="s">
        <v>253</v>
      </c>
      <c r="E2612" s="1" t="s">
        <v>14</v>
      </c>
      <c r="F2612">
        <v>22</v>
      </c>
      <c r="G2612" s="1" t="s">
        <v>233</v>
      </c>
      <c r="H2612">
        <v>22133</v>
      </c>
      <c r="I2612">
        <v>60</v>
      </c>
      <c r="J2612">
        <v>60</v>
      </c>
      <c r="K2612">
        <v>36</v>
      </c>
      <c r="L2612">
        <v>600</v>
      </c>
    </row>
    <row r="2613" spans="1:12" hidden="1" x14ac:dyDescent="0.25">
      <c r="A2613">
        <v>2612</v>
      </c>
      <c r="B2613" s="1" t="s">
        <v>12</v>
      </c>
      <c r="C2613">
        <v>1962</v>
      </c>
      <c r="D2613" s="1" t="s">
        <v>253</v>
      </c>
      <c r="E2613" s="1" t="s">
        <v>14</v>
      </c>
      <c r="F2613">
        <v>22</v>
      </c>
      <c r="G2613" s="1" t="s">
        <v>183</v>
      </c>
      <c r="H2613">
        <v>22049</v>
      </c>
      <c r="I2613">
        <v>50</v>
      </c>
      <c r="J2613">
        <v>50</v>
      </c>
      <c r="K2613">
        <v>30</v>
      </c>
      <c r="L2613">
        <v>600</v>
      </c>
    </row>
    <row r="2614" spans="1:12" hidden="1" x14ac:dyDescent="0.25">
      <c r="A2614">
        <v>2613</v>
      </c>
      <c r="B2614" s="1" t="s">
        <v>12</v>
      </c>
      <c r="C2614">
        <v>1962</v>
      </c>
      <c r="D2614" s="1" t="s">
        <v>253</v>
      </c>
      <c r="E2614" s="1" t="s">
        <v>14</v>
      </c>
      <c r="F2614">
        <v>22</v>
      </c>
      <c r="G2614" s="1" t="s">
        <v>232</v>
      </c>
      <c r="H2614">
        <v>22105</v>
      </c>
      <c r="I2614">
        <v>44</v>
      </c>
      <c r="J2614">
        <v>44</v>
      </c>
      <c r="K2614">
        <v>27</v>
      </c>
      <c r="L2614">
        <v>614</v>
      </c>
    </row>
    <row r="2615" spans="1:12" hidden="1" x14ac:dyDescent="0.25">
      <c r="A2615">
        <v>2614</v>
      </c>
      <c r="B2615" s="1" t="s">
        <v>12</v>
      </c>
      <c r="C2615">
        <v>1962</v>
      </c>
      <c r="D2615" s="1" t="s">
        <v>253</v>
      </c>
      <c r="E2615" s="1" t="s">
        <v>14</v>
      </c>
      <c r="F2615">
        <v>22</v>
      </c>
      <c r="G2615" s="1" t="s">
        <v>234</v>
      </c>
      <c r="H2615">
        <v>22168</v>
      </c>
      <c r="I2615">
        <v>35</v>
      </c>
      <c r="J2615">
        <v>23</v>
      </c>
      <c r="K2615">
        <v>22</v>
      </c>
      <c r="L2615">
        <v>957</v>
      </c>
    </row>
    <row r="2616" spans="1:12" hidden="1" x14ac:dyDescent="0.25">
      <c r="A2616">
        <v>2615</v>
      </c>
      <c r="B2616" s="1" t="s">
        <v>12</v>
      </c>
      <c r="C2616">
        <v>1962</v>
      </c>
      <c r="D2616" s="1" t="s">
        <v>253</v>
      </c>
      <c r="E2616" s="1" t="s">
        <v>14</v>
      </c>
      <c r="F2616">
        <v>22</v>
      </c>
      <c r="G2616" s="1" t="s">
        <v>225</v>
      </c>
      <c r="H2616">
        <v>22119</v>
      </c>
      <c r="I2616">
        <v>20</v>
      </c>
      <c r="J2616">
        <v>13</v>
      </c>
      <c r="K2616">
        <v>14</v>
      </c>
      <c r="L2616">
        <v>1077</v>
      </c>
    </row>
    <row r="2617" spans="1:12" hidden="1" x14ac:dyDescent="0.25">
      <c r="A2617">
        <v>2616</v>
      </c>
      <c r="B2617" s="1" t="s">
        <v>12</v>
      </c>
      <c r="C2617">
        <v>1962</v>
      </c>
      <c r="D2617" s="1" t="s">
        <v>253</v>
      </c>
      <c r="E2617" s="1" t="s">
        <v>14</v>
      </c>
      <c r="F2617">
        <v>22</v>
      </c>
      <c r="G2617" s="1" t="s">
        <v>19</v>
      </c>
      <c r="H2617">
        <v>22014</v>
      </c>
      <c r="I2617">
        <v>17</v>
      </c>
      <c r="J2617">
        <v>15</v>
      </c>
      <c r="K2617">
        <v>5</v>
      </c>
      <c r="L2617">
        <v>333</v>
      </c>
    </row>
    <row r="2618" spans="1:12" hidden="1" x14ac:dyDescent="0.25">
      <c r="A2618">
        <v>2617</v>
      </c>
      <c r="B2618" s="1" t="s">
        <v>12</v>
      </c>
      <c r="C2618">
        <v>1962</v>
      </c>
      <c r="D2618" s="1" t="s">
        <v>253</v>
      </c>
      <c r="E2618" s="1" t="s">
        <v>14</v>
      </c>
      <c r="F2618">
        <v>22</v>
      </c>
      <c r="G2618" s="1" t="s">
        <v>227</v>
      </c>
      <c r="H2618">
        <v>22056</v>
      </c>
      <c r="I2618">
        <v>15</v>
      </c>
      <c r="J2618">
        <v>14</v>
      </c>
      <c r="K2618">
        <v>4</v>
      </c>
      <c r="L2618">
        <v>286</v>
      </c>
    </row>
    <row r="2619" spans="1:12" hidden="1" x14ac:dyDescent="0.25">
      <c r="A2619">
        <v>2618</v>
      </c>
      <c r="B2619" s="1" t="s">
        <v>12</v>
      </c>
      <c r="C2619">
        <v>1962</v>
      </c>
      <c r="D2619" s="1" t="s">
        <v>253</v>
      </c>
      <c r="E2619" s="1" t="s">
        <v>14</v>
      </c>
      <c r="F2619">
        <v>22</v>
      </c>
      <c r="G2619" s="1" t="s">
        <v>236</v>
      </c>
      <c r="H2619">
        <v>22063</v>
      </c>
      <c r="I2619">
        <v>14</v>
      </c>
      <c r="J2619">
        <v>14</v>
      </c>
      <c r="K2619">
        <v>8</v>
      </c>
      <c r="L2619">
        <v>571</v>
      </c>
    </row>
    <row r="2620" spans="1:12" hidden="1" x14ac:dyDescent="0.25">
      <c r="A2620">
        <v>2619</v>
      </c>
      <c r="B2620" s="1" t="s">
        <v>12</v>
      </c>
      <c r="C2620">
        <v>1962</v>
      </c>
      <c r="D2620" s="1" t="s">
        <v>253</v>
      </c>
      <c r="E2620" s="1" t="s">
        <v>14</v>
      </c>
      <c r="F2620">
        <v>22</v>
      </c>
      <c r="G2620" s="1" t="s">
        <v>241</v>
      </c>
      <c r="H2620">
        <v>22112</v>
      </c>
      <c r="I2620">
        <v>13</v>
      </c>
      <c r="J2620">
        <v>13</v>
      </c>
      <c r="K2620">
        <v>8</v>
      </c>
      <c r="L2620">
        <v>615</v>
      </c>
    </row>
    <row r="2621" spans="1:12" hidden="1" x14ac:dyDescent="0.25">
      <c r="A2621">
        <v>2620</v>
      </c>
      <c r="B2621" s="1" t="s">
        <v>12</v>
      </c>
      <c r="C2621">
        <v>1962</v>
      </c>
      <c r="D2621" s="1" t="s">
        <v>253</v>
      </c>
      <c r="E2621" s="1" t="s">
        <v>14</v>
      </c>
      <c r="F2621">
        <v>22</v>
      </c>
      <c r="G2621" s="1" t="s">
        <v>240</v>
      </c>
      <c r="H2621">
        <v>22021</v>
      </c>
      <c r="I2621">
        <v>12</v>
      </c>
      <c r="J2621">
        <v>12</v>
      </c>
      <c r="K2621">
        <v>7</v>
      </c>
      <c r="L2621">
        <v>583</v>
      </c>
    </row>
    <row r="2622" spans="1:12" hidden="1" x14ac:dyDescent="0.25">
      <c r="A2622">
        <v>2621</v>
      </c>
      <c r="B2622" s="1" t="s">
        <v>12</v>
      </c>
      <c r="C2622">
        <v>1962</v>
      </c>
      <c r="D2622" s="1" t="s">
        <v>253</v>
      </c>
      <c r="E2622" s="1" t="s">
        <v>14</v>
      </c>
      <c r="F2622">
        <v>22</v>
      </c>
      <c r="G2622" s="1" t="s">
        <v>235</v>
      </c>
      <c r="H2622">
        <v>22140</v>
      </c>
      <c r="I2622">
        <v>10</v>
      </c>
      <c r="J2622">
        <v>6</v>
      </c>
      <c r="K2622">
        <v>6</v>
      </c>
      <c r="L2622">
        <v>1000</v>
      </c>
    </row>
    <row r="2623" spans="1:12" hidden="1" x14ac:dyDescent="0.25">
      <c r="A2623">
        <v>2622</v>
      </c>
      <c r="B2623" s="1" t="s">
        <v>12</v>
      </c>
      <c r="C2623">
        <v>1962</v>
      </c>
      <c r="D2623" s="1" t="s">
        <v>253</v>
      </c>
      <c r="E2623" s="1" t="s">
        <v>14</v>
      </c>
      <c r="F2623">
        <v>22</v>
      </c>
      <c r="G2623" s="1" t="s">
        <v>229</v>
      </c>
      <c r="H2623">
        <v>22077</v>
      </c>
      <c r="I2623">
        <v>9</v>
      </c>
      <c r="J2623">
        <v>7</v>
      </c>
      <c r="K2623">
        <v>7</v>
      </c>
      <c r="L2623">
        <v>1000</v>
      </c>
    </row>
    <row r="2624" spans="1:12" hidden="1" x14ac:dyDescent="0.25">
      <c r="A2624">
        <v>2623</v>
      </c>
      <c r="B2624" s="1" t="s">
        <v>12</v>
      </c>
      <c r="C2624">
        <v>1962</v>
      </c>
      <c r="D2624" s="1" t="s">
        <v>253</v>
      </c>
      <c r="E2624" s="1" t="s">
        <v>14</v>
      </c>
      <c r="F2624">
        <v>22</v>
      </c>
      <c r="G2624" s="1" t="s">
        <v>118</v>
      </c>
      <c r="H2624">
        <v>22028</v>
      </c>
      <c r="I2624">
        <v>5</v>
      </c>
      <c r="J2624">
        <v>5</v>
      </c>
      <c r="K2624">
        <v>2</v>
      </c>
      <c r="L2624">
        <v>400</v>
      </c>
    </row>
    <row r="2625" spans="1:12" hidden="1" x14ac:dyDescent="0.25">
      <c r="A2625">
        <v>2624</v>
      </c>
      <c r="B2625" s="1" t="s">
        <v>12</v>
      </c>
      <c r="C2625">
        <v>1962</v>
      </c>
      <c r="D2625" s="1" t="s">
        <v>253</v>
      </c>
      <c r="E2625" s="1" t="s">
        <v>14</v>
      </c>
      <c r="F2625">
        <v>22</v>
      </c>
      <c r="G2625" s="1" t="s">
        <v>238</v>
      </c>
      <c r="H2625">
        <v>22036</v>
      </c>
      <c r="I2625">
        <v>5</v>
      </c>
      <c r="J2625">
        <v>5</v>
      </c>
      <c r="K2625">
        <v>3</v>
      </c>
      <c r="L2625">
        <v>600</v>
      </c>
    </row>
    <row r="2626" spans="1:12" hidden="1" x14ac:dyDescent="0.25">
      <c r="A2626">
        <v>2625</v>
      </c>
      <c r="B2626" s="1" t="s">
        <v>12</v>
      </c>
      <c r="C2626">
        <v>1962</v>
      </c>
      <c r="D2626" s="1" t="s">
        <v>253</v>
      </c>
      <c r="E2626" s="1" t="s">
        <v>14</v>
      </c>
      <c r="F2626">
        <v>22</v>
      </c>
      <c r="G2626" s="1" t="s">
        <v>228</v>
      </c>
      <c r="H2626">
        <v>22126</v>
      </c>
      <c r="I2626">
        <v>3</v>
      </c>
      <c r="J2626">
        <v>3</v>
      </c>
      <c r="K2626">
        <v>2</v>
      </c>
      <c r="L2626">
        <v>667</v>
      </c>
    </row>
    <row r="2627" spans="1:12" hidden="1" x14ac:dyDescent="0.25">
      <c r="A2627">
        <v>2626</v>
      </c>
      <c r="B2627" s="1" t="s">
        <v>12</v>
      </c>
      <c r="C2627">
        <v>1962</v>
      </c>
      <c r="D2627" s="1" t="s">
        <v>253</v>
      </c>
      <c r="E2627" s="1" t="s">
        <v>14</v>
      </c>
      <c r="F2627">
        <v>22</v>
      </c>
      <c r="G2627" s="1" t="s">
        <v>254</v>
      </c>
      <c r="H2627">
        <v>22147</v>
      </c>
      <c r="I2627">
        <v>3</v>
      </c>
      <c r="J2627">
        <v>3</v>
      </c>
      <c r="K2627">
        <v>2</v>
      </c>
      <c r="L2627">
        <v>667</v>
      </c>
    </row>
    <row r="2628" spans="1:12" hidden="1" x14ac:dyDescent="0.25">
      <c r="A2628">
        <v>2627</v>
      </c>
      <c r="B2628" s="1" t="s">
        <v>12</v>
      </c>
      <c r="C2628">
        <v>1962</v>
      </c>
      <c r="D2628" s="1" t="s">
        <v>253</v>
      </c>
      <c r="E2628" s="1" t="s">
        <v>14</v>
      </c>
      <c r="F2628">
        <v>22</v>
      </c>
      <c r="G2628" s="1" t="s">
        <v>250</v>
      </c>
      <c r="H2628">
        <v>22007</v>
      </c>
      <c r="I2628">
        <v>2</v>
      </c>
      <c r="J2628">
        <v>2</v>
      </c>
      <c r="K2628">
        <v>1</v>
      </c>
      <c r="L2628">
        <v>500</v>
      </c>
    </row>
    <row r="2629" spans="1:12" hidden="1" x14ac:dyDescent="0.25">
      <c r="A2629">
        <v>2628</v>
      </c>
      <c r="B2629" s="1" t="s">
        <v>12</v>
      </c>
      <c r="C2629">
        <v>1962</v>
      </c>
      <c r="D2629" s="1" t="s">
        <v>253</v>
      </c>
      <c r="E2629" s="1" t="s">
        <v>14</v>
      </c>
      <c r="F2629">
        <v>22</v>
      </c>
      <c r="G2629" s="1" t="s">
        <v>255</v>
      </c>
      <c r="H2629">
        <v>22070</v>
      </c>
      <c r="I2629">
        <v>2</v>
      </c>
      <c r="J2629">
        <v>2</v>
      </c>
      <c r="K2629">
        <v>1</v>
      </c>
      <c r="L2629">
        <v>500</v>
      </c>
    </row>
    <row r="2630" spans="1:12" hidden="1" x14ac:dyDescent="0.25">
      <c r="A2630">
        <v>2629</v>
      </c>
      <c r="B2630" s="1" t="s">
        <v>12</v>
      </c>
      <c r="C2630">
        <v>1962</v>
      </c>
      <c r="D2630" s="1" t="s">
        <v>253</v>
      </c>
      <c r="E2630" s="1" t="s">
        <v>14</v>
      </c>
      <c r="F2630">
        <v>22</v>
      </c>
      <c r="G2630" s="1" t="s">
        <v>21</v>
      </c>
      <c r="H2630">
        <v>22161</v>
      </c>
      <c r="I2630">
        <v>1</v>
      </c>
      <c r="J2630">
        <v>1</v>
      </c>
      <c r="K2630">
        <v>1</v>
      </c>
      <c r="L2630">
        <v>1000</v>
      </c>
    </row>
    <row r="2631" spans="1:12" hidden="1" x14ac:dyDescent="0.25">
      <c r="A2631">
        <v>2630</v>
      </c>
      <c r="B2631" s="1" t="s">
        <v>12</v>
      </c>
      <c r="C2631">
        <v>1962</v>
      </c>
      <c r="D2631" s="1" t="s">
        <v>253</v>
      </c>
      <c r="E2631" s="1" t="s">
        <v>22</v>
      </c>
      <c r="F2631">
        <v>14</v>
      </c>
      <c r="G2631" s="1" t="s">
        <v>26</v>
      </c>
      <c r="H2631">
        <v>14161</v>
      </c>
      <c r="I2631">
        <v>100000</v>
      </c>
      <c r="J2631">
        <v>93000</v>
      </c>
      <c r="K2631">
        <v>120900</v>
      </c>
      <c r="L2631">
        <v>13000</v>
      </c>
    </row>
    <row r="2632" spans="1:12" hidden="1" x14ac:dyDescent="0.25">
      <c r="A2632">
        <v>2631</v>
      </c>
      <c r="B2632" s="1" t="s">
        <v>12</v>
      </c>
      <c r="C2632">
        <v>1962</v>
      </c>
      <c r="D2632" s="1" t="s">
        <v>253</v>
      </c>
      <c r="E2632" s="1" t="s">
        <v>22</v>
      </c>
      <c r="F2632">
        <v>14</v>
      </c>
      <c r="G2632" s="1" t="s">
        <v>24</v>
      </c>
      <c r="H2632">
        <v>14119</v>
      </c>
      <c r="I2632">
        <v>85000</v>
      </c>
      <c r="J2632">
        <v>85000</v>
      </c>
      <c r="K2632">
        <v>81060</v>
      </c>
      <c r="L2632">
        <v>954</v>
      </c>
    </row>
    <row r="2633" spans="1:12" hidden="1" x14ac:dyDescent="0.25">
      <c r="A2633">
        <v>2632</v>
      </c>
      <c r="B2633" s="1" t="s">
        <v>12</v>
      </c>
      <c r="C2633">
        <v>1962</v>
      </c>
      <c r="D2633" s="1" t="s">
        <v>253</v>
      </c>
      <c r="E2633" s="1" t="s">
        <v>22</v>
      </c>
      <c r="F2633">
        <v>14</v>
      </c>
      <c r="G2633" s="1" t="s">
        <v>143</v>
      </c>
      <c r="H2633">
        <v>14056</v>
      </c>
      <c r="I2633">
        <v>33000</v>
      </c>
      <c r="J2633">
        <v>31500</v>
      </c>
      <c r="K2633">
        <v>47250</v>
      </c>
      <c r="L2633">
        <v>1500</v>
      </c>
    </row>
    <row r="2634" spans="1:12" hidden="1" x14ac:dyDescent="0.25">
      <c r="A2634">
        <v>2633</v>
      </c>
      <c r="B2634" s="1" t="s">
        <v>12</v>
      </c>
      <c r="C2634">
        <v>1962</v>
      </c>
      <c r="D2634" s="1" t="s">
        <v>253</v>
      </c>
      <c r="E2634" s="1" t="s">
        <v>22</v>
      </c>
      <c r="F2634">
        <v>14</v>
      </c>
      <c r="G2634" s="1" t="s">
        <v>184</v>
      </c>
      <c r="H2634">
        <v>14042</v>
      </c>
      <c r="I2634">
        <v>17430</v>
      </c>
      <c r="J2634">
        <v>15750</v>
      </c>
      <c r="K2634">
        <v>15750</v>
      </c>
      <c r="L2634">
        <v>1000</v>
      </c>
    </row>
    <row r="2635" spans="1:12" hidden="1" x14ac:dyDescent="0.25">
      <c r="A2635">
        <v>2634</v>
      </c>
      <c r="B2635" s="1" t="s">
        <v>12</v>
      </c>
      <c r="C2635">
        <v>1962</v>
      </c>
      <c r="D2635" s="1" t="s">
        <v>253</v>
      </c>
      <c r="E2635" s="1" t="s">
        <v>22</v>
      </c>
      <c r="F2635">
        <v>14</v>
      </c>
      <c r="G2635" s="1" t="s">
        <v>29</v>
      </c>
      <c r="H2635">
        <v>14098</v>
      </c>
      <c r="I2635">
        <v>15000</v>
      </c>
      <c r="J2635">
        <v>14000</v>
      </c>
      <c r="K2635">
        <v>16800</v>
      </c>
      <c r="L2635">
        <v>1200</v>
      </c>
    </row>
    <row r="2636" spans="1:12" hidden="1" x14ac:dyDescent="0.25">
      <c r="A2636">
        <v>2635</v>
      </c>
      <c r="B2636" s="1" t="s">
        <v>12</v>
      </c>
      <c r="C2636">
        <v>1962</v>
      </c>
      <c r="D2636" s="1" t="s">
        <v>253</v>
      </c>
      <c r="E2636" s="1" t="s">
        <v>22</v>
      </c>
      <c r="F2636">
        <v>14</v>
      </c>
      <c r="G2636" s="1" t="s">
        <v>97</v>
      </c>
      <c r="H2636">
        <v>14007</v>
      </c>
      <c r="I2636">
        <v>10000</v>
      </c>
      <c r="J2636">
        <v>9200</v>
      </c>
      <c r="K2636">
        <v>11040</v>
      </c>
      <c r="L2636">
        <v>1200</v>
      </c>
    </row>
    <row r="2637" spans="1:12" hidden="1" x14ac:dyDescent="0.25">
      <c r="A2637">
        <v>2636</v>
      </c>
      <c r="B2637" s="1" t="s">
        <v>12</v>
      </c>
      <c r="C2637">
        <v>1962</v>
      </c>
      <c r="D2637" s="1" t="s">
        <v>253</v>
      </c>
      <c r="E2637" s="1" t="s">
        <v>22</v>
      </c>
      <c r="F2637">
        <v>14</v>
      </c>
      <c r="G2637" s="1" t="s">
        <v>23</v>
      </c>
      <c r="H2637">
        <v>14147</v>
      </c>
      <c r="I2637">
        <v>8400</v>
      </c>
      <c r="J2637">
        <v>8400</v>
      </c>
      <c r="K2637">
        <v>8820</v>
      </c>
      <c r="L2637">
        <v>1050</v>
      </c>
    </row>
    <row r="2638" spans="1:12" hidden="1" x14ac:dyDescent="0.25">
      <c r="A2638">
        <v>2637</v>
      </c>
      <c r="B2638" s="1" t="s">
        <v>12</v>
      </c>
      <c r="C2638">
        <v>1962</v>
      </c>
      <c r="D2638" s="1" t="s">
        <v>253</v>
      </c>
      <c r="E2638" s="1" t="s">
        <v>22</v>
      </c>
      <c r="F2638">
        <v>14</v>
      </c>
      <c r="G2638" s="1" t="s">
        <v>25</v>
      </c>
      <c r="H2638">
        <v>14105</v>
      </c>
      <c r="I2638">
        <v>3000</v>
      </c>
      <c r="J2638">
        <v>2400</v>
      </c>
      <c r="K2638">
        <v>2880</v>
      </c>
      <c r="L2638">
        <v>1200</v>
      </c>
    </row>
    <row r="2639" spans="1:12" hidden="1" x14ac:dyDescent="0.25">
      <c r="A2639">
        <v>2638</v>
      </c>
      <c r="B2639" s="1" t="s">
        <v>12</v>
      </c>
      <c r="C2639">
        <v>1962</v>
      </c>
      <c r="D2639" s="1" t="s">
        <v>253</v>
      </c>
      <c r="E2639" s="1" t="s">
        <v>22</v>
      </c>
      <c r="F2639">
        <v>14</v>
      </c>
      <c r="G2639" s="1" t="s">
        <v>122</v>
      </c>
      <c r="H2639">
        <v>14182</v>
      </c>
      <c r="I2639">
        <v>1500</v>
      </c>
      <c r="J2639">
        <v>1300</v>
      </c>
      <c r="K2639">
        <v>1430</v>
      </c>
      <c r="L2639">
        <v>1100</v>
      </c>
    </row>
    <row r="2640" spans="1:12" hidden="1" x14ac:dyDescent="0.25">
      <c r="A2640">
        <v>2639</v>
      </c>
      <c r="B2640" s="1" t="s">
        <v>12</v>
      </c>
      <c r="C2640">
        <v>1962</v>
      </c>
      <c r="D2640" s="1" t="s">
        <v>253</v>
      </c>
      <c r="E2640" s="1" t="s">
        <v>22</v>
      </c>
      <c r="F2640">
        <v>14</v>
      </c>
      <c r="G2640" s="1" t="s">
        <v>194</v>
      </c>
      <c r="H2640">
        <v>14077</v>
      </c>
      <c r="I2640">
        <v>500</v>
      </c>
      <c r="J2640">
        <v>500</v>
      </c>
      <c r="K2640">
        <v>500</v>
      </c>
      <c r="L2640">
        <v>1000</v>
      </c>
    </row>
    <row r="2641" spans="1:12" hidden="1" x14ac:dyDescent="0.25">
      <c r="A2641">
        <v>2640</v>
      </c>
      <c r="B2641" s="1" t="s">
        <v>12</v>
      </c>
      <c r="C2641">
        <v>1962</v>
      </c>
      <c r="D2641" s="1" t="s">
        <v>253</v>
      </c>
      <c r="E2641" s="1" t="s">
        <v>22</v>
      </c>
      <c r="F2641">
        <v>14</v>
      </c>
      <c r="G2641" s="1" t="s">
        <v>67</v>
      </c>
      <c r="H2641">
        <v>14140</v>
      </c>
      <c r="I2641">
        <v>350</v>
      </c>
      <c r="J2641">
        <v>300</v>
      </c>
      <c r="K2641">
        <v>360</v>
      </c>
      <c r="L2641">
        <v>1200</v>
      </c>
    </row>
    <row r="2642" spans="1:12" hidden="1" x14ac:dyDescent="0.25">
      <c r="A2642">
        <v>2641</v>
      </c>
      <c r="B2642" s="1" t="s">
        <v>12</v>
      </c>
      <c r="C2642">
        <v>1962</v>
      </c>
      <c r="D2642" s="1" t="s">
        <v>253</v>
      </c>
      <c r="E2642" s="1" t="s">
        <v>22</v>
      </c>
      <c r="F2642">
        <v>14</v>
      </c>
      <c r="G2642" s="1" t="s">
        <v>169</v>
      </c>
      <c r="H2642">
        <v>14126</v>
      </c>
      <c r="I2642">
        <v>150</v>
      </c>
      <c r="J2642">
        <v>150</v>
      </c>
      <c r="K2642">
        <v>150</v>
      </c>
      <c r="L2642">
        <v>1000</v>
      </c>
    </row>
    <row r="2643" spans="1:12" hidden="1" x14ac:dyDescent="0.25">
      <c r="A2643">
        <v>2642</v>
      </c>
      <c r="B2643" s="1" t="s">
        <v>12</v>
      </c>
      <c r="C2643">
        <v>1962</v>
      </c>
      <c r="D2643" s="1" t="s">
        <v>253</v>
      </c>
      <c r="E2643" s="1" t="s">
        <v>22</v>
      </c>
      <c r="F2643">
        <v>14</v>
      </c>
      <c r="G2643" s="1" t="s">
        <v>247</v>
      </c>
      <c r="H2643">
        <v>14063</v>
      </c>
      <c r="I2643">
        <v>100</v>
      </c>
      <c r="J2643">
        <v>100</v>
      </c>
      <c r="K2643">
        <v>110</v>
      </c>
      <c r="L2643">
        <v>1100</v>
      </c>
    </row>
    <row r="2644" spans="1:12" hidden="1" x14ac:dyDescent="0.25">
      <c r="A2644">
        <v>2643</v>
      </c>
      <c r="B2644" s="1" t="s">
        <v>12</v>
      </c>
      <c r="C2644">
        <v>1962</v>
      </c>
      <c r="D2644" s="1" t="s">
        <v>253</v>
      </c>
      <c r="E2644" s="1" t="s">
        <v>22</v>
      </c>
      <c r="F2644">
        <v>14</v>
      </c>
      <c r="G2644" s="1" t="s">
        <v>62</v>
      </c>
      <c r="H2644">
        <v>14133</v>
      </c>
      <c r="I2644">
        <v>80</v>
      </c>
      <c r="J2644">
        <v>80</v>
      </c>
      <c r="K2644">
        <v>80</v>
      </c>
      <c r="L2644">
        <v>1000</v>
      </c>
    </row>
    <row r="2645" spans="1:12" hidden="1" x14ac:dyDescent="0.25">
      <c r="A2645">
        <v>2644</v>
      </c>
      <c r="B2645" s="1" t="s">
        <v>12</v>
      </c>
      <c r="C2645">
        <v>1962</v>
      </c>
      <c r="D2645" s="1" t="s">
        <v>253</v>
      </c>
      <c r="E2645" s="1" t="s">
        <v>22</v>
      </c>
      <c r="F2645">
        <v>14</v>
      </c>
      <c r="G2645" s="1" t="s">
        <v>28</v>
      </c>
      <c r="H2645">
        <v>14014</v>
      </c>
      <c r="I2645">
        <v>60</v>
      </c>
      <c r="J2645">
        <v>40</v>
      </c>
      <c r="K2645">
        <v>40</v>
      </c>
      <c r="L2645">
        <v>1000</v>
      </c>
    </row>
    <row r="2646" spans="1:12" hidden="1" x14ac:dyDescent="0.25">
      <c r="A2646">
        <v>2645</v>
      </c>
      <c r="B2646" s="1" t="s">
        <v>12</v>
      </c>
      <c r="C2646">
        <v>1962</v>
      </c>
      <c r="D2646" s="1" t="s">
        <v>253</v>
      </c>
      <c r="E2646" s="1" t="s">
        <v>22</v>
      </c>
      <c r="F2646">
        <v>14</v>
      </c>
      <c r="G2646" s="1" t="s">
        <v>27</v>
      </c>
      <c r="H2646">
        <v>14021</v>
      </c>
      <c r="I2646">
        <v>20</v>
      </c>
      <c r="J2646">
        <v>20</v>
      </c>
      <c r="K2646">
        <v>20</v>
      </c>
      <c r="L2646">
        <v>1000</v>
      </c>
    </row>
    <row r="2647" spans="1:12" hidden="1" x14ac:dyDescent="0.25">
      <c r="A2647">
        <v>2646</v>
      </c>
      <c r="B2647" s="1" t="s">
        <v>12</v>
      </c>
      <c r="C2647">
        <v>1962</v>
      </c>
      <c r="D2647" s="1" t="s">
        <v>253</v>
      </c>
      <c r="E2647" s="1" t="s">
        <v>22</v>
      </c>
      <c r="F2647">
        <v>14</v>
      </c>
      <c r="G2647" s="1" t="s">
        <v>173</v>
      </c>
      <c r="H2647">
        <v>14028</v>
      </c>
      <c r="I2647">
        <v>10</v>
      </c>
      <c r="J2647">
        <v>10</v>
      </c>
      <c r="K2647">
        <v>10</v>
      </c>
      <c r="L2647">
        <v>1000</v>
      </c>
    </row>
    <row r="2648" spans="1:12" hidden="1" x14ac:dyDescent="0.25">
      <c r="A2648">
        <v>2647</v>
      </c>
      <c r="B2648" s="1" t="s">
        <v>12</v>
      </c>
      <c r="C2648">
        <v>1962</v>
      </c>
      <c r="D2648" s="1" t="s">
        <v>253</v>
      </c>
      <c r="E2648" s="1" t="s">
        <v>30</v>
      </c>
      <c r="F2648">
        <v>18</v>
      </c>
      <c r="G2648" s="1" t="s">
        <v>43</v>
      </c>
      <c r="H2648">
        <v>18070</v>
      </c>
      <c r="I2648">
        <v>600</v>
      </c>
      <c r="J2648">
        <v>600</v>
      </c>
      <c r="K2648">
        <v>900</v>
      </c>
      <c r="L2648">
        <v>1500</v>
      </c>
    </row>
    <row r="2649" spans="1:12" hidden="1" x14ac:dyDescent="0.25">
      <c r="A2649">
        <v>2648</v>
      </c>
      <c r="B2649" s="1" t="s">
        <v>12</v>
      </c>
      <c r="C2649">
        <v>1962</v>
      </c>
      <c r="D2649" s="1" t="s">
        <v>253</v>
      </c>
      <c r="E2649" s="1" t="s">
        <v>30</v>
      </c>
      <c r="F2649">
        <v>18</v>
      </c>
      <c r="G2649" s="1" t="s">
        <v>101</v>
      </c>
      <c r="H2649">
        <v>18161</v>
      </c>
      <c r="I2649">
        <v>400</v>
      </c>
      <c r="J2649">
        <v>400</v>
      </c>
      <c r="K2649">
        <v>600</v>
      </c>
      <c r="L2649">
        <v>1500</v>
      </c>
    </row>
    <row r="2650" spans="1:12" hidden="1" x14ac:dyDescent="0.25">
      <c r="A2650">
        <v>2649</v>
      </c>
      <c r="B2650" s="1" t="s">
        <v>12</v>
      </c>
      <c r="C2650">
        <v>1962</v>
      </c>
      <c r="D2650" s="1" t="s">
        <v>253</v>
      </c>
      <c r="E2650" s="1" t="s">
        <v>30</v>
      </c>
      <c r="F2650">
        <v>18</v>
      </c>
      <c r="G2650" s="1" t="s">
        <v>35</v>
      </c>
      <c r="H2650">
        <v>18049</v>
      </c>
      <c r="I2650">
        <v>250</v>
      </c>
      <c r="J2650">
        <v>250</v>
      </c>
      <c r="K2650">
        <v>400</v>
      </c>
      <c r="L2650">
        <v>1600</v>
      </c>
    </row>
    <row r="2651" spans="1:12" hidden="1" x14ac:dyDescent="0.25">
      <c r="A2651">
        <v>2650</v>
      </c>
      <c r="B2651" s="1" t="s">
        <v>12</v>
      </c>
      <c r="C2651">
        <v>1962</v>
      </c>
      <c r="D2651" s="1" t="s">
        <v>253</v>
      </c>
      <c r="E2651" s="1" t="s">
        <v>30</v>
      </c>
      <c r="F2651">
        <v>18</v>
      </c>
      <c r="G2651" s="1" t="s">
        <v>36</v>
      </c>
      <c r="H2651">
        <v>18133</v>
      </c>
      <c r="I2651">
        <v>150</v>
      </c>
      <c r="J2651">
        <v>145</v>
      </c>
      <c r="K2651">
        <v>69</v>
      </c>
      <c r="L2651">
        <v>476</v>
      </c>
    </row>
    <row r="2652" spans="1:12" hidden="1" x14ac:dyDescent="0.25">
      <c r="A2652">
        <v>2651</v>
      </c>
      <c r="B2652" s="1" t="s">
        <v>12</v>
      </c>
      <c r="C2652">
        <v>1962</v>
      </c>
      <c r="D2652" s="1" t="s">
        <v>253</v>
      </c>
      <c r="E2652" s="1" t="s">
        <v>30</v>
      </c>
      <c r="F2652">
        <v>18</v>
      </c>
      <c r="G2652" s="1" t="s">
        <v>86</v>
      </c>
      <c r="H2652">
        <v>18175</v>
      </c>
      <c r="I2652">
        <v>150</v>
      </c>
      <c r="J2652">
        <v>150</v>
      </c>
      <c r="K2652">
        <v>270</v>
      </c>
      <c r="L2652">
        <v>1800</v>
      </c>
    </row>
    <row r="2653" spans="1:12" hidden="1" x14ac:dyDescent="0.25">
      <c r="A2653">
        <v>2652</v>
      </c>
      <c r="B2653" s="1" t="s">
        <v>12</v>
      </c>
      <c r="C2653">
        <v>1962</v>
      </c>
      <c r="D2653" s="1" t="s">
        <v>253</v>
      </c>
      <c r="E2653" s="1" t="s">
        <v>30</v>
      </c>
      <c r="F2653">
        <v>18</v>
      </c>
      <c r="G2653" s="1" t="s">
        <v>39</v>
      </c>
      <c r="H2653">
        <v>18084</v>
      </c>
      <c r="I2653">
        <v>100</v>
      </c>
      <c r="J2653">
        <v>96</v>
      </c>
      <c r="K2653">
        <v>52</v>
      </c>
      <c r="L2653">
        <v>542</v>
      </c>
    </row>
    <row r="2654" spans="1:12" hidden="1" x14ac:dyDescent="0.25">
      <c r="A2654">
        <v>2653</v>
      </c>
      <c r="B2654" s="1" t="s">
        <v>12</v>
      </c>
      <c r="C2654">
        <v>1962</v>
      </c>
      <c r="D2654" s="1" t="s">
        <v>253</v>
      </c>
      <c r="E2654" s="1" t="s">
        <v>30</v>
      </c>
      <c r="F2654">
        <v>18</v>
      </c>
      <c r="G2654" s="1" t="s">
        <v>63</v>
      </c>
      <c r="H2654">
        <v>18028</v>
      </c>
      <c r="I2654">
        <v>50</v>
      </c>
      <c r="J2654">
        <v>45</v>
      </c>
      <c r="K2654">
        <v>25</v>
      </c>
      <c r="L2654">
        <v>556</v>
      </c>
    </row>
    <row r="2655" spans="1:12" hidden="1" x14ac:dyDescent="0.25">
      <c r="A2655">
        <v>2654</v>
      </c>
      <c r="B2655" s="1" t="s">
        <v>12</v>
      </c>
      <c r="C2655">
        <v>1962</v>
      </c>
      <c r="D2655" s="1" t="s">
        <v>253</v>
      </c>
      <c r="E2655" s="1" t="s">
        <v>30</v>
      </c>
      <c r="F2655">
        <v>18</v>
      </c>
      <c r="G2655" s="1" t="s">
        <v>34</v>
      </c>
      <c r="H2655">
        <v>18042</v>
      </c>
      <c r="I2655">
        <v>50</v>
      </c>
      <c r="J2655">
        <v>45</v>
      </c>
      <c r="K2655">
        <v>25</v>
      </c>
      <c r="L2655">
        <v>550</v>
      </c>
    </row>
    <row r="2656" spans="1:12" hidden="1" x14ac:dyDescent="0.25">
      <c r="A2656">
        <v>2655</v>
      </c>
      <c r="B2656" s="1" t="s">
        <v>12</v>
      </c>
      <c r="C2656">
        <v>1962</v>
      </c>
      <c r="D2656" s="1" t="s">
        <v>253</v>
      </c>
      <c r="E2656" s="1" t="s">
        <v>30</v>
      </c>
      <c r="F2656">
        <v>18</v>
      </c>
      <c r="G2656" s="1" t="s">
        <v>40</v>
      </c>
      <c r="H2656">
        <v>18126</v>
      </c>
      <c r="I2656">
        <v>30</v>
      </c>
      <c r="J2656">
        <v>30</v>
      </c>
      <c r="K2656">
        <v>15</v>
      </c>
      <c r="L2656">
        <v>500</v>
      </c>
    </row>
    <row r="2657" spans="1:12" hidden="1" x14ac:dyDescent="0.25">
      <c r="A2657">
        <v>2656</v>
      </c>
      <c r="B2657" s="1" t="s">
        <v>12</v>
      </c>
      <c r="C2657">
        <v>1962</v>
      </c>
      <c r="D2657" s="1" t="s">
        <v>253</v>
      </c>
      <c r="E2657" s="1" t="s">
        <v>30</v>
      </c>
      <c r="F2657">
        <v>18</v>
      </c>
      <c r="G2657" s="1" t="s">
        <v>41</v>
      </c>
      <c r="H2657">
        <v>18140</v>
      </c>
      <c r="I2657">
        <v>30</v>
      </c>
      <c r="J2657">
        <v>30</v>
      </c>
      <c r="K2657">
        <v>18</v>
      </c>
      <c r="L2657">
        <v>600</v>
      </c>
    </row>
    <row r="2658" spans="1:12" hidden="1" x14ac:dyDescent="0.25">
      <c r="A2658">
        <v>2657</v>
      </c>
      <c r="B2658" s="1" t="s">
        <v>12</v>
      </c>
      <c r="C2658">
        <v>1962</v>
      </c>
      <c r="D2658" s="1" t="s">
        <v>253</v>
      </c>
      <c r="E2658" s="1" t="s">
        <v>30</v>
      </c>
      <c r="F2658">
        <v>18</v>
      </c>
      <c r="G2658" s="1" t="s">
        <v>28</v>
      </c>
      <c r="H2658">
        <v>18021</v>
      </c>
      <c r="I2658">
        <v>25</v>
      </c>
      <c r="J2658">
        <v>24</v>
      </c>
      <c r="K2658">
        <v>11</v>
      </c>
      <c r="L2658">
        <v>458</v>
      </c>
    </row>
    <row r="2659" spans="1:12" hidden="1" x14ac:dyDescent="0.25">
      <c r="A2659">
        <v>2658</v>
      </c>
      <c r="B2659" s="1" t="s">
        <v>12</v>
      </c>
      <c r="C2659">
        <v>1962</v>
      </c>
      <c r="D2659" s="1" t="s">
        <v>253</v>
      </c>
      <c r="E2659" s="1" t="s">
        <v>30</v>
      </c>
      <c r="F2659">
        <v>18</v>
      </c>
      <c r="G2659" s="1" t="s">
        <v>99</v>
      </c>
      <c r="H2659">
        <v>18063</v>
      </c>
      <c r="I2659">
        <v>20</v>
      </c>
      <c r="J2659">
        <v>20</v>
      </c>
      <c r="K2659">
        <v>12</v>
      </c>
      <c r="L2659">
        <v>600</v>
      </c>
    </row>
    <row r="2660" spans="1:12" hidden="1" x14ac:dyDescent="0.25">
      <c r="A2660">
        <v>2659</v>
      </c>
      <c r="B2660" s="1" t="s">
        <v>12</v>
      </c>
      <c r="C2660">
        <v>1962</v>
      </c>
      <c r="D2660" s="1" t="s">
        <v>253</v>
      </c>
      <c r="E2660" s="1" t="s">
        <v>30</v>
      </c>
      <c r="F2660">
        <v>18</v>
      </c>
      <c r="G2660" s="1" t="s">
        <v>98</v>
      </c>
      <c r="H2660">
        <v>18098</v>
      </c>
      <c r="I2660">
        <v>10</v>
      </c>
      <c r="J2660">
        <v>10</v>
      </c>
      <c r="K2660">
        <v>6</v>
      </c>
      <c r="L2660">
        <v>600</v>
      </c>
    </row>
    <row r="2661" spans="1:12" hidden="1" x14ac:dyDescent="0.25">
      <c r="A2661">
        <v>2660</v>
      </c>
      <c r="B2661" s="1" t="s">
        <v>12</v>
      </c>
      <c r="C2661">
        <v>1962</v>
      </c>
      <c r="D2661" s="1" t="s">
        <v>253</v>
      </c>
      <c r="E2661" s="1" t="s">
        <v>30</v>
      </c>
      <c r="F2661">
        <v>18</v>
      </c>
      <c r="G2661" s="1" t="s">
        <v>103</v>
      </c>
      <c r="H2661">
        <v>18154</v>
      </c>
      <c r="I2661">
        <v>10</v>
      </c>
      <c r="J2661">
        <v>10</v>
      </c>
      <c r="K2661">
        <v>5</v>
      </c>
      <c r="L2661">
        <v>500</v>
      </c>
    </row>
    <row r="2662" spans="1:12" hidden="1" x14ac:dyDescent="0.25">
      <c r="A2662">
        <v>2661</v>
      </c>
      <c r="B2662" s="1" t="s">
        <v>12</v>
      </c>
      <c r="C2662">
        <v>1962</v>
      </c>
      <c r="D2662" s="1" t="s">
        <v>253</v>
      </c>
      <c r="E2662" s="1" t="s">
        <v>30</v>
      </c>
      <c r="F2662">
        <v>18</v>
      </c>
      <c r="G2662" s="1" t="s">
        <v>100</v>
      </c>
      <c r="H2662">
        <v>18077</v>
      </c>
      <c r="I2662">
        <v>5</v>
      </c>
      <c r="J2662">
        <v>5</v>
      </c>
      <c r="K2662">
        <v>2</v>
      </c>
      <c r="L2662">
        <v>400</v>
      </c>
    </row>
    <row r="2663" spans="1:12" hidden="1" x14ac:dyDescent="0.25">
      <c r="A2663">
        <v>2662</v>
      </c>
      <c r="B2663" s="1" t="s">
        <v>12</v>
      </c>
      <c r="C2663">
        <v>1962</v>
      </c>
      <c r="D2663" s="1" t="s">
        <v>253</v>
      </c>
      <c r="E2663" s="1" t="s">
        <v>45</v>
      </c>
      <c r="F2663">
        <v>30</v>
      </c>
      <c r="G2663" s="1" t="s">
        <v>46</v>
      </c>
      <c r="H2663">
        <v>30028</v>
      </c>
      <c r="I2663">
        <v>25</v>
      </c>
      <c r="J2663">
        <v>22</v>
      </c>
      <c r="K2663">
        <v>19</v>
      </c>
      <c r="L2663">
        <v>864</v>
      </c>
    </row>
    <row r="2664" spans="1:12" hidden="1" x14ac:dyDescent="0.25">
      <c r="A2664">
        <v>2663</v>
      </c>
      <c r="B2664" s="1" t="s">
        <v>12</v>
      </c>
      <c r="C2664">
        <v>1962</v>
      </c>
      <c r="D2664" s="1" t="s">
        <v>253</v>
      </c>
      <c r="E2664" s="1" t="s">
        <v>45</v>
      </c>
      <c r="F2664">
        <v>30</v>
      </c>
      <c r="G2664" s="1" t="s">
        <v>47</v>
      </c>
      <c r="H2664">
        <v>30015</v>
      </c>
      <c r="I2664">
        <v>10</v>
      </c>
      <c r="J2664">
        <v>8</v>
      </c>
      <c r="K2664">
        <v>7</v>
      </c>
      <c r="L2664">
        <v>875</v>
      </c>
    </row>
    <row r="2665" spans="1:12" hidden="1" x14ac:dyDescent="0.25">
      <c r="A2665">
        <v>2664</v>
      </c>
      <c r="B2665" s="1" t="s">
        <v>12</v>
      </c>
      <c r="C2665">
        <v>1962</v>
      </c>
      <c r="D2665" s="1" t="s">
        <v>253</v>
      </c>
      <c r="E2665" s="1" t="s">
        <v>45</v>
      </c>
      <c r="F2665">
        <v>30</v>
      </c>
      <c r="G2665" s="1" t="s">
        <v>27</v>
      </c>
      <c r="H2665">
        <v>30008</v>
      </c>
      <c r="I2665">
        <v>5</v>
      </c>
      <c r="J2665">
        <v>5</v>
      </c>
      <c r="K2665">
        <v>4</v>
      </c>
      <c r="L2665">
        <v>800</v>
      </c>
    </row>
    <row r="2666" spans="1:12" hidden="1" x14ac:dyDescent="0.25">
      <c r="A2666">
        <v>2665</v>
      </c>
      <c r="B2666" s="1" t="s">
        <v>12</v>
      </c>
      <c r="C2666">
        <v>1962</v>
      </c>
      <c r="D2666" s="1" t="s">
        <v>253</v>
      </c>
      <c r="E2666" s="1" t="s">
        <v>48</v>
      </c>
      <c r="F2666">
        <v>34</v>
      </c>
      <c r="G2666" s="1" t="s">
        <v>49</v>
      </c>
      <c r="H2666">
        <v>34049</v>
      </c>
      <c r="I2666">
        <v>30</v>
      </c>
      <c r="J2666">
        <v>30</v>
      </c>
      <c r="K2666">
        <v>45</v>
      </c>
      <c r="L2666">
        <v>1500</v>
      </c>
    </row>
    <row r="2667" spans="1:12" hidden="1" x14ac:dyDescent="0.25">
      <c r="A2667">
        <v>2666</v>
      </c>
      <c r="B2667" s="1" t="s">
        <v>12</v>
      </c>
      <c r="C2667">
        <v>1962</v>
      </c>
      <c r="D2667" s="1" t="s">
        <v>253</v>
      </c>
      <c r="E2667" s="1" t="s">
        <v>48</v>
      </c>
      <c r="F2667">
        <v>34</v>
      </c>
      <c r="G2667" s="1" t="s">
        <v>51</v>
      </c>
      <c r="H2667">
        <v>34056</v>
      </c>
      <c r="I2667">
        <v>30</v>
      </c>
      <c r="J2667">
        <v>30</v>
      </c>
      <c r="K2667">
        <v>45</v>
      </c>
      <c r="L2667">
        <v>1500</v>
      </c>
    </row>
    <row r="2668" spans="1:12" hidden="1" x14ac:dyDescent="0.25">
      <c r="A2668">
        <v>2667</v>
      </c>
      <c r="B2668" s="1" t="s">
        <v>12</v>
      </c>
      <c r="C2668">
        <v>1962</v>
      </c>
      <c r="D2668" s="1" t="s">
        <v>253</v>
      </c>
      <c r="E2668" s="1" t="s">
        <v>48</v>
      </c>
      <c r="F2668">
        <v>34</v>
      </c>
      <c r="G2668" s="1" t="s">
        <v>108</v>
      </c>
      <c r="H2668">
        <v>34042</v>
      </c>
      <c r="I2668">
        <v>20</v>
      </c>
      <c r="J2668">
        <v>20</v>
      </c>
      <c r="K2668">
        <v>30</v>
      </c>
      <c r="L2668">
        <v>1500</v>
      </c>
    </row>
    <row r="2669" spans="1:12" hidden="1" x14ac:dyDescent="0.25">
      <c r="A2669">
        <v>2668</v>
      </c>
      <c r="B2669" s="1" t="s">
        <v>12</v>
      </c>
      <c r="C2669">
        <v>1962</v>
      </c>
      <c r="D2669" s="1" t="s">
        <v>253</v>
      </c>
      <c r="E2669" s="1" t="s">
        <v>48</v>
      </c>
      <c r="F2669">
        <v>34</v>
      </c>
      <c r="G2669" s="1" t="s">
        <v>48</v>
      </c>
      <c r="H2669">
        <v>34014</v>
      </c>
      <c r="I2669">
        <v>15</v>
      </c>
      <c r="J2669">
        <v>15</v>
      </c>
      <c r="K2669">
        <v>23</v>
      </c>
      <c r="L2669">
        <v>1533</v>
      </c>
    </row>
    <row r="2670" spans="1:12" hidden="1" x14ac:dyDescent="0.25">
      <c r="A2670">
        <v>2669</v>
      </c>
      <c r="B2670" s="1" t="s">
        <v>12</v>
      </c>
      <c r="C2670">
        <v>1962</v>
      </c>
      <c r="D2670" s="1" t="s">
        <v>253</v>
      </c>
      <c r="E2670" s="1" t="s">
        <v>48</v>
      </c>
      <c r="F2670">
        <v>34</v>
      </c>
      <c r="G2670" s="1" t="s">
        <v>50</v>
      </c>
      <c r="H2670">
        <v>34021</v>
      </c>
      <c r="I2670">
        <v>10</v>
      </c>
      <c r="J2670">
        <v>10</v>
      </c>
      <c r="K2670">
        <v>15</v>
      </c>
      <c r="L2670">
        <v>1500</v>
      </c>
    </row>
    <row r="2671" spans="1:12" hidden="1" x14ac:dyDescent="0.25">
      <c r="A2671">
        <v>2670</v>
      </c>
      <c r="B2671" s="1" t="s">
        <v>12</v>
      </c>
      <c r="C2671">
        <v>1962</v>
      </c>
      <c r="D2671" s="1" t="s">
        <v>253</v>
      </c>
      <c r="E2671" s="1" t="s">
        <v>48</v>
      </c>
      <c r="F2671">
        <v>34</v>
      </c>
      <c r="G2671" s="1" t="s">
        <v>52</v>
      </c>
      <c r="H2671">
        <v>34035</v>
      </c>
      <c r="I2671">
        <v>10</v>
      </c>
      <c r="J2671">
        <v>10</v>
      </c>
      <c r="K2671">
        <v>12</v>
      </c>
      <c r="L2671">
        <v>1200</v>
      </c>
    </row>
    <row r="2672" spans="1:12" hidden="1" x14ac:dyDescent="0.25">
      <c r="A2672">
        <v>2671</v>
      </c>
      <c r="B2672" s="1" t="s">
        <v>12</v>
      </c>
      <c r="C2672">
        <v>1962</v>
      </c>
      <c r="D2672" s="1" t="s">
        <v>253</v>
      </c>
      <c r="E2672" s="1" t="s">
        <v>58</v>
      </c>
      <c r="F2672">
        <v>54</v>
      </c>
      <c r="G2672" s="1" t="s">
        <v>242</v>
      </c>
      <c r="H2672">
        <v>54091</v>
      </c>
      <c r="I2672">
        <v>70</v>
      </c>
      <c r="J2672">
        <v>70</v>
      </c>
      <c r="K2672">
        <v>58</v>
      </c>
      <c r="L2672">
        <v>829</v>
      </c>
    </row>
    <row r="2673" spans="1:12" hidden="1" x14ac:dyDescent="0.25">
      <c r="A2673">
        <v>2672</v>
      </c>
      <c r="B2673" s="1" t="s">
        <v>12</v>
      </c>
      <c r="C2673">
        <v>1962</v>
      </c>
      <c r="D2673" s="1" t="s">
        <v>253</v>
      </c>
      <c r="E2673" s="1" t="s">
        <v>58</v>
      </c>
      <c r="F2673">
        <v>54</v>
      </c>
      <c r="G2673" s="1" t="s">
        <v>60</v>
      </c>
      <c r="H2673">
        <v>54021</v>
      </c>
      <c r="I2673">
        <v>65</v>
      </c>
      <c r="J2673">
        <v>52</v>
      </c>
      <c r="K2673">
        <v>31</v>
      </c>
      <c r="L2673">
        <v>596</v>
      </c>
    </row>
    <row r="2674" spans="1:12" hidden="1" x14ac:dyDescent="0.25">
      <c r="A2674">
        <v>2673</v>
      </c>
      <c r="B2674" s="1" t="s">
        <v>12</v>
      </c>
      <c r="C2674">
        <v>1962</v>
      </c>
      <c r="D2674" s="1" t="s">
        <v>253</v>
      </c>
      <c r="E2674" s="1" t="s">
        <v>58</v>
      </c>
      <c r="F2674">
        <v>54</v>
      </c>
      <c r="G2674" s="1" t="s">
        <v>61</v>
      </c>
      <c r="H2674">
        <v>54098</v>
      </c>
      <c r="I2674">
        <v>51</v>
      </c>
      <c r="J2674">
        <v>51</v>
      </c>
      <c r="K2674">
        <v>40</v>
      </c>
      <c r="L2674">
        <v>784</v>
      </c>
    </row>
    <row r="2675" spans="1:12" hidden="1" x14ac:dyDescent="0.25">
      <c r="A2675">
        <v>2674</v>
      </c>
      <c r="B2675" s="1" t="s">
        <v>12</v>
      </c>
      <c r="C2675">
        <v>1962</v>
      </c>
      <c r="D2675" s="1" t="s">
        <v>253</v>
      </c>
      <c r="E2675" s="1" t="s">
        <v>58</v>
      </c>
      <c r="F2675">
        <v>54</v>
      </c>
      <c r="G2675" s="1" t="s">
        <v>59</v>
      </c>
      <c r="H2675">
        <v>54007</v>
      </c>
      <c r="I2675">
        <v>35</v>
      </c>
      <c r="J2675">
        <v>30</v>
      </c>
      <c r="K2675">
        <v>19</v>
      </c>
      <c r="L2675">
        <v>633</v>
      </c>
    </row>
    <row r="2676" spans="1:12" hidden="1" x14ac:dyDescent="0.25">
      <c r="A2676">
        <v>2675</v>
      </c>
      <c r="B2676" s="1" t="s">
        <v>12</v>
      </c>
      <c r="C2676">
        <v>1962</v>
      </c>
      <c r="D2676" s="1" t="s">
        <v>253</v>
      </c>
      <c r="E2676" s="1" t="s">
        <v>58</v>
      </c>
      <c r="F2676">
        <v>54</v>
      </c>
      <c r="G2676" s="1" t="s">
        <v>63</v>
      </c>
      <c r="H2676">
        <v>54035</v>
      </c>
      <c r="I2676">
        <v>30</v>
      </c>
      <c r="J2676">
        <v>24</v>
      </c>
      <c r="K2676">
        <v>15</v>
      </c>
      <c r="L2676">
        <v>625</v>
      </c>
    </row>
    <row r="2677" spans="1:12" hidden="1" x14ac:dyDescent="0.25">
      <c r="A2677">
        <v>2676</v>
      </c>
      <c r="B2677" s="1" t="s">
        <v>12</v>
      </c>
      <c r="C2677">
        <v>1962</v>
      </c>
      <c r="D2677" s="1" t="s">
        <v>253</v>
      </c>
      <c r="E2677" s="1" t="s">
        <v>58</v>
      </c>
      <c r="F2677">
        <v>54</v>
      </c>
      <c r="G2677" s="1" t="s">
        <v>243</v>
      </c>
      <c r="H2677">
        <v>54070</v>
      </c>
      <c r="I2677">
        <v>25</v>
      </c>
      <c r="J2677">
        <v>20</v>
      </c>
      <c r="K2677">
        <v>14</v>
      </c>
      <c r="L2677">
        <v>700</v>
      </c>
    </row>
    <row r="2678" spans="1:12" hidden="1" x14ac:dyDescent="0.25">
      <c r="A2678">
        <v>2677</v>
      </c>
      <c r="B2678" s="1" t="s">
        <v>12</v>
      </c>
      <c r="C2678">
        <v>1962</v>
      </c>
      <c r="D2678" s="1" t="s">
        <v>253</v>
      </c>
      <c r="E2678" s="1" t="s">
        <v>58</v>
      </c>
      <c r="F2678">
        <v>54</v>
      </c>
      <c r="G2678" s="1" t="s">
        <v>62</v>
      </c>
      <c r="H2678">
        <v>54105</v>
      </c>
      <c r="I2678">
        <v>25</v>
      </c>
      <c r="J2678">
        <v>24</v>
      </c>
      <c r="K2678">
        <v>15</v>
      </c>
      <c r="L2678">
        <v>625</v>
      </c>
    </row>
    <row r="2679" spans="1:12" hidden="1" x14ac:dyDescent="0.25">
      <c r="A2679">
        <v>2678</v>
      </c>
      <c r="B2679" s="1" t="s">
        <v>12</v>
      </c>
      <c r="C2679">
        <v>1962</v>
      </c>
      <c r="D2679" s="1" t="s">
        <v>253</v>
      </c>
      <c r="E2679" s="1" t="s">
        <v>58</v>
      </c>
      <c r="F2679">
        <v>54</v>
      </c>
      <c r="G2679" s="1" t="s">
        <v>150</v>
      </c>
      <c r="H2679">
        <v>54014</v>
      </c>
      <c r="I2679">
        <v>22</v>
      </c>
      <c r="J2679">
        <v>22</v>
      </c>
      <c r="K2679">
        <v>17</v>
      </c>
      <c r="L2679">
        <v>773</v>
      </c>
    </row>
    <row r="2680" spans="1:12" hidden="1" x14ac:dyDescent="0.25">
      <c r="A2680">
        <v>2679</v>
      </c>
      <c r="B2680" s="1" t="s">
        <v>12</v>
      </c>
      <c r="C2680">
        <v>1962</v>
      </c>
      <c r="D2680" s="1" t="s">
        <v>253</v>
      </c>
      <c r="E2680" s="1" t="s">
        <v>58</v>
      </c>
      <c r="F2680">
        <v>54</v>
      </c>
      <c r="G2680" s="1" t="s">
        <v>244</v>
      </c>
      <c r="H2680">
        <v>54084</v>
      </c>
      <c r="I2680">
        <v>22</v>
      </c>
      <c r="J2680">
        <v>22</v>
      </c>
      <c r="K2680">
        <v>18</v>
      </c>
      <c r="L2680">
        <v>818</v>
      </c>
    </row>
    <row r="2681" spans="1:12" hidden="1" x14ac:dyDescent="0.25">
      <c r="A2681">
        <v>2680</v>
      </c>
      <c r="B2681" s="1" t="s">
        <v>12</v>
      </c>
      <c r="C2681">
        <v>1962</v>
      </c>
      <c r="D2681" s="1" t="s">
        <v>253</v>
      </c>
      <c r="E2681" s="1" t="s">
        <v>58</v>
      </c>
      <c r="F2681">
        <v>54</v>
      </c>
      <c r="G2681" s="1" t="s">
        <v>245</v>
      </c>
      <c r="H2681">
        <v>54042</v>
      </c>
      <c r="I2681">
        <v>15</v>
      </c>
      <c r="J2681">
        <v>15</v>
      </c>
      <c r="K2681">
        <v>11</v>
      </c>
      <c r="L2681">
        <v>733</v>
      </c>
    </row>
    <row r="2682" spans="1:12" hidden="1" x14ac:dyDescent="0.25">
      <c r="A2682">
        <v>2681</v>
      </c>
      <c r="B2682" s="1" t="s">
        <v>12</v>
      </c>
      <c r="C2682">
        <v>1962</v>
      </c>
      <c r="D2682" s="1" t="s">
        <v>253</v>
      </c>
      <c r="E2682" s="1" t="s">
        <v>58</v>
      </c>
      <c r="F2682">
        <v>54</v>
      </c>
      <c r="G2682" s="1" t="s">
        <v>152</v>
      </c>
      <c r="H2682">
        <v>54063</v>
      </c>
      <c r="I2682">
        <v>15</v>
      </c>
      <c r="J2682">
        <v>15</v>
      </c>
      <c r="K2682">
        <v>11</v>
      </c>
      <c r="L2682">
        <v>733</v>
      </c>
    </row>
    <row r="2683" spans="1:12" hidden="1" x14ac:dyDescent="0.25">
      <c r="A2683">
        <v>2682</v>
      </c>
      <c r="B2683" s="1" t="s">
        <v>12</v>
      </c>
      <c r="C2683">
        <v>1962</v>
      </c>
      <c r="D2683" s="1" t="s">
        <v>253</v>
      </c>
      <c r="E2683" s="1" t="s">
        <v>58</v>
      </c>
      <c r="F2683">
        <v>54</v>
      </c>
      <c r="G2683" s="1" t="s">
        <v>119</v>
      </c>
      <c r="H2683">
        <v>54077</v>
      </c>
      <c r="I2683">
        <v>15</v>
      </c>
      <c r="J2683">
        <v>15</v>
      </c>
      <c r="K2683">
        <v>11</v>
      </c>
      <c r="L2683">
        <v>733</v>
      </c>
    </row>
    <row r="2684" spans="1:12" hidden="1" x14ac:dyDescent="0.25">
      <c r="A2684">
        <v>2683</v>
      </c>
      <c r="B2684" s="1" t="s">
        <v>12</v>
      </c>
      <c r="C2684">
        <v>1962</v>
      </c>
      <c r="D2684" s="1" t="s">
        <v>253</v>
      </c>
      <c r="E2684" s="1" t="s">
        <v>87</v>
      </c>
      <c r="F2684">
        <v>66</v>
      </c>
      <c r="G2684" s="1" t="s">
        <v>141</v>
      </c>
      <c r="H2684">
        <v>66112</v>
      </c>
      <c r="I2684">
        <v>10</v>
      </c>
      <c r="J2684">
        <v>10</v>
      </c>
      <c r="K2684">
        <v>15</v>
      </c>
      <c r="L2684">
        <v>1500</v>
      </c>
    </row>
    <row r="2685" spans="1:12" hidden="1" x14ac:dyDescent="0.25">
      <c r="A2685">
        <v>2684</v>
      </c>
      <c r="B2685" s="1" t="s">
        <v>12</v>
      </c>
      <c r="C2685">
        <v>1962</v>
      </c>
      <c r="D2685" s="1" t="s">
        <v>253</v>
      </c>
      <c r="E2685" s="1" t="s">
        <v>87</v>
      </c>
      <c r="F2685">
        <v>66</v>
      </c>
      <c r="G2685" s="1" t="s">
        <v>125</v>
      </c>
      <c r="H2685">
        <v>66035</v>
      </c>
      <c r="I2685">
        <v>5</v>
      </c>
      <c r="J2685">
        <v>5</v>
      </c>
      <c r="K2685">
        <v>5</v>
      </c>
      <c r="L2685">
        <v>1000</v>
      </c>
    </row>
    <row r="2686" spans="1:12" hidden="1" x14ac:dyDescent="0.25">
      <c r="A2686">
        <v>2685</v>
      </c>
      <c r="B2686" s="1" t="s">
        <v>12</v>
      </c>
      <c r="C2686">
        <v>1962</v>
      </c>
      <c r="D2686" s="1" t="s">
        <v>253</v>
      </c>
      <c r="E2686" s="1" t="s">
        <v>87</v>
      </c>
      <c r="F2686">
        <v>66</v>
      </c>
      <c r="G2686" s="1" t="s">
        <v>230</v>
      </c>
      <c r="H2686">
        <v>66056</v>
      </c>
      <c r="I2686">
        <v>5</v>
      </c>
      <c r="J2686">
        <v>5</v>
      </c>
      <c r="K2686">
        <v>8</v>
      </c>
      <c r="L2686">
        <v>1600</v>
      </c>
    </row>
    <row r="2687" spans="1:12" hidden="1" x14ac:dyDescent="0.25">
      <c r="A2687">
        <v>2686</v>
      </c>
      <c r="B2687" s="1" t="s">
        <v>12</v>
      </c>
      <c r="C2687">
        <v>1962</v>
      </c>
      <c r="D2687" s="1" t="s">
        <v>253</v>
      </c>
      <c r="E2687" s="1" t="s">
        <v>87</v>
      </c>
      <c r="F2687">
        <v>66</v>
      </c>
      <c r="G2687" s="1" t="s">
        <v>130</v>
      </c>
      <c r="H2687">
        <v>66147</v>
      </c>
      <c r="I2687">
        <v>5</v>
      </c>
      <c r="J2687">
        <v>5</v>
      </c>
      <c r="K2687">
        <v>5</v>
      </c>
      <c r="L2687">
        <v>1000</v>
      </c>
    </row>
    <row r="2688" spans="1:12" hidden="1" x14ac:dyDescent="0.25">
      <c r="A2688">
        <v>2687</v>
      </c>
      <c r="B2688" s="1" t="s">
        <v>12</v>
      </c>
      <c r="C2688">
        <v>1962</v>
      </c>
      <c r="D2688" s="1" t="s">
        <v>253</v>
      </c>
      <c r="E2688" s="1" t="s">
        <v>87</v>
      </c>
      <c r="F2688">
        <v>66</v>
      </c>
      <c r="G2688" s="1" t="s">
        <v>179</v>
      </c>
      <c r="H2688">
        <v>66126</v>
      </c>
      <c r="I2688">
        <v>4</v>
      </c>
      <c r="J2688">
        <v>4</v>
      </c>
      <c r="K2688">
        <v>6</v>
      </c>
      <c r="L2688">
        <v>1500</v>
      </c>
    </row>
    <row r="2689" spans="1:12" hidden="1" x14ac:dyDescent="0.25">
      <c r="A2689">
        <v>2688</v>
      </c>
      <c r="B2689" s="1" t="s">
        <v>12</v>
      </c>
      <c r="C2689">
        <v>1962</v>
      </c>
      <c r="D2689" s="1" t="s">
        <v>253</v>
      </c>
      <c r="E2689" s="1" t="s">
        <v>87</v>
      </c>
      <c r="F2689">
        <v>66</v>
      </c>
      <c r="G2689" s="1" t="s">
        <v>248</v>
      </c>
      <c r="H2689">
        <v>66161</v>
      </c>
      <c r="I2689">
        <v>1</v>
      </c>
      <c r="J2689">
        <v>1</v>
      </c>
      <c r="K2689">
        <v>1</v>
      </c>
      <c r="L2689">
        <v>1000</v>
      </c>
    </row>
    <row r="2690" spans="1:12" hidden="1" x14ac:dyDescent="0.25">
      <c r="A2690">
        <v>2689</v>
      </c>
      <c r="B2690" s="1" t="s">
        <v>12</v>
      </c>
      <c r="C2690">
        <v>1962</v>
      </c>
      <c r="D2690" s="1" t="s">
        <v>253</v>
      </c>
      <c r="E2690" s="1" t="s">
        <v>64</v>
      </c>
      <c r="F2690">
        <v>82</v>
      </c>
      <c r="G2690" s="1" t="s">
        <v>66</v>
      </c>
      <c r="H2690">
        <v>82035</v>
      </c>
      <c r="I2690">
        <v>400</v>
      </c>
      <c r="J2690">
        <v>350</v>
      </c>
      <c r="K2690">
        <v>657</v>
      </c>
      <c r="L2690">
        <v>1877</v>
      </c>
    </row>
    <row r="2691" spans="1:12" hidden="1" x14ac:dyDescent="0.25">
      <c r="A2691">
        <v>2690</v>
      </c>
      <c r="B2691" s="1" t="s">
        <v>12</v>
      </c>
      <c r="C2691">
        <v>1962</v>
      </c>
      <c r="D2691" s="1" t="s">
        <v>253</v>
      </c>
      <c r="E2691" s="1" t="s">
        <v>64</v>
      </c>
      <c r="F2691">
        <v>82</v>
      </c>
      <c r="G2691" s="1" t="s">
        <v>65</v>
      </c>
      <c r="H2691">
        <v>82049</v>
      </c>
      <c r="I2691">
        <v>400</v>
      </c>
      <c r="J2691">
        <v>370</v>
      </c>
      <c r="K2691">
        <v>333</v>
      </c>
      <c r="L2691">
        <v>1877</v>
      </c>
    </row>
    <row r="2692" spans="1:12" hidden="1" x14ac:dyDescent="0.25">
      <c r="A2692">
        <v>2691</v>
      </c>
      <c r="B2692" s="1" t="s">
        <v>12</v>
      </c>
      <c r="C2692">
        <v>1962</v>
      </c>
      <c r="D2692" s="1" t="s">
        <v>253</v>
      </c>
      <c r="E2692" s="1" t="s">
        <v>64</v>
      </c>
      <c r="F2692">
        <v>82</v>
      </c>
      <c r="G2692" s="1" t="s">
        <v>62</v>
      </c>
      <c r="H2692">
        <v>82098</v>
      </c>
      <c r="I2692">
        <v>150</v>
      </c>
      <c r="J2692">
        <v>130</v>
      </c>
      <c r="K2692">
        <v>110</v>
      </c>
      <c r="L2692">
        <v>846</v>
      </c>
    </row>
    <row r="2693" spans="1:12" hidden="1" x14ac:dyDescent="0.25">
      <c r="A2693">
        <v>2692</v>
      </c>
      <c r="B2693" s="1" t="s">
        <v>12</v>
      </c>
      <c r="C2693">
        <v>1962</v>
      </c>
      <c r="D2693" s="1" t="s">
        <v>253</v>
      </c>
      <c r="E2693" s="1" t="s">
        <v>77</v>
      </c>
      <c r="F2693">
        <v>90</v>
      </c>
      <c r="G2693" s="1" t="s">
        <v>91</v>
      </c>
      <c r="H2693">
        <v>90014</v>
      </c>
      <c r="I2693">
        <v>259</v>
      </c>
      <c r="J2693">
        <v>185</v>
      </c>
      <c r="K2693">
        <v>204</v>
      </c>
      <c r="L2693">
        <v>1103</v>
      </c>
    </row>
    <row r="2694" spans="1:12" hidden="1" x14ac:dyDescent="0.25">
      <c r="A2694">
        <v>2693</v>
      </c>
      <c r="B2694" s="1" t="s">
        <v>12</v>
      </c>
      <c r="C2694">
        <v>1962</v>
      </c>
      <c r="D2694" s="1" t="s">
        <v>253</v>
      </c>
      <c r="E2694" s="1" t="s">
        <v>77</v>
      </c>
      <c r="F2694">
        <v>90</v>
      </c>
      <c r="G2694" s="1" t="s">
        <v>78</v>
      </c>
      <c r="H2694">
        <v>90007</v>
      </c>
      <c r="I2694">
        <v>50</v>
      </c>
      <c r="J2694">
        <v>45</v>
      </c>
      <c r="K2694">
        <v>54</v>
      </c>
      <c r="L2694">
        <v>1200</v>
      </c>
    </row>
    <row r="2695" spans="1:12" hidden="1" x14ac:dyDescent="0.25">
      <c r="A2695">
        <v>2694</v>
      </c>
      <c r="B2695" s="1" t="s">
        <v>12</v>
      </c>
      <c r="C2695">
        <v>1962</v>
      </c>
      <c r="D2695" s="1" t="s">
        <v>253</v>
      </c>
      <c r="E2695" s="1" t="s">
        <v>77</v>
      </c>
      <c r="F2695">
        <v>90</v>
      </c>
      <c r="G2695" s="1" t="s">
        <v>110</v>
      </c>
      <c r="H2695">
        <v>90021</v>
      </c>
      <c r="I2695">
        <v>45</v>
      </c>
      <c r="J2695">
        <v>40</v>
      </c>
      <c r="K2695">
        <v>48</v>
      </c>
      <c r="L2695">
        <v>1200</v>
      </c>
    </row>
    <row r="2696" spans="1:12" hidden="1" x14ac:dyDescent="0.25">
      <c r="A2696">
        <v>2695</v>
      </c>
      <c r="B2696" s="1" t="s">
        <v>12</v>
      </c>
      <c r="C2696">
        <v>1962</v>
      </c>
      <c r="D2696" s="1" t="s">
        <v>253</v>
      </c>
      <c r="E2696" s="1" t="s">
        <v>77</v>
      </c>
      <c r="F2696">
        <v>90</v>
      </c>
      <c r="G2696" s="1" t="s">
        <v>109</v>
      </c>
      <c r="H2696">
        <v>90077</v>
      </c>
      <c r="I2696">
        <v>5</v>
      </c>
      <c r="J2696">
        <v>4</v>
      </c>
      <c r="K2696">
        <v>3</v>
      </c>
      <c r="L2696">
        <v>750</v>
      </c>
    </row>
    <row r="2697" spans="1:12" hidden="1" x14ac:dyDescent="0.25">
      <c r="A2697">
        <v>2696</v>
      </c>
      <c r="B2697" s="1" t="s">
        <v>12</v>
      </c>
      <c r="C2697">
        <v>1962</v>
      </c>
      <c r="D2697" s="1" t="s">
        <v>253</v>
      </c>
      <c r="E2697" s="1" t="s">
        <v>77</v>
      </c>
      <c r="F2697">
        <v>90</v>
      </c>
      <c r="G2697" s="1" t="s">
        <v>92</v>
      </c>
      <c r="H2697">
        <v>90056</v>
      </c>
      <c r="I2697">
        <v>1</v>
      </c>
      <c r="J2697">
        <v>1</v>
      </c>
      <c r="K2697">
        <v>1</v>
      </c>
      <c r="L2697">
        <v>1000</v>
      </c>
    </row>
    <row r="2698" spans="1:12" hidden="1" x14ac:dyDescent="0.25">
      <c r="A2698">
        <v>2697</v>
      </c>
      <c r="B2698" s="1" t="s">
        <v>12</v>
      </c>
      <c r="C2698">
        <v>1963</v>
      </c>
      <c r="D2698" s="1" t="s">
        <v>256</v>
      </c>
      <c r="E2698" s="1" t="s">
        <v>158</v>
      </c>
      <c r="F2698">
        <v>6</v>
      </c>
      <c r="G2698" s="1" t="s">
        <v>257</v>
      </c>
      <c r="H2698">
        <v>6392</v>
      </c>
      <c r="I2698">
        <v>150</v>
      </c>
      <c r="J2698">
        <v>150</v>
      </c>
      <c r="K2698">
        <v>110</v>
      </c>
      <c r="L2698">
        <v>733</v>
      </c>
    </row>
    <row r="2699" spans="1:12" hidden="1" x14ac:dyDescent="0.25">
      <c r="A2699">
        <v>2698</v>
      </c>
      <c r="B2699" s="1" t="s">
        <v>12</v>
      </c>
      <c r="C2699">
        <v>1963</v>
      </c>
      <c r="D2699" s="1" t="s">
        <v>256</v>
      </c>
      <c r="E2699" s="1" t="s">
        <v>14</v>
      </c>
      <c r="F2699">
        <v>22</v>
      </c>
      <c r="G2699" s="1" t="s">
        <v>119</v>
      </c>
      <c r="H2699">
        <v>22084</v>
      </c>
      <c r="I2699">
        <v>535</v>
      </c>
      <c r="J2699">
        <v>535</v>
      </c>
      <c r="K2699">
        <v>305</v>
      </c>
      <c r="L2699">
        <v>570</v>
      </c>
    </row>
    <row r="2700" spans="1:12" hidden="1" x14ac:dyDescent="0.25">
      <c r="A2700">
        <v>2699</v>
      </c>
      <c r="B2700" s="1" t="s">
        <v>12</v>
      </c>
      <c r="C2700">
        <v>1963</v>
      </c>
      <c r="D2700" s="1" t="s">
        <v>256</v>
      </c>
      <c r="E2700" s="1" t="s">
        <v>14</v>
      </c>
      <c r="F2700">
        <v>22</v>
      </c>
      <c r="G2700" s="1" t="s">
        <v>226</v>
      </c>
      <c r="H2700">
        <v>22154</v>
      </c>
      <c r="I2700">
        <v>65</v>
      </c>
      <c r="J2700">
        <v>65</v>
      </c>
      <c r="K2700">
        <v>34</v>
      </c>
      <c r="L2700">
        <v>523</v>
      </c>
    </row>
    <row r="2701" spans="1:12" hidden="1" x14ac:dyDescent="0.25">
      <c r="A2701">
        <v>2700</v>
      </c>
      <c r="B2701" s="1" t="s">
        <v>12</v>
      </c>
      <c r="C2701">
        <v>1963</v>
      </c>
      <c r="D2701" s="1" t="s">
        <v>256</v>
      </c>
      <c r="E2701" s="1" t="s">
        <v>14</v>
      </c>
      <c r="F2701">
        <v>22</v>
      </c>
      <c r="G2701" s="1" t="s">
        <v>233</v>
      </c>
      <c r="H2701">
        <v>22133</v>
      </c>
      <c r="I2701">
        <v>60</v>
      </c>
      <c r="J2701">
        <v>55</v>
      </c>
      <c r="K2701">
        <v>30</v>
      </c>
      <c r="L2701">
        <v>545</v>
      </c>
    </row>
    <row r="2702" spans="1:12" hidden="1" x14ac:dyDescent="0.25">
      <c r="A2702">
        <v>2701</v>
      </c>
      <c r="B2702" s="1" t="s">
        <v>12</v>
      </c>
      <c r="C2702">
        <v>1963</v>
      </c>
      <c r="D2702" s="1" t="s">
        <v>256</v>
      </c>
      <c r="E2702" s="1" t="s">
        <v>14</v>
      </c>
      <c r="F2702">
        <v>22</v>
      </c>
      <c r="G2702" s="1" t="s">
        <v>183</v>
      </c>
      <c r="H2702">
        <v>22049</v>
      </c>
      <c r="I2702">
        <v>56</v>
      </c>
      <c r="J2702">
        <v>56</v>
      </c>
      <c r="K2702">
        <v>34</v>
      </c>
      <c r="L2702">
        <v>607</v>
      </c>
    </row>
    <row r="2703" spans="1:12" hidden="1" x14ac:dyDescent="0.25">
      <c r="A2703">
        <v>2702</v>
      </c>
      <c r="B2703" s="1" t="s">
        <v>12</v>
      </c>
      <c r="C2703">
        <v>1963</v>
      </c>
      <c r="D2703" s="1" t="s">
        <v>256</v>
      </c>
      <c r="E2703" s="1" t="s">
        <v>14</v>
      </c>
      <c r="F2703">
        <v>22</v>
      </c>
      <c r="G2703" s="1" t="s">
        <v>227</v>
      </c>
      <c r="H2703">
        <v>22056</v>
      </c>
      <c r="I2703">
        <v>50</v>
      </c>
      <c r="J2703">
        <v>48</v>
      </c>
      <c r="K2703">
        <v>24</v>
      </c>
      <c r="L2703">
        <v>500</v>
      </c>
    </row>
    <row r="2704" spans="1:12" hidden="1" x14ac:dyDescent="0.25">
      <c r="A2704">
        <v>2703</v>
      </c>
      <c r="B2704" s="1" t="s">
        <v>12</v>
      </c>
      <c r="C2704">
        <v>1963</v>
      </c>
      <c r="D2704" s="1" t="s">
        <v>256</v>
      </c>
      <c r="E2704" s="1" t="s">
        <v>14</v>
      </c>
      <c r="F2704">
        <v>22</v>
      </c>
      <c r="G2704" s="1" t="s">
        <v>232</v>
      </c>
      <c r="H2704">
        <v>22105</v>
      </c>
      <c r="I2704">
        <v>35</v>
      </c>
      <c r="J2704">
        <v>35</v>
      </c>
      <c r="K2704">
        <v>15</v>
      </c>
      <c r="L2704">
        <v>429</v>
      </c>
    </row>
    <row r="2705" spans="1:12" hidden="1" x14ac:dyDescent="0.25">
      <c r="A2705">
        <v>2704</v>
      </c>
      <c r="B2705" s="1" t="s">
        <v>12</v>
      </c>
      <c r="C2705">
        <v>1963</v>
      </c>
      <c r="D2705" s="1" t="s">
        <v>256</v>
      </c>
      <c r="E2705" s="1" t="s">
        <v>14</v>
      </c>
      <c r="F2705">
        <v>22</v>
      </c>
      <c r="G2705" s="1" t="s">
        <v>234</v>
      </c>
      <c r="H2705">
        <v>22168</v>
      </c>
      <c r="I2705">
        <v>35</v>
      </c>
      <c r="J2705">
        <v>33</v>
      </c>
      <c r="K2705">
        <v>30</v>
      </c>
      <c r="L2705">
        <v>909</v>
      </c>
    </row>
    <row r="2706" spans="1:12" hidden="1" x14ac:dyDescent="0.25">
      <c r="A2706">
        <v>2705</v>
      </c>
      <c r="B2706" s="1" t="s">
        <v>12</v>
      </c>
      <c r="C2706">
        <v>1963</v>
      </c>
      <c r="D2706" s="1" t="s">
        <v>256</v>
      </c>
      <c r="E2706" s="1" t="s">
        <v>14</v>
      </c>
      <c r="F2706">
        <v>22</v>
      </c>
      <c r="G2706" s="1" t="s">
        <v>225</v>
      </c>
      <c r="H2706">
        <v>22119</v>
      </c>
      <c r="I2706">
        <v>20</v>
      </c>
      <c r="J2706">
        <v>20</v>
      </c>
      <c r="K2706">
        <v>18</v>
      </c>
      <c r="L2706">
        <v>900</v>
      </c>
    </row>
    <row r="2707" spans="1:12" hidden="1" x14ac:dyDescent="0.25">
      <c r="A2707">
        <v>2706</v>
      </c>
      <c r="B2707" s="1" t="s">
        <v>12</v>
      </c>
      <c r="C2707">
        <v>1963</v>
      </c>
      <c r="D2707" s="1" t="s">
        <v>256</v>
      </c>
      <c r="E2707" s="1" t="s">
        <v>14</v>
      </c>
      <c r="F2707">
        <v>22</v>
      </c>
      <c r="G2707" s="1" t="s">
        <v>19</v>
      </c>
      <c r="H2707">
        <v>22014</v>
      </c>
      <c r="I2707">
        <v>17</v>
      </c>
      <c r="J2707">
        <v>17</v>
      </c>
      <c r="K2707">
        <v>9</v>
      </c>
      <c r="L2707">
        <v>529</v>
      </c>
    </row>
    <row r="2708" spans="1:12" hidden="1" x14ac:dyDescent="0.25">
      <c r="A2708">
        <v>2707</v>
      </c>
      <c r="B2708" s="1" t="s">
        <v>12</v>
      </c>
      <c r="C2708">
        <v>1963</v>
      </c>
      <c r="D2708" s="1" t="s">
        <v>256</v>
      </c>
      <c r="E2708" s="1" t="s">
        <v>14</v>
      </c>
      <c r="F2708">
        <v>22</v>
      </c>
      <c r="G2708" s="1" t="s">
        <v>241</v>
      </c>
      <c r="H2708">
        <v>22112</v>
      </c>
      <c r="I2708">
        <v>14</v>
      </c>
      <c r="J2708">
        <v>14</v>
      </c>
      <c r="K2708">
        <v>6</v>
      </c>
      <c r="L2708">
        <v>429</v>
      </c>
    </row>
    <row r="2709" spans="1:12" hidden="1" x14ac:dyDescent="0.25">
      <c r="A2709">
        <v>2708</v>
      </c>
      <c r="B2709" s="1" t="s">
        <v>12</v>
      </c>
      <c r="C2709">
        <v>1963</v>
      </c>
      <c r="D2709" s="1" t="s">
        <v>256</v>
      </c>
      <c r="E2709" s="1" t="s">
        <v>14</v>
      </c>
      <c r="F2709">
        <v>22</v>
      </c>
      <c r="G2709" s="1" t="s">
        <v>235</v>
      </c>
      <c r="H2709">
        <v>22140</v>
      </c>
      <c r="I2709">
        <v>12</v>
      </c>
      <c r="J2709">
        <v>10</v>
      </c>
      <c r="K2709">
        <v>9</v>
      </c>
      <c r="L2709">
        <v>900</v>
      </c>
    </row>
    <row r="2710" spans="1:12" hidden="1" x14ac:dyDescent="0.25">
      <c r="A2710">
        <v>2709</v>
      </c>
      <c r="B2710" s="1" t="s">
        <v>12</v>
      </c>
      <c r="C2710">
        <v>1963</v>
      </c>
      <c r="D2710" s="1" t="s">
        <v>256</v>
      </c>
      <c r="E2710" s="1" t="s">
        <v>14</v>
      </c>
      <c r="F2710">
        <v>22</v>
      </c>
      <c r="G2710" s="1" t="s">
        <v>229</v>
      </c>
      <c r="H2710">
        <v>22077</v>
      </c>
      <c r="I2710">
        <v>11</v>
      </c>
      <c r="J2710">
        <v>8</v>
      </c>
      <c r="K2710">
        <v>7</v>
      </c>
      <c r="L2710">
        <v>875</v>
      </c>
    </row>
    <row r="2711" spans="1:12" hidden="1" x14ac:dyDescent="0.25">
      <c r="A2711">
        <v>2710</v>
      </c>
      <c r="B2711" s="1" t="s">
        <v>12</v>
      </c>
      <c r="C2711">
        <v>1963</v>
      </c>
      <c r="D2711" s="1" t="s">
        <v>256</v>
      </c>
      <c r="E2711" s="1" t="s">
        <v>14</v>
      </c>
      <c r="F2711">
        <v>22</v>
      </c>
      <c r="G2711" s="1" t="s">
        <v>240</v>
      </c>
      <c r="H2711">
        <v>22021</v>
      </c>
      <c r="I2711">
        <v>9</v>
      </c>
      <c r="J2711">
        <v>9</v>
      </c>
      <c r="K2711">
        <v>5</v>
      </c>
      <c r="L2711">
        <v>556</v>
      </c>
    </row>
    <row r="2712" spans="1:12" hidden="1" x14ac:dyDescent="0.25">
      <c r="A2712">
        <v>2711</v>
      </c>
      <c r="B2712" s="1" t="s">
        <v>12</v>
      </c>
      <c r="C2712">
        <v>1963</v>
      </c>
      <c r="D2712" s="1" t="s">
        <v>256</v>
      </c>
      <c r="E2712" s="1" t="s">
        <v>14</v>
      </c>
      <c r="F2712">
        <v>22</v>
      </c>
      <c r="G2712" s="1" t="s">
        <v>236</v>
      </c>
      <c r="H2712">
        <v>22063</v>
      </c>
      <c r="I2712">
        <v>9</v>
      </c>
      <c r="J2712">
        <v>9</v>
      </c>
      <c r="K2712">
        <v>4</v>
      </c>
      <c r="L2712">
        <v>444</v>
      </c>
    </row>
    <row r="2713" spans="1:12" hidden="1" x14ac:dyDescent="0.25">
      <c r="A2713">
        <v>2712</v>
      </c>
      <c r="B2713" s="1" t="s">
        <v>12</v>
      </c>
      <c r="C2713">
        <v>1963</v>
      </c>
      <c r="D2713" s="1" t="s">
        <v>256</v>
      </c>
      <c r="E2713" s="1" t="s">
        <v>14</v>
      </c>
      <c r="F2713">
        <v>22</v>
      </c>
      <c r="G2713" s="1" t="s">
        <v>118</v>
      </c>
      <c r="H2713">
        <v>22028</v>
      </c>
      <c r="I2713">
        <v>5</v>
      </c>
      <c r="J2713">
        <v>5</v>
      </c>
      <c r="K2713">
        <v>2</v>
      </c>
      <c r="L2713">
        <v>400</v>
      </c>
    </row>
    <row r="2714" spans="1:12" hidden="1" x14ac:dyDescent="0.25">
      <c r="A2714">
        <v>2713</v>
      </c>
      <c r="B2714" s="1" t="s">
        <v>12</v>
      </c>
      <c r="C2714">
        <v>1963</v>
      </c>
      <c r="D2714" s="1" t="s">
        <v>256</v>
      </c>
      <c r="E2714" s="1" t="s">
        <v>14</v>
      </c>
      <c r="F2714">
        <v>22</v>
      </c>
      <c r="G2714" s="1" t="s">
        <v>238</v>
      </c>
      <c r="H2714">
        <v>22036</v>
      </c>
      <c r="I2714">
        <v>5</v>
      </c>
      <c r="J2714">
        <v>5</v>
      </c>
      <c r="K2714">
        <v>2</v>
      </c>
      <c r="L2714">
        <v>400</v>
      </c>
    </row>
    <row r="2715" spans="1:12" hidden="1" x14ac:dyDescent="0.25">
      <c r="A2715">
        <v>2714</v>
      </c>
      <c r="B2715" s="1" t="s">
        <v>12</v>
      </c>
      <c r="C2715">
        <v>1963</v>
      </c>
      <c r="D2715" s="1" t="s">
        <v>256</v>
      </c>
      <c r="E2715" s="1" t="s">
        <v>14</v>
      </c>
      <c r="F2715">
        <v>22</v>
      </c>
      <c r="G2715" s="1" t="s">
        <v>250</v>
      </c>
      <c r="H2715">
        <v>22007</v>
      </c>
      <c r="I2715">
        <v>3</v>
      </c>
      <c r="J2715">
        <v>3</v>
      </c>
      <c r="K2715">
        <v>1</v>
      </c>
      <c r="L2715">
        <v>333</v>
      </c>
    </row>
    <row r="2716" spans="1:12" hidden="1" x14ac:dyDescent="0.25">
      <c r="A2716">
        <v>2715</v>
      </c>
      <c r="B2716" s="1" t="s">
        <v>12</v>
      </c>
      <c r="C2716">
        <v>1963</v>
      </c>
      <c r="D2716" s="1" t="s">
        <v>256</v>
      </c>
      <c r="E2716" s="1" t="s">
        <v>14</v>
      </c>
      <c r="F2716">
        <v>22</v>
      </c>
      <c r="G2716" s="1" t="s">
        <v>228</v>
      </c>
      <c r="H2716">
        <v>22126</v>
      </c>
      <c r="I2716">
        <v>3</v>
      </c>
      <c r="J2716">
        <v>3</v>
      </c>
      <c r="K2716">
        <v>2</v>
      </c>
      <c r="L2716">
        <v>667</v>
      </c>
    </row>
    <row r="2717" spans="1:12" hidden="1" x14ac:dyDescent="0.25">
      <c r="A2717">
        <v>2716</v>
      </c>
      <c r="B2717" s="1" t="s">
        <v>12</v>
      </c>
      <c r="C2717">
        <v>1963</v>
      </c>
      <c r="D2717" s="1" t="s">
        <v>256</v>
      </c>
      <c r="E2717" s="1" t="s">
        <v>14</v>
      </c>
      <c r="F2717">
        <v>22</v>
      </c>
      <c r="G2717" s="1" t="s">
        <v>255</v>
      </c>
      <c r="H2717">
        <v>22070</v>
      </c>
      <c r="I2717">
        <v>2</v>
      </c>
      <c r="J2717">
        <v>2</v>
      </c>
      <c r="K2717">
        <v>1</v>
      </c>
      <c r="L2717">
        <v>500</v>
      </c>
    </row>
    <row r="2718" spans="1:12" hidden="1" x14ac:dyDescent="0.25">
      <c r="A2718">
        <v>2717</v>
      </c>
      <c r="B2718" s="1" t="s">
        <v>12</v>
      </c>
      <c r="C2718">
        <v>1963</v>
      </c>
      <c r="D2718" s="1" t="s">
        <v>256</v>
      </c>
      <c r="E2718" s="1" t="s">
        <v>14</v>
      </c>
      <c r="F2718">
        <v>22</v>
      </c>
      <c r="G2718" s="1" t="s">
        <v>254</v>
      </c>
      <c r="H2718">
        <v>22147</v>
      </c>
      <c r="I2718">
        <v>2</v>
      </c>
      <c r="J2718">
        <v>2</v>
      </c>
      <c r="K2718">
        <v>1</v>
      </c>
      <c r="L2718">
        <v>500</v>
      </c>
    </row>
    <row r="2719" spans="1:12" hidden="1" x14ac:dyDescent="0.25">
      <c r="A2719">
        <v>2718</v>
      </c>
      <c r="B2719" s="1" t="s">
        <v>12</v>
      </c>
      <c r="C2719">
        <v>1963</v>
      </c>
      <c r="D2719" s="1" t="s">
        <v>256</v>
      </c>
      <c r="E2719" s="1" t="s">
        <v>14</v>
      </c>
      <c r="F2719">
        <v>22</v>
      </c>
      <c r="G2719" s="1" t="s">
        <v>21</v>
      </c>
      <c r="H2719">
        <v>22161</v>
      </c>
      <c r="I2719">
        <v>2</v>
      </c>
      <c r="J2719">
        <v>1</v>
      </c>
      <c r="K2719">
        <v>1</v>
      </c>
      <c r="L2719">
        <v>1000</v>
      </c>
    </row>
    <row r="2720" spans="1:12" hidden="1" x14ac:dyDescent="0.25">
      <c r="A2720">
        <v>2719</v>
      </c>
      <c r="B2720" s="1" t="s">
        <v>12</v>
      </c>
      <c r="C2720">
        <v>1963</v>
      </c>
      <c r="D2720" s="1" t="s">
        <v>256</v>
      </c>
      <c r="E2720" s="1" t="s">
        <v>22</v>
      </c>
      <c r="F2720">
        <v>14</v>
      </c>
      <c r="G2720" s="1" t="s">
        <v>26</v>
      </c>
      <c r="H2720">
        <v>14161</v>
      </c>
      <c r="I2720">
        <v>150000</v>
      </c>
      <c r="J2720">
        <v>140000</v>
      </c>
      <c r="K2720">
        <v>140087</v>
      </c>
      <c r="L2720">
        <v>1001</v>
      </c>
    </row>
    <row r="2721" spans="1:12" hidden="1" x14ac:dyDescent="0.25">
      <c r="A2721">
        <v>2720</v>
      </c>
      <c r="B2721" s="1" t="s">
        <v>12</v>
      </c>
      <c r="C2721">
        <v>1963</v>
      </c>
      <c r="D2721" s="1" t="s">
        <v>256</v>
      </c>
      <c r="E2721" s="1" t="s">
        <v>22</v>
      </c>
      <c r="F2721">
        <v>14</v>
      </c>
      <c r="G2721" s="1" t="s">
        <v>24</v>
      </c>
      <c r="H2721">
        <v>14119</v>
      </c>
      <c r="I2721">
        <v>90000</v>
      </c>
      <c r="J2721">
        <v>90000</v>
      </c>
      <c r="K2721">
        <v>90000</v>
      </c>
      <c r="L2721">
        <v>1000</v>
      </c>
    </row>
    <row r="2722" spans="1:12" hidden="1" x14ac:dyDescent="0.25">
      <c r="A2722">
        <v>2721</v>
      </c>
      <c r="B2722" s="1" t="s">
        <v>12</v>
      </c>
      <c r="C2722">
        <v>1963</v>
      </c>
      <c r="D2722" s="1" t="s">
        <v>256</v>
      </c>
      <c r="E2722" s="1" t="s">
        <v>22</v>
      </c>
      <c r="F2722">
        <v>14</v>
      </c>
      <c r="G2722" s="1" t="s">
        <v>143</v>
      </c>
      <c r="H2722">
        <v>14056</v>
      </c>
      <c r="I2722">
        <v>33000</v>
      </c>
      <c r="J2722">
        <v>30000</v>
      </c>
      <c r="K2722">
        <v>21429</v>
      </c>
      <c r="L2722">
        <v>714</v>
      </c>
    </row>
    <row r="2723" spans="1:12" hidden="1" x14ac:dyDescent="0.25">
      <c r="A2723">
        <v>2722</v>
      </c>
      <c r="B2723" s="1" t="s">
        <v>12</v>
      </c>
      <c r="C2723">
        <v>1963</v>
      </c>
      <c r="D2723" s="1" t="s">
        <v>256</v>
      </c>
      <c r="E2723" s="1" t="s">
        <v>22</v>
      </c>
      <c r="F2723">
        <v>14</v>
      </c>
      <c r="G2723" s="1" t="s">
        <v>184</v>
      </c>
      <c r="H2723">
        <v>14042</v>
      </c>
      <c r="I2723">
        <v>25000</v>
      </c>
      <c r="J2723">
        <v>25000</v>
      </c>
      <c r="K2723">
        <v>25000</v>
      </c>
      <c r="L2723">
        <v>1000</v>
      </c>
    </row>
    <row r="2724" spans="1:12" hidden="1" x14ac:dyDescent="0.25">
      <c r="A2724">
        <v>2723</v>
      </c>
      <c r="B2724" s="1" t="s">
        <v>12</v>
      </c>
      <c r="C2724">
        <v>1963</v>
      </c>
      <c r="D2724" s="1" t="s">
        <v>256</v>
      </c>
      <c r="E2724" s="1" t="s">
        <v>22</v>
      </c>
      <c r="F2724">
        <v>14</v>
      </c>
      <c r="G2724" s="1" t="s">
        <v>29</v>
      </c>
      <c r="H2724">
        <v>14098</v>
      </c>
      <c r="I2724">
        <v>25000</v>
      </c>
      <c r="J2724">
        <v>23000</v>
      </c>
      <c r="K2724">
        <v>23000</v>
      </c>
      <c r="L2724">
        <v>1000</v>
      </c>
    </row>
    <row r="2725" spans="1:12" hidden="1" x14ac:dyDescent="0.25">
      <c r="A2725">
        <v>2724</v>
      </c>
      <c r="B2725" s="1" t="s">
        <v>12</v>
      </c>
      <c r="C2725">
        <v>1963</v>
      </c>
      <c r="D2725" s="1" t="s">
        <v>256</v>
      </c>
      <c r="E2725" s="1" t="s">
        <v>22</v>
      </c>
      <c r="F2725">
        <v>14</v>
      </c>
      <c r="G2725" s="1" t="s">
        <v>23</v>
      </c>
      <c r="H2725">
        <v>14147</v>
      </c>
      <c r="I2725">
        <v>18300</v>
      </c>
      <c r="J2725">
        <v>18300</v>
      </c>
      <c r="K2725">
        <v>18300</v>
      </c>
      <c r="L2725">
        <v>1000</v>
      </c>
    </row>
    <row r="2726" spans="1:12" hidden="1" x14ac:dyDescent="0.25">
      <c r="A2726">
        <v>2725</v>
      </c>
      <c r="B2726" s="1" t="s">
        <v>12</v>
      </c>
      <c r="C2726">
        <v>1963</v>
      </c>
      <c r="D2726" s="1" t="s">
        <v>256</v>
      </c>
      <c r="E2726" s="1" t="s">
        <v>22</v>
      </c>
      <c r="F2726">
        <v>14</v>
      </c>
      <c r="G2726" s="1" t="s">
        <v>97</v>
      </c>
      <c r="H2726">
        <v>14007</v>
      </c>
      <c r="I2726">
        <v>9000</v>
      </c>
      <c r="J2726">
        <v>8000</v>
      </c>
      <c r="K2726">
        <v>5714</v>
      </c>
      <c r="L2726">
        <v>714</v>
      </c>
    </row>
    <row r="2727" spans="1:12" hidden="1" x14ac:dyDescent="0.25">
      <c r="A2727">
        <v>2726</v>
      </c>
      <c r="B2727" s="1" t="s">
        <v>12</v>
      </c>
      <c r="C2727">
        <v>1963</v>
      </c>
      <c r="D2727" s="1" t="s">
        <v>256</v>
      </c>
      <c r="E2727" s="1" t="s">
        <v>22</v>
      </c>
      <c r="F2727">
        <v>14</v>
      </c>
      <c r="G2727" s="1" t="s">
        <v>25</v>
      </c>
      <c r="H2727">
        <v>14105</v>
      </c>
      <c r="I2727">
        <v>4000</v>
      </c>
      <c r="J2727">
        <v>3680</v>
      </c>
      <c r="K2727">
        <v>4047</v>
      </c>
      <c r="L2727">
        <v>1100</v>
      </c>
    </row>
    <row r="2728" spans="1:12" hidden="1" x14ac:dyDescent="0.25">
      <c r="A2728">
        <v>2727</v>
      </c>
      <c r="B2728" s="1" t="s">
        <v>12</v>
      </c>
      <c r="C2728">
        <v>1963</v>
      </c>
      <c r="D2728" s="1" t="s">
        <v>256</v>
      </c>
      <c r="E2728" s="1" t="s">
        <v>22</v>
      </c>
      <c r="F2728">
        <v>14</v>
      </c>
      <c r="G2728" s="1" t="s">
        <v>122</v>
      </c>
      <c r="H2728">
        <v>14182</v>
      </c>
      <c r="I2728">
        <v>1700</v>
      </c>
      <c r="J2728">
        <v>1200</v>
      </c>
      <c r="K2728">
        <v>686</v>
      </c>
      <c r="L2728">
        <v>572</v>
      </c>
    </row>
    <row r="2729" spans="1:12" hidden="1" x14ac:dyDescent="0.25">
      <c r="A2729">
        <v>2728</v>
      </c>
      <c r="B2729" s="1" t="s">
        <v>12</v>
      </c>
      <c r="C2729">
        <v>1963</v>
      </c>
      <c r="D2729" s="1" t="s">
        <v>256</v>
      </c>
      <c r="E2729" s="1" t="s">
        <v>22</v>
      </c>
      <c r="F2729">
        <v>14</v>
      </c>
      <c r="G2729" s="1" t="s">
        <v>206</v>
      </c>
      <c r="H2729">
        <v>14084</v>
      </c>
      <c r="I2729">
        <v>400</v>
      </c>
      <c r="J2729">
        <v>300</v>
      </c>
      <c r="K2729">
        <v>171</v>
      </c>
      <c r="L2729">
        <v>570</v>
      </c>
    </row>
    <row r="2730" spans="1:12" hidden="1" x14ac:dyDescent="0.25">
      <c r="A2730">
        <v>2729</v>
      </c>
      <c r="B2730" s="1" t="s">
        <v>12</v>
      </c>
      <c r="C2730">
        <v>1963</v>
      </c>
      <c r="D2730" s="1" t="s">
        <v>256</v>
      </c>
      <c r="E2730" s="1" t="s">
        <v>22</v>
      </c>
      <c r="F2730">
        <v>14</v>
      </c>
      <c r="G2730" s="1" t="s">
        <v>67</v>
      </c>
      <c r="H2730">
        <v>14140</v>
      </c>
      <c r="I2730">
        <v>380</v>
      </c>
      <c r="J2730">
        <v>300</v>
      </c>
      <c r="K2730">
        <v>330</v>
      </c>
      <c r="L2730">
        <v>1100</v>
      </c>
    </row>
    <row r="2731" spans="1:12" hidden="1" x14ac:dyDescent="0.25">
      <c r="A2731">
        <v>2730</v>
      </c>
      <c r="B2731" s="1" t="s">
        <v>12</v>
      </c>
      <c r="C2731">
        <v>1963</v>
      </c>
      <c r="D2731" s="1" t="s">
        <v>256</v>
      </c>
      <c r="E2731" s="1" t="s">
        <v>22</v>
      </c>
      <c r="F2731">
        <v>14</v>
      </c>
      <c r="G2731" s="1" t="s">
        <v>194</v>
      </c>
      <c r="H2731">
        <v>14077</v>
      </c>
      <c r="I2731">
        <v>210</v>
      </c>
      <c r="J2731">
        <v>160</v>
      </c>
      <c r="K2731">
        <v>137</v>
      </c>
      <c r="L2731">
        <v>856</v>
      </c>
    </row>
    <row r="2732" spans="1:12" hidden="1" x14ac:dyDescent="0.25">
      <c r="A2732">
        <v>2731</v>
      </c>
      <c r="B2732" s="1" t="s">
        <v>12</v>
      </c>
      <c r="C2732">
        <v>1963</v>
      </c>
      <c r="D2732" s="1" t="s">
        <v>256</v>
      </c>
      <c r="E2732" s="1" t="s">
        <v>22</v>
      </c>
      <c r="F2732">
        <v>14</v>
      </c>
      <c r="G2732" s="1" t="s">
        <v>28</v>
      </c>
      <c r="H2732">
        <v>14014</v>
      </c>
      <c r="I2732">
        <v>140</v>
      </c>
      <c r="J2732">
        <v>140</v>
      </c>
      <c r="K2732">
        <v>160</v>
      </c>
      <c r="L2732">
        <v>1143</v>
      </c>
    </row>
    <row r="2733" spans="1:12" hidden="1" x14ac:dyDescent="0.25">
      <c r="A2733">
        <v>2732</v>
      </c>
      <c r="B2733" s="1" t="s">
        <v>12</v>
      </c>
      <c r="C2733">
        <v>1963</v>
      </c>
      <c r="D2733" s="1" t="s">
        <v>256</v>
      </c>
      <c r="E2733" s="1" t="s">
        <v>22</v>
      </c>
      <c r="F2733">
        <v>14</v>
      </c>
      <c r="G2733" s="1" t="s">
        <v>173</v>
      </c>
      <c r="H2733">
        <v>14028</v>
      </c>
      <c r="I2733">
        <v>125</v>
      </c>
      <c r="J2733">
        <v>125</v>
      </c>
      <c r="K2733">
        <v>161</v>
      </c>
      <c r="L2733">
        <v>1288</v>
      </c>
    </row>
    <row r="2734" spans="1:12" hidden="1" x14ac:dyDescent="0.25">
      <c r="A2734">
        <v>2733</v>
      </c>
      <c r="B2734" s="1" t="s">
        <v>12</v>
      </c>
      <c r="C2734">
        <v>1963</v>
      </c>
      <c r="D2734" s="1" t="s">
        <v>256</v>
      </c>
      <c r="E2734" s="1" t="s">
        <v>22</v>
      </c>
      <c r="F2734">
        <v>14</v>
      </c>
      <c r="G2734" s="1" t="s">
        <v>170</v>
      </c>
      <c r="H2734">
        <v>14049</v>
      </c>
      <c r="I2734">
        <v>100</v>
      </c>
      <c r="J2734">
        <v>100</v>
      </c>
      <c r="K2734">
        <v>129</v>
      </c>
      <c r="L2734">
        <v>1290</v>
      </c>
    </row>
    <row r="2735" spans="1:12" hidden="1" x14ac:dyDescent="0.25">
      <c r="A2735">
        <v>2734</v>
      </c>
      <c r="B2735" s="1" t="s">
        <v>12</v>
      </c>
      <c r="C2735">
        <v>1963</v>
      </c>
      <c r="D2735" s="1" t="s">
        <v>256</v>
      </c>
      <c r="E2735" s="1" t="s">
        <v>22</v>
      </c>
      <c r="F2735">
        <v>14</v>
      </c>
      <c r="G2735" s="1" t="s">
        <v>247</v>
      </c>
      <c r="H2735">
        <v>14063</v>
      </c>
      <c r="I2735">
        <v>100</v>
      </c>
      <c r="J2735">
        <v>100</v>
      </c>
      <c r="K2735">
        <v>114</v>
      </c>
      <c r="L2735">
        <v>1140</v>
      </c>
    </row>
    <row r="2736" spans="1:12" hidden="1" x14ac:dyDescent="0.25">
      <c r="A2736">
        <v>2735</v>
      </c>
      <c r="B2736" s="1" t="s">
        <v>12</v>
      </c>
      <c r="C2736">
        <v>1963</v>
      </c>
      <c r="D2736" s="1" t="s">
        <v>256</v>
      </c>
      <c r="E2736" s="1" t="s">
        <v>22</v>
      </c>
      <c r="F2736">
        <v>14</v>
      </c>
      <c r="G2736" s="1" t="s">
        <v>169</v>
      </c>
      <c r="H2736">
        <v>14126</v>
      </c>
      <c r="I2736">
        <v>100</v>
      </c>
      <c r="J2736">
        <v>80</v>
      </c>
      <c r="K2736">
        <v>69</v>
      </c>
      <c r="L2736">
        <v>863</v>
      </c>
    </row>
    <row r="2737" spans="1:12" hidden="1" x14ac:dyDescent="0.25">
      <c r="A2737">
        <v>2736</v>
      </c>
      <c r="B2737" s="1" t="s">
        <v>12</v>
      </c>
      <c r="C2737">
        <v>1963</v>
      </c>
      <c r="D2737" s="1" t="s">
        <v>256</v>
      </c>
      <c r="E2737" s="1" t="s">
        <v>22</v>
      </c>
      <c r="F2737">
        <v>14</v>
      </c>
      <c r="G2737" s="1" t="s">
        <v>27</v>
      </c>
      <c r="H2737">
        <v>14021</v>
      </c>
      <c r="I2737">
        <v>85</v>
      </c>
      <c r="J2737">
        <v>85</v>
      </c>
      <c r="K2737">
        <v>97</v>
      </c>
      <c r="L2737">
        <v>1141</v>
      </c>
    </row>
    <row r="2738" spans="1:12" hidden="1" x14ac:dyDescent="0.25">
      <c r="A2738">
        <v>2737</v>
      </c>
      <c r="B2738" s="1" t="s">
        <v>12</v>
      </c>
      <c r="C2738">
        <v>1963</v>
      </c>
      <c r="D2738" s="1" t="s">
        <v>256</v>
      </c>
      <c r="E2738" s="1" t="s">
        <v>22</v>
      </c>
      <c r="F2738">
        <v>14</v>
      </c>
      <c r="G2738" s="1" t="s">
        <v>114</v>
      </c>
      <c r="H2738">
        <v>14168</v>
      </c>
      <c r="I2738">
        <v>35</v>
      </c>
      <c r="J2738">
        <v>35</v>
      </c>
      <c r="K2738">
        <v>40</v>
      </c>
      <c r="L2738">
        <v>1143</v>
      </c>
    </row>
    <row r="2739" spans="1:12" hidden="1" x14ac:dyDescent="0.25">
      <c r="A2739">
        <v>2738</v>
      </c>
      <c r="B2739" s="1" t="s">
        <v>12</v>
      </c>
      <c r="C2739">
        <v>1963</v>
      </c>
      <c r="D2739" s="1" t="s">
        <v>256</v>
      </c>
      <c r="E2739" s="1" t="s">
        <v>22</v>
      </c>
      <c r="F2739">
        <v>14</v>
      </c>
      <c r="G2739" s="1" t="s">
        <v>172</v>
      </c>
      <c r="H2739">
        <v>14091</v>
      </c>
      <c r="I2739">
        <v>25</v>
      </c>
      <c r="J2739">
        <v>25</v>
      </c>
      <c r="K2739">
        <v>29</v>
      </c>
      <c r="L2739">
        <v>1160</v>
      </c>
    </row>
    <row r="2740" spans="1:12" hidden="1" x14ac:dyDescent="0.25">
      <c r="A2740">
        <v>2739</v>
      </c>
      <c r="B2740" s="1" t="s">
        <v>12</v>
      </c>
      <c r="C2740">
        <v>1963</v>
      </c>
      <c r="D2740" s="1" t="s">
        <v>256</v>
      </c>
      <c r="E2740" s="1" t="s">
        <v>30</v>
      </c>
      <c r="F2740">
        <v>18</v>
      </c>
      <c r="G2740" s="1" t="s">
        <v>43</v>
      </c>
      <c r="H2740">
        <v>18070</v>
      </c>
      <c r="I2740">
        <v>94</v>
      </c>
      <c r="J2740">
        <v>59</v>
      </c>
      <c r="K2740">
        <v>39</v>
      </c>
      <c r="L2740">
        <v>661</v>
      </c>
    </row>
    <row r="2741" spans="1:12" hidden="1" x14ac:dyDescent="0.25">
      <c r="A2741">
        <v>2740</v>
      </c>
      <c r="B2741" s="1" t="s">
        <v>12</v>
      </c>
      <c r="C2741">
        <v>1963</v>
      </c>
      <c r="D2741" s="1" t="s">
        <v>256</v>
      </c>
      <c r="E2741" s="1" t="s">
        <v>30</v>
      </c>
      <c r="F2741">
        <v>18</v>
      </c>
      <c r="G2741" s="1" t="s">
        <v>101</v>
      </c>
      <c r="H2741">
        <v>18161</v>
      </c>
      <c r="I2741">
        <v>63</v>
      </c>
      <c r="J2741">
        <v>40</v>
      </c>
      <c r="K2741">
        <v>26</v>
      </c>
      <c r="L2741">
        <v>650</v>
      </c>
    </row>
    <row r="2742" spans="1:12" hidden="1" x14ac:dyDescent="0.25">
      <c r="A2742">
        <v>2741</v>
      </c>
      <c r="B2742" s="1" t="s">
        <v>12</v>
      </c>
      <c r="C2742">
        <v>1963</v>
      </c>
      <c r="D2742" s="1" t="s">
        <v>256</v>
      </c>
      <c r="E2742" s="1" t="s">
        <v>30</v>
      </c>
      <c r="F2742">
        <v>18</v>
      </c>
      <c r="G2742" s="1" t="s">
        <v>34</v>
      </c>
      <c r="H2742">
        <v>18042</v>
      </c>
      <c r="I2742">
        <v>50</v>
      </c>
      <c r="J2742">
        <v>45</v>
      </c>
      <c r="K2742">
        <v>28</v>
      </c>
      <c r="L2742">
        <v>622</v>
      </c>
    </row>
    <row r="2743" spans="1:12" hidden="1" x14ac:dyDescent="0.25">
      <c r="A2743">
        <v>2742</v>
      </c>
      <c r="B2743" s="1" t="s">
        <v>12</v>
      </c>
      <c r="C2743">
        <v>1963</v>
      </c>
      <c r="D2743" s="1" t="s">
        <v>256</v>
      </c>
      <c r="E2743" s="1" t="s">
        <v>30</v>
      </c>
      <c r="F2743">
        <v>18</v>
      </c>
      <c r="G2743" s="1" t="s">
        <v>41</v>
      </c>
      <c r="H2743">
        <v>18140</v>
      </c>
      <c r="I2743">
        <v>40</v>
      </c>
      <c r="J2743">
        <v>30</v>
      </c>
      <c r="K2743">
        <v>21</v>
      </c>
      <c r="L2743">
        <v>700</v>
      </c>
    </row>
    <row r="2744" spans="1:12" hidden="1" x14ac:dyDescent="0.25">
      <c r="A2744">
        <v>2743</v>
      </c>
      <c r="B2744" s="1" t="s">
        <v>12</v>
      </c>
      <c r="C2744">
        <v>1963</v>
      </c>
      <c r="D2744" s="1" t="s">
        <v>256</v>
      </c>
      <c r="E2744" s="1" t="s">
        <v>30</v>
      </c>
      <c r="F2744">
        <v>18</v>
      </c>
      <c r="G2744" s="1" t="s">
        <v>35</v>
      </c>
      <c r="H2744">
        <v>18049</v>
      </c>
      <c r="I2744">
        <v>39</v>
      </c>
      <c r="J2744">
        <v>25</v>
      </c>
      <c r="K2744">
        <v>17</v>
      </c>
      <c r="L2744">
        <v>680</v>
      </c>
    </row>
    <row r="2745" spans="1:12" hidden="1" x14ac:dyDescent="0.25">
      <c r="A2745">
        <v>2744</v>
      </c>
      <c r="B2745" s="1" t="s">
        <v>12</v>
      </c>
      <c r="C2745">
        <v>1963</v>
      </c>
      <c r="D2745" s="1" t="s">
        <v>256</v>
      </c>
      <c r="E2745" s="1" t="s">
        <v>30</v>
      </c>
      <c r="F2745">
        <v>18</v>
      </c>
      <c r="G2745" s="1" t="s">
        <v>36</v>
      </c>
      <c r="H2745">
        <v>18133</v>
      </c>
      <c r="I2745">
        <v>35</v>
      </c>
      <c r="J2745">
        <v>33</v>
      </c>
      <c r="K2745">
        <v>19</v>
      </c>
      <c r="L2745">
        <v>576</v>
      </c>
    </row>
    <row r="2746" spans="1:12" hidden="1" x14ac:dyDescent="0.25">
      <c r="A2746">
        <v>2745</v>
      </c>
      <c r="B2746" s="1" t="s">
        <v>12</v>
      </c>
      <c r="C2746">
        <v>1963</v>
      </c>
      <c r="D2746" s="1" t="s">
        <v>256</v>
      </c>
      <c r="E2746" s="1" t="s">
        <v>30</v>
      </c>
      <c r="F2746">
        <v>18</v>
      </c>
      <c r="G2746" s="1" t="s">
        <v>63</v>
      </c>
      <c r="H2746">
        <v>18028</v>
      </c>
      <c r="I2746">
        <v>30</v>
      </c>
      <c r="J2746">
        <v>27</v>
      </c>
      <c r="K2746">
        <v>17</v>
      </c>
      <c r="L2746">
        <v>630</v>
      </c>
    </row>
    <row r="2747" spans="1:12" hidden="1" x14ac:dyDescent="0.25">
      <c r="A2747">
        <v>2746</v>
      </c>
      <c r="B2747" s="1" t="s">
        <v>12</v>
      </c>
      <c r="C2747">
        <v>1963</v>
      </c>
      <c r="D2747" s="1" t="s">
        <v>256</v>
      </c>
      <c r="E2747" s="1" t="s">
        <v>30</v>
      </c>
      <c r="F2747">
        <v>18</v>
      </c>
      <c r="G2747" s="1" t="s">
        <v>99</v>
      </c>
      <c r="H2747">
        <v>18063</v>
      </c>
      <c r="I2747">
        <v>30</v>
      </c>
      <c r="J2747">
        <v>26</v>
      </c>
      <c r="K2747">
        <v>17</v>
      </c>
      <c r="L2747">
        <v>654</v>
      </c>
    </row>
    <row r="2748" spans="1:12" hidden="1" x14ac:dyDescent="0.25">
      <c r="A2748">
        <v>2747</v>
      </c>
      <c r="B2748" s="1" t="s">
        <v>12</v>
      </c>
      <c r="C2748">
        <v>1963</v>
      </c>
      <c r="D2748" s="1" t="s">
        <v>256</v>
      </c>
      <c r="E2748" s="1" t="s">
        <v>30</v>
      </c>
      <c r="F2748">
        <v>18</v>
      </c>
      <c r="G2748" s="1" t="s">
        <v>39</v>
      </c>
      <c r="H2748">
        <v>18084</v>
      </c>
      <c r="I2748">
        <v>30</v>
      </c>
      <c r="J2748">
        <v>29</v>
      </c>
      <c r="K2748">
        <v>18</v>
      </c>
      <c r="L2748">
        <v>621</v>
      </c>
    </row>
    <row r="2749" spans="1:12" hidden="1" x14ac:dyDescent="0.25">
      <c r="A2749">
        <v>2748</v>
      </c>
      <c r="B2749" s="1" t="s">
        <v>12</v>
      </c>
      <c r="C2749">
        <v>1963</v>
      </c>
      <c r="D2749" s="1" t="s">
        <v>256</v>
      </c>
      <c r="E2749" s="1" t="s">
        <v>30</v>
      </c>
      <c r="F2749">
        <v>18</v>
      </c>
      <c r="G2749" s="1" t="s">
        <v>86</v>
      </c>
      <c r="H2749">
        <v>18175</v>
      </c>
      <c r="I2749">
        <v>24</v>
      </c>
      <c r="J2749">
        <v>15</v>
      </c>
      <c r="K2749">
        <v>12</v>
      </c>
      <c r="L2749">
        <v>800</v>
      </c>
    </row>
    <row r="2750" spans="1:12" hidden="1" x14ac:dyDescent="0.25">
      <c r="A2750">
        <v>2749</v>
      </c>
      <c r="B2750" s="1" t="s">
        <v>12</v>
      </c>
      <c r="C2750">
        <v>1963</v>
      </c>
      <c r="D2750" s="1" t="s">
        <v>256</v>
      </c>
      <c r="E2750" s="1" t="s">
        <v>30</v>
      </c>
      <c r="F2750">
        <v>18</v>
      </c>
      <c r="G2750" s="1" t="s">
        <v>28</v>
      </c>
      <c r="H2750">
        <v>18021</v>
      </c>
      <c r="I2750">
        <v>20</v>
      </c>
      <c r="J2750">
        <v>19</v>
      </c>
      <c r="K2750">
        <v>11</v>
      </c>
      <c r="L2750">
        <v>579</v>
      </c>
    </row>
    <row r="2751" spans="1:12" hidden="1" x14ac:dyDescent="0.25">
      <c r="A2751">
        <v>2750</v>
      </c>
      <c r="B2751" s="1" t="s">
        <v>12</v>
      </c>
      <c r="C2751">
        <v>1963</v>
      </c>
      <c r="D2751" s="1" t="s">
        <v>256</v>
      </c>
      <c r="E2751" s="1" t="s">
        <v>30</v>
      </c>
      <c r="F2751">
        <v>18</v>
      </c>
      <c r="G2751" s="1" t="s">
        <v>40</v>
      </c>
      <c r="H2751">
        <v>18126</v>
      </c>
      <c r="I2751">
        <v>20</v>
      </c>
      <c r="J2751">
        <v>17</v>
      </c>
      <c r="K2751">
        <v>10</v>
      </c>
      <c r="L2751">
        <v>588</v>
      </c>
    </row>
    <row r="2752" spans="1:12" hidden="1" x14ac:dyDescent="0.25">
      <c r="A2752">
        <v>2751</v>
      </c>
      <c r="B2752" s="1" t="s">
        <v>12</v>
      </c>
      <c r="C2752">
        <v>1963</v>
      </c>
      <c r="D2752" s="1" t="s">
        <v>256</v>
      </c>
      <c r="E2752" s="1" t="s">
        <v>30</v>
      </c>
      <c r="F2752">
        <v>18</v>
      </c>
      <c r="G2752" s="1" t="s">
        <v>98</v>
      </c>
      <c r="H2752">
        <v>18098</v>
      </c>
      <c r="I2752">
        <v>10</v>
      </c>
      <c r="J2752">
        <v>10</v>
      </c>
      <c r="K2752">
        <v>6</v>
      </c>
      <c r="L2752">
        <v>600</v>
      </c>
    </row>
    <row r="2753" spans="1:12" hidden="1" x14ac:dyDescent="0.25">
      <c r="A2753">
        <v>2752</v>
      </c>
      <c r="B2753" s="1" t="s">
        <v>12</v>
      </c>
      <c r="C2753">
        <v>1963</v>
      </c>
      <c r="D2753" s="1" t="s">
        <v>256</v>
      </c>
      <c r="E2753" s="1" t="s">
        <v>30</v>
      </c>
      <c r="F2753">
        <v>18</v>
      </c>
      <c r="G2753" s="1" t="s">
        <v>37</v>
      </c>
      <c r="H2753">
        <v>18147</v>
      </c>
      <c r="I2753">
        <v>10</v>
      </c>
      <c r="J2753">
        <v>10</v>
      </c>
      <c r="K2753">
        <v>6</v>
      </c>
      <c r="L2753">
        <v>600</v>
      </c>
    </row>
    <row r="2754" spans="1:12" hidden="1" x14ac:dyDescent="0.25">
      <c r="A2754">
        <v>2753</v>
      </c>
      <c r="B2754" s="1" t="s">
        <v>12</v>
      </c>
      <c r="C2754">
        <v>1963</v>
      </c>
      <c r="D2754" s="1" t="s">
        <v>256</v>
      </c>
      <c r="E2754" s="1" t="s">
        <v>30</v>
      </c>
      <c r="F2754">
        <v>18</v>
      </c>
      <c r="G2754" s="1" t="s">
        <v>100</v>
      </c>
      <c r="H2754">
        <v>18077</v>
      </c>
      <c r="I2754">
        <v>5</v>
      </c>
      <c r="J2754">
        <v>5</v>
      </c>
      <c r="K2754">
        <v>3</v>
      </c>
      <c r="L2754">
        <v>600</v>
      </c>
    </row>
    <row r="2755" spans="1:12" hidden="1" x14ac:dyDescent="0.25">
      <c r="A2755">
        <v>2754</v>
      </c>
      <c r="B2755" s="1" t="s">
        <v>12</v>
      </c>
      <c r="C2755">
        <v>1963</v>
      </c>
      <c r="D2755" s="1" t="s">
        <v>256</v>
      </c>
      <c r="E2755" s="1" t="s">
        <v>45</v>
      </c>
      <c r="F2755">
        <v>30</v>
      </c>
      <c r="G2755" s="1" t="s">
        <v>46</v>
      </c>
      <c r="H2755">
        <v>30028</v>
      </c>
      <c r="I2755">
        <v>20</v>
      </c>
      <c r="J2755">
        <v>18</v>
      </c>
      <c r="K2755">
        <v>13</v>
      </c>
      <c r="L2755">
        <v>722</v>
      </c>
    </row>
    <row r="2756" spans="1:12" hidden="1" x14ac:dyDescent="0.25">
      <c r="A2756">
        <v>2755</v>
      </c>
      <c r="B2756" s="1" t="s">
        <v>12</v>
      </c>
      <c r="C2756">
        <v>1963</v>
      </c>
      <c r="D2756" s="1" t="s">
        <v>256</v>
      </c>
      <c r="E2756" s="1" t="s">
        <v>45</v>
      </c>
      <c r="F2756">
        <v>30</v>
      </c>
      <c r="G2756" s="1" t="s">
        <v>47</v>
      </c>
      <c r="H2756">
        <v>30015</v>
      </c>
      <c r="I2756">
        <v>10</v>
      </c>
      <c r="J2756">
        <v>10</v>
      </c>
      <c r="K2756">
        <v>7</v>
      </c>
      <c r="L2756">
        <v>700</v>
      </c>
    </row>
    <row r="2757" spans="1:12" hidden="1" x14ac:dyDescent="0.25">
      <c r="A2757">
        <v>2756</v>
      </c>
      <c r="B2757" s="1" t="s">
        <v>12</v>
      </c>
      <c r="C2757">
        <v>1963</v>
      </c>
      <c r="D2757" s="1" t="s">
        <v>256</v>
      </c>
      <c r="E2757" s="1" t="s">
        <v>45</v>
      </c>
      <c r="F2757">
        <v>30</v>
      </c>
      <c r="G2757" s="1" t="s">
        <v>27</v>
      </c>
      <c r="H2757">
        <v>30008</v>
      </c>
      <c r="I2757">
        <v>7</v>
      </c>
      <c r="J2757">
        <v>7</v>
      </c>
      <c r="K2757">
        <v>5</v>
      </c>
      <c r="L2757">
        <v>714</v>
      </c>
    </row>
    <row r="2758" spans="1:12" hidden="1" x14ac:dyDescent="0.25">
      <c r="A2758">
        <v>2757</v>
      </c>
      <c r="B2758" s="1" t="s">
        <v>12</v>
      </c>
      <c r="C2758">
        <v>1963</v>
      </c>
      <c r="D2758" s="1" t="s">
        <v>256</v>
      </c>
      <c r="E2758" s="1" t="s">
        <v>48</v>
      </c>
      <c r="F2758">
        <v>34</v>
      </c>
      <c r="G2758" s="1" t="s">
        <v>49</v>
      </c>
      <c r="H2758">
        <v>34049</v>
      </c>
      <c r="I2758">
        <v>20</v>
      </c>
      <c r="J2758">
        <v>20</v>
      </c>
      <c r="K2758">
        <v>20</v>
      </c>
      <c r="L2758">
        <v>1000</v>
      </c>
    </row>
    <row r="2759" spans="1:12" hidden="1" x14ac:dyDescent="0.25">
      <c r="A2759">
        <v>2758</v>
      </c>
      <c r="B2759" s="1" t="s">
        <v>12</v>
      </c>
      <c r="C2759">
        <v>1963</v>
      </c>
      <c r="D2759" s="1" t="s">
        <v>256</v>
      </c>
      <c r="E2759" s="1" t="s">
        <v>48</v>
      </c>
      <c r="F2759">
        <v>34</v>
      </c>
      <c r="G2759" s="1" t="s">
        <v>51</v>
      </c>
      <c r="H2759">
        <v>34056</v>
      </c>
      <c r="I2759">
        <v>20</v>
      </c>
      <c r="J2759">
        <v>20</v>
      </c>
      <c r="K2759">
        <v>20</v>
      </c>
      <c r="L2759">
        <v>1000</v>
      </c>
    </row>
    <row r="2760" spans="1:12" hidden="1" x14ac:dyDescent="0.25">
      <c r="A2760">
        <v>2759</v>
      </c>
      <c r="B2760" s="1" t="s">
        <v>12</v>
      </c>
      <c r="C2760">
        <v>1963</v>
      </c>
      <c r="D2760" s="1" t="s">
        <v>256</v>
      </c>
      <c r="E2760" s="1" t="s">
        <v>48</v>
      </c>
      <c r="F2760">
        <v>34</v>
      </c>
      <c r="G2760" s="1" t="s">
        <v>108</v>
      </c>
      <c r="H2760">
        <v>34042</v>
      </c>
      <c r="I2760">
        <v>15</v>
      </c>
      <c r="J2760">
        <v>15</v>
      </c>
      <c r="K2760">
        <v>15</v>
      </c>
      <c r="L2760">
        <v>1000</v>
      </c>
    </row>
    <row r="2761" spans="1:12" hidden="1" x14ac:dyDescent="0.25">
      <c r="A2761">
        <v>2760</v>
      </c>
      <c r="B2761" s="1" t="s">
        <v>12</v>
      </c>
      <c r="C2761">
        <v>1963</v>
      </c>
      <c r="D2761" s="1" t="s">
        <v>256</v>
      </c>
      <c r="E2761" s="1" t="s">
        <v>48</v>
      </c>
      <c r="F2761">
        <v>34</v>
      </c>
      <c r="G2761" s="1" t="s">
        <v>50</v>
      </c>
      <c r="H2761">
        <v>34021</v>
      </c>
      <c r="I2761">
        <v>10</v>
      </c>
      <c r="J2761">
        <v>10</v>
      </c>
      <c r="K2761">
        <v>10</v>
      </c>
      <c r="L2761">
        <v>1000</v>
      </c>
    </row>
    <row r="2762" spans="1:12" hidden="1" x14ac:dyDescent="0.25">
      <c r="A2762">
        <v>2761</v>
      </c>
      <c r="B2762" s="1" t="s">
        <v>12</v>
      </c>
      <c r="C2762">
        <v>1963</v>
      </c>
      <c r="D2762" s="1" t="s">
        <v>256</v>
      </c>
      <c r="E2762" s="1" t="s">
        <v>48</v>
      </c>
      <c r="F2762">
        <v>34</v>
      </c>
      <c r="G2762" s="1" t="s">
        <v>48</v>
      </c>
      <c r="H2762">
        <v>34014</v>
      </c>
      <c r="I2762">
        <v>8</v>
      </c>
      <c r="J2762">
        <v>8</v>
      </c>
      <c r="K2762">
        <v>8</v>
      </c>
      <c r="L2762">
        <v>1000</v>
      </c>
    </row>
    <row r="2763" spans="1:12" hidden="1" x14ac:dyDescent="0.25">
      <c r="A2763">
        <v>2762</v>
      </c>
      <c r="B2763" s="1" t="s">
        <v>12</v>
      </c>
      <c r="C2763">
        <v>1963</v>
      </c>
      <c r="D2763" s="1" t="s">
        <v>256</v>
      </c>
      <c r="E2763" s="1" t="s">
        <v>48</v>
      </c>
      <c r="F2763">
        <v>34</v>
      </c>
      <c r="G2763" s="1" t="s">
        <v>52</v>
      </c>
      <c r="H2763">
        <v>34035</v>
      </c>
      <c r="I2763">
        <v>5</v>
      </c>
      <c r="J2763">
        <v>5</v>
      </c>
      <c r="K2763">
        <v>2</v>
      </c>
      <c r="L2763">
        <v>400</v>
      </c>
    </row>
    <row r="2764" spans="1:12" hidden="1" x14ac:dyDescent="0.25">
      <c r="A2764">
        <v>2763</v>
      </c>
      <c r="B2764" s="1" t="s">
        <v>12</v>
      </c>
      <c r="C2764">
        <v>1963</v>
      </c>
      <c r="D2764" s="1" t="s">
        <v>256</v>
      </c>
      <c r="E2764" s="1" t="s">
        <v>58</v>
      </c>
      <c r="F2764">
        <v>54</v>
      </c>
      <c r="G2764" s="1" t="s">
        <v>242</v>
      </c>
      <c r="H2764">
        <v>54091</v>
      </c>
      <c r="I2764">
        <v>72</v>
      </c>
      <c r="J2764">
        <v>72</v>
      </c>
      <c r="K2764">
        <v>58</v>
      </c>
      <c r="L2764">
        <v>806</v>
      </c>
    </row>
    <row r="2765" spans="1:12" hidden="1" x14ac:dyDescent="0.25">
      <c r="A2765">
        <v>2764</v>
      </c>
      <c r="B2765" s="1" t="s">
        <v>12</v>
      </c>
      <c r="C2765">
        <v>1963</v>
      </c>
      <c r="D2765" s="1" t="s">
        <v>256</v>
      </c>
      <c r="E2765" s="1" t="s">
        <v>58</v>
      </c>
      <c r="F2765">
        <v>54</v>
      </c>
      <c r="G2765" s="1" t="s">
        <v>60</v>
      </c>
      <c r="H2765">
        <v>54021</v>
      </c>
      <c r="I2765">
        <v>60</v>
      </c>
      <c r="J2765">
        <v>43</v>
      </c>
      <c r="K2765">
        <v>26</v>
      </c>
      <c r="L2765">
        <v>605</v>
      </c>
    </row>
    <row r="2766" spans="1:12" hidden="1" x14ac:dyDescent="0.25">
      <c r="A2766">
        <v>2765</v>
      </c>
      <c r="B2766" s="1" t="s">
        <v>12</v>
      </c>
      <c r="C2766">
        <v>1963</v>
      </c>
      <c r="D2766" s="1" t="s">
        <v>256</v>
      </c>
      <c r="E2766" s="1" t="s">
        <v>58</v>
      </c>
      <c r="F2766">
        <v>54</v>
      </c>
      <c r="G2766" s="1" t="s">
        <v>61</v>
      </c>
      <c r="H2766">
        <v>54098</v>
      </c>
      <c r="I2766">
        <v>53</v>
      </c>
      <c r="J2766">
        <v>53</v>
      </c>
      <c r="K2766">
        <v>43</v>
      </c>
      <c r="L2766">
        <v>811</v>
      </c>
    </row>
    <row r="2767" spans="1:12" hidden="1" x14ac:dyDescent="0.25">
      <c r="A2767">
        <v>2766</v>
      </c>
      <c r="B2767" s="1" t="s">
        <v>12</v>
      </c>
      <c r="C2767">
        <v>1963</v>
      </c>
      <c r="D2767" s="1" t="s">
        <v>256</v>
      </c>
      <c r="E2767" s="1" t="s">
        <v>58</v>
      </c>
      <c r="F2767">
        <v>54</v>
      </c>
      <c r="G2767" s="1" t="s">
        <v>59</v>
      </c>
      <c r="H2767">
        <v>54007</v>
      </c>
      <c r="I2767">
        <v>40</v>
      </c>
      <c r="J2767">
        <v>28</v>
      </c>
      <c r="K2767">
        <v>17</v>
      </c>
      <c r="L2767">
        <v>607</v>
      </c>
    </row>
    <row r="2768" spans="1:12" hidden="1" x14ac:dyDescent="0.25">
      <c r="A2768">
        <v>2767</v>
      </c>
      <c r="B2768" s="1" t="s">
        <v>12</v>
      </c>
      <c r="C2768">
        <v>1963</v>
      </c>
      <c r="D2768" s="1" t="s">
        <v>256</v>
      </c>
      <c r="E2768" s="1" t="s">
        <v>58</v>
      </c>
      <c r="F2768">
        <v>54</v>
      </c>
      <c r="G2768" s="1" t="s">
        <v>243</v>
      </c>
      <c r="H2768">
        <v>54070</v>
      </c>
      <c r="I2768">
        <v>40</v>
      </c>
      <c r="J2768">
        <v>28</v>
      </c>
      <c r="K2768">
        <v>18</v>
      </c>
      <c r="L2768">
        <v>643</v>
      </c>
    </row>
    <row r="2769" spans="1:12" hidden="1" x14ac:dyDescent="0.25">
      <c r="A2769">
        <v>2768</v>
      </c>
      <c r="B2769" s="1" t="s">
        <v>12</v>
      </c>
      <c r="C2769">
        <v>1963</v>
      </c>
      <c r="D2769" s="1" t="s">
        <v>256</v>
      </c>
      <c r="E2769" s="1" t="s">
        <v>58</v>
      </c>
      <c r="F2769">
        <v>54</v>
      </c>
      <c r="G2769" s="1" t="s">
        <v>63</v>
      </c>
      <c r="H2769">
        <v>54035</v>
      </c>
      <c r="I2769">
        <v>33</v>
      </c>
      <c r="J2769">
        <v>23</v>
      </c>
      <c r="K2769">
        <v>14</v>
      </c>
      <c r="L2769">
        <v>609</v>
      </c>
    </row>
    <row r="2770" spans="1:12" hidden="1" x14ac:dyDescent="0.25">
      <c r="A2770">
        <v>2769</v>
      </c>
      <c r="B2770" s="1" t="s">
        <v>12</v>
      </c>
      <c r="C2770">
        <v>1963</v>
      </c>
      <c r="D2770" s="1" t="s">
        <v>256</v>
      </c>
      <c r="E2770" s="1" t="s">
        <v>58</v>
      </c>
      <c r="F2770">
        <v>54</v>
      </c>
      <c r="G2770" s="1" t="s">
        <v>62</v>
      </c>
      <c r="H2770">
        <v>54105</v>
      </c>
      <c r="I2770">
        <v>30</v>
      </c>
      <c r="J2770">
        <v>21</v>
      </c>
      <c r="K2770">
        <v>14</v>
      </c>
      <c r="L2770">
        <v>667</v>
      </c>
    </row>
    <row r="2771" spans="1:12" hidden="1" x14ac:dyDescent="0.25">
      <c r="A2771">
        <v>2770</v>
      </c>
      <c r="B2771" s="1" t="s">
        <v>12</v>
      </c>
      <c r="C2771">
        <v>1963</v>
      </c>
      <c r="D2771" s="1" t="s">
        <v>256</v>
      </c>
      <c r="E2771" s="1" t="s">
        <v>58</v>
      </c>
      <c r="F2771">
        <v>54</v>
      </c>
      <c r="G2771" s="1" t="s">
        <v>150</v>
      </c>
      <c r="H2771">
        <v>54014</v>
      </c>
      <c r="I2771">
        <v>22</v>
      </c>
      <c r="J2771">
        <v>22</v>
      </c>
      <c r="K2771">
        <v>17</v>
      </c>
      <c r="L2771">
        <v>773</v>
      </c>
    </row>
    <row r="2772" spans="1:12" hidden="1" x14ac:dyDescent="0.25">
      <c r="A2772">
        <v>2771</v>
      </c>
      <c r="B2772" s="1" t="s">
        <v>12</v>
      </c>
      <c r="C2772">
        <v>1963</v>
      </c>
      <c r="D2772" s="1" t="s">
        <v>256</v>
      </c>
      <c r="E2772" s="1" t="s">
        <v>58</v>
      </c>
      <c r="F2772">
        <v>54</v>
      </c>
      <c r="G2772" s="1" t="s">
        <v>244</v>
      </c>
      <c r="H2772">
        <v>54084</v>
      </c>
      <c r="I2772">
        <v>22</v>
      </c>
      <c r="J2772">
        <v>22</v>
      </c>
      <c r="K2772">
        <v>17</v>
      </c>
      <c r="L2772">
        <v>773</v>
      </c>
    </row>
    <row r="2773" spans="1:12" hidden="1" x14ac:dyDescent="0.25">
      <c r="A2773">
        <v>2772</v>
      </c>
      <c r="B2773" s="1" t="s">
        <v>12</v>
      </c>
      <c r="C2773">
        <v>1963</v>
      </c>
      <c r="D2773" s="1" t="s">
        <v>256</v>
      </c>
      <c r="E2773" s="1" t="s">
        <v>58</v>
      </c>
      <c r="F2773">
        <v>54</v>
      </c>
      <c r="G2773" s="1" t="s">
        <v>245</v>
      </c>
      <c r="H2773">
        <v>54042</v>
      </c>
      <c r="I2773">
        <v>15</v>
      </c>
      <c r="J2773">
        <v>15</v>
      </c>
      <c r="K2773">
        <v>11</v>
      </c>
      <c r="L2773">
        <v>733</v>
      </c>
    </row>
    <row r="2774" spans="1:12" hidden="1" x14ac:dyDescent="0.25">
      <c r="A2774">
        <v>2773</v>
      </c>
      <c r="B2774" s="1" t="s">
        <v>12</v>
      </c>
      <c r="C2774">
        <v>1963</v>
      </c>
      <c r="D2774" s="1" t="s">
        <v>256</v>
      </c>
      <c r="E2774" s="1" t="s">
        <v>58</v>
      </c>
      <c r="F2774">
        <v>54</v>
      </c>
      <c r="G2774" s="1" t="s">
        <v>152</v>
      </c>
      <c r="H2774">
        <v>54063</v>
      </c>
      <c r="I2774">
        <v>15</v>
      </c>
      <c r="J2774">
        <v>15</v>
      </c>
      <c r="K2774">
        <v>12</v>
      </c>
      <c r="L2774">
        <v>800</v>
      </c>
    </row>
    <row r="2775" spans="1:12" hidden="1" x14ac:dyDescent="0.25">
      <c r="A2775">
        <v>2774</v>
      </c>
      <c r="B2775" s="1" t="s">
        <v>12</v>
      </c>
      <c r="C2775">
        <v>1963</v>
      </c>
      <c r="D2775" s="1" t="s">
        <v>256</v>
      </c>
      <c r="E2775" s="1" t="s">
        <v>58</v>
      </c>
      <c r="F2775">
        <v>54</v>
      </c>
      <c r="G2775" s="1" t="s">
        <v>119</v>
      </c>
      <c r="H2775">
        <v>54077</v>
      </c>
      <c r="I2775">
        <v>15</v>
      </c>
      <c r="J2775">
        <v>15</v>
      </c>
      <c r="K2775">
        <v>11</v>
      </c>
      <c r="L2775">
        <v>733</v>
      </c>
    </row>
    <row r="2776" spans="1:12" hidden="1" x14ac:dyDescent="0.25">
      <c r="A2776">
        <v>2775</v>
      </c>
      <c r="B2776" s="1" t="s">
        <v>12</v>
      </c>
      <c r="C2776">
        <v>1963</v>
      </c>
      <c r="D2776" s="1" t="s">
        <v>256</v>
      </c>
      <c r="E2776" s="1" t="s">
        <v>58</v>
      </c>
      <c r="F2776">
        <v>54</v>
      </c>
      <c r="G2776" s="1" t="s">
        <v>151</v>
      </c>
      <c r="H2776">
        <v>54056</v>
      </c>
      <c r="I2776">
        <v>5</v>
      </c>
      <c r="J2776">
        <v>5</v>
      </c>
      <c r="K2776">
        <v>4</v>
      </c>
      <c r="L2776">
        <v>800</v>
      </c>
    </row>
    <row r="2777" spans="1:12" x14ac:dyDescent="0.25">
      <c r="A2777">
        <v>2776</v>
      </c>
      <c r="B2777" s="1" t="s">
        <v>12</v>
      </c>
      <c r="C2777">
        <v>1963</v>
      </c>
      <c r="D2777" s="1" t="s">
        <v>256</v>
      </c>
      <c r="E2777" s="1" t="s">
        <v>58</v>
      </c>
      <c r="F2777">
        <v>54</v>
      </c>
      <c r="G2777" s="1" t="s">
        <v>56</v>
      </c>
      <c r="H2777">
        <v>54112</v>
      </c>
      <c r="I2777">
        <v>5</v>
      </c>
      <c r="J2777">
        <v>5</v>
      </c>
      <c r="K2777">
        <v>4</v>
      </c>
      <c r="L2777">
        <v>800</v>
      </c>
    </row>
    <row r="2778" spans="1:12" hidden="1" x14ac:dyDescent="0.25">
      <c r="A2778">
        <v>2777</v>
      </c>
      <c r="B2778" s="1" t="s">
        <v>12</v>
      </c>
      <c r="C2778">
        <v>1963</v>
      </c>
      <c r="D2778" s="1" t="s">
        <v>256</v>
      </c>
      <c r="E2778" s="1" t="s">
        <v>58</v>
      </c>
      <c r="F2778">
        <v>54</v>
      </c>
      <c r="G2778" s="1" t="s">
        <v>258</v>
      </c>
      <c r="H2778">
        <v>54049</v>
      </c>
      <c r="I2778">
        <v>3</v>
      </c>
      <c r="J2778">
        <v>3</v>
      </c>
      <c r="K2778">
        <v>2</v>
      </c>
      <c r="L2778">
        <v>667</v>
      </c>
    </row>
    <row r="2779" spans="1:12" hidden="1" x14ac:dyDescent="0.25">
      <c r="A2779">
        <v>2778</v>
      </c>
      <c r="B2779" s="1" t="s">
        <v>12</v>
      </c>
      <c r="C2779">
        <v>1963</v>
      </c>
      <c r="D2779" s="1" t="s">
        <v>256</v>
      </c>
      <c r="E2779" s="1" t="s">
        <v>58</v>
      </c>
      <c r="F2779">
        <v>54</v>
      </c>
      <c r="G2779" s="1" t="s">
        <v>234</v>
      </c>
      <c r="H2779">
        <v>54119</v>
      </c>
      <c r="I2779">
        <v>3</v>
      </c>
      <c r="J2779">
        <v>3</v>
      </c>
      <c r="K2779">
        <v>2</v>
      </c>
      <c r="L2779">
        <v>667</v>
      </c>
    </row>
    <row r="2780" spans="1:12" hidden="1" x14ac:dyDescent="0.25">
      <c r="A2780">
        <v>2779</v>
      </c>
      <c r="B2780" s="1" t="s">
        <v>12</v>
      </c>
      <c r="C2780">
        <v>1963</v>
      </c>
      <c r="D2780" s="1" t="s">
        <v>256</v>
      </c>
      <c r="E2780" s="1" t="s">
        <v>87</v>
      </c>
      <c r="F2780">
        <v>66</v>
      </c>
      <c r="G2780" s="1" t="s">
        <v>125</v>
      </c>
      <c r="H2780">
        <v>66035</v>
      </c>
      <c r="I2780">
        <v>300</v>
      </c>
      <c r="J2780">
        <v>300</v>
      </c>
      <c r="K2780">
        <v>405</v>
      </c>
      <c r="L2780">
        <v>1350</v>
      </c>
    </row>
    <row r="2781" spans="1:12" hidden="1" x14ac:dyDescent="0.25">
      <c r="A2781">
        <v>2780</v>
      </c>
      <c r="B2781" s="1" t="s">
        <v>12</v>
      </c>
      <c r="C2781">
        <v>1963</v>
      </c>
      <c r="D2781" s="1" t="s">
        <v>256</v>
      </c>
      <c r="E2781" s="1" t="s">
        <v>87</v>
      </c>
      <c r="F2781">
        <v>66</v>
      </c>
      <c r="G2781" s="1" t="s">
        <v>28</v>
      </c>
      <c r="H2781">
        <v>66028</v>
      </c>
      <c r="I2781">
        <v>40</v>
      </c>
      <c r="J2781">
        <v>40</v>
      </c>
      <c r="K2781">
        <v>54</v>
      </c>
      <c r="L2781">
        <v>1350</v>
      </c>
    </row>
    <row r="2782" spans="1:12" hidden="1" x14ac:dyDescent="0.25">
      <c r="A2782">
        <v>2781</v>
      </c>
      <c r="B2782" s="1" t="s">
        <v>12</v>
      </c>
      <c r="C2782">
        <v>1963</v>
      </c>
      <c r="D2782" s="1" t="s">
        <v>256</v>
      </c>
      <c r="E2782" s="1" t="s">
        <v>87</v>
      </c>
      <c r="F2782">
        <v>66</v>
      </c>
      <c r="G2782" s="1" t="s">
        <v>230</v>
      </c>
      <c r="H2782">
        <v>66056</v>
      </c>
      <c r="I2782">
        <v>34</v>
      </c>
      <c r="J2782">
        <v>34</v>
      </c>
      <c r="K2782">
        <v>47</v>
      </c>
      <c r="L2782">
        <v>1382</v>
      </c>
    </row>
    <row r="2783" spans="1:12" hidden="1" x14ac:dyDescent="0.25">
      <c r="A2783">
        <v>2782</v>
      </c>
      <c r="B2783" s="1" t="s">
        <v>12</v>
      </c>
      <c r="C2783">
        <v>1963</v>
      </c>
      <c r="D2783" s="1" t="s">
        <v>256</v>
      </c>
      <c r="E2783" s="1" t="s">
        <v>87</v>
      </c>
      <c r="F2783">
        <v>66</v>
      </c>
      <c r="G2783" s="1" t="s">
        <v>130</v>
      </c>
      <c r="H2783">
        <v>66147</v>
      </c>
      <c r="I2783">
        <v>30</v>
      </c>
      <c r="J2783">
        <v>30</v>
      </c>
      <c r="K2783">
        <v>41</v>
      </c>
      <c r="L2783">
        <v>1367</v>
      </c>
    </row>
    <row r="2784" spans="1:12" hidden="1" x14ac:dyDescent="0.25">
      <c r="A2784">
        <v>2783</v>
      </c>
      <c r="B2784" s="1" t="s">
        <v>12</v>
      </c>
      <c r="C2784">
        <v>1963</v>
      </c>
      <c r="D2784" s="1" t="s">
        <v>256</v>
      </c>
      <c r="E2784" s="1" t="s">
        <v>87</v>
      </c>
      <c r="F2784">
        <v>66</v>
      </c>
      <c r="G2784" s="1" t="s">
        <v>141</v>
      </c>
      <c r="H2784">
        <v>66112</v>
      </c>
      <c r="I2784">
        <v>10</v>
      </c>
      <c r="J2784">
        <v>10</v>
      </c>
      <c r="K2784">
        <v>14</v>
      </c>
      <c r="L2784">
        <v>1400</v>
      </c>
    </row>
    <row r="2785" spans="1:12" hidden="1" x14ac:dyDescent="0.25">
      <c r="A2785">
        <v>2784</v>
      </c>
      <c r="B2785" s="1" t="s">
        <v>12</v>
      </c>
      <c r="C2785">
        <v>1963</v>
      </c>
      <c r="D2785" s="1" t="s">
        <v>256</v>
      </c>
      <c r="E2785" s="1" t="s">
        <v>87</v>
      </c>
      <c r="F2785">
        <v>66</v>
      </c>
      <c r="G2785" s="1" t="s">
        <v>179</v>
      </c>
      <c r="H2785">
        <v>66126</v>
      </c>
      <c r="I2785">
        <v>7</v>
      </c>
      <c r="J2785">
        <v>7</v>
      </c>
      <c r="K2785">
        <v>8</v>
      </c>
      <c r="L2785">
        <v>1143</v>
      </c>
    </row>
    <row r="2786" spans="1:12" hidden="1" x14ac:dyDescent="0.25">
      <c r="A2786">
        <v>2785</v>
      </c>
      <c r="B2786" s="1" t="s">
        <v>12</v>
      </c>
      <c r="C2786">
        <v>1963</v>
      </c>
      <c r="D2786" s="1" t="s">
        <v>256</v>
      </c>
      <c r="E2786" s="1" t="s">
        <v>87</v>
      </c>
      <c r="F2786">
        <v>66</v>
      </c>
      <c r="G2786" s="1" t="s">
        <v>248</v>
      </c>
      <c r="H2786">
        <v>66161</v>
      </c>
      <c r="I2786">
        <v>1</v>
      </c>
      <c r="J2786">
        <v>1</v>
      </c>
      <c r="K2786">
        <v>1</v>
      </c>
      <c r="L2786">
        <v>1000</v>
      </c>
    </row>
    <row r="2787" spans="1:12" hidden="1" x14ac:dyDescent="0.25">
      <c r="A2787">
        <v>2786</v>
      </c>
      <c r="B2787" s="1" t="s">
        <v>12</v>
      </c>
      <c r="C2787">
        <v>1963</v>
      </c>
      <c r="D2787" s="1" t="s">
        <v>256</v>
      </c>
      <c r="E2787" s="1" t="s">
        <v>64</v>
      </c>
      <c r="F2787">
        <v>82</v>
      </c>
      <c r="G2787" s="1" t="s">
        <v>66</v>
      </c>
      <c r="H2787">
        <v>82035</v>
      </c>
      <c r="I2787">
        <v>680</v>
      </c>
      <c r="J2787">
        <v>600</v>
      </c>
      <c r="K2787">
        <v>900</v>
      </c>
      <c r="L2787">
        <v>1500</v>
      </c>
    </row>
    <row r="2788" spans="1:12" hidden="1" x14ac:dyDescent="0.25">
      <c r="A2788">
        <v>2787</v>
      </c>
      <c r="B2788" s="1" t="s">
        <v>12</v>
      </c>
      <c r="C2788">
        <v>1963</v>
      </c>
      <c r="D2788" s="1" t="s">
        <v>256</v>
      </c>
      <c r="E2788" s="1" t="s">
        <v>64</v>
      </c>
      <c r="F2788">
        <v>82</v>
      </c>
      <c r="G2788" s="1" t="s">
        <v>65</v>
      </c>
      <c r="H2788">
        <v>82049</v>
      </c>
      <c r="I2788">
        <v>330</v>
      </c>
      <c r="J2788">
        <v>325</v>
      </c>
      <c r="K2788">
        <v>300</v>
      </c>
      <c r="L2788">
        <v>923</v>
      </c>
    </row>
    <row r="2789" spans="1:12" hidden="1" x14ac:dyDescent="0.25">
      <c r="A2789">
        <v>2788</v>
      </c>
      <c r="B2789" s="1" t="s">
        <v>12</v>
      </c>
      <c r="C2789">
        <v>1963</v>
      </c>
      <c r="D2789" s="1" t="s">
        <v>256</v>
      </c>
      <c r="E2789" s="1" t="s">
        <v>64</v>
      </c>
      <c r="F2789">
        <v>82</v>
      </c>
      <c r="G2789" s="1" t="s">
        <v>62</v>
      </c>
      <c r="H2789">
        <v>82098</v>
      </c>
      <c r="I2789">
        <v>40</v>
      </c>
      <c r="J2789">
        <v>30</v>
      </c>
      <c r="K2789">
        <v>30</v>
      </c>
      <c r="L2789">
        <v>1000</v>
      </c>
    </row>
    <row r="2790" spans="1:12" hidden="1" x14ac:dyDescent="0.25">
      <c r="A2790">
        <v>2789</v>
      </c>
      <c r="B2790" s="1" t="s">
        <v>12</v>
      </c>
      <c r="C2790">
        <v>1963</v>
      </c>
      <c r="D2790" s="1" t="s">
        <v>256</v>
      </c>
      <c r="E2790" s="1" t="s">
        <v>77</v>
      </c>
      <c r="F2790">
        <v>90</v>
      </c>
      <c r="G2790" s="1" t="s">
        <v>91</v>
      </c>
      <c r="H2790">
        <v>90014</v>
      </c>
      <c r="I2790">
        <v>151</v>
      </c>
      <c r="J2790">
        <v>115</v>
      </c>
      <c r="K2790">
        <v>49</v>
      </c>
      <c r="L2790">
        <v>426</v>
      </c>
    </row>
    <row r="2791" spans="1:12" hidden="1" x14ac:dyDescent="0.25">
      <c r="A2791">
        <v>2790</v>
      </c>
      <c r="B2791" s="1" t="s">
        <v>12</v>
      </c>
      <c r="C2791">
        <v>1963</v>
      </c>
      <c r="D2791" s="1" t="s">
        <v>256</v>
      </c>
      <c r="E2791" s="1" t="s">
        <v>77</v>
      </c>
      <c r="F2791">
        <v>90</v>
      </c>
      <c r="G2791" s="1" t="s">
        <v>78</v>
      </c>
      <c r="H2791">
        <v>90007</v>
      </c>
      <c r="I2791">
        <v>96</v>
      </c>
      <c r="J2791">
        <v>90</v>
      </c>
      <c r="K2791">
        <v>90</v>
      </c>
      <c r="L2791">
        <v>1000</v>
      </c>
    </row>
    <row r="2792" spans="1:12" hidden="1" x14ac:dyDescent="0.25">
      <c r="A2792">
        <v>2791</v>
      </c>
      <c r="B2792" s="1" t="s">
        <v>12</v>
      </c>
      <c r="C2792">
        <v>1963</v>
      </c>
      <c r="D2792" s="1" t="s">
        <v>256</v>
      </c>
      <c r="E2792" s="1" t="s">
        <v>77</v>
      </c>
      <c r="F2792">
        <v>90</v>
      </c>
      <c r="G2792" s="1" t="s">
        <v>92</v>
      </c>
      <c r="H2792">
        <v>90056</v>
      </c>
      <c r="I2792">
        <v>83</v>
      </c>
      <c r="J2792">
        <v>60</v>
      </c>
      <c r="K2792">
        <v>42</v>
      </c>
      <c r="L2792">
        <v>700</v>
      </c>
    </row>
    <row r="2793" spans="1:12" hidden="1" x14ac:dyDescent="0.25">
      <c r="A2793">
        <v>2792</v>
      </c>
      <c r="B2793" s="1" t="s">
        <v>12</v>
      </c>
      <c r="C2793">
        <v>1963</v>
      </c>
      <c r="D2793" s="1" t="s">
        <v>256</v>
      </c>
      <c r="E2793" s="1" t="s">
        <v>77</v>
      </c>
      <c r="F2793">
        <v>90</v>
      </c>
      <c r="G2793" s="1" t="s">
        <v>110</v>
      </c>
      <c r="H2793">
        <v>90021</v>
      </c>
      <c r="I2793">
        <v>45</v>
      </c>
      <c r="J2793">
        <v>42</v>
      </c>
      <c r="K2793">
        <v>42</v>
      </c>
      <c r="L2793">
        <v>1000</v>
      </c>
    </row>
    <row r="2794" spans="1:12" hidden="1" x14ac:dyDescent="0.25">
      <c r="A2794">
        <v>2793</v>
      </c>
      <c r="B2794" s="1" t="s">
        <v>12</v>
      </c>
      <c r="C2794">
        <v>1963</v>
      </c>
      <c r="D2794" s="1" t="s">
        <v>256</v>
      </c>
      <c r="E2794" s="1" t="s">
        <v>77</v>
      </c>
      <c r="F2794">
        <v>90</v>
      </c>
      <c r="G2794" s="1" t="s">
        <v>109</v>
      </c>
      <c r="H2794">
        <v>90077</v>
      </c>
      <c r="I2794">
        <v>5</v>
      </c>
      <c r="J2794">
        <v>5</v>
      </c>
      <c r="K2794">
        <v>7</v>
      </c>
      <c r="L2794">
        <v>1400</v>
      </c>
    </row>
    <row r="2795" spans="1:12" hidden="1" x14ac:dyDescent="0.25">
      <c r="A2795">
        <v>2794</v>
      </c>
      <c r="B2795" s="1" t="s">
        <v>12</v>
      </c>
      <c r="C2795">
        <v>1964</v>
      </c>
      <c r="D2795" s="1" t="s">
        <v>259</v>
      </c>
      <c r="E2795" s="1" t="s">
        <v>14</v>
      </c>
      <c r="F2795">
        <v>22</v>
      </c>
      <c r="G2795" s="1" t="s">
        <v>119</v>
      </c>
      <c r="H2795">
        <v>22084</v>
      </c>
      <c r="I2795">
        <v>550</v>
      </c>
      <c r="J2795">
        <v>505</v>
      </c>
      <c r="K2795">
        <v>344</v>
      </c>
      <c r="L2795">
        <v>681</v>
      </c>
    </row>
    <row r="2796" spans="1:12" hidden="1" x14ac:dyDescent="0.25">
      <c r="A2796">
        <v>2795</v>
      </c>
      <c r="B2796" s="1" t="s">
        <v>12</v>
      </c>
      <c r="C2796">
        <v>1964</v>
      </c>
      <c r="D2796" s="1" t="s">
        <v>259</v>
      </c>
      <c r="E2796" s="1" t="s">
        <v>14</v>
      </c>
      <c r="F2796">
        <v>22</v>
      </c>
      <c r="G2796" s="1" t="s">
        <v>226</v>
      </c>
      <c r="H2796">
        <v>22154</v>
      </c>
      <c r="I2796">
        <v>72</v>
      </c>
      <c r="J2796">
        <v>62</v>
      </c>
      <c r="K2796">
        <v>34</v>
      </c>
      <c r="L2796">
        <v>548</v>
      </c>
    </row>
    <row r="2797" spans="1:12" hidden="1" x14ac:dyDescent="0.25">
      <c r="A2797">
        <v>2796</v>
      </c>
      <c r="B2797" s="1" t="s">
        <v>12</v>
      </c>
      <c r="C2797">
        <v>1964</v>
      </c>
      <c r="D2797" s="1" t="s">
        <v>259</v>
      </c>
      <c r="E2797" s="1" t="s">
        <v>14</v>
      </c>
      <c r="F2797">
        <v>22</v>
      </c>
      <c r="G2797" s="1" t="s">
        <v>183</v>
      </c>
      <c r="H2797">
        <v>22049</v>
      </c>
      <c r="I2797">
        <v>60</v>
      </c>
      <c r="J2797">
        <v>57</v>
      </c>
      <c r="K2797">
        <v>27</v>
      </c>
      <c r="L2797">
        <v>474</v>
      </c>
    </row>
    <row r="2798" spans="1:12" hidden="1" x14ac:dyDescent="0.25">
      <c r="A2798">
        <v>2797</v>
      </c>
      <c r="B2798" s="1" t="s">
        <v>12</v>
      </c>
      <c r="C2798">
        <v>1964</v>
      </c>
      <c r="D2798" s="1" t="s">
        <v>259</v>
      </c>
      <c r="E2798" s="1" t="s">
        <v>14</v>
      </c>
      <c r="F2798">
        <v>22</v>
      </c>
      <c r="G2798" s="1" t="s">
        <v>233</v>
      </c>
      <c r="H2798">
        <v>22133</v>
      </c>
      <c r="I2798">
        <v>60</v>
      </c>
      <c r="J2798">
        <v>58</v>
      </c>
      <c r="K2798">
        <v>27</v>
      </c>
      <c r="L2798">
        <v>466</v>
      </c>
    </row>
    <row r="2799" spans="1:12" hidden="1" x14ac:dyDescent="0.25">
      <c r="A2799">
        <v>2798</v>
      </c>
      <c r="B2799" s="1" t="s">
        <v>12</v>
      </c>
      <c r="C2799">
        <v>1964</v>
      </c>
      <c r="D2799" s="1" t="s">
        <v>259</v>
      </c>
      <c r="E2799" s="1" t="s">
        <v>14</v>
      </c>
      <c r="F2799">
        <v>22</v>
      </c>
      <c r="G2799" s="1" t="s">
        <v>227</v>
      </c>
      <c r="H2799">
        <v>22056</v>
      </c>
      <c r="I2799">
        <v>55</v>
      </c>
      <c r="J2799">
        <v>50</v>
      </c>
      <c r="K2799">
        <v>30</v>
      </c>
      <c r="L2799">
        <v>600</v>
      </c>
    </row>
    <row r="2800" spans="1:12" hidden="1" x14ac:dyDescent="0.25">
      <c r="A2800">
        <v>2799</v>
      </c>
      <c r="B2800" s="1" t="s">
        <v>12</v>
      </c>
      <c r="C2800">
        <v>1964</v>
      </c>
      <c r="D2800" s="1" t="s">
        <v>259</v>
      </c>
      <c r="E2800" s="1" t="s">
        <v>14</v>
      </c>
      <c r="F2800">
        <v>22</v>
      </c>
      <c r="G2800" s="1" t="s">
        <v>232</v>
      </c>
      <c r="H2800">
        <v>22105</v>
      </c>
      <c r="I2800">
        <v>44</v>
      </c>
      <c r="J2800">
        <v>42</v>
      </c>
      <c r="K2800">
        <v>19</v>
      </c>
      <c r="L2800">
        <v>452</v>
      </c>
    </row>
    <row r="2801" spans="1:12" hidden="1" x14ac:dyDescent="0.25">
      <c r="A2801">
        <v>2800</v>
      </c>
      <c r="B2801" s="1" t="s">
        <v>12</v>
      </c>
      <c r="C2801">
        <v>1964</v>
      </c>
      <c r="D2801" s="1" t="s">
        <v>259</v>
      </c>
      <c r="E2801" s="1" t="s">
        <v>14</v>
      </c>
      <c r="F2801">
        <v>22</v>
      </c>
      <c r="G2801" s="1" t="s">
        <v>234</v>
      </c>
      <c r="H2801">
        <v>22168</v>
      </c>
      <c r="I2801">
        <v>44</v>
      </c>
      <c r="J2801">
        <v>34</v>
      </c>
      <c r="K2801">
        <v>26</v>
      </c>
      <c r="L2801">
        <v>765</v>
      </c>
    </row>
    <row r="2802" spans="1:12" hidden="1" x14ac:dyDescent="0.25">
      <c r="A2802">
        <v>2801</v>
      </c>
      <c r="B2802" s="1" t="s">
        <v>12</v>
      </c>
      <c r="C2802">
        <v>1964</v>
      </c>
      <c r="D2802" s="1" t="s">
        <v>259</v>
      </c>
      <c r="E2802" s="1" t="s">
        <v>14</v>
      </c>
      <c r="F2802">
        <v>22</v>
      </c>
      <c r="G2802" s="1" t="s">
        <v>225</v>
      </c>
      <c r="H2802">
        <v>22119</v>
      </c>
      <c r="I2802">
        <v>27</v>
      </c>
      <c r="J2802">
        <v>21</v>
      </c>
      <c r="K2802">
        <v>15</v>
      </c>
      <c r="L2802">
        <v>714</v>
      </c>
    </row>
    <row r="2803" spans="1:12" hidden="1" x14ac:dyDescent="0.25">
      <c r="A2803">
        <v>2802</v>
      </c>
      <c r="B2803" s="1" t="s">
        <v>12</v>
      </c>
      <c r="C2803">
        <v>1964</v>
      </c>
      <c r="D2803" s="1" t="s">
        <v>259</v>
      </c>
      <c r="E2803" s="1" t="s">
        <v>14</v>
      </c>
      <c r="F2803">
        <v>22</v>
      </c>
      <c r="G2803" s="1" t="s">
        <v>19</v>
      </c>
      <c r="H2803">
        <v>22014</v>
      </c>
      <c r="I2803">
        <v>19</v>
      </c>
      <c r="J2803">
        <v>17</v>
      </c>
      <c r="K2803">
        <v>10</v>
      </c>
      <c r="L2803">
        <v>588</v>
      </c>
    </row>
    <row r="2804" spans="1:12" hidden="1" x14ac:dyDescent="0.25">
      <c r="A2804">
        <v>2803</v>
      </c>
      <c r="B2804" s="1" t="s">
        <v>12</v>
      </c>
      <c r="C2804">
        <v>1964</v>
      </c>
      <c r="D2804" s="1" t="s">
        <v>259</v>
      </c>
      <c r="E2804" s="1" t="s">
        <v>14</v>
      </c>
      <c r="F2804">
        <v>22</v>
      </c>
      <c r="G2804" s="1" t="s">
        <v>236</v>
      </c>
      <c r="H2804">
        <v>22063</v>
      </c>
      <c r="I2804">
        <v>18</v>
      </c>
      <c r="J2804">
        <v>17</v>
      </c>
      <c r="K2804">
        <v>8</v>
      </c>
      <c r="L2804">
        <v>470</v>
      </c>
    </row>
    <row r="2805" spans="1:12" hidden="1" x14ac:dyDescent="0.25">
      <c r="A2805">
        <v>2804</v>
      </c>
      <c r="B2805" s="1" t="s">
        <v>12</v>
      </c>
      <c r="C2805">
        <v>1964</v>
      </c>
      <c r="D2805" s="1" t="s">
        <v>259</v>
      </c>
      <c r="E2805" s="1" t="s">
        <v>14</v>
      </c>
      <c r="F2805">
        <v>22</v>
      </c>
      <c r="G2805" s="1" t="s">
        <v>240</v>
      </c>
      <c r="H2805">
        <v>22021</v>
      </c>
      <c r="I2805">
        <v>15</v>
      </c>
      <c r="J2805">
        <v>14</v>
      </c>
      <c r="K2805">
        <v>7</v>
      </c>
      <c r="L2805">
        <v>500</v>
      </c>
    </row>
    <row r="2806" spans="1:12" hidden="1" x14ac:dyDescent="0.25">
      <c r="A2806">
        <v>2805</v>
      </c>
      <c r="B2806" s="1" t="s">
        <v>12</v>
      </c>
      <c r="C2806">
        <v>1964</v>
      </c>
      <c r="D2806" s="1" t="s">
        <v>259</v>
      </c>
      <c r="E2806" s="1" t="s">
        <v>14</v>
      </c>
      <c r="F2806">
        <v>22</v>
      </c>
      <c r="G2806" s="1" t="s">
        <v>241</v>
      </c>
      <c r="H2806">
        <v>22112</v>
      </c>
      <c r="I2806">
        <v>15</v>
      </c>
      <c r="J2806">
        <v>15</v>
      </c>
      <c r="K2806">
        <v>9</v>
      </c>
      <c r="L2806">
        <v>600</v>
      </c>
    </row>
    <row r="2807" spans="1:12" hidden="1" x14ac:dyDescent="0.25">
      <c r="A2807">
        <v>2806</v>
      </c>
      <c r="B2807" s="1" t="s">
        <v>12</v>
      </c>
      <c r="C2807">
        <v>1964</v>
      </c>
      <c r="D2807" s="1" t="s">
        <v>259</v>
      </c>
      <c r="E2807" s="1" t="s">
        <v>14</v>
      </c>
      <c r="F2807">
        <v>22</v>
      </c>
      <c r="G2807" s="1" t="s">
        <v>235</v>
      </c>
      <c r="H2807">
        <v>22140</v>
      </c>
      <c r="I2807">
        <v>14</v>
      </c>
      <c r="J2807">
        <v>11</v>
      </c>
      <c r="K2807">
        <v>7</v>
      </c>
      <c r="L2807">
        <v>636</v>
      </c>
    </row>
    <row r="2808" spans="1:12" hidden="1" x14ac:dyDescent="0.25">
      <c r="A2808">
        <v>2807</v>
      </c>
      <c r="B2808" s="1" t="s">
        <v>12</v>
      </c>
      <c r="C2808">
        <v>1964</v>
      </c>
      <c r="D2808" s="1" t="s">
        <v>259</v>
      </c>
      <c r="E2808" s="1" t="s">
        <v>14</v>
      </c>
      <c r="F2808">
        <v>22</v>
      </c>
      <c r="G2808" s="1" t="s">
        <v>229</v>
      </c>
      <c r="H2808">
        <v>22077</v>
      </c>
      <c r="I2808">
        <v>13</v>
      </c>
      <c r="J2808">
        <v>9</v>
      </c>
      <c r="K2808">
        <v>6</v>
      </c>
      <c r="L2808">
        <v>667</v>
      </c>
    </row>
    <row r="2809" spans="1:12" hidden="1" x14ac:dyDescent="0.25">
      <c r="A2809">
        <v>2808</v>
      </c>
      <c r="B2809" s="1" t="s">
        <v>12</v>
      </c>
      <c r="C2809">
        <v>1964</v>
      </c>
      <c r="D2809" s="1" t="s">
        <v>259</v>
      </c>
      <c r="E2809" s="1" t="s">
        <v>14</v>
      </c>
      <c r="F2809">
        <v>22</v>
      </c>
      <c r="G2809" s="1" t="s">
        <v>118</v>
      </c>
      <c r="H2809">
        <v>22028</v>
      </c>
      <c r="I2809">
        <v>6</v>
      </c>
      <c r="J2809">
        <v>6</v>
      </c>
      <c r="K2809">
        <v>3</v>
      </c>
      <c r="L2809">
        <v>500</v>
      </c>
    </row>
    <row r="2810" spans="1:12" hidden="1" x14ac:dyDescent="0.25">
      <c r="A2810">
        <v>2809</v>
      </c>
      <c r="B2810" s="1" t="s">
        <v>12</v>
      </c>
      <c r="C2810">
        <v>1964</v>
      </c>
      <c r="D2810" s="1" t="s">
        <v>259</v>
      </c>
      <c r="E2810" s="1" t="s">
        <v>14</v>
      </c>
      <c r="F2810">
        <v>22</v>
      </c>
      <c r="G2810" s="1" t="s">
        <v>238</v>
      </c>
      <c r="H2810">
        <v>22036</v>
      </c>
      <c r="I2810">
        <v>5</v>
      </c>
      <c r="J2810">
        <v>5</v>
      </c>
      <c r="K2810">
        <v>2</v>
      </c>
      <c r="L2810">
        <v>400</v>
      </c>
    </row>
    <row r="2811" spans="1:12" hidden="1" x14ac:dyDescent="0.25">
      <c r="A2811">
        <v>2810</v>
      </c>
      <c r="B2811" s="1" t="s">
        <v>12</v>
      </c>
      <c r="C2811">
        <v>1964</v>
      </c>
      <c r="D2811" s="1" t="s">
        <v>259</v>
      </c>
      <c r="E2811" s="1" t="s">
        <v>14</v>
      </c>
      <c r="F2811">
        <v>22</v>
      </c>
      <c r="G2811" s="1" t="s">
        <v>228</v>
      </c>
      <c r="H2811">
        <v>22126</v>
      </c>
      <c r="I2811">
        <v>4</v>
      </c>
      <c r="J2811">
        <v>4</v>
      </c>
      <c r="K2811">
        <v>2</v>
      </c>
      <c r="L2811">
        <v>500</v>
      </c>
    </row>
    <row r="2812" spans="1:12" hidden="1" x14ac:dyDescent="0.25">
      <c r="A2812">
        <v>2811</v>
      </c>
      <c r="B2812" s="1" t="s">
        <v>12</v>
      </c>
      <c r="C2812">
        <v>1964</v>
      </c>
      <c r="D2812" s="1" t="s">
        <v>259</v>
      </c>
      <c r="E2812" s="1" t="s">
        <v>14</v>
      </c>
      <c r="F2812">
        <v>22</v>
      </c>
      <c r="G2812" s="1" t="s">
        <v>250</v>
      </c>
      <c r="H2812">
        <v>22007</v>
      </c>
      <c r="I2812">
        <v>3</v>
      </c>
      <c r="J2812">
        <v>2</v>
      </c>
      <c r="K2812">
        <v>1</v>
      </c>
      <c r="L2812">
        <v>500</v>
      </c>
    </row>
    <row r="2813" spans="1:12" hidden="1" x14ac:dyDescent="0.25">
      <c r="A2813">
        <v>2812</v>
      </c>
      <c r="B2813" s="1" t="s">
        <v>12</v>
      </c>
      <c r="C2813">
        <v>1964</v>
      </c>
      <c r="D2813" s="1" t="s">
        <v>259</v>
      </c>
      <c r="E2813" s="1" t="s">
        <v>14</v>
      </c>
      <c r="F2813">
        <v>22</v>
      </c>
      <c r="G2813" s="1" t="s">
        <v>255</v>
      </c>
      <c r="H2813">
        <v>22070</v>
      </c>
      <c r="I2813">
        <v>2</v>
      </c>
      <c r="J2813">
        <v>2</v>
      </c>
      <c r="K2813">
        <v>1</v>
      </c>
      <c r="L2813">
        <v>500</v>
      </c>
    </row>
    <row r="2814" spans="1:12" hidden="1" x14ac:dyDescent="0.25">
      <c r="A2814">
        <v>2813</v>
      </c>
      <c r="B2814" s="1" t="s">
        <v>12</v>
      </c>
      <c r="C2814">
        <v>1964</v>
      </c>
      <c r="D2814" s="1" t="s">
        <v>259</v>
      </c>
      <c r="E2814" s="1" t="s">
        <v>14</v>
      </c>
      <c r="F2814">
        <v>22</v>
      </c>
      <c r="G2814" s="1" t="s">
        <v>254</v>
      </c>
      <c r="H2814">
        <v>22147</v>
      </c>
      <c r="I2814">
        <v>2</v>
      </c>
      <c r="J2814">
        <v>2</v>
      </c>
      <c r="K2814">
        <v>1</v>
      </c>
      <c r="L2814">
        <v>500</v>
      </c>
    </row>
    <row r="2815" spans="1:12" hidden="1" x14ac:dyDescent="0.25">
      <c r="A2815">
        <v>2814</v>
      </c>
      <c r="B2815" s="1" t="s">
        <v>12</v>
      </c>
      <c r="C2815">
        <v>1964</v>
      </c>
      <c r="D2815" s="1" t="s">
        <v>259</v>
      </c>
      <c r="E2815" s="1" t="s">
        <v>14</v>
      </c>
      <c r="F2815">
        <v>22</v>
      </c>
      <c r="G2815" s="1" t="s">
        <v>21</v>
      </c>
      <c r="H2815">
        <v>22161</v>
      </c>
      <c r="I2815">
        <v>2</v>
      </c>
      <c r="J2815">
        <v>2</v>
      </c>
      <c r="K2815">
        <v>1</v>
      </c>
      <c r="L2815">
        <v>500</v>
      </c>
    </row>
    <row r="2816" spans="1:12" hidden="1" x14ac:dyDescent="0.25">
      <c r="A2816">
        <v>2815</v>
      </c>
      <c r="B2816" s="1" t="s">
        <v>12</v>
      </c>
      <c r="C2816">
        <v>1964</v>
      </c>
      <c r="D2816" s="1" t="s">
        <v>259</v>
      </c>
      <c r="E2816" s="1" t="s">
        <v>22</v>
      </c>
      <c r="F2816">
        <v>14</v>
      </c>
      <c r="G2816" s="1" t="s">
        <v>26</v>
      </c>
      <c r="H2816">
        <v>14161</v>
      </c>
      <c r="I2816">
        <v>140000</v>
      </c>
      <c r="J2816">
        <v>138500</v>
      </c>
      <c r="K2816">
        <v>165400</v>
      </c>
      <c r="L2816">
        <v>1194</v>
      </c>
    </row>
    <row r="2817" spans="1:12" hidden="1" x14ac:dyDescent="0.25">
      <c r="A2817">
        <v>2816</v>
      </c>
      <c r="B2817" s="1" t="s">
        <v>12</v>
      </c>
      <c r="C2817">
        <v>1964</v>
      </c>
      <c r="D2817" s="1" t="s">
        <v>259</v>
      </c>
      <c r="E2817" s="1" t="s">
        <v>22</v>
      </c>
      <c r="F2817">
        <v>14</v>
      </c>
      <c r="G2817" s="1" t="s">
        <v>24</v>
      </c>
      <c r="H2817">
        <v>14119</v>
      </c>
      <c r="I2817">
        <v>92000</v>
      </c>
      <c r="J2817">
        <v>89250</v>
      </c>
      <c r="K2817">
        <v>106600</v>
      </c>
      <c r="L2817">
        <v>1194</v>
      </c>
    </row>
    <row r="2818" spans="1:12" hidden="1" x14ac:dyDescent="0.25">
      <c r="A2818">
        <v>2817</v>
      </c>
      <c r="B2818" s="1" t="s">
        <v>12</v>
      </c>
      <c r="C2818">
        <v>1964</v>
      </c>
      <c r="D2818" s="1" t="s">
        <v>259</v>
      </c>
      <c r="E2818" s="1" t="s">
        <v>22</v>
      </c>
      <c r="F2818">
        <v>14</v>
      </c>
      <c r="G2818" s="1" t="s">
        <v>143</v>
      </c>
      <c r="H2818">
        <v>14056</v>
      </c>
      <c r="I2818">
        <v>38000</v>
      </c>
      <c r="J2818">
        <v>38000</v>
      </c>
      <c r="K2818">
        <v>42540</v>
      </c>
      <c r="L2818">
        <v>1119</v>
      </c>
    </row>
    <row r="2819" spans="1:12" hidden="1" x14ac:dyDescent="0.25">
      <c r="A2819">
        <v>2818</v>
      </c>
      <c r="B2819" s="1" t="s">
        <v>12</v>
      </c>
      <c r="C2819">
        <v>1964</v>
      </c>
      <c r="D2819" s="1" t="s">
        <v>259</v>
      </c>
      <c r="E2819" s="1" t="s">
        <v>22</v>
      </c>
      <c r="F2819">
        <v>14</v>
      </c>
      <c r="G2819" s="1" t="s">
        <v>184</v>
      </c>
      <c r="H2819">
        <v>14042</v>
      </c>
      <c r="I2819">
        <v>35000</v>
      </c>
      <c r="J2819">
        <v>34650</v>
      </c>
      <c r="K2819">
        <v>41360</v>
      </c>
      <c r="L2819">
        <v>1194</v>
      </c>
    </row>
    <row r="2820" spans="1:12" hidden="1" x14ac:dyDescent="0.25">
      <c r="A2820">
        <v>2819</v>
      </c>
      <c r="B2820" s="1" t="s">
        <v>12</v>
      </c>
      <c r="C2820">
        <v>1964</v>
      </c>
      <c r="D2820" s="1" t="s">
        <v>259</v>
      </c>
      <c r="E2820" s="1" t="s">
        <v>22</v>
      </c>
      <c r="F2820">
        <v>14</v>
      </c>
      <c r="G2820" s="1" t="s">
        <v>23</v>
      </c>
      <c r="H2820">
        <v>14147</v>
      </c>
      <c r="I2820">
        <v>32000</v>
      </c>
      <c r="J2820">
        <v>31500</v>
      </c>
      <c r="K2820">
        <v>35260</v>
      </c>
      <c r="L2820">
        <v>1119</v>
      </c>
    </row>
    <row r="2821" spans="1:12" hidden="1" x14ac:dyDescent="0.25">
      <c r="A2821">
        <v>2820</v>
      </c>
      <c r="B2821" s="1" t="s">
        <v>12</v>
      </c>
      <c r="C2821">
        <v>1964</v>
      </c>
      <c r="D2821" s="1" t="s">
        <v>259</v>
      </c>
      <c r="E2821" s="1" t="s">
        <v>22</v>
      </c>
      <c r="F2821">
        <v>14</v>
      </c>
      <c r="G2821" s="1" t="s">
        <v>29</v>
      </c>
      <c r="H2821">
        <v>14098</v>
      </c>
      <c r="I2821">
        <v>25000</v>
      </c>
      <c r="J2821">
        <v>25000</v>
      </c>
      <c r="K2821">
        <v>26120</v>
      </c>
      <c r="L2821">
        <v>1045</v>
      </c>
    </row>
    <row r="2822" spans="1:12" hidden="1" x14ac:dyDescent="0.25">
      <c r="A2822">
        <v>2821</v>
      </c>
      <c r="B2822" s="1" t="s">
        <v>12</v>
      </c>
      <c r="C2822">
        <v>1964</v>
      </c>
      <c r="D2822" s="1" t="s">
        <v>259</v>
      </c>
      <c r="E2822" s="1" t="s">
        <v>22</v>
      </c>
      <c r="F2822">
        <v>14</v>
      </c>
      <c r="G2822" s="1" t="s">
        <v>97</v>
      </c>
      <c r="H2822">
        <v>14007</v>
      </c>
      <c r="I2822">
        <v>9000</v>
      </c>
      <c r="J2822">
        <v>9000</v>
      </c>
      <c r="K2822">
        <v>10060</v>
      </c>
      <c r="L2822">
        <v>1118</v>
      </c>
    </row>
    <row r="2823" spans="1:12" hidden="1" x14ac:dyDescent="0.25">
      <c r="A2823">
        <v>2822</v>
      </c>
      <c r="B2823" s="1" t="s">
        <v>12</v>
      </c>
      <c r="C2823">
        <v>1964</v>
      </c>
      <c r="D2823" s="1" t="s">
        <v>259</v>
      </c>
      <c r="E2823" s="1" t="s">
        <v>22</v>
      </c>
      <c r="F2823">
        <v>14</v>
      </c>
      <c r="G2823" s="1" t="s">
        <v>25</v>
      </c>
      <c r="H2823">
        <v>14105</v>
      </c>
      <c r="I2823">
        <v>8500</v>
      </c>
      <c r="J2823">
        <v>5500</v>
      </c>
      <c r="K2823">
        <v>5750</v>
      </c>
      <c r="L2823">
        <v>1045</v>
      </c>
    </row>
    <row r="2824" spans="1:12" hidden="1" x14ac:dyDescent="0.25">
      <c r="A2824">
        <v>2823</v>
      </c>
      <c r="B2824" s="1" t="s">
        <v>12</v>
      </c>
      <c r="C2824">
        <v>1964</v>
      </c>
      <c r="D2824" s="1" t="s">
        <v>259</v>
      </c>
      <c r="E2824" s="1" t="s">
        <v>22</v>
      </c>
      <c r="F2824">
        <v>14</v>
      </c>
      <c r="G2824" s="1" t="s">
        <v>122</v>
      </c>
      <c r="H2824">
        <v>14182</v>
      </c>
      <c r="I2824">
        <v>1500</v>
      </c>
      <c r="J2824">
        <v>1500</v>
      </c>
      <c r="K2824">
        <v>1570</v>
      </c>
      <c r="L2824">
        <v>1047</v>
      </c>
    </row>
    <row r="2825" spans="1:12" hidden="1" x14ac:dyDescent="0.25">
      <c r="A2825">
        <v>2824</v>
      </c>
      <c r="B2825" s="1" t="s">
        <v>12</v>
      </c>
      <c r="C2825">
        <v>1964</v>
      </c>
      <c r="D2825" s="1" t="s">
        <v>259</v>
      </c>
      <c r="E2825" s="1" t="s">
        <v>22</v>
      </c>
      <c r="F2825">
        <v>14</v>
      </c>
      <c r="G2825" s="1" t="s">
        <v>186</v>
      </c>
      <c r="H2825">
        <v>14175</v>
      </c>
      <c r="I2825">
        <v>1000</v>
      </c>
      <c r="J2825">
        <v>400</v>
      </c>
      <c r="K2825">
        <v>180</v>
      </c>
      <c r="L2825">
        <v>450</v>
      </c>
    </row>
    <row r="2826" spans="1:12" hidden="1" x14ac:dyDescent="0.25">
      <c r="A2826">
        <v>2825</v>
      </c>
      <c r="B2826" s="1" t="s">
        <v>12</v>
      </c>
      <c r="C2826">
        <v>1964</v>
      </c>
      <c r="D2826" s="1" t="s">
        <v>259</v>
      </c>
      <c r="E2826" s="1" t="s">
        <v>22</v>
      </c>
      <c r="F2826">
        <v>14</v>
      </c>
      <c r="G2826" s="1" t="s">
        <v>67</v>
      </c>
      <c r="H2826">
        <v>14140</v>
      </c>
      <c r="I2826">
        <v>400</v>
      </c>
      <c r="J2826">
        <v>380</v>
      </c>
      <c r="K2826">
        <v>390</v>
      </c>
      <c r="L2826">
        <v>1026</v>
      </c>
    </row>
    <row r="2827" spans="1:12" hidden="1" x14ac:dyDescent="0.25">
      <c r="A2827">
        <v>2826</v>
      </c>
      <c r="B2827" s="1" t="s">
        <v>12</v>
      </c>
      <c r="C2827">
        <v>1964</v>
      </c>
      <c r="D2827" s="1" t="s">
        <v>259</v>
      </c>
      <c r="E2827" s="1" t="s">
        <v>22</v>
      </c>
      <c r="F2827">
        <v>14</v>
      </c>
      <c r="G2827" s="1" t="s">
        <v>194</v>
      </c>
      <c r="H2827">
        <v>14077</v>
      </c>
      <c r="I2827">
        <v>330</v>
      </c>
      <c r="J2827">
        <v>280</v>
      </c>
      <c r="K2827">
        <v>295</v>
      </c>
      <c r="L2827">
        <v>1054</v>
      </c>
    </row>
    <row r="2828" spans="1:12" hidden="1" x14ac:dyDescent="0.25">
      <c r="A2828">
        <v>2827</v>
      </c>
      <c r="B2828" s="1" t="s">
        <v>12</v>
      </c>
      <c r="C2828">
        <v>1964</v>
      </c>
      <c r="D2828" s="1" t="s">
        <v>259</v>
      </c>
      <c r="E2828" s="1" t="s">
        <v>22</v>
      </c>
      <c r="F2828">
        <v>14</v>
      </c>
      <c r="G2828" s="1" t="s">
        <v>171</v>
      </c>
      <c r="H2828">
        <v>14112</v>
      </c>
      <c r="I2828">
        <v>240</v>
      </c>
      <c r="J2828">
        <v>100</v>
      </c>
      <c r="K2828">
        <v>38</v>
      </c>
      <c r="L2828">
        <v>380</v>
      </c>
    </row>
    <row r="2829" spans="1:12" hidden="1" x14ac:dyDescent="0.25">
      <c r="A2829">
        <v>2828</v>
      </c>
      <c r="B2829" s="1" t="s">
        <v>12</v>
      </c>
      <c r="C2829">
        <v>1964</v>
      </c>
      <c r="D2829" s="1" t="s">
        <v>259</v>
      </c>
      <c r="E2829" s="1" t="s">
        <v>22</v>
      </c>
      <c r="F2829">
        <v>14</v>
      </c>
      <c r="G2829" s="1" t="s">
        <v>28</v>
      </c>
      <c r="H2829">
        <v>14014</v>
      </c>
      <c r="I2829">
        <v>160</v>
      </c>
      <c r="J2829">
        <v>160</v>
      </c>
      <c r="K2829">
        <v>150</v>
      </c>
      <c r="L2829">
        <v>937</v>
      </c>
    </row>
    <row r="2830" spans="1:12" hidden="1" x14ac:dyDescent="0.25">
      <c r="A2830">
        <v>2829</v>
      </c>
      <c r="B2830" s="1" t="s">
        <v>12</v>
      </c>
      <c r="C2830">
        <v>1964</v>
      </c>
      <c r="D2830" s="1" t="s">
        <v>259</v>
      </c>
      <c r="E2830" s="1" t="s">
        <v>22</v>
      </c>
      <c r="F2830">
        <v>14</v>
      </c>
      <c r="G2830" s="1" t="s">
        <v>173</v>
      </c>
      <c r="H2830">
        <v>14028</v>
      </c>
      <c r="I2830">
        <v>130</v>
      </c>
      <c r="J2830">
        <v>45</v>
      </c>
      <c r="K2830">
        <v>20</v>
      </c>
      <c r="L2830">
        <v>444</v>
      </c>
    </row>
    <row r="2831" spans="1:12" hidden="1" x14ac:dyDescent="0.25">
      <c r="A2831">
        <v>2830</v>
      </c>
      <c r="B2831" s="1" t="s">
        <v>12</v>
      </c>
      <c r="C2831">
        <v>1964</v>
      </c>
      <c r="D2831" s="1" t="s">
        <v>259</v>
      </c>
      <c r="E2831" s="1" t="s">
        <v>22</v>
      </c>
      <c r="F2831">
        <v>14</v>
      </c>
      <c r="G2831" s="1" t="s">
        <v>27</v>
      </c>
      <c r="H2831">
        <v>14021</v>
      </c>
      <c r="I2831">
        <v>100</v>
      </c>
      <c r="J2831">
        <v>80</v>
      </c>
      <c r="K2831">
        <v>60</v>
      </c>
      <c r="L2831">
        <v>750</v>
      </c>
    </row>
    <row r="2832" spans="1:12" hidden="1" x14ac:dyDescent="0.25">
      <c r="A2832">
        <v>2831</v>
      </c>
      <c r="B2832" s="1" t="s">
        <v>12</v>
      </c>
      <c r="C2832">
        <v>1964</v>
      </c>
      <c r="D2832" s="1" t="s">
        <v>259</v>
      </c>
      <c r="E2832" s="1" t="s">
        <v>22</v>
      </c>
      <c r="F2832">
        <v>14</v>
      </c>
      <c r="G2832" s="1" t="s">
        <v>170</v>
      </c>
      <c r="H2832">
        <v>14049</v>
      </c>
      <c r="I2832">
        <v>100</v>
      </c>
      <c r="J2832">
        <v>25</v>
      </c>
      <c r="K2832">
        <v>11</v>
      </c>
      <c r="L2832">
        <v>440</v>
      </c>
    </row>
    <row r="2833" spans="1:12" hidden="1" x14ac:dyDescent="0.25">
      <c r="A2833">
        <v>2832</v>
      </c>
      <c r="B2833" s="1" t="s">
        <v>12</v>
      </c>
      <c r="C2833">
        <v>1964</v>
      </c>
      <c r="D2833" s="1" t="s">
        <v>259</v>
      </c>
      <c r="E2833" s="1" t="s">
        <v>22</v>
      </c>
      <c r="F2833">
        <v>14</v>
      </c>
      <c r="G2833" s="1" t="s">
        <v>114</v>
      </c>
      <c r="H2833">
        <v>14168</v>
      </c>
      <c r="I2833">
        <v>50</v>
      </c>
      <c r="J2833">
        <v>40</v>
      </c>
      <c r="K2833">
        <v>24</v>
      </c>
      <c r="L2833">
        <v>600</v>
      </c>
    </row>
    <row r="2834" spans="1:12" hidden="1" x14ac:dyDescent="0.25">
      <c r="A2834">
        <v>2833</v>
      </c>
      <c r="B2834" s="1" t="s">
        <v>12</v>
      </c>
      <c r="C2834">
        <v>1964</v>
      </c>
      <c r="D2834" s="1" t="s">
        <v>259</v>
      </c>
      <c r="E2834" s="1" t="s">
        <v>22</v>
      </c>
      <c r="F2834">
        <v>14</v>
      </c>
      <c r="G2834" s="1" t="s">
        <v>169</v>
      </c>
      <c r="H2834">
        <v>14126</v>
      </c>
      <c r="I2834">
        <v>40</v>
      </c>
      <c r="J2834">
        <v>40</v>
      </c>
      <c r="K2834">
        <v>35</v>
      </c>
      <c r="L2834">
        <v>875</v>
      </c>
    </row>
    <row r="2835" spans="1:12" hidden="1" x14ac:dyDescent="0.25">
      <c r="A2835">
        <v>2834</v>
      </c>
      <c r="B2835" s="1" t="s">
        <v>12</v>
      </c>
      <c r="C2835">
        <v>1964</v>
      </c>
      <c r="D2835" s="1" t="s">
        <v>259</v>
      </c>
      <c r="E2835" s="1" t="s">
        <v>22</v>
      </c>
      <c r="F2835">
        <v>14</v>
      </c>
      <c r="G2835" s="1" t="s">
        <v>172</v>
      </c>
      <c r="H2835">
        <v>14091</v>
      </c>
      <c r="I2835">
        <v>25</v>
      </c>
      <c r="J2835">
        <v>25</v>
      </c>
      <c r="K2835">
        <v>19</v>
      </c>
      <c r="L2835">
        <v>760</v>
      </c>
    </row>
    <row r="2836" spans="1:12" hidden="1" x14ac:dyDescent="0.25">
      <c r="A2836">
        <v>2835</v>
      </c>
      <c r="B2836" s="1" t="s">
        <v>12</v>
      </c>
      <c r="C2836">
        <v>1964</v>
      </c>
      <c r="D2836" s="1" t="s">
        <v>259</v>
      </c>
      <c r="E2836" s="1" t="s">
        <v>22</v>
      </c>
      <c r="F2836">
        <v>14</v>
      </c>
      <c r="G2836" s="1" t="s">
        <v>62</v>
      </c>
      <c r="H2836">
        <v>14133</v>
      </c>
      <c r="I2836">
        <v>20</v>
      </c>
      <c r="J2836">
        <v>20</v>
      </c>
      <c r="K2836">
        <v>18</v>
      </c>
      <c r="L2836">
        <v>900</v>
      </c>
    </row>
    <row r="2837" spans="1:12" hidden="1" x14ac:dyDescent="0.25">
      <c r="A2837">
        <v>2836</v>
      </c>
      <c r="B2837" s="1" t="s">
        <v>12</v>
      </c>
      <c r="C2837">
        <v>1964</v>
      </c>
      <c r="D2837" s="1" t="s">
        <v>259</v>
      </c>
      <c r="E2837" s="1" t="s">
        <v>30</v>
      </c>
      <c r="F2837">
        <v>18</v>
      </c>
      <c r="G2837" s="1" t="s">
        <v>34</v>
      </c>
      <c r="H2837">
        <v>18042</v>
      </c>
      <c r="I2837">
        <v>35</v>
      </c>
      <c r="J2837">
        <v>30</v>
      </c>
      <c r="K2837">
        <v>21</v>
      </c>
      <c r="L2837">
        <v>700</v>
      </c>
    </row>
    <row r="2838" spans="1:12" hidden="1" x14ac:dyDescent="0.25">
      <c r="A2838">
        <v>2837</v>
      </c>
      <c r="B2838" s="1" t="s">
        <v>12</v>
      </c>
      <c r="C2838">
        <v>1964</v>
      </c>
      <c r="D2838" s="1" t="s">
        <v>259</v>
      </c>
      <c r="E2838" s="1" t="s">
        <v>30</v>
      </c>
      <c r="F2838">
        <v>18</v>
      </c>
      <c r="G2838" s="1" t="s">
        <v>99</v>
      </c>
      <c r="H2838">
        <v>18063</v>
      </c>
      <c r="I2838">
        <v>30</v>
      </c>
      <c r="J2838">
        <v>27</v>
      </c>
      <c r="K2838">
        <v>19</v>
      </c>
      <c r="L2838">
        <v>704</v>
      </c>
    </row>
    <row r="2839" spans="1:12" hidden="1" x14ac:dyDescent="0.25">
      <c r="A2839">
        <v>2838</v>
      </c>
      <c r="B2839" s="1" t="s">
        <v>12</v>
      </c>
      <c r="C2839">
        <v>1964</v>
      </c>
      <c r="D2839" s="1" t="s">
        <v>259</v>
      </c>
      <c r="E2839" s="1" t="s">
        <v>30</v>
      </c>
      <c r="F2839">
        <v>18</v>
      </c>
      <c r="G2839" s="1" t="s">
        <v>36</v>
      </c>
      <c r="H2839">
        <v>18133</v>
      </c>
      <c r="I2839">
        <v>30</v>
      </c>
      <c r="J2839">
        <v>25</v>
      </c>
      <c r="K2839">
        <v>16</v>
      </c>
      <c r="L2839">
        <v>640</v>
      </c>
    </row>
    <row r="2840" spans="1:12" hidden="1" x14ac:dyDescent="0.25">
      <c r="A2840">
        <v>2839</v>
      </c>
      <c r="B2840" s="1" t="s">
        <v>12</v>
      </c>
      <c r="C2840">
        <v>1964</v>
      </c>
      <c r="D2840" s="1" t="s">
        <v>259</v>
      </c>
      <c r="E2840" s="1" t="s">
        <v>30</v>
      </c>
      <c r="F2840">
        <v>18</v>
      </c>
      <c r="G2840" s="1" t="s">
        <v>41</v>
      </c>
      <c r="H2840">
        <v>18140</v>
      </c>
      <c r="I2840">
        <v>30</v>
      </c>
      <c r="J2840">
        <v>27</v>
      </c>
      <c r="K2840">
        <v>20</v>
      </c>
      <c r="L2840">
        <v>740</v>
      </c>
    </row>
    <row r="2841" spans="1:12" hidden="1" x14ac:dyDescent="0.25">
      <c r="A2841">
        <v>2840</v>
      </c>
      <c r="B2841" s="1" t="s">
        <v>12</v>
      </c>
      <c r="C2841">
        <v>1964</v>
      </c>
      <c r="D2841" s="1" t="s">
        <v>259</v>
      </c>
      <c r="E2841" s="1" t="s">
        <v>30</v>
      </c>
      <c r="F2841">
        <v>18</v>
      </c>
      <c r="G2841" s="1" t="s">
        <v>40</v>
      </c>
      <c r="H2841">
        <v>18126</v>
      </c>
      <c r="I2841">
        <v>23</v>
      </c>
      <c r="J2841">
        <v>16</v>
      </c>
      <c r="K2841">
        <v>10</v>
      </c>
      <c r="L2841">
        <v>625</v>
      </c>
    </row>
    <row r="2842" spans="1:12" hidden="1" x14ac:dyDescent="0.25">
      <c r="A2842">
        <v>2841</v>
      </c>
      <c r="B2842" s="1" t="s">
        <v>12</v>
      </c>
      <c r="C2842">
        <v>1964</v>
      </c>
      <c r="D2842" s="1" t="s">
        <v>259</v>
      </c>
      <c r="E2842" s="1" t="s">
        <v>30</v>
      </c>
      <c r="F2842">
        <v>18</v>
      </c>
      <c r="G2842" s="1" t="s">
        <v>28</v>
      </c>
      <c r="H2842">
        <v>18021</v>
      </c>
      <c r="I2842">
        <v>20</v>
      </c>
      <c r="J2842">
        <v>18</v>
      </c>
      <c r="K2842">
        <v>12</v>
      </c>
      <c r="L2842">
        <v>667</v>
      </c>
    </row>
    <row r="2843" spans="1:12" hidden="1" x14ac:dyDescent="0.25">
      <c r="A2843">
        <v>2842</v>
      </c>
      <c r="B2843" s="1" t="s">
        <v>12</v>
      </c>
      <c r="C2843">
        <v>1964</v>
      </c>
      <c r="D2843" s="1" t="s">
        <v>259</v>
      </c>
      <c r="E2843" s="1" t="s">
        <v>30</v>
      </c>
      <c r="F2843">
        <v>18</v>
      </c>
      <c r="G2843" s="1" t="s">
        <v>63</v>
      </c>
      <c r="H2843">
        <v>18028</v>
      </c>
      <c r="I2843">
        <v>15</v>
      </c>
      <c r="J2843">
        <v>6</v>
      </c>
      <c r="K2843">
        <v>3</v>
      </c>
      <c r="L2843">
        <v>500</v>
      </c>
    </row>
    <row r="2844" spans="1:12" hidden="1" x14ac:dyDescent="0.25">
      <c r="A2844">
        <v>2843</v>
      </c>
      <c r="B2844" s="1" t="s">
        <v>12</v>
      </c>
      <c r="C2844">
        <v>1964</v>
      </c>
      <c r="D2844" s="1" t="s">
        <v>259</v>
      </c>
      <c r="E2844" s="1" t="s">
        <v>30</v>
      </c>
      <c r="F2844">
        <v>18</v>
      </c>
      <c r="G2844" s="1" t="s">
        <v>103</v>
      </c>
      <c r="H2844">
        <v>18154</v>
      </c>
      <c r="I2844">
        <v>15</v>
      </c>
      <c r="J2844">
        <v>14</v>
      </c>
      <c r="K2844">
        <v>10</v>
      </c>
      <c r="L2844">
        <v>714</v>
      </c>
    </row>
    <row r="2845" spans="1:12" hidden="1" x14ac:dyDescent="0.25">
      <c r="A2845">
        <v>2844</v>
      </c>
      <c r="B2845" s="1" t="s">
        <v>12</v>
      </c>
      <c r="C2845">
        <v>1964</v>
      </c>
      <c r="D2845" s="1" t="s">
        <v>259</v>
      </c>
      <c r="E2845" s="1" t="s">
        <v>30</v>
      </c>
      <c r="F2845">
        <v>18</v>
      </c>
      <c r="G2845" s="1" t="s">
        <v>98</v>
      </c>
      <c r="H2845">
        <v>18098</v>
      </c>
      <c r="I2845">
        <v>12</v>
      </c>
      <c r="J2845">
        <v>7</v>
      </c>
      <c r="K2845">
        <v>4</v>
      </c>
      <c r="L2845">
        <v>571</v>
      </c>
    </row>
    <row r="2846" spans="1:12" hidden="1" x14ac:dyDescent="0.25">
      <c r="A2846">
        <v>2845</v>
      </c>
      <c r="B2846" s="1" t="s">
        <v>12</v>
      </c>
      <c r="C2846">
        <v>1964</v>
      </c>
      <c r="D2846" s="1" t="s">
        <v>259</v>
      </c>
      <c r="E2846" s="1" t="s">
        <v>30</v>
      </c>
      <c r="F2846">
        <v>18</v>
      </c>
      <c r="G2846" s="1" t="s">
        <v>35</v>
      </c>
      <c r="H2846">
        <v>18049</v>
      </c>
      <c r="I2846">
        <v>5</v>
      </c>
      <c r="J2846">
        <v>2</v>
      </c>
      <c r="K2846">
        <v>1</v>
      </c>
      <c r="L2846">
        <v>500</v>
      </c>
    </row>
    <row r="2847" spans="1:12" hidden="1" x14ac:dyDescent="0.25">
      <c r="A2847">
        <v>2846</v>
      </c>
      <c r="B2847" s="1" t="s">
        <v>12</v>
      </c>
      <c r="C2847">
        <v>1964</v>
      </c>
      <c r="D2847" s="1" t="s">
        <v>259</v>
      </c>
      <c r="E2847" s="1" t="s">
        <v>30</v>
      </c>
      <c r="F2847">
        <v>18</v>
      </c>
      <c r="G2847" s="1" t="s">
        <v>100</v>
      </c>
      <c r="H2847">
        <v>18077</v>
      </c>
      <c r="I2847">
        <v>5</v>
      </c>
      <c r="J2847">
        <v>5</v>
      </c>
      <c r="K2847">
        <v>3</v>
      </c>
      <c r="L2847">
        <v>600</v>
      </c>
    </row>
    <row r="2848" spans="1:12" hidden="1" x14ac:dyDescent="0.25">
      <c r="A2848">
        <v>2847</v>
      </c>
      <c r="B2848" s="1" t="s">
        <v>12</v>
      </c>
      <c r="C2848">
        <v>1964</v>
      </c>
      <c r="D2848" s="1" t="s">
        <v>259</v>
      </c>
      <c r="E2848" s="1" t="s">
        <v>30</v>
      </c>
      <c r="F2848">
        <v>18</v>
      </c>
      <c r="G2848" s="1" t="s">
        <v>39</v>
      </c>
      <c r="H2848">
        <v>18084</v>
      </c>
      <c r="I2848">
        <v>5</v>
      </c>
      <c r="J2848">
        <v>2</v>
      </c>
      <c r="K2848">
        <v>1</v>
      </c>
      <c r="L2848">
        <v>500</v>
      </c>
    </row>
    <row r="2849" spans="1:12" hidden="1" x14ac:dyDescent="0.25">
      <c r="A2849">
        <v>2848</v>
      </c>
      <c r="B2849" s="1" t="s">
        <v>12</v>
      </c>
      <c r="C2849">
        <v>1964</v>
      </c>
      <c r="D2849" s="1" t="s">
        <v>259</v>
      </c>
      <c r="E2849" s="1" t="s">
        <v>45</v>
      </c>
      <c r="F2849">
        <v>30</v>
      </c>
      <c r="G2849" s="1" t="s">
        <v>47</v>
      </c>
      <c r="H2849">
        <v>30015</v>
      </c>
      <c r="I2849">
        <v>110</v>
      </c>
      <c r="J2849">
        <v>10</v>
      </c>
      <c r="K2849">
        <v>4</v>
      </c>
      <c r="L2849">
        <v>400</v>
      </c>
    </row>
    <row r="2850" spans="1:12" hidden="1" x14ac:dyDescent="0.25">
      <c r="A2850">
        <v>2849</v>
      </c>
      <c r="B2850" s="1" t="s">
        <v>12</v>
      </c>
      <c r="C2850">
        <v>1964</v>
      </c>
      <c r="D2850" s="1" t="s">
        <v>259</v>
      </c>
      <c r="E2850" s="1" t="s">
        <v>45</v>
      </c>
      <c r="F2850">
        <v>30</v>
      </c>
      <c r="G2850" s="1" t="s">
        <v>46</v>
      </c>
      <c r="H2850">
        <v>30028</v>
      </c>
      <c r="I2850">
        <v>40</v>
      </c>
      <c r="J2850">
        <v>5</v>
      </c>
      <c r="K2850">
        <v>2</v>
      </c>
      <c r="L2850">
        <v>400</v>
      </c>
    </row>
    <row r="2851" spans="1:12" hidden="1" x14ac:dyDescent="0.25">
      <c r="A2851">
        <v>2850</v>
      </c>
      <c r="B2851" s="1" t="s">
        <v>12</v>
      </c>
      <c r="C2851">
        <v>1964</v>
      </c>
      <c r="D2851" s="1" t="s">
        <v>259</v>
      </c>
      <c r="E2851" s="1" t="s">
        <v>45</v>
      </c>
      <c r="F2851">
        <v>30</v>
      </c>
      <c r="G2851" s="1" t="s">
        <v>27</v>
      </c>
      <c r="H2851">
        <v>30008</v>
      </c>
      <c r="I2851">
        <v>5</v>
      </c>
      <c r="J2851">
        <v>4</v>
      </c>
      <c r="K2851">
        <v>2</v>
      </c>
      <c r="L2851">
        <v>500</v>
      </c>
    </row>
    <row r="2852" spans="1:12" hidden="1" x14ac:dyDescent="0.25">
      <c r="A2852">
        <v>2851</v>
      </c>
      <c r="B2852" s="1" t="s">
        <v>12</v>
      </c>
      <c r="C2852">
        <v>1964</v>
      </c>
      <c r="D2852" s="1" t="s">
        <v>259</v>
      </c>
      <c r="E2852" s="1" t="s">
        <v>48</v>
      </c>
      <c r="F2852">
        <v>34</v>
      </c>
      <c r="G2852" s="1" t="s">
        <v>51</v>
      </c>
      <c r="H2852">
        <v>34056</v>
      </c>
      <c r="I2852">
        <v>30</v>
      </c>
      <c r="J2852">
        <v>20</v>
      </c>
      <c r="K2852">
        <v>14</v>
      </c>
      <c r="L2852">
        <v>700</v>
      </c>
    </row>
    <row r="2853" spans="1:12" hidden="1" x14ac:dyDescent="0.25">
      <c r="A2853">
        <v>2852</v>
      </c>
      <c r="B2853" s="1" t="s">
        <v>12</v>
      </c>
      <c r="C2853">
        <v>1964</v>
      </c>
      <c r="D2853" s="1" t="s">
        <v>259</v>
      </c>
      <c r="E2853" s="1" t="s">
        <v>48</v>
      </c>
      <c r="F2853">
        <v>34</v>
      </c>
      <c r="G2853" s="1" t="s">
        <v>49</v>
      </c>
      <c r="H2853">
        <v>34049</v>
      </c>
      <c r="I2853">
        <v>25</v>
      </c>
      <c r="J2853">
        <v>18</v>
      </c>
      <c r="K2853">
        <v>11</v>
      </c>
      <c r="L2853">
        <v>611</v>
      </c>
    </row>
    <row r="2854" spans="1:12" hidden="1" x14ac:dyDescent="0.25">
      <c r="A2854">
        <v>2853</v>
      </c>
      <c r="B2854" s="1" t="s">
        <v>12</v>
      </c>
      <c r="C2854">
        <v>1964</v>
      </c>
      <c r="D2854" s="1" t="s">
        <v>259</v>
      </c>
      <c r="E2854" s="1" t="s">
        <v>48</v>
      </c>
      <c r="F2854">
        <v>34</v>
      </c>
      <c r="G2854" s="1" t="s">
        <v>108</v>
      </c>
      <c r="H2854">
        <v>34042</v>
      </c>
      <c r="I2854">
        <v>20</v>
      </c>
      <c r="J2854">
        <v>15</v>
      </c>
      <c r="K2854">
        <v>10</v>
      </c>
      <c r="L2854">
        <v>667</v>
      </c>
    </row>
    <row r="2855" spans="1:12" hidden="1" x14ac:dyDescent="0.25">
      <c r="A2855">
        <v>2854</v>
      </c>
      <c r="B2855" s="1" t="s">
        <v>12</v>
      </c>
      <c r="C2855">
        <v>1964</v>
      </c>
      <c r="D2855" s="1" t="s">
        <v>259</v>
      </c>
      <c r="E2855" s="1" t="s">
        <v>48</v>
      </c>
      <c r="F2855">
        <v>34</v>
      </c>
      <c r="G2855" s="1" t="s">
        <v>48</v>
      </c>
      <c r="H2855">
        <v>34014</v>
      </c>
      <c r="I2855">
        <v>15</v>
      </c>
      <c r="J2855">
        <v>10</v>
      </c>
      <c r="K2855">
        <v>6</v>
      </c>
      <c r="L2855">
        <v>600</v>
      </c>
    </row>
    <row r="2856" spans="1:12" hidden="1" x14ac:dyDescent="0.25">
      <c r="A2856">
        <v>2855</v>
      </c>
      <c r="B2856" s="1" t="s">
        <v>12</v>
      </c>
      <c r="C2856">
        <v>1964</v>
      </c>
      <c r="D2856" s="1" t="s">
        <v>259</v>
      </c>
      <c r="E2856" s="1" t="s">
        <v>48</v>
      </c>
      <c r="F2856">
        <v>34</v>
      </c>
      <c r="G2856" s="1" t="s">
        <v>50</v>
      </c>
      <c r="H2856">
        <v>34021</v>
      </c>
      <c r="I2856">
        <v>15</v>
      </c>
      <c r="J2856">
        <v>12</v>
      </c>
      <c r="K2856">
        <v>7</v>
      </c>
      <c r="L2856">
        <v>583</v>
      </c>
    </row>
    <row r="2857" spans="1:12" hidden="1" x14ac:dyDescent="0.25">
      <c r="A2857">
        <v>2856</v>
      </c>
      <c r="B2857" s="1" t="s">
        <v>12</v>
      </c>
      <c r="C2857">
        <v>1964</v>
      </c>
      <c r="D2857" s="1" t="s">
        <v>259</v>
      </c>
      <c r="E2857" s="1" t="s">
        <v>48</v>
      </c>
      <c r="F2857">
        <v>34</v>
      </c>
      <c r="G2857" s="1" t="s">
        <v>52</v>
      </c>
      <c r="H2857">
        <v>34035</v>
      </c>
      <c r="I2857">
        <v>10</v>
      </c>
      <c r="J2857">
        <v>8</v>
      </c>
      <c r="K2857">
        <v>6</v>
      </c>
      <c r="L2857">
        <v>750</v>
      </c>
    </row>
    <row r="2858" spans="1:12" hidden="1" x14ac:dyDescent="0.25">
      <c r="A2858">
        <v>2857</v>
      </c>
      <c r="B2858" s="1" t="s">
        <v>12</v>
      </c>
      <c r="C2858">
        <v>1964</v>
      </c>
      <c r="D2858" s="1" t="s">
        <v>259</v>
      </c>
      <c r="E2858" s="1" t="s">
        <v>58</v>
      </c>
      <c r="F2858">
        <v>54</v>
      </c>
      <c r="G2858" s="1" t="s">
        <v>242</v>
      </c>
      <c r="H2858">
        <v>54091</v>
      </c>
      <c r="I2858">
        <v>72</v>
      </c>
      <c r="J2858">
        <v>72</v>
      </c>
      <c r="K2858">
        <v>58</v>
      </c>
      <c r="L2858">
        <v>806</v>
      </c>
    </row>
    <row r="2859" spans="1:12" hidden="1" x14ac:dyDescent="0.25">
      <c r="A2859">
        <v>2858</v>
      </c>
      <c r="B2859" s="1" t="s">
        <v>12</v>
      </c>
      <c r="C2859">
        <v>1964</v>
      </c>
      <c r="D2859" s="1" t="s">
        <v>259</v>
      </c>
      <c r="E2859" s="1" t="s">
        <v>58</v>
      </c>
      <c r="F2859">
        <v>54</v>
      </c>
      <c r="G2859" s="1" t="s">
        <v>60</v>
      </c>
      <c r="H2859">
        <v>54021</v>
      </c>
      <c r="I2859">
        <v>55</v>
      </c>
      <c r="J2859">
        <v>50</v>
      </c>
      <c r="K2859">
        <v>40</v>
      </c>
      <c r="L2859">
        <v>800</v>
      </c>
    </row>
    <row r="2860" spans="1:12" hidden="1" x14ac:dyDescent="0.25">
      <c r="A2860">
        <v>2859</v>
      </c>
      <c r="B2860" s="1" t="s">
        <v>12</v>
      </c>
      <c r="C2860">
        <v>1964</v>
      </c>
      <c r="D2860" s="1" t="s">
        <v>259</v>
      </c>
      <c r="E2860" s="1" t="s">
        <v>58</v>
      </c>
      <c r="F2860">
        <v>54</v>
      </c>
      <c r="G2860" s="1" t="s">
        <v>61</v>
      </c>
      <c r="H2860">
        <v>54098</v>
      </c>
      <c r="I2860">
        <v>53</v>
      </c>
      <c r="J2860">
        <v>53</v>
      </c>
      <c r="K2860">
        <v>42</v>
      </c>
      <c r="L2860">
        <v>792</v>
      </c>
    </row>
    <row r="2861" spans="1:12" hidden="1" x14ac:dyDescent="0.25">
      <c r="A2861">
        <v>2860</v>
      </c>
      <c r="B2861" s="1" t="s">
        <v>12</v>
      </c>
      <c r="C2861">
        <v>1964</v>
      </c>
      <c r="D2861" s="1" t="s">
        <v>259</v>
      </c>
      <c r="E2861" s="1" t="s">
        <v>58</v>
      </c>
      <c r="F2861">
        <v>54</v>
      </c>
      <c r="G2861" s="1" t="s">
        <v>243</v>
      </c>
      <c r="H2861">
        <v>54070</v>
      </c>
      <c r="I2861">
        <v>48</v>
      </c>
      <c r="J2861">
        <v>43</v>
      </c>
      <c r="K2861">
        <v>37</v>
      </c>
      <c r="L2861">
        <v>860</v>
      </c>
    </row>
    <row r="2862" spans="1:12" hidden="1" x14ac:dyDescent="0.25">
      <c r="A2862">
        <v>2861</v>
      </c>
      <c r="B2862" s="1" t="s">
        <v>12</v>
      </c>
      <c r="C2862">
        <v>1964</v>
      </c>
      <c r="D2862" s="1" t="s">
        <v>259</v>
      </c>
      <c r="E2862" s="1" t="s">
        <v>58</v>
      </c>
      <c r="F2862">
        <v>54</v>
      </c>
      <c r="G2862" s="1" t="s">
        <v>59</v>
      </c>
      <c r="H2862">
        <v>54007</v>
      </c>
      <c r="I2862">
        <v>43</v>
      </c>
      <c r="J2862">
        <v>39</v>
      </c>
      <c r="K2862">
        <v>30</v>
      </c>
      <c r="L2862">
        <v>769</v>
      </c>
    </row>
    <row r="2863" spans="1:12" hidden="1" x14ac:dyDescent="0.25">
      <c r="A2863">
        <v>2862</v>
      </c>
      <c r="B2863" s="1" t="s">
        <v>12</v>
      </c>
      <c r="C2863">
        <v>1964</v>
      </c>
      <c r="D2863" s="1" t="s">
        <v>259</v>
      </c>
      <c r="E2863" s="1" t="s">
        <v>58</v>
      </c>
      <c r="F2863">
        <v>54</v>
      </c>
      <c r="G2863" s="1" t="s">
        <v>63</v>
      </c>
      <c r="H2863">
        <v>54035</v>
      </c>
      <c r="I2863">
        <v>35</v>
      </c>
      <c r="J2863">
        <v>32</v>
      </c>
      <c r="K2863">
        <v>25</v>
      </c>
      <c r="L2863">
        <v>781</v>
      </c>
    </row>
    <row r="2864" spans="1:12" hidden="1" x14ac:dyDescent="0.25">
      <c r="A2864">
        <v>2863</v>
      </c>
      <c r="B2864" s="1" t="s">
        <v>12</v>
      </c>
      <c r="C2864">
        <v>1964</v>
      </c>
      <c r="D2864" s="1" t="s">
        <v>259</v>
      </c>
      <c r="E2864" s="1" t="s">
        <v>58</v>
      </c>
      <c r="F2864">
        <v>54</v>
      </c>
      <c r="G2864" s="1" t="s">
        <v>62</v>
      </c>
      <c r="H2864">
        <v>54105</v>
      </c>
      <c r="I2864">
        <v>25</v>
      </c>
      <c r="J2864">
        <v>22</v>
      </c>
      <c r="K2864">
        <v>18</v>
      </c>
      <c r="L2864">
        <v>818</v>
      </c>
    </row>
    <row r="2865" spans="1:12" hidden="1" x14ac:dyDescent="0.25">
      <c r="A2865">
        <v>2864</v>
      </c>
      <c r="B2865" s="1" t="s">
        <v>12</v>
      </c>
      <c r="C2865">
        <v>1964</v>
      </c>
      <c r="D2865" s="1" t="s">
        <v>259</v>
      </c>
      <c r="E2865" s="1" t="s">
        <v>58</v>
      </c>
      <c r="F2865">
        <v>54</v>
      </c>
      <c r="G2865" s="1" t="s">
        <v>150</v>
      </c>
      <c r="H2865">
        <v>54014</v>
      </c>
      <c r="I2865">
        <v>22</v>
      </c>
      <c r="J2865">
        <v>22</v>
      </c>
      <c r="K2865">
        <v>17</v>
      </c>
      <c r="L2865">
        <v>773</v>
      </c>
    </row>
    <row r="2866" spans="1:12" hidden="1" x14ac:dyDescent="0.25">
      <c r="A2866">
        <v>2865</v>
      </c>
      <c r="B2866" s="1" t="s">
        <v>12</v>
      </c>
      <c r="C2866">
        <v>1964</v>
      </c>
      <c r="D2866" s="1" t="s">
        <v>259</v>
      </c>
      <c r="E2866" s="1" t="s">
        <v>58</v>
      </c>
      <c r="F2866">
        <v>54</v>
      </c>
      <c r="G2866" s="1" t="s">
        <v>244</v>
      </c>
      <c r="H2866">
        <v>54084</v>
      </c>
      <c r="I2866">
        <v>22</v>
      </c>
      <c r="J2866">
        <v>22</v>
      </c>
      <c r="K2866">
        <v>18</v>
      </c>
      <c r="L2866">
        <v>818</v>
      </c>
    </row>
    <row r="2867" spans="1:12" hidden="1" x14ac:dyDescent="0.25">
      <c r="A2867">
        <v>2866</v>
      </c>
      <c r="B2867" s="1" t="s">
        <v>12</v>
      </c>
      <c r="C2867">
        <v>1964</v>
      </c>
      <c r="D2867" s="1" t="s">
        <v>259</v>
      </c>
      <c r="E2867" s="1" t="s">
        <v>58</v>
      </c>
      <c r="F2867">
        <v>54</v>
      </c>
      <c r="G2867" s="1" t="s">
        <v>245</v>
      </c>
      <c r="H2867">
        <v>54042</v>
      </c>
      <c r="I2867">
        <v>15</v>
      </c>
      <c r="J2867">
        <v>15</v>
      </c>
      <c r="K2867">
        <v>11</v>
      </c>
      <c r="L2867">
        <v>733</v>
      </c>
    </row>
    <row r="2868" spans="1:12" hidden="1" x14ac:dyDescent="0.25">
      <c r="A2868">
        <v>2867</v>
      </c>
      <c r="B2868" s="1" t="s">
        <v>12</v>
      </c>
      <c r="C2868">
        <v>1964</v>
      </c>
      <c r="D2868" s="1" t="s">
        <v>259</v>
      </c>
      <c r="E2868" s="1" t="s">
        <v>58</v>
      </c>
      <c r="F2868">
        <v>54</v>
      </c>
      <c r="G2868" s="1" t="s">
        <v>152</v>
      </c>
      <c r="H2868">
        <v>54063</v>
      </c>
      <c r="I2868">
        <v>15</v>
      </c>
      <c r="J2868">
        <v>15</v>
      </c>
      <c r="K2868">
        <v>11</v>
      </c>
      <c r="L2868">
        <v>733</v>
      </c>
    </row>
    <row r="2869" spans="1:12" hidden="1" x14ac:dyDescent="0.25">
      <c r="A2869">
        <v>2868</v>
      </c>
      <c r="B2869" s="1" t="s">
        <v>12</v>
      </c>
      <c r="C2869">
        <v>1964</v>
      </c>
      <c r="D2869" s="1" t="s">
        <v>259</v>
      </c>
      <c r="E2869" s="1" t="s">
        <v>58</v>
      </c>
      <c r="F2869">
        <v>54</v>
      </c>
      <c r="G2869" s="1" t="s">
        <v>119</v>
      </c>
      <c r="H2869">
        <v>54077</v>
      </c>
      <c r="I2869">
        <v>15</v>
      </c>
      <c r="J2869">
        <v>15</v>
      </c>
      <c r="K2869">
        <v>11</v>
      </c>
      <c r="L2869">
        <v>733</v>
      </c>
    </row>
    <row r="2870" spans="1:12" hidden="1" x14ac:dyDescent="0.25">
      <c r="A2870">
        <v>2869</v>
      </c>
      <c r="B2870" s="1" t="s">
        <v>12</v>
      </c>
      <c r="C2870">
        <v>1964</v>
      </c>
      <c r="D2870" s="1" t="s">
        <v>259</v>
      </c>
      <c r="E2870" s="1" t="s">
        <v>58</v>
      </c>
      <c r="F2870">
        <v>54</v>
      </c>
      <c r="G2870" s="1" t="s">
        <v>151</v>
      </c>
      <c r="H2870">
        <v>54056</v>
      </c>
      <c r="I2870">
        <v>5</v>
      </c>
      <c r="J2870">
        <v>5</v>
      </c>
      <c r="K2870">
        <v>4</v>
      </c>
      <c r="L2870">
        <v>800</v>
      </c>
    </row>
    <row r="2871" spans="1:12" x14ac:dyDescent="0.25">
      <c r="A2871">
        <v>2870</v>
      </c>
      <c r="B2871" s="1" t="s">
        <v>12</v>
      </c>
      <c r="C2871">
        <v>1964</v>
      </c>
      <c r="D2871" s="1" t="s">
        <v>259</v>
      </c>
      <c r="E2871" s="1" t="s">
        <v>58</v>
      </c>
      <c r="F2871">
        <v>54</v>
      </c>
      <c r="G2871" s="1" t="s">
        <v>56</v>
      </c>
      <c r="H2871">
        <v>54112</v>
      </c>
      <c r="I2871">
        <v>5</v>
      </c>
      <c r="J2871">
        <v>5</v>
      </c>
      <c r="K2871">
        <v>4</v>
      </c>
      <c r="L2871">
        <v>800</v>
      </c>
    </row>
    <row r="2872" spans="1:12" hidden="1" x14ac:dyDescent="0.25">
      <c r="A2872">
        <v>2871</v>
      </c>
      <c r="B2872" s="1" t="s">
        <v>12</v>
      </c>
      <c r="C2872">
        <v>1964</v>
      </c>
      <c r="D2872" s="1" t="s">
        <v>259</v>
      </c>
      <c r="E2872" s="1" t="s">
        <v>58</v>
      </c>
      <c r="F2872">
        <v>54</v>
      </c>
      <c r="G2872" s="1" t="s">
        <v>258</v>
      </c>
      <c r="H2872">
        <v>54049</v>
      </c>
      <c r="I2872">
        <v>3</v>
      </c>
      <c r="J2872">
        <v>3</v>
      </c>
      <c r="K2872">
        <v>2</v>
      </c>
      <c r="L2872">
        <v>667</v>
      </c>
    </row>
    <row r="2873" spans="1:12" hidden="1" x14ac:dyDescent="0.25">
      <c r="A2873">
        <v>2872</v>
      </c>
      <c r="B2873" s="1" t="s">
        <v>12</v>
      </c>
      <c r="C2873">
        <v>1964</v>
      </c>
      <c r="D2873" s="1" t="s">
        <v>259</v>
      </c>
      <c r="E2873" s="1" t="s">
        <v>58</v>
      </c>
      <c r="F2873">
        <v>54</v>
      </c>
      <c r="G2873" s="1" t="s">
        <v>234</v>
      </c>
      <c r="H2873">
        <v>54119</v>
      </c>
      <c r="I2873">
        <v>3</v>
      </c>
      <c r="J2873">
        <v>3</v>
      </c>
      <c r="K2873">
        <v>2</v>
      </c>
      <c r="L2873">
        <v>667</v>
      </c>
    </row>
    <row r="2874" spans="1:12" hidden="1" x14ac:dyDescent="0.25">
      <c r="A2874">
        <v>2873</v>
      </c>
      <c r="B2874" s="1" t="s">
        <v>12</v>
      </c>
      <c r="C2874">
        <v>1964</v>
      </c>
      <c r="D2874" s="1" t="s">
        <v>259</v>
      </c>
      <c r="E2874" s="1" t="s">
        <v>87</v>
      </c>
      <c r="F2874">
        <v>66</v>
      </c>
      <c r="G2874" s="1" t="s">
        <v>188</v>
      </c>
      <c r="H2874">
        <v>66140</v>
      </c>
      <c r="I2874">
        <v>285</v>
      </c>
      <c r="J2874">
        <v>250</v>
      </c>
      <c r="K2874">
        <v>427</v>
      </c>
      <c r="L2874">
        <v>1708</v>
      </c>
    </row>
    <row r="2875" spans="1:12" hidden="1" x14ac:dyDescent="0.25">
      <c r="A2875">
        <v>2874</v>
      </c>
      <c r="B2875" s="1" t="s">
        <v>12</v>
      </c>
      <c r="C2875">
        <v>1964</v>
      </c>
      <c r="D2875" s="1" t="s">
        <v>259</v>
      </c>
      <c r="E2875" s="1" t="s">
        <v>87</v>
      </c>
      <c r="F2875">
        <v>66</v>
      </c>
      <c r="G2875" s="1" t="s">
        <v>153</v>
      </c>
      <c r="H2875">
        <v>66007</v>
      </c>
      <c r="I2875">
        <v>50</v>
      </c>
      <c r="J2875">
        <v>50</v>
      </c>
      <c r="K2875">
        <v>70</v>
      </c>
      <c r="L2875">
        <v>1400</v>
      </c>
    </row>
    <row r="2876" spans="1:12" hidden="1" x14ac:dyDescent="0.25">
      <c r="A2876">
        <v>2875</v>
      </c>
      <c r="B2876" s="1" t="s">
        <v>12</v>
      </c>
      <c r="C2876">
        <v>1964</v>
      </c>
      <c r="D2876" s="1" t="s">
        <v>259</v>
      </c>
      <c r="E2876" s="1" t="s">
        <v>87</v>
      </c>
      <c r="F2876">
        <v>66</v>
      </c>
      <c r="G2876" s="1" t="s">
        <v>230</v>
      </c>
      <c r="H2876">
        <v>66056</v>
      </c>
      <c r="I2876">
        <v>40</v>
      </c>
      <c r="J2876">
        <v>40</v>
      </c>
      <c r="K2876">
        <v>48</v>
      </c>
      <c r="L2876">
        <v>1200</v>
      </c>
    </row>
    <row r="2877" spans="1:12" hidden="1" x14ac:dyDescent="0.25">
      <c r="A2877">
        <v>2876</v>
      </c>
      <c r="B2877" s="1" t="s">
        <v>12</v>
      </c>
      <c r="C2877">
        <v>1964</v>
      </c>
      <c r="D2877" s="1" t="s">
        <v>259</v>
      </c>
      <c r="E2877" s="1" t="s">
        <v>87</v>
      </c>
      <c r="F2877">
        <v>66</v>
      </c>
      <c r="G2877" s="1" t="s">
        <v>141</v>
      </c>
      <c r="H2877">
        <v>66112</v>
      </c>
      <c r="I2877">
        <v>40</v>
      </c>
      <c r="J2877">
        <v>40</v>
      </c>
      <c r="K2877">
        <v>56</v>
      </c>
      <c r="L2877">
        <v>1400</v>
      </c>
    </row>
    <row r="2878" spans="1:12" hidden="1" x14ac:dyDescent="0.25">
      <c r="A2878">
        <v>2877</v>
      </c>
      <c r="B2878" s="1" t="s">
        <v>12</v>
      </c>
      <c r="C2878">
        <v>1964</v>
      </c>
      <c r="D2878" s="1" t="s">
        <v>259</v>
      </c>
      <c r="E2878" s="1" t="s">
        <v>87</v>
      </c>
      <c r="F2878">
        <v>66</v>
      </c>
      <c r="G2878" s="1" t="s">
        <v>125</v>
      </c>
      <c r="H2878">
        <v>66035</v>
      </c>
      <c r="I2878">
        <v>30</v>
      </c>
      <c r="J2878">
        <v>28</v>
      </c>
      <c r="K2878">
        <v>38</v>
      </c>
      <c r="L2878">
        <v>1357</v>
      </c>
    </row>
    <row r="2879" spans="1:12" hidden="1" x14ac:dyDescent="0.25">
      <c r="A2879">
        <v>2878</v>
      </c>
      <c r="B2879" s="1" t="s">
        <v>12</v>
      </c>
      <c r="C2879">
        <v>1964</v>
      </c>
      <c r="D2879" s="1" t="s">
        <v>259</v>
      </c>
      <c r="E2879" s="1" t="s">
        <v>87</v>
      </c>
      <c r="F2879">
        <v>66</v>
      </c>
      <c r="G2879" s="1" t="s">
        <v>161</v>
      </c>
      <c r="H2879">
        <v>66133</v>
      </c>
      <c r="I2879">
        <v>16</v>
      </c>
      <c r="J2879">
        <v>15</v>
      </c>
      <c r="K2879">
        <v>12</v>
      </c>
      <c r="L2879">
        <v>800</v>
      </c>
    </row>
    <row r="2880" spans="1:12" hidden="1" x14ac:dyDescent="0.25">
      <c r="A2880">
        <v>2879</v>
      </c>
      <c r="B2880" s="1" t="s">
        <v>12</v>
      </c>
      <c r="C2880">
        <v>1964</v>
      </c>
      <c r="D2880" s="1" t="s">
        <v>259</v>
      </c>
      <c r="E2880" s="1" t="s">
        <v>87</v>
      </c>
      <c r="F2880">
        <v>66</v>
      </c>
      <c r="G2880" s="1" t="s">
        <v>260</v>
      </c>
      <c r="H2880">
        <v>66063</v>
      </c>
      <c r="I2880">
        <v>10</v>
      </c>
      <c r="J2880">
        <v>9</v>
      </c>
      <c r="K2880">
        <v>12</v>
      </c>
      <c r="L2880">
        <v>1333</v>
      </c>
    </row>
    <row r="2881" spans="1:12" hidden="1" x14ac:dyDescent="0.25">
      <c r="A2881">
        <v>2880</v>
      </c>
      <c r="B2881" s="1" t="s">
        <v>12</v>
      </c>
      <c r="C2881">
        <v>1964</v>
      </c>
      <c r="D2881" s="1" t="s">
        <v>259</v>
      </c>
      <c r="E2881" s="1" t="s">
        <v>87</v>
      </c>
      <c r="F2881">
        <v>66</v>
      </c>
      <c r="G2881" s="1" t="s">
        <v>179</v>
      </c>
      <c r="H2881">
        <v>66126</v>
      </c>
      <c r="I2881">
        <v>8</v>
      </c>
      <c r="J2881">
        <v>8</v>
      </c>
      <c r="K2881">
        <v>9</v>
      </c>
      <c r="L2881">
        <v>1125</v>
      </c>
    </row>
    <row r="2882" spans="1:12" hidden="1" x14ac:dyDescent="0.25">
      <c r="A2882">
        <v>2881</v>
      </c>
      <c r="B2882" s="1" t="s">
        <v>12</v>
      </c>
      <c r="C2882">
        <v>1964</v>
      </c>
      <c r="D2882" s="1" t="s">
        <v>259</v>
      </c>
      <c r="E2882" s="1" t="s">
        <v>87</v>
      </c>
      <c r="F2882">
        <v>66</v>
      </c>
      <c r="G2882" s="1" t="s">
        <v>130</v>
      </c>
      <c r="H2882">
        <v>66147</v>
      </c>
      <c r="I2882">
        <v>8</v>
      </c>
      <c r="J2882">
        <v>7</v>
      </c>
      <c r="K2882">
        <v>10</v>
      </c>
      <c r="L2882">
        <v>1429</v>
      </c>
    </row>
    <row r="2883" spans="1:12" hidden="1" x14ac:dyDescent="0.25">
      <c r="A2883">
        <v>2882</v>
      </c>
      <c r="B2883" s="1" t="s">
        <v>12</v>
      </c>
      <c r="C2883">
        <v>1964</v>
      </c>
      <c r="D2883" s="1" t="s">
        <v>259</v>
      </c>
      <c r="E2883" s="1" t="s">
        <v>87</v>
      </c>
      <c r="F2883">
        <v>66</v>
      </c>
      <c r="G2883" s="1" t="s">
        <v>28</v>
      </c>
      <c r="H2883">
        <v>66028</v>
      </c>
      <c r="I2883">
        <v>7</v>
      </c>
      <c r="J2883">
        <v>6</v>
      </c>
      <c r="K2883">
        <v>8</v>
      </c>
      <c r="L2883">
        <v>1333</v>
      </c>
    </row>
    <row r="2884" spans="1:12" hidden="1" x14ac:dyDescent="0.25">
      <c r="A2884">
        <v>2883</v>
      </c>
      <c r="B2884" s="1" t="s">
        <v>12</v>
      </c>
      <c r="C2884">
        <v>1964</v>
      </c>
      <c r="D2884" s="1" t="s">
        <v>259</v>
      </c>
      <c r="E2884" s="1" t="s">
        <v>116</v>
      </c>
      <c r="F2884">
        <v>74</v>
      </c>
      <c r="G2884" s="1" t="s">
        <v>28</v>
      </c>
      <c r="H2884">
        <v>74056</v>
      </c>
      <c r="I2884">
        <v>350</v>
      </c>
      <c r="J2884">
        <v>350</v>
      </c>
      <c r="K2884">
        <v>420</v>
      </c>
      <c r="L2884">
        <v>1200</v>
      </c>
    </row>
    <row r="2885" spans="1:12" hidden="1" x14ac:dyDescent="0.25">
      <c r="A2885">
        <v>2884</v>
      </c>
      <c r="B2885" s="1" t="s">
        <v>12</v>
      </c>
      <c r="C2885">
        <v>1964</v>
      </c>
      <c r="D2885" s="1" t="s">
        <v>259</v>
      </c>
      <c r="E2885" s="1" t="s">
        <v>116</v>
      </c>
      <c r="F2885">
        <v>74</v>
      </c>
      <c r="G2885" s="1" t="s">
        <v>126</v>
      </c>
      <c r="H2885">
        <v>74035</v>
      </c>
      <c r="I2885">
        <v>230</v>
      </c>
      <c r="J2885">
        <v>230</v>
      </c>
      <c r="K2885">
        <v>230</v>
      </c>
      <c r="L2885">
        <v>1000</v>
      </c>
    </row>
    <row r="2886" spans="1:12" hidden="1" x14ac:dyDescent="0.25">
      <c r="A2886">
        <v>2885</v>
      </c>
      <c r="B2886" s="1" t="s">
        <v>12</v>
      </c>
      <c r="C2886">
        <v>1964</v>
      </c>
      <c r="D2886" s="1" t="s">
        <v>259</v>
      </c>
      <c r="E2886" s="1" t="s">
        <v>116</v>
      </c>
      <c r="F2886">
        <v>74</v>
      </c>
      <c r="G2886" s="1" t="s">
        <v>117</v>
      </c>
      <c r="H2886">
        <v>74021</v>
      </c>
      <c r="I2886">
        <v>170</v>
      </c>
      <c r="J2886">
        <v>170</v>
      </c>
      <c r="K2886">
        <v>170</v>
      </c>
      <c r="L2886">
        <v>1000</v>
      </c>
    </row>
    <row r="2887" spans="1:12" hidden="1" x14ac:dyDescent="0.25">
      <c r="A2887">
        <v>2886</v>
      </c>
      <c r="B2887" s="1" t="s">
        <v>12</v>
      </c>
      <c r="C2887">
        <v>1964</v>
      </c>
      <c r="D2887" s="1" t="s">
        <v>259</v>
      </c>
      <c r="E2887" s="1" t="s">
        <v>116</v>
      </c>
      <c r="F2887">
        <v>74</v>
      </c>
      <c r="G2887" s="1" t="s">
        <v>118</v>
      </c>
      <c r="H2887">
        <v>74028</v>
      </c>
      <c r="I2887">
        <v>100</v>
      </c>
      <c r="J2887">
        <v>100</v>
      </c>
      <c r="K2887">
        <v>80</v>
      </c>
      <c r="L2887">
        <v>800</v>
      </c>
    </row>
    <row r="2888" spans="1:12" hidden="1" x14ac:dyDescent="0.25">
      <c r="A2888">
        <v>2887</v>
      </c>
      <c r="B2888" s="1" t="s">
        <v>12</v>
      </c>
      <c r="C2888">
        <v>1964</v>
      </c>
      <c r="D2888" s="1" t="s">
        <v>259</v>
      </c>
      <c r="E2888" s="1" t="s">
        <v>116</v>
      </c>
      <c r="F2888">
        <v>74</v>
      </c>
      <c r="G2888" s="1" t="s">
        <v>127</v>
      </c>
      <c r="H2888">
        <v>74049</v>
      </c>
      <c r="I2888">
        <v>70</v>
      </c>
      <c r="J2888">
        <v>70</v>
      </c>
      <c r="K2888">
        <v>70</v>
      </c>
      <c r="L2888">
        <v>1000</v>
      </c>
    </row>
    <row r="2889" spans="1:12" hidden="1" x14ac:dyDescent="0.25">
      <c r="A2889">
        <v>2888</v>
      </c>
      <c r="B2889" s="1" t="s">
        <v>12</v>
      </c>
      <c r="C2889">
        <v>1964</v>
      </c>
      <c r="D2889" s="1" t="s">
        <v>259</v>
      </c>
      <c r="E2889" s="1" t="s">
        <v>64</v>
      </c>
      <c r="F2889">
        <v>82</v>
      </c>
      <c r="G2889" s="1" t="s">
        <v>66</v>
      </c>
      <c r="H2889">
        <v>82035</v>
      </c>
      <c r="I2889">
        <v>450</v>
      </c>
      <c r="J2889">
        <v>180</v>
      </c>
      <c r="K2889">
        <v>161</v>
      </c>
      <c r="L2889">
        <v>894</v>
      </c>
    </row>
    <row r="2890" spans="1:12" hidden="1" x14ac:dyDescent="0.25">
      <c r="A2890">
        <v>2889</v>
      </c>
      <c r="B2890" s="1" t="s">
        <v>12</v>
      </c>
      <c r="C2890">
        <v>1964</v>
      </c>
      <c r="D2890" s="1" t="s">
        <v>259</v>
      </c>
      <c r="E2890" s="1" t="s">
        <v>64</v>
      </c>
      <c r="F2890">
        <v>82</v>
      </c>
      <c r="G2890" s="1" t="s">
        <v>65</v>
      </c>
      <c r="H2890">
        <v>82049</v>
      </c>
      <c r="I2890">
        <v>50</v>
      </c>
      <c r="J2890">
        <v>50</v>
      </c>
      <c r="K2890">
        <v>50</v>
      </c>
      <c r="L2890">
        <v>1000</v>
      </c>
    </row>
    <row r="2891" spans="1:12" hidden="1" x14ac:dyDescent="0.25">
      <c r="A2891">
        <v>2890</v>
      </c>
      <c r="B2891" s="1" t="s">
        <v>12</v>
      </c>
      <c r="C2891">
        <v>1964</v>
      </c>
      <c r="D2891" s="1" t="s">
        <v>259</v>
      </c>
      <c r="E2891" s="1" t="s">
        <v>64</v>
      </c>
      <c r="F2891">
        <v>82</v>
      </c>
      <c r="G2891" s="1" t="s">
        <v>62</v>
      </c>
      <c r="H2891">
        <v>82098</v>
      </c>
      <c r="I2891">
        <v>10</v>
      </c>
      <c r="J2891">
        <v>10</v>
      </c>
      <c r="K2891">
        <v>7</v>
      </c>
      <c r="L2891">
        <v>700</v>
      </c>
    </row>
    <row r="2892" spans="1:12" hidden="1" x14ac:dyDescent="0.25">
      <c r="A2892">
        <v>2891</v>
      </c>
      <c r="B2892" s="1" t="s">
        <v>12</v>
      </c>
      <c r="C2892">
        <v>1964</v>
      </c>
      <c r="D2892" s="1" t="s">
        <v>259</v>
      </c>
      <c r="E2892" s="1" t="s">
        <v>77</v>
      </c>
      <c r="F2892">
        <v>90</v>
      </c>
      <c r="G2892" s="1" t="s">
        <v>78</v>
      </c>
      <c r="H2892">
        <v>90007</v>
      </c>
      <c r="I2892">
        <v>800</v>
      </c>
      <c r="J2892">
        <v>575</v>
      </c>
      <c r="K2892">
        <v>348</v>
      </c>
      <c r="L2892">
        <v>605</v>
      </c>
    </row>
    <row r="2893" spans="1:12" hidden="1" x14ac:dyDescent="0.25">
      <c r="A2893">
        <v>2892</v>
      </c>
      <c r="B2893" s="1" t="s">
        <v>12</v>
      </c>
      <c r="C2893">
        <v>1964</v>
      </c>
      <c r="D2893" s="1" t="s">
        <v>259</v>
      </c>
      <c r="E2893" s="1" t="s">
        <v>77</v>
      </c>
      <c r="F2893">
        <v>90</v>
      </c>
      <c r="G2893" s="1" t="s">
        <v>90</v>
      </c>
      <c r="H2893">
        <v>90112</v>
      </c>
      <c r="I2893">
        <v>150</v>
      </c>
      <c r="J2893">
        <v>50</v>
      </c>
      <c r="K2893">
        <v>30</v>
      </c>
      <c r="L2893">
        <v>600</v>
      </c>
    </row>
    <row r="2894" spans="1:12" hidden="1" x14ac:dyDescent="0.25">
      <c r="A2894">
        <v>2893</v>
      </c>
      <c r="B2894" s="1" t="s">
        <v>12</v>
      </c>
      <c r="C2894">
        <v>1964</v>
      </c>
      <c r="D2894" s="1" t="s">
        <v>259</v>
      </c>
      <c r="E2894" s="1" t="s">
        <v>77</v>
      </c>
      <c r="F2894">
        <v>90</v>
      </c>
      <c r="G2894" s="1" t="s">
        <v>110</v>
      </c>
      <c r="H2894">
        <v>90021</v>
      </c>
      <c r="I2894">
        <v>50</v>
      </c>
      <c r="J2894">
        <v>45</v>
      </c>
      <c r="K2894">
        <v>35</v>
      </c>
      <c r="L2894">
        <v>778</v>
      </c>
    </row>
    <row r="2895" spans="1:12" hidden="1" x14ac:dyDescent="0.25">
      <c r="A2895">
        <v>2894</v>
      </c>
      <c r="B2895" s="1" t="s">
        <v>12</v>
      </c>
      <c r="C2895">
        <v>1964</v>
      </c>
      <c r="D2895" s="1" t="s">
        <v>259</v>
      </c>
      <c r="E2895" s="1" t="s">
        <v>77</v>
      </c>
      <c r="F2895">
        <v>90</v>
      </c>
      <c r="G2895" s="1" t="s">
        <v>92</v>
      </c>
      <c r="H2895">
        <v>90056</v>
      </c>
      <c r="I2895">
        <v>14</v>
      </c>
      <c r="J2895">
        <v>14</v>
      </c>
      <c r="K2895">
        <v>12</v>
      </c>
      <c r="L2895">
        <v>857</v>
      </c>
    </row>
    <row r="2896" spans="1:12" hidden="1" x14ac:dyDescent="0.25">
      <c r="A2896">
        <v>2895</v>
      </c>
      <c r="B2896" s="1" t="s">
        <v>12</v>
      </c>
      <c r="C2896">
        <v>1964</v>
      </c>
      <c r="D2896" s="1" t="s">
        <v>259</v>
      </c>
      <c r="E2896" s="1" t="s">
        <v>77</v>
      </c>
      <c r="F2896">
        <v>90</v>
      </c>
      <c r="G2896" s="1" t="s">
        <v>109</v>
      </c>
      <c r="H2896">
        <v>90077</v>
      </c>
      <c r="I2896">
        <v>6</v>
      </c>
      <c r="J2896">
        <v>6</v>
      </c>
      <c r="K2896">
        <v>5</v>
      </c>
      <c r="L2896">
        <v>833</v>
      </c>
    </row>
    <row r="2897" spans="1:12" hidden="1" x14ac:dyDescent="0.25">
      <c r="A2897">
        <v>2896</v>
      </c>
      <c r="B2897" s="1" t="s">
        <v>12</v>
      </c>
      <c r="C2897">
        <v>1965</v>
      </c>
      <c r="D2897" s="1" t="s">
        <v>261</v>
      </c>
      <c r="E2897" s="1" t="s">
        <v>14</v>
      </c>
      <c r="F2897">
        <v>22</v>
      </c>
      <c r="G2897" s="1" t="s">
        <v>119</v>
      </c>
      <c r="H2897">
        <v>22084</v>
      </c>
      <c r="I2897">
        <v>480</v>
      </c>
      <c r="J2897">
        <v>240</v>
      </c>
      <c r="K2897">
        <v>126</v>
      </c>
      <c r="L2897">
        <v>525</v>
      </c>
    </row>
    <row r="2898" spans="1:12" hidden="1" x14ac:dyDescent="0.25">
      <c r="A2898">
        <v>2897</v>
      </c>
      <c r="B2898" s="1" t="s">
        <v>12</v>
      </c>
      <c r="C2898">
        <v>1965</v>
      </c>
      <c r="D2898" s="1" t="s">
        <v>261</v>
      </c>
      <c r="E2898" s="1" t="s">
        <v>14</v>
      </c>
      <c r="F2898">
        <v>22</v>
      </c>
      <c r="G2898" s="1" t="s">
        <v>183</v>
      </c>
      <c r="H2898">
        <v>22049</v>
      </c>
      <c r="I2898">
        <v>88</v>
      </c>
    </row>
    <row r="2899" spans="1:12" hidden="1" x14ac:dyDescent="0.25">
      <c r="A2899">
        <v>2898</v>
      </c>
      <c r="B2899" s="1" t="s">
        <v>12</v>
      </c>
      <c r="C2899">
        <v>1965</v>
      </c>
      <c r="D2899" s="1" t="s">
        <v>261</v>
      </c>
      <c r="E2899" s="1" t="s">
        <v>14</v>
      </c>
      <c r="F2899">
        <v>22</v>
      </c>
      <c r="G2899" s="1" t="s">
        <v>226</v>
      </c>
      <c r="H2899">
        <v>22154</v>
      </c>
      <c r="I2899">
        <v>65</v>
      </c>
      <c r="J2899">
        <v>25</v>
      </c>
      <c r="K2899">
        <v>10</v>
      </c>
      <c r="L2899">
        <v>400</v>
      </c>
    </row>
    <row r="2900" spans="1:12" hidden="1" x14ac:dyDescent="0.25">
      <c r="A2900">
        <v>2899</v>
      </c>
      <c r="B2900" s="1" t="s">
        <v>12</v>
      </c>
      <c r="C2900">
        <v>1965</v>
      </c>
      <c r="D2900" s="1" t="s">
        <v>261</v>
      </c>
      <c r="E2900" s="1" t="s">
        <v>14</v>
      </c>
      <c r="F2900">
        <v>22</v>
      </c>
      <c r="G2900" s="1" t="s">
        <v>227</v>
      </c>
      <c r="H2900">
        <v>22056</v>
      </c>
      <c r="I2900">
        <v>50</v>
      </c>
      <c r="J2900">
        <v>20</v>
      </c>
      <c r="K2900">
        <v>8</v>
      </c>
      <c r="L2900">
        <v>400</v>
      </c>
    </row>
    <row r="2901" spans="1:12" hidden="1" x14ac:dyDescent="0.25">
      <c r="A2901">
        <v>2900</v>
      </c>
      <c r="B2901" s="1" t="s">
        <v>12</v>
      </c>
      <c r="C2901">
        <v>1965</v>
      </c>
      <c r="D2901" s="1" t="s">
        <v>261</v>
      </c>
      <c r="E2901" s="1" t="s">
        <v>14</v>
      </c>
      <c r="F2901">
        <v>22</v>
      </c>
      <c r="G2901" s="1" t="s">
        <v>232</v>
      </c>
      <c r="H2901">
        <v>22105</v>
      </c>
      <c r="I2901">
        <v>50</v>
      </c>
    </row>
    <row r="2902" spans="1:12" hidden="1" x14ac:dyDescent="0.25">
      <c r="A2902">
        <v>2901</v>
      </c>
      <c r="B2902" s="1" t="s">
        <v>12</v>
      </c>
      <c r="C2902">
        <v>1965</v>
      </c>
      <c r="D2902" s="1" t="s">
        <v>261</v>
      </c>
      <c r="E2902" s="1" t="s">
        <v>14</v>
      </c>
      <c r="F2902">
        <v>22</v>
      </c>
      <c r="G2902" s="1" t="s">
        <v>233</v>
      </c>
      <c r="H2902">
        <v>22133</v>
      </c>
      <c r="I2902">
        <v>50</v>
      </c>
    </row>
    <row r="2903" spans="1:12" hidden="1" x14ac:dyDescent="0.25">
      <c r="A2903">
        <v>2902</v>
      </c>
      <c r="B2903" s="1" t="s">
        <v>12</v>
      </c>
      <c r="C2903">
        <v>1965</v>
      </c>
      <c r="D2903" s="1" t="s">
        <v>261</v>
      </c>
      <c r="E2903" s="1" t="s">
        <v>14</v>
      </c>
      <c r="F2903">
        <v>22</v>
      </c>
      <c r="G2903" s="1" t="s">
        <v>234</v>
      </c>
      <c r="H2903">
        <v>22168</v>
      </c>
      <c r="I2903">
        <v>50</v>
      </c>
      <c r="J2903">
        <v>34</v>
      </c>
      <c r="K2903">
        <v>12</v>
      </c>
      <c r="L2903">
        <v>353</v>
      </c>
    </row>
    <row r="2904" spans="1:12" hidden="1" x14ac:dyDescent="0.25">
      <c r="A2904">
        <v>2903</v>
      </c>
      <c r="B2904" s="1" t="s">
        <v>12</v>
      </c>
      <c r="C2904">
        <v>1965</v>
      </c>
      <c r="D2904" s="1" t="s">
        <v>261</v>
      </c>
      <c r="E2904" s="1" t="s">
        <v>14</v>
      </c>
      <c r="F2904">
        <v>22</v>
      </c>
      <c r="G2904" s="1" t="s">
        <v>240</v>
      </c>
      <c r="H2904">
        <v>22021</v>
      </c>
      <c r="I2904">
        <v>30</v>
      </c>
    </row>
    <row r="2905" spans="1:12" hidden="1" x14ac:dyDescent="0.25">
      <c r="A2905">
        <v>2904</v>
      </c>
      <c r="B2905" s="1" t="s">
        <v>12</v>
      </c>
      <c r="C2905">
        <v>1965</v>
      </c>
      <c r="D2905" s="1" t="s">
        <v>261</v>
      </c>
      <c r="E2905" s="1" t="s">
        <v>14</v>
      </c>
      <c r="F2905">
        <v>22</v>
      </c>
      <c r="G2905" s="1" t="s">
        <v>225</v>
      </c>
      <c r="H2905">
        <v>22119</v>
      </c>
      <c r="I2905">
        <v>30</v>
      </c>
      <c r="J2905">
        <v>19</v>
      </c>
      <c r="K2905">
        <v>7</v>
      </c>
      <c r="L2905">
        <v>368</v>
      </c>
    </row>
    <row r="2906" spans="1:12" hidden="1" x14ac:dyDescent="0.25">
      <c r="A2906">
        <v>2905</v>
      </c>
      <c r="B2906" s="1" t="s">
        <v>12</v>
      </c>
      <c r="C2906">
        <v>1965</v>
      </c>
      <c r="D2906" s="1" t="s">
        <v>261</v>
      </c>
      <c r="E2906" s="1" t="s">
        <v>14</v>
      </c>
      <c r="F2906">
        <v>22</v>
      </c>
      <c r="G2906" s="1" t="s">
        <v>236</v>
      </c>
      <c r="H2906">
        <v>22063</v>
      </c>
      <c r="I2906">
        <v>20</v>
      </c>
    </row>
    <row r="2907" spans="1:12" hidden="1" x14ac:dyDescent="0.25">
      <c r="A2907">
        <v>2906</v>
      </c>
      <c r="B2907" s="1" t="s">
        <v>12</v>
      </c>
      <c r="C2907">
        <v>1965</v>
      </c>
      <c r="D2907" s="1" t="s">
        <v>261</v>
      </c>
      <c r="E2907" s="1" t="s">
        <v>14</v>
      </c>
      <c r="F2907">
        <v>22</v>
      </c>
      <c r="G2907" s="1" t="s">
        <v>19</v>
      </c>
      <c r="H2907">
        <v>22014</v>
      </c>
      <c r="I2907">
        <v>17</v>
      </c>
      <c r="J2907">
        <v>5</v>
      </c>
      <c r="K2907">
        <v>2</v>
      </c>
      <c r="L2907">
        <v>400</v>
      </c>
    </row>
    <row r="2908" spans="1:12" hidden="1" x14ac:dyDescent="0.25">
      <c r="A2908">
        <v>2907</v>
      </c>
      <c r="B2908" s="1" t="s">
        <v>12</v>
      </c>
      <c r="C2908">
        <v>1965</v>
      </c>
      <c r="D2908" s="1" t="s">
        <v>261</v>
      </c>
      <c r="E2908" s="1" t="s">
        <v>14</v>
      </c>
      <c r="F2908">
        <v>22</v>
      </c>
      <c r="G2908" s="1" t="s">
        <v>229</v>
      </c>
      <c r="H2908">
        <v>22077</v>
      </c>
      <c r="I2908">
        <v>15</v>
      </c>
      <c r="J2908">
        <v>9</v>
      </c>
      <c r="K2908">
        <v>3</v>
      </c>
      <c r="L2908">
        <v>333</v>
      </c>
    </row>
    <row r="2909" spans="1:12" hidden="1" x14ac:dyDescent="0.25">
      <c r="A2909">
        <v>2908</v>
      </c>
      <c r="B2909" s="1" t="s">
        <v>12</v>
      </c>
      <c r="C2909">
        <v>1965</v>
      </c>
      <c r="D2909" s="1" t="s">
        <v>261</v>
      </c>
      <c r="E2909" s="1" t="s">
        <v>14</v>
      </c>
      <c r="F2909">
        <v>22</v>
      </c>
      <c r="G2909" s="1" t="s">
        <v>241</v>
      </c>
      <c r="H2909">
        <v>22112</v>
      </c>
      <c r="I2909">
        <v>15</v>
      </c>
    </row>
    <row r="2910" spans="1:12" hidden="1" x14ac:dyDescent="0.25">
      <c r="A2910">
        <v>2909</v>
      </c>
      <c r="B2910" s="1" t="s">
        <v>12</v>
      </c>
      <c r="C2910">
        <v>1965</v>
      </c>
      <c r="D2910" s="1" t="s">
        <v>261</v>
      </c>
      <c r="E2910" s="1" t="s">
        <v>14</v>
      </c>
      <c r="F2910">
        <v>22</v>
      </c>
      <c r="G2910" s="1" t="s">
        <v>235</v>
      </c>
      <c r="H2910">
        <v>22140</v>
      </c>
      <c r="I2910">
        <v>14</v>
      </c>
      <c r="J2910">
        <v>8</v>
      </c>
      <c r="K2910">
        <v>2</v>
      </c>
      <c r="L2910">
        <v>250</v>
      </c>
    </row>
    <row r="2911" spans="1:12" hidden="1" x14ac:dyDescent="0.25">
      <c r="A2911">
        <v>2910</v>
      </c>
      <c r="B2911" s="1" t="s">
        <v>12</v>
      </c>
      <c r="C2911">
        <v>1965</v>
      </c>
      <c r="D2911" s="1" t="s">
        <v>261</v>
      </c>
      <c r="E2911" s="1" t="s">
        <v>14</v>
      </c>
      <c r="F2911">
        <v>22</v>
      </c>
      <c r="G2911" s="1" t="s">
        <v>238</v>
      </c>
      <c r="H2911">
        <v>22036</v>
      </c>
      <c r="I2911">
        <v>7</v>
      </c>
    </row>
    <row r="2912" spans="1:12" hidden="1" x14ac:dyDescent="0.25">
      <c r="A2912">
        <v>2911</v>
      </c>
      <c r="B2912" s="1" t="s">
        <v>12</v>
      </c>
      <c r="C2912">
        <v>1965</v>
      </c>
      <c r="D2912" s="1" t="s">
        <v>261</v>
      </c>
      <c r="E2912" s="1" t="s">
        <v>14</v>
      </c>
      <c r="F2912">
        <v>22</v>
      </c>
      <c r="G2912" s="1" t="s">
        <v>118</v>
      </c>
      <c r="H2912">
        <v>22028</v>
      </c>
      <c r="I2912">
        <v>6</v>
      </c>
    </row>
    <row r="2913" spans="1:12" hidden="1" x14ac:dyDescent="0.25">
      <c r="A2913">
        <v>2912</v>
      </c>
      <c r="B2913" s="1" t="s">
        <v>12</v>
      </c>
      <c r="C2913">
        <v>1965</v>
      </c>
      <c r="D2913" s="1" t="s">
        <v>261</v>
      </c>
      <c r="E2913" s="1" t="s">
        <v>14</v>
      </c>
      <c r="F2913">
        <v>22</v>
      </c>
      <c r="G2913" s="1" t="s">
        <v>250</v>
      </c>
      <c r="H2913">
        <v>22007</v>
      </c>
      <c r="I2913">
        <v>3</v>
      </c>
    </row>
    <row r="2914" spans="1:12" hidden="1" x14ac:dyDescent="0.25">
      <c r="A2914">
        <v>2913</v>
      </c>
      <c r="B2914" s="1" t="s">
        <v>12</v>
      </c>
      <c r="C2914">
        <v>1965</v>
      </c>
      <c r="D2914" s="1" t="s">
        <v>261</v>
      </c>
      <c r="E2914" s="1" t="s">
        <v>14</v>
      </c>
      <c r="F2914">
        <v>22</v>
      </c>
      <c r="G2914" s="1" t="s">
        <v>228</v>
      </c>
      <c r="H2914">
        <v>22126</v>
      </c>
      <c r="I2914">
        <v>3</v>
      </c>
    </row>
    <row r="2915" spans="1:12" hidden="1" x14ac:dyDescent="0.25">
      <c r="A2915">
        <v>2914</v>
      </c>
      <c r="B2915" s="1" t="s">
        <v>12</v>
      </c>
      <c r="C2915">
        <v>1965</v>
      </c>
      <c r="D2915" s="1" t="s">
        <v>261</v>
      </c>
      <c r="E2915" s="1" t="s">
        <v>14</v>
      </c>
      <c r="F2915">
        <v>22</v>
      </c>
      <c r="G2915" s="1" t="s">
        <v>254</v>
      </c>
      <c r="H2915">
        <v>22147</v>
      </c>
      <c r="I2915">
        <v>3</v>
      </c>
    </row>
    <row r="2916" spans="1:12" hidden="1" x14ac:dyDescent="0.25">
      <c r="A2916">
        <v>2915</v>
      </c>
      <c r="B2916" s="1" t="s">
        <v>12</v>
      </c>
      <c r="C2916">
        <v>1965</v>
      </c>
      <c r="D2916" s="1" t="s">
        <v>261</v>
      </c>
      <c r="E2916" s="1" t="s">
        <v>14</v>
      </c>
      <c r="F2916">
        <v>22</v>
      </c>
      <c r="G2916" s="1" t="s">
        <v>255</v>
      </c>
      <c r="H2916">
        <v>22070</v>
      </c>
      <c r="I2916">
        <v>2</v>
      </c>
    </row>
    <row r="2917" spans="1:12" hidden="1" x14ac:dyDescent="0.25">
      <c r="A2917">
        <v>2916</v>
      </c>
      <c r="B2917" s="1" t="s">
        <v>12</v>
      </c>
      <c r="C2917">
        <v>1965</v>
      </c>
      <c r="D2917" s="1" t="s">
        <v>261</v>
      </c>
      <c r="E2917" s="1" t="s">
        <v>14</v>
      </c>
      <c r="F2917">
        <v>22</v>
      </c>
      <c r="G2917" s="1" t="s">
        <v>21</v>
      </c>
      <c r="H2917">
        <v>22161</v>
      </c>
      <c r="I2917">
        <v>2</v>
      </c>
    </row>
    <row r="2918" spans="1:12" hidden="1" x14ac:dyDescent="0.25">
      <c r="A2918">
        <v>2917</v>
      </c>
      <c r="B2918" s="1" t="s">
        <v>12</v>
      </c>
      <c r="C2918">
        <v>1965</v>
      </c>
      <c r="D2918" s="1" t="s">
        <v>261</v>
      </c>
      <c r="E2918" s="1" t="s">
        <v>22</v>
      </c>
      <c r="F2918">
        <v>14</v>
      </c>
      <c r="G2918" s="1" t="s">
        <v>26</v>
      </c>
      <c r="H2918">
        <v>14161</v>
      </c>
      <c r="I2918">
        <v>134000</v>
      </c>
      <c r="J2918">
        <v>127500</v>
      </c>
      <c r="K2918">
        <v>169575</v>
      </c>
      <c r="L2918">
        <v>1330</v>
      </c>
    </row>
    <row r="2919" spans="1:12" hidden="1" x14ac:dyDescent="0.25">
      <c r="A2919">
        <v>2918</v>
      </c>
      <c r="B2919" s="1" t="s">
        <v>12</v>
      </c>
      <c r="C2919">
        <v>1965</v>
      </c>
      <c r="D2919" s="1" t="s">
        <v>261</v>
      </c>
      <c r="E2919" s="1" t="s">
        <v>22</v>
      </c>
      <c r="F2919">
        <v>14</v>
      </c>
      <c r="G2919" s="1" t="s">
        <v>24</v>
      </c>
      <c r="H2919">
        <v>14119</v>
      </c>
      <c r="I2919">
        <v>74000</v>
      </c>
      <c r="J2919">
        <v>74000</v>
      </c>
      <c r="K2919">
        <v>88800</v>
      </c>
      <c r="L2919">
        <v>1200</v>
      </c>
    </row>
    <row r="2920" spans="1:12" hidden="1" x14ac:dyDescent="0.25">
      <c r="A2920">
        <v>2919</v>
      </c>
      <c r="B2920" s="1" t="s">
        <v>12</v>
      </c>
      <c r="C2920">
        <v>1965</v>
      </c>
      <c r="D2920" s="1" t="s">
        <v>261</v>
      </c>
      <c r="E2920" s="1" t="s">
        <v>22</v>
      </c>
      <c r="F2920">
        <v>14</v>
      </c>
      <c r="G2920" s="1" t="s">
        <v>143</v>
      </c>
      <c r="H2920">
        <v>14056</v>
      </c>
      <c r="I2920">
        <v>33000</v>
      </c>
      <c r="J2920">
        <v>31400</v>
      </c>
      <c r="K2920">
        <v>37680</v>
      </c>
      <c r="L2920">
        <v>1200</v>
      </c>
    </row>
    <row r="2921" spans="1:12" hidden="1" x14ac:dyDescent="0.25">
      <c r="A2921">
        <v>2920</v>
      </c>
      <c r="B2921" s="1" t="s">
        <v>12</v>
      </c>
      <c r="C2921">
        <v>1965</v>
      </c>
      <c r="D2921" s="1" t="s">
        <v>261</v>
      </c>
      <c r="E2921" s="1" t="s">
        <v>22</v>
      </c>
      <c r="F2921">
        <v>14</v>
      </c>
      <c r="G2921" s="1" t="s">
        <v>23</v>
      </c>
      <c r="H2921">
        <v>14147</v>
      </c>
      <c r="I2921">
        <v>31000</v>
      </c>
      <c r="J2921">
        <v>29000</v>
      </c>
      <c r="K2921">
        <v>34800</v>
      </c>
      <c r="L2921">
        <v>1200</v>
      </c>
    </row>
    <row r="2922" spans="1:12" hidden="1" x14ac:dyDescent="0.25">
      <c r="A2922">
        <v>2921</v>
      </c>
      <c r="B2922" s="1" t="s">
        <v>12</v>
      </c>
      <c r="C2922">
        <v>1965</v>
      </c>
      <c r="D2922" s="1" t="s">
        <v>261</v>
      </c>
      <c r="E2922" s="1" t="s">
        <v>22</v>
      </c>
      <c r="F2922">
        <v>14</v>
      </c>
      <c r="G2922" s="1" t="s">
        <v>29</v>
      </c>
      <c r="H2922">
        <v>14098</v>
      </c>
      <c r="I2922">
        <v>28000</v>
      </c>
      <c r="J2922">
        <v>27000</v>
      </c>
      <c r="K2922">
        <v>28350</v>
      </c>
      <c r="L2922">
        <v>1050</v>
      </c>
    </row>
    <row r="2923" spans="1:12" hidden="1" x14ac:dyDescent="0.25">
      <c r="A2923">
        <v>2922</v>
      </c>
      <c r="B2923" s="1" t="s">
        <v>12</v>
      </c>
      <c r="C2923">
        <v>1965</v>
      </c>
      <c r="D2923" s="1" t="s">
        <v>261</v>
      </c>
      <c r="E2923" s="1" t="s">
        <v>22</v>
      </c>
      <c r="F2923">
        <v>14</v>
      </c>
      <c r="G2923" s="1" t="s">
        <v>184</v>
      </c>
      <c r="H2923">
        <v>14042</v>
      </c>
      <c r="I2923">
        <v>26000</v>
      </c>
      <c r="J2923">
        <v>26000</v>
      </c>
      <c r="K2923">
        <v>31200</v>
      </c>
      <c r="L2923">
        <v>1200</v>
      </c>
    </row>
    <row r="2924" spans="1:12" hidden="1" x14ac:dyDescent="0.25">
      <c r="A2924">
        <v>2923</v>
      </c>
      <c r="B2924" s="1" t="s">
        <v>12</v>
      </c>
      <c r="C2924">
        <v>1965</v>
      </c>
      <c r="D2924" s="1" t="s">
        <v>261</v>
      </c>
      <c r="E2924" s="1" t="s">
        <v>22</v>
      </c>
      <c r="F2924">
        <v>14</v>
      </c>
      <c r="G2924" s="1" t="s">
        <v>25</v>
      </c>
      <c r="H2924">
        <v>14105</v>
      </c>
      <c r="I2924">
        <v>9000</v>
      </c>
      <c r="J2924">
        <v>4500</v>
      </c>
      <c r="K2924">
        <v>4725</v>
      </c>
      <c r="L2924">
        <v>1050</v>
      </c>
    </row>
    <row r="2925" spans="1:12" hidden="1" x14ac:dyDescent="0.25">
      <c r="A2925">
        <v>2924</v>
      </c>
      <c r="B2925" s="1" t="s">
        <v>12</v>
      </c>
      <c r="C2925">
        <v>1965</v>
      </c>
      <c r="D2925" s="1" t="s">
        <v>261</v>
      </c>
      <c r="E2925" s="1" t="s">
        <v>22</v>
      </c>
      <c r="F2925">
        <v>14</v>
      </c>
      <c r="G2925" s="1" t="s">
        <v>97</v>
      </c>
      <c r="H2925">
        <v>14007</v>
      </c>
      <c r="I2925">
        <v>8700</v>
      </c>
      <c r="J2925">
        <v>8200</v>
      </c>
      <c r="K2925">
        <v>9840</v>
      </c>
      <c r="L2925">
        <v>1200</v>
      </c>
    </row>
    <row r="2926" spans="1:12" hidden="1" x14ac:dyDescent="0.25">
      <c r="A2926">
        <v>2925</v>
      </c>
      <c r="B2926" s="1" t="s">
        <v>12</v>
      </c>
      <c r="C2926">
        <v>1965</v>
      </c>
      <c r="D2926" s="1" t="s">
        <v>261</v>
      </c>
      <c r="E2926" s="1" t="s">
        <v>22</v>
      </c>
      <c r="F2926">
        <v>14</v>
      </c>
      <c r="G2926" s="1" t="s">
        <v>122</v>
      </c>
      <c r="H2926">
        <v>14182</v>
      </c>
      <c r="I2926">
        <v>1300</v>
      </c>
      <c r="J2926">
        <v>1200</v>
      </c>
      <c r="K2926">
        <v>1320</v>
      </c>
      <c r="L2926">
        <v>1100</v>
      </c>
    </row>
    <row r="2927" spans="1:12" hidden="1" x14ac:dyDescent="0.25">
      <c r="A2927">
        <v>2926</v>
      </c>
      <c r="B2927" s="1" t="s">
        <v>12</v>
      </c>
      <c r="C2927">
        <v>1965</v>
      </c>
      <c r="D2927" s="1" t="s">
        <v>261</v>
      </c>
      <c r="E2927" s="1" t="s">
        <v>22</v>
      </c>
      <c r="F2927">
        <v>14</v>
      </c>
      <c r="G2927" s="1" t="s">
        <v>67</v>
      </c>
      <c r="H2927">
        <v>14140</v>
      </c>
      <c r="I2927">
        <v>600</v>
      </c>
      <c r="J2927">
        <v>500</v>
      </c>
      <c r="K2927">
        <v>450</v>
      </c>
      <c r="L2927">
        <v>900</v>
      </c>
    </row>
    <row r="2928" spans="1:12" hidden="1" x14ac:dyDescent="0.25">
      <c r="A2928">
        <v>2927</v>
      </c>
      <c r="B2928" s="1" t="s">
        <v>12</v>
      </c>
      <c r="C2928">
        <v>1965</v>
      </c>
      <c r="D2928" s="1" t="s">
        <v>261</v>
      </c>
      <c r="E2928" s="1" t="s">
        <v>22</v>
      </c>
      <c r="F2928">
        <v>14</v>
      </c>
      <c r="G2928" s="1" t="s">
        <v>194</v>
      </c>
      <c r="H2928">
        <v>14077</v>
      </c>
      <c r="I2928">
        <v>200</v>
      </c>
      <c r="J2928">
        <v>200</v>
      </c>
      <c r="K2928">
        <v>204</v>
      </c>
      <c r="L2928">
        <v>1020</v>
      </c>
    </row>
    <row r="2929" spans="1:12" hidden="1" x14ac:dyDescent="0.25">
      <c r="A2929">
        <v>2928</v>
      </c>
      <c r="B2929" s="1" t="s">
        <v>12</v>
      </c>
      <c r="C2929">
        <v>1965</v>
      </c>
      <c r="D2929" s="1" t="s">
        <v>261</v>
      </c>
      <c r="E2929" s="1" t="s">
        <v>22</v>
      </c>
      <c r="F2929">
        <v>14</v>
      </c>
      <c r="G2929" s="1" t="s">
        <v>28</v>
      </c>
      <c r="H2929">
        <v>14014</v>
      </c>
      <c r="I2929">
        <v>130</v>
      </c>
      <c r="J2929">
        <v>130</v>
      </c>
      <c r="K2929">
        <v>143</v>
      </c>
      <c r="L2929">
        <v>1100</v>
      </c>
    </row>
    <row r="2930" spans="1:12" hidden="1" x14ac:dyDescent="0.25">
      <c r="A2930">
        <v>2929</v>
      </c>
      <c r="B2930" s="1" t="s">
        <v>12</v>
      </c>
      <c r="C2930">
        <v>1965</v>
      </c>
      <c r="D2930" s="1" t="s">
        <v>261</v>
      </c>
      <c r="E2930" s="1" t="s">
        <v>22</v>
      </c>
      <c r="F2930">
        <v>14</v>
      </c>
      <c r="G2930" s="1" t="s">
        <v>173</v>
      </c>
      <c r="H2930">
        <v>14028</v>
      </c>
      <c r="I2930">
        <v>90</v>
      </c>
      <c r="J2930">
        <v>90</v>
      </c>
      <c r="K2930">
        <v>99</v>
      </c>
      <c r="L2930">
        <v>1100</v>
      </c>
    </row>
    <row r="2931" spans="1:12" hidden="1" x14ac:dyDescent="0.25">
      <c r="A2931">
        <v>2930</v>
      </c>
      <c r="B2931" s="1" t="s">
        <v>12</v>
      </c>
      <c r="C2931">
        <v>1965</v>
      </c>
      <c r="D2931" s="1" t="s">
        <v>261</v>
      </c>
      <c r="E2931" s="1" t="s">
        <v>22</v>
      </c>
      <c r="F2931">
        <v>14</v>
      </c>
      <c r="G2931" s="1" t="s">
        <v>186</v>
      </c>
      <c r="H2931">
        <v>14175</v>
      </c>
      <c r="I2931">
        <v>90</v>
      </c>
      <c r="J2931">
        <v>90</v>
      </c>
      <c r="K2931">
        <v>108</v>
      </c>
      <c r="L2931">
        <v>1200</v>
      </c>
    </row>
    <row r="2932" spans="1:12" hidden="1" x14ac:dyDescent="0.25">
      <c r="A2932">
        <v>2931</v>
      </c>
      <c r="B2932" s="1" t="s">
        <v>12</v>
      </c>
      <c r="C2932">
        <v>1965</v>
      </c>
      <c r="D2932" s="1" t="s">
        <v>261</v>
      </c>
      <c r="E2932" s="1" t="s">
        <v>22</v>
      </c>
      <c r="F2932">
        <v>14</v>
      </c>
      <c r="G2932" s="1" t="s">
        <v>27</v>
      </c>
      <c r="H2932">
        <v>14021</v>
      </c>
      <c r="I2932">
        <v>60</v>
      </c>
      <c r="J2932">
        <v>60</v>
      </c>
      <c r="K2932">
        <v>66</v>
      </c>
      <c r="L2932">
        <v>1100</v>
      </c>
    </row>
    <row r="2933" spans="1:12" hidden="1" x14ac:dyDescent="0.25">
      <c r="A2933">
        <v>2932</v>
      </c>
      <c r="B2933" s="1" t="s">
        <v>12</v>
      </c>
      <c r="C2933">
        <v>1965</v>
      </c>
      <c r="D2933" s="1" t="s">
        <v>261</v>
      </c>
      <c r="E2933" s="1" t="s">
        <v>22</v>
      </c>
      <c r="F2933">
        <v>14</v>
      </c>
      <c r="G2933" s="1" t="s">
        <v>170</v>
      </c>
      <c r="H2933">
        <v>14049</v>
      </c>
      <c r="I2933">
        <v>50</v>
      </c>
      <c r="J2933">
        <v>50</v>
      </c>
      <c r="K2933">
        <v>55</v>
      </c>
      <c r="L2933">
        <v>1100</v>
      </c>
    </row>
    <row r="2934" spans="1:12" hidden="1" x14ac:dyDescent="0.25">
      <c r="A2934">
        <v>2933</v>
      </c>
      <c r="B2934" s="1" t="s">
        <v>12</v>
      </c>
      <c r="C2934">
        <v>1965</v>
      </c>
      <c r="D2934" s="1" t="s">
        <v>261</v>
      </c>
      <c r="E2934" s="1" t="s">
        <v>22</v>
      </c>
      <c r="F2934">
        <v>14</v>
      </c>
      <c r="G2934" s="1" t="s">
        <v>171</v>
      </c>
      <c r="H2934">
        <v>14112</v>
      </c>
      <c r="I2934">
        <v>50</v>
      </c>
      <c r="J2934">
        <v>50</v>
      </c>
      <c r="K2934">
        <v>55</v>
      </c>
      <c r="L2934">
        <v>1100</v>
      </c>
    </row>
    <row r="2935" spans="1:12" hidden="1" x14ac:dyDescent="0.25">
      <c r="A2935">
        <v>2934</v>
      </c>
      <c r="B2935" s="1" t="s">
        <v>12</v>
      </c>
      <c r="C2935">
        <v>1965</v>
      </c>
      <c r="D2935" s="1" t="s">
        <v>261</v>
      </c>
      <c r="E2935" s="1" t="s">
        <v>22</v>
      </c>
      <c r="F2935">
        <v>14</v>
      </c>
      <c r="G2935" s="1" t="s">
        <v>169</v>
      </c>
      <c r="H2935">
        <v>14126</v>
      </c>
      <c r="I2935">
        <v>20</v>
      </c>
      <c r="J2935">
        <v>20</v>
      </c>
      <c r="K2935">
        <v>20</v>
      </c>
      <c r="L2935">
        <v>1000</v>
      </c>
    </row>
    <row r="2936" spans="1:12" hidden="1" x14ac:dyDescent="0.25">
      <c r="A2936">
        <v>2935</v>
      </c>
      <c r="B2936" s="1" t="s">
        <v>12</v>
      </c>
      <c r="C2936">
        <v>1965</v>
      </c>
      <c r="D2936" s="1" t="s">
        <v>261</v>
      </c>
      <c r="E2936" s="1" t="s">
        <v>22</v>
      </c>
      <c r="F2936">
        <v>14</v>
      </c>
      <c r="G2936" s="1" t="s">
        <v>62</v>
      </c>
      <c r="H2936">
        <v>14133</v>
      </c>
      <c r="I2936">
        <v>10</v>
      </c>
      <c r="J2936">
        <v>10</v>
      </c>
      <c r="K2936">
        <v>10</v>
      </c>
      <c r="L2936">
        <v>1000</v>
      </c>
    </row>
    <row r="2937" spans="1:12" hidden="1" x14ac:dyDescent="0.25">
      <c r="A2937">
        <v>2936</v>
      </c>
      <c r="B2937" s="1" t="s">
        <v>12</v>
      </c>
      <c r="C2937">
        <v>1965</v>
      </c>
      <c r="D2937" s="1" t="s">
        <v>261</v>
      </c>
      <c r="E2937" s="1" t="s">
        <v>30</v>
      </c>
      <c r="F2937">
        <v>18</v>
      </c>
      <c r="G2937" s="1" t="s">
        <v>36</v>
      </c>
      <c r="H2937">
        <v>18133</v>
      </c>
      <c r="I2937">
        <v>50</v>
      </c>
      <c r="J2937">
        <v>34</v>
      </c>
      <c r="K2937">
        <v>27</v>
      </c>
      <c r="L2937">
        <v>794</v>
      </c>
    </row>
    <row r="2938" spans="1:12" hidden="1" x14ac:dyDescent="0.25">
      <c r="A2938">
        <v>2937</v>
      </c>
      <c r="B2938" s="1" t="s">
        <v>12</v>
      </c>
      <c r="C2938">
        <v>1965</v>
      </c>
      <c r="D2938" s="1" t="s">
        <v>261</v>
      </c>
      <c r="E2938" s="1" t="s">
        <v>30</v>
      </c>
      <c r="F2938">
        <v>18</v>
      </c>
      <c r="G2938" s="1" t="s">
        <v>41</v>
      </c>
      <c r="H2938">
        <v>18140</v>
      </c>
      <c r="I2938">
        <v>30</v>
      </c>
      <c r="J2938">
        <v>20</v>
      </c>
      <c r="K2938">
        <v>16</v>
      </c>
      <c r="L2938">
        <v>800</v>
      </c>
    </row>
    <row r="2939" spans="1:12" hidden="1" x14ac:dyDescent="0.25">
      <c r="A2939">
        <v>2938</v>
      </c>
      <c r="B2939" s="1" t="s">
        <v>12</v>
      </c>
      <c r="C2939">
        <v>1965</v>
      </c>
      <c r="D2939" s="1" t="s">
        <v>261</v>
      </c>
      <c r="E2939" s="1" t="s">
        <v>30</v>
      </c>
      <c r="F2939">
        <v>18</v>
      </c>
      <c r="G2939" s="1" t="s">
        <v>34</v>
      </c>
      <c r="H2939">
        <v>18042</v>
      </c>
      <c r="I2939">
        <v>20</v>
      </c>
      <c r="J2939">
        <v>14</v>
      </c>
      <c r="K2939">
        <v>11</v>
      </c>
      <c r="L2939">
        <v>786</v>
      </c>
    </row>
    <row r="2940" spans="1:12" hidden="1" x14ac:dyDescent="0.25">
      <c r="A2940">
        <v>2939</v>
      </c>
      <c r="B2940" s="1" t="s">
        <v>12</v>
      </c>
      <c r="C2940">
        <v>1965</v>
      </c>
      <c r="D2940" s="1" t="s">
        <v>261</v>
      </c>
      <c r="E2940" s="1" t="s">
        <v>30</v>
      </c>
      <c r="F2940">
        <v>18</v>
      </c>
      <c r="G2940" s="1" t="s">
        <v>28</v>
      </c>
      <c r="H2940">
        <v>18021</v>
      </c>
      <c r="I2940">
        <v>15</v>
      </c>
      <c r="J2940">
        <v>12</v>
      </c>
      <c r="K2940">
        <v>10</v>
      </c>
      <c r="L2940">
        <v>833</v>
      </c>
    </row>
    <row r="2941" spans="1:12" hidden="1" x14ac:dyDescent="0.25">
      <c r="A2941">
        <v>2940</v>
      </c>
      <c r="B2941" s="1" t="s">
        <v>12</v>
      </c>
      <c r="C2941">
        <v>1965</v>
      </c>
      <c r="D2941" s="1" t="s">
        <v>261</v>
      </c>
      <c r="E2941" s="1" t="s">
        <v>30</v>
      </c>
      <c r="F2941">
        <v>18</v>
      </c>
      <c r="G2941" s="1" t="s">
        <v>99</v>
      </c>
      <c r="H2941">
        <v>18063</v>
      </c>
      <c r="I2941">
        <v>15</v>
      </c>
      <c r="J2941">
        <v>12</v>
      </c>
      <c r="K2941">
        <v>10</v>
      </c>
      <c r="L2941">
        <v>833</v>
      </c>
    </row>
    <row r="2942" spans="1:12" hidden="1" x14ac:dyDescent="0.25">
      <c r="A2942">
        <v>2941</v>
      </c>
      <c r="B2942" s="1" t="s">
        <v>12</v>
      </c>
      <c r="C2942">
        <v>1965</v>
      </c>
      <c r="D2942" s="1" t="s">
        <v>261</v>
      </c>
      <c r="E2942" s="1" t="s">
        <v>30</v>
      </c>
      <c r="F2942">
        <v>18</v>
      </c>
      <c r="G2942" s="1" t="s">
        <v>103</v>
      </c>
      <c r="H2942">
        <v>18154</v>
      </c>
      <c r="I2942">
        <v>10</v>
      </c>
      <c r="J2942">
        <v>8</v>
      </c>
      <c r="K2942">
        <v>6</v>
      </c>
      <c r="L2942">
        <v>750</v>
      </c>
    </row>
    <row r="2943" spans="1:12" hidden="1" x14ac:dyDescent="0.25">
      <c r="A2943">
        <v>2942</v>
      </c>
      <c r="B2943" s="1" t="s">
        <v>12</v>
      </c>
      <c r="C2943">
        <v>1965</v>
      </c>
      <c r="D2943" s="1" t="s">
        <v>261</v>
      </c>
      <c r="E2943" s="1" t="s">
        <v>45</v>
      </c>
      <c r="F2943">
        <v>30</v>
      </c>
      <c r="G2943" s="1" t="s">
        <v>47</v>
      </c>
      <c r="H2943">
        <v>30015</v>
      </c>
      <c r="I2943">
        <v>20</v>
      </c>
      <c r="J2943">
        <v>13</v>
      </c>
      <c r="K2943">
        <v>7</v>
      </c>
      <c r="L2943">
        <v>538</v>
      </c>
    </row>
    <row r="2944" spans="1:12" hidden="1" x14ac:dyDescent="0.25">
      <c r="A2944">
        <v>2943</v>
      </c>
      <c r="B2944" s="1" t="s">
        <v>12</v>
      </c>
      <c r="C2944">
        <v>1965</v>
      </c>
      <c r="D2944" s="1" t="s">
        <v>261</v>
      </c>
      <c r="E2944" s="1" t="s">
        <v>45</v>
      </c>
      <c r="F2944">
        <v>30</v>
      </c>
      <c r="G2944" s="1" t="s">
        <v>46</v>
      </c>
      <c r="H2944">
        <v>30028</v>
      </c>
      <c r="I2944">
        <v>10</v>
      </c>
      <c r="J2944">
        <v>7</v>
      </c>
      <c r="K2944">
        <v>3</v>
      </c>
      <c r="L2944">
        <v>429</v>
      </c>
    </row>
    <row r="2945" spans="1:12" hidden="1" x14ac:dyDescent="0.25">
      <c r="A2945">
        <v>2944</v>
      </c>
      <c r="B2945" s="1" t="s">
        <v>12</v>
      </c>
      <c r="C2945">
        <v>1965</v>
      </c>
      <c r="D2945" s="1" t="s">
        <v>261</v>
      </c>
      <c r="E2945" s="1" t="s">
        <v>48</v>
      </c>
      <c r="F2945">
        <v>34</v>
      </c>
      <c r="G2945" s="1" t="s">
        <v>51</v>
      </c>
      <c r="H2945">
        <v>34056</v>
      </c>
      <c r="I2945">
        <v>100</v>
      </c>
    </row>
    <row r="2946" spans="1:12" hidden="1" x14ac:dyDescent="0.25">
      <c r="A2946">
        <v>2945</v>
      </c>
      <c r="B2946" s="1" t="s">
        <v>12</v>
      </c>
      <c r="C2946">
        <v>1965</v>
      </c>
      <c r="D2946" s="1" t="s">
        <v>261</v>
      </c>
      <c r="E2946" s="1" t="s">
        <v>48</v>
      </c>
      <c r="F2946">
        <v>34</v>
      </c>
      <c r="G2946" s="1" t="s">
        <v>50</v>
      </c>
      <c r="H2946">
        <v>34021</v>
      </c>
      <c r="I2946">
        <v>60</v>
      </c>
    </row>
    <row r="2947" spans="1:12" hidden="1" x14ac:dyDescent="0.25">
      <c r="A2947">
        <v>2946</v>
      </c>
      <c r="B2947" s="1" t="s">
        <v>12</v>
      </c>
      <c r="C2947">
        <v>1965</v>
      </c>
      <c r="D2947" s="1" t="s">
        <v>261</v>
      </c>
      <c r="E2947" s="1" t="s">
        <v>48</v>
      </c>
      <c r="F2947">
        <v>34</v>
      </c>
      <c r="G2947" s="1" t="s">
        <v>48</v>
      </c>
      <c r="H2947">
        <v>34014</v>
      </c>
      <c r="I2947">
        <v>45</v>
      </c>
    </row>
    <row r="2948" spans="1:12" hidden="1" x14ac:dyDescent="0.25">
      <c r="A2948">
        <v>2947</v>
      </c>
      <c r="B2948" s="1" t="s">
        <v>12</v>
      </c>
      <c r="C2948">
        <v>1965</v>
      </c>
      <c r="D2948" s="1" t="s">
        <v>261</v>
      </c>
      <c r="E2948" s="1" t="s">
        <v>48</v>
      </c>
      <c r="F2948">
        <v>34</v>
      </c>
      <c r="G2948" s="1" t="s">
        <v>49</v>
      </c>
      <c r="H2948">
        <v>34049</v>
      </c>
      <c r="I2948">
        <v>40</v>
      </c>
      <c r="J2948">
        <v>35</v>
      </c>
      <c r="K2948">
        <v>28</v>
      </c>
      <c r="L2948">
        <v>800</v>
      </c>
    </row>
    <row r="2949" spans="1:12" hidden="1" x14ac:dyDescent="0.25">
      <c r="A2949">
        <v>2948</v>
      </c>
      <c r="B2949" s="1" t="s">
        <v>12</v>
      </c>
      <c r="C2949">
        <v>1965</v>
      </c>
      <c r="D2949" s="1" t="s">
        <v>261</v>
      </c>
      <c r="E2949" s="1" t="s">
        <v>48</v>
      </c>
      <c r="F2949">
        <v>34</v>
      </c>
      <c r="G2949" s="1" t="s">
        <v>108</v>
      </c>
      <c r="H2949">
        <v>34042</v>
      </c>
      <c r="I2949">
        <v>35</v>
      </c>
      <c r="J2949">
        <v>35</v>
      </c>
      <c r="K2949">
        <v>35</v>
      </c>
      <c r="L2949">
        <v>1000</v>
      </c>
    </row>
    <row r="2950" spans="1:12" hidden="1" x14ac:dyDescent="0.25">
      <c r="A2950">
        <v>2949</v>
      </c>
      <c r="B2950" s="1" t="s">
        <v>12</v>
      </c>
      <c r="C2950">
        <v>1965</v>
      </c>
      <c r="D2950" s="1" t="s">
        <v>261</v>
      </c>
      <c r="E2950" s="1" t="s">
        <v>48</v>
      </c>
      <c r="F2950">
        <v>34</v>
      </c>
      <c r="G2950" s="1" t="s">
        <v>52</v>
      </c>
      <c r="H2950">
        <v>34035</v>
      </c>
      <c r="I2950">
        <v>20</v>
      </c>
      <c r="J2950">
        <v>20</v>
      </c>
      <c r="K2950">
        <v>17</v>
      </c>
      <c r="L2950">
        <v>850</v>
      </c>
    </row>
    <row r="2951" spans="1:12" hidden="1" x14ac:dyDescent="0.25">
      <c r="A2951">
        <v>2950</v>
      </c>
      <c r="B2951" s="1" t="s">
        <v>12</v>
      </c>
      <c r="C2951">
        <v>1965</v>
      </c>
      <c r="D2951" s="1" t="s">
        <v>261</v>
      </c>
      <c r="E2951" s="1" t="s">
        <v>58</v>
      </c>
      <c r="F2951">
        <v>54</v>
      </c>
      <c r="G2951" s="1" t="s">
        <v>242</v>
      </c>
      <c r="H2951">
        <v>54091</v>
      </c>
      <c r="I2951">
        <v>70</v>
      </c>
      <c r="J2951">
        <v>70</v>
      </c>
      <c r="K2951">
        <v>56</v>
      </c>
      <c r="L2951">
        <v>800</v>
      </c>
    </row>
    <row r="2952" spans="1:12" hidden="1" x14ac:dyDescent="0.25">
      <c r="A2952">
        <v>2951</v>
      </c>
      <c r="B2952" s="1" t="s">
        <v>12</v>
      </c>
      <c r="C2952">
        <v>1965</v>
      </c>
      <c r="D2952" s="1" t="s">
        <v>261</v>
      </c>
      <c r="E2952" s="1" t="s">
        <v>58</v>
      </c>
      <c r="F2952">
        <v>54</v>
      </c>
      <c r="G2952" s="1" t="s">
        <v>61</v>
      </c>
      <c r="H2952">
        <v>54098</v>
      </c>
      <c r="I2952">
        <v>55</v>
      </c>
      <c r="J2952">
        <v>55</v>
      </c>
      <c r="K2952">
        <v>44</v>
      </c>
      <c r="L2952">
        <v>800</v>
      </c>
    </row>
    <row r="2953" spans="1:12" hidden="1" x14ac:dyDescent="0.25">
      <c r="A2953">
        <v>2952</v>
      </c>
      <c r="B2953" s="1" t="s">
        <v>12</v>
      </c>
      <c r="C2953">
        <v>1965</v>
      </c>
      <c r="D2953" s="1" t="s">
        <v>261</v>
      </c>
      <c r="E2953" s="1" t="s">
        <v>58</v>
      </c>
      <c r="F2953">
        <v>54</v>
      </c>
      <c r="G2953" s="1" t="s">
        <v>60</v>
      </c>
      <c r="H2953">
        <v>54021</v>
      </c>
      <c r="I2953">
        <v>50</v>
      </c>
      <c r="J2953">
        <v>50</v>
      </c>
      <c r="K2953">
        <v>40</v>
      </c>
      <c r="L2953">
        <v>800</v>
      </c>
    </row>
    <row r="2954" spans="1:12" hidden="1" x14ac:dyDescent="0.25">
      <c r="A2954">
        <v>2953</v>
      </c>
      <c r="B2954" s="1" t="s">
        <v>12</v>
      </c>
      <c r="C2954">
        <v>1965</v>
      </c>
      <c r="D2954" s="1" t="s">
        <v>261</v>
      </c>
      <c r="E2954" s="1" t="s">
        <v>58</v>
      </c>
      <c r="F2954">
        <v>54</v>
      </c>
      <c r="G2954" s="1" t="s">
        <v>243</v>
      </c>
      <c r="H2954">
        <v>54070</v>
      </c>
      <c r="I2954">
        <v>50</v>
      </c>
      <c r="J2954">
        <v>50</v>
      </c>
      <c r="K2954">
        <v>40</v>
      </c>
      <c r="L2954">
        <v>800</v>
      </c>
    </row>
    <row r="2955" spans="1:12" hidden="1" x14ac:dyDescent="0.25">
      <c r="A2955">
        <v>2954</v>
      </c>
      <c r="B2955" s="1" t="s">
        <v>12</v>
      </c>
      <c r="C2955">
        <v>1965</v>
      </c>
      <c r="D2955" s="1" t="s">
        <v>261</v>
      </c>
      <c r="E2955" s="1" t="s">
        <v>58</v>
      </c>
      <c r="F2955">
        <v>54</v>
      </c>
      <c r="G2955" s="1" t="s">
        <v>59</v>
      </c>
      <c r="H2955">
        <v>54007</v>
      </c>
      <c r="I2955">
        <v>45</v>
      </c>
      <c r="J2955">
        <v>45</v>
      </c>
      <c r="K2955">
        <v>36</v>
      </c>
      <c r="L2955">
        <v>800</v>
      </c>
    </row>
    <row r="2956" spans="1:12" hidden="1" x14ac:dyDescent="0.25">
      <c r="A2956">
        <v>2955</v>
      </c>
      <c r="B2956" s="1" t="s">
        <v>12</v>
      </c>
      <c r="C2956">
        <v>1965</v>
      </c>
      <c r="D2956" s="1" t="s">
        <v>261</v>
      </c>
      <c r="E2956" s="1" t="s">
        <v>58</v>
      </c>
      <c r="F2956">
        <v>54</v>
      </c>
      <c r="G2956" s="1" t="s">
        <v>63</v>
      </c>
      <c r="H2956">
        <v>54035</v>
      </c>
      <c r="I2956">
        <v>35</v>
      </c>
      <c r="J2956">
        <v>35</v>
      </c>
      <c r="K2956">
        <v>28</v>
      </c>
      <c r="L2956">
        <v>800</v>
      </c>
    </row>
    <row r="2957" spans="1:12" hidden="1" x14ac:dyDescent="0.25">
      <c r="A2957">
        <v>2956</v>
      </c>
      <c r="B2957" s="1" t="s">
        <v>12</v>
      </c>
      <c r="C2957">
        <v>1965</v>
      </c>
      <c r="D2957" s="1" t="s">
        <v>261</v>
      </c>
      <c r="E2957" s="1" t="s">
        <v>58</v>
      </c>
      <c r="F2957">
        <v>54</v>
      </c>
      <c r="G2957" s="1" t="s">
        <v>150</v>
      </c>
      <c r="H2957">
        <v>54014</v>
      </c>
      <c r="I2957">
        <v>25</v>
      </c>
      <c r="J2957">
        <v>25</v>
      </c>
      <c r="K2957">
        <v>20</v>
      </c>
      <c r="L2957">
        <v>800</v>
      </c>
    </row>
    <row r="2958" spans="1:12" hidden="1" x14ac:dyDescent="0.25">
      <c r="A2958">
        <v>2957</v>
      </c>
      <c r="B2958" s="1" t="s">
        <v>12</v>
      </c>
      <c r="C2958">
        <v>1965</v>
      </c>
      <c r="D2958" s="1" t="s">
        <v>261</v>
      </c>
      <c r="E2958" s="1" t="s">
        <v>58</v>
      </c>
      <c r="F2958">
        <v>54</v>
      </c>
      <c r="G2958" s="1" t="s">
        <v>62</v>
      </c>
      <c r="H2958">
        <v>54105</v>
      </c>
      <c r="I2958">
        <v>25</v>
      </c>
      <c r="J2958">
        <v>25</v>
      </c>
      <c r="K2958">
        <v>20</v>
      </c>
      <c r="L2958">
        <v>800</v>
      </c>
    </row>
    <row r="2959" spans="1:12" hidden="1" x14ac:dyDescent="0.25">
      <c r="A2959">
        <v>2958</v>
      </c>
      <c r="B2959" s="1" t="s">
        <v>12</v>
      </c>
      <c r="C2959">
        <v>1965</v>
      </c>
      <c r="D2959" s="1" t="s">
        <v>261</v>
      </c>
      <c r="E2959" s="1" t="s">
        <v>58</v>
      </c>
      <c r="F2959">
        <v>54</v>
      </c>
      <c r="G2959" s="1" t="s">
        <v>244</v>
      </c>
      <c r="H2959">
        <v>54084</v>
      </c>
      <c r="I2959">
        <v>20</v>
      </c>
      <c r="J2959">
        <v>20</v>
      </c>
      <c r="K2959">
        <v>16</v>
      </c>
      <c r="L2959">
        <v>800</v>
      </c>
    </row>
    <row r="2960" spans="1:12" hidden="1" x14ac:dyDescent="0.25">
      <c r="A2960">
        <v>2959</v>
      </c>
      <c r="B2960" s="1" t="s">
        <v>12</v>
      </c>
      <c r="C2960">
        <v>1965</v>
      </c>
      <c r="D2960" s="1" t="s">
        <v>261</v>
      </c>
      <c r="E2960" s="1" t="s">
        <v>58</v>
      </c>
      <c r="F2960">
        <v>54</v>
      </c>
      <c r="G2960" s="1" t="s">
        <v>245</v>
      </c>
      <c r="H2960">
        <v>54042</v>
      </c>
      <c r="I2960">
        <v>15</v>
      </c>
      <c r="J2960">
        <v>15</v>
      </c>
      <c r="K2960">
        <v>12</v>
      </c>
      <c r="L2960">
        <v>800</v>
      </c>
    </row>
    <row r="2961" spans="1:12" hidden="1" x14ac:dyDescent="0.25">
      <c r="A2961">
        <v>2960</v>
      </c>
      <c r="B2961" s="1" t="s">
        <v>12</v>
      </c>
      <c r="C2961">
        <v>1965</v>
      </c>
      <c r="D2961" s="1" t="s">
        <v>261</v>
      </c>
      <c r="E2961" s="1" t="s">
        <v>58</v>
      </c>
      <c r="F2961">
        <v>54</v>
      </c>
      <c r="G2961" s="1" t="s">
        <v>119</v>
      </c>
      <c r="H2961">
        <v>54077</v>
      </c>
      <c r="I2961">
        <v>15</v>
      </c>
      <c r="J2961">
        <v>15</v>
      </c>
      <c r="K2961">
        <v>12</v>
      </c>
      <c r="L2961">
        <v>800</v>
      </c>
    </row>
    <row r="2962" spans="1:12" hidden="1" x14ac:dyDescent="0.25">
      <c r="A2962">
        <v>2961</v>
      </c>
      <c r="B2962" s="1" t="s">
        <v>12</v>
      </c>
      <c r="C2962">
        <v>1965</v>
      </c>
      <c r="D2962" s="1" t="s">
        <v>261</v>
      </c>
      <c r="E2962" s="1" t="s">
        <v>58</v>
      </c>
      <c r="F2962">
        <v>54</v>
      </c>
      <c r="G2962" s="1" t="s">
        <v>151</v>
      </c>
      <c r="H2962">
        <v>54056</v>
      </c>
      <c r="I2962">
        <v>10</v>
      </c>
      <c r="J2962">
        <v>10</v>
      </c>
      <c r="K2962">
        <v>7</v>
      </c>
      <c r="L2962">
        <v>700</v>
      </c>
    </row>
    <row r="2963" spans="1:12" hidden="1" x14ac:dyDescent="0.25">
      <c r="A2963">
        <v>2962</v>
      </c>
      <c r="B2963" s="1" t="s">
        <v>12</v>
      </c>
      <c r="C2963">
        <v>1965</v>
      </c>
      <c r="D2963" s="1" t="s">
        <v>261</v>
      </c>
      <c r="E2963" s="1" t="s">
        <v>58</v>
      </c>
      <c r="F2963">
        <v>54</v>
      </c>
      <c r="G2963" s="1" t="s">
        <v>152</v>
      </c>
      <c r="H2963">
        <v>54063</v>
      </c>
      <c r="I2963">
        <v>10</v>
      </c>
      <c r="J2963">
        <v>10</v>
      </c>
      <c r="K2963">
        <v>7</v>
      </c>
      <c r="L2963">
        <v>700</v>
      </c>
    </row>
    <row r="2964" spans="1:12" hidden="1" x14ac:dyDescent="0.25">
      <c r="A2964">
        <v>2963</v>
      </c>
      <c r="B2964" s="1" t="s">
        <v>12</v>
      </c>
      <c r="C2964">
        <v>1965</v>
      </c>
      <c r="D2964" s="1" t="s">
        <v>261</v>
      </c>
      <c r="E2964" s="1" t="s">
        <v>58</v>
      </c>
      <c r="F2964">
        <v>54</v>
      </c>
      <c r="G2964" s="1" t="s">
        <v>258</v>
      </c>
      <c r="H2964">
        <v>54049</v>
      </c>
      <c r="I2964">
        <v>5</v>
      </c>
      <c r="J2964">
        <v>5</v>
      </c>
      <c r="K2964">
        <v>4</v>
      </c>
      <c r="L2964">
        <v>800</v>
      </c>
    </row>
    <row r="2965" spans="1:12" x14ac:dyDescent="0.25">
      <c r="A2965">
        <v>2964</v>
      </c>
      <c r="B2965" s="1" t="s">
        <v>12</v>
      </c>
      <c r="C2965">
        <v>1965</v>
      </c>
      <c r="D2965" s="1" t="s">
        <v>261</v>
      </c>
      <c r="E2965" s="1" t="s">
        <v>58</v>
      </c>
      <c r="F2965">
        <v>54</v>
      </c>
      <c r="G2965" s="1" t="s">
        <v>56</v>
      </c>
      <c r="H2965">
        <v>54112</v>
      </c>
      <c r="I2965">
        <v>5</v>
      </c>
      <c r="J2965">
        <v>5</v>
      </c>
      <c r="K2965">
        <v>4</v>
      </c>
      <c r="L2965">
        <v>800</v>
      </c>
    </row>
    <row r="2966" spans="1:12" hidden="1" x14ac:dyDescent="0.25">
      <c r="A2966">
        <v>2965</v>
      </c>
      <c r="B2966" s="1" t="s">
        <v>12</v>
      </c>
      <c r="C2966">
        <v>1965</v>
      </c>
      <c r="D2966" s="1" t="s">
        <v>261</v>
      </c>
      <c r="E2966" s="1" t="s">
        <v>58</v>
      </c>
      <c r="F2966">
        <v>54</v>
      </c>
      <c r="G2966" s="1" t="s">
        <v>234</v>
      </c>
      <c r="H2966">
        <v>54119</v>
      </c>
      <c r="I2966">
        <v>5</v>
      </c>
      <c r="J2966">
        <v>5</v>
      </c>
      <c r="K2966">
        <v>4</v>
      </c>
      <c r="L2966">
        <v>800</v>
      </c>
    </row>
    <row r="2967" spans="1:12" hidden="1" x14ac:dyDescent="0.25">
      <c r="A2967">
        <v>2966</v>
      </c>
      <c r="B2967" s="1" t="s">
        <v>12</v>
      </c>
      <c r="C2967">
        <v>1965</v>
      </c>
      <c r="D2967" s="1" t="s">
        <v>261</v>
      </c>
      <c r="E2967" s="1" t="s">
        <v>87</v>
      </c>
      <c r="F2967">
        <v>66</v>
      </c>
      <c r="G2967" s="1" t="s">
        <v>153</v>
      </c>
      <c r="H2967">
        <v>66007</v>
      </c>
      <c r="I2967">
        <v>100</v>
      </c>
      <c r="J2967">
        <v>100</v>
      </c>
      <c r="K2967">
        <v>150</v>
      </c>
      <c r="L2967">
        <v>1500</v>
      </c>
    </row>
    <row r="2968" spans="1:12" hidden="1" x14ac:dyDescent="0.25">
      <c r="A2968">
        <v>2967</v>
      </c>
      <c r="B2968" s="1" t="s">
        <v>12</v>
      </c>
      <c r="C2968">
        <v>1965</v>
      </c>
      <c r="D2968" s="1" t="s">
        <v>261</v>
      </c>
      <c r="E2968" s="1" t="s">
        <v>87</v>
      </c>
      <c r="F2968">
        <v>66</v>
      </c>
      <c r="G2968" s="1" t="s">
        <v>188</v>
      </c>
      <c r="H2968">
        <v>66140</v>
      </c>
      <c r="I2968">
        <v>100</v>
      </c>
      <c r="J2968">
        <v>50</v>
      </c>
      <c r="K2968">
        <v>90</v>
      </c>
      <c r="L2968">
        <v>1800</v>
      </c>
    </row>
    <row r="2969" spans="1:12" hidden="1" x14ac:dyDescent="0.25">
      <c r="A2969">
        <v>2968</v>
      </c>
      <c r="B2969" s="1" t="s">
        <v>12</v>
      </c>
      <c r="C2969">
        <v>1965</v>
      </c>
      <c r="D2969" s="1" t="s">
        <v>261</v>
      </c>
      <c r="E2969" s="1" t="s">
        <v>87</v>
      </c>
      <c r="F2969">
        <v>66</v>
      </c>
      <c r="G2969" s="1" t="s">
        <v>141</v>
      </c>
      <c r="H2969">
        <v>66112</v>
      </c>
      <c r="I2969">
        <v>60</v>
      </c>
      <c r="J2969">
        <v>60</v>
      </c>
      <c r="K2969">
        <v>102</v>
      </c>
      <c r="L2969">
        <v>1700</v>
      </c>
    </row>
    <row r="2970" spans="1:12" hidden="1" x14ac:dyDescent="0.25">
      <c r="A2970">
        <v>2969</v>
      </c>
      <c r="B2970" s="1" t="s">
        <v>12</v>
      </c>
      <c r="C2970">
        <v>1965</v>
      </c>
      <c r="D2970" s="1" t="s">
        <v>261</v>
      </c>
      <c r="E2970" s="1" t="s">
        <v>87</v>
      </c>
      <c r="F2970">
        <v>66</v>
      </c>
      <c r="G2970" s="1" t="s">
        <v>125</v>
      </c>
      <c r="H2970">
        <v>66035</v>
      </c>
      <c r="I2970">
        <v>40</v>
      </c>
      <c r="J2970">
        <v>40</v>
      </c>
      <c r="K2970">
        <v>62</v>
      </c>
      <c r="L2970">
        <v>1550</v>
      </c>
    </row>
    <row r="2971" spans="1:12" hidden="1" x14ac:dyDescent="0.25">
      <c r="A2971">
        <v>2970</v>
      </c>
      <c r="B2971" s="1" t="s">
        <v>12</v>
      </c>
      <c r="C2971">
        <v>1965</v>
      </c>
      <c r="D2971" s="1" t="s">
        <v>261</v>
      </c>
      <c r="E2971" s="1" t="s">
        <v>87</v>
      </c>
      <c r="F2971">
        <v>66</v>
      </c>
      <c r="G2971" s="1" t="s">
        <v>130</v>
      </c>
      <c r="H2971">
        <v>66147</v>
      </c>
      <c r="I2971">
        <v>32</v>
      </c>
      <c r="J2971">
        <v>32</v>
      </c>
      <c r="K2971">
        <v>48</v>
      </c>
      <c r="L2971">
        <v>1500</v>
      </c>
    </row>
    <row r="2972" spans="1:12" hidden="1" x14ac:dyDescent="0.25">
      <c r="A2972">
        <v>2971</v>
      </c>
      <c r="B2972" s="1" t="s">
        <v>12</v>
      </c>
      <c r="C2972">
        <v>1965</v>
      </c>
      <c r="D2972" s="1" t="s">
        <v>261</v>
      </c>
      <c r="E2972" s="1" t="s">
        <v>87</v>
      </c>
      <c r="F2972">
        <v>66</v>
      </c>
      <c r="G2972" s="1" t="s">
        <v>28</v>
      </c>
      <c r="H2972">
        <v>66028</v>
      </c>
      <c r="I2972">
        <v>30</v>
      </c>
      <c r="J2972">
        <v>30</v>
      </c>
      <c r="K2972">
        <v>45</v>
      </c>
      <c r="L2972">
        <v>1500</v>
      </c>
    </row>
    <row r="2973" spans="1:12" hidden="1" x14ac:dyDescent="0.25">
      <c r="A2973">
        <v>2972</v>
      </c>
      <c r="B2973" s="1" t="s">
        <v>12</v>
      </c>
      <c r="C2973">
        <v>1965</v>
      </c>
      <c r="D2973" s="1" t="s">
        <v>261</v>
      </c>
      <c r="E2973" s="1" t="s">
        <v>87</v>
      </c>
      <c r="F2973">
        <v>66</v>
      </c>
      <c r="G2973" s="1" t="s">
        <v>260</v>
      </c>
      <c r="H2973">
        <v>66063</v>
      </c>
      <c r="I2973">
        <v>20</v>
      </c>
      <c r="J2973">
        <v>20</v>
      </c>
      <c r="K2973">
        <v>30</v>
      </c>
      <c r="L2973">
        <v>1500</v>
      </c>
    </row>
    <row r="2974" spans="1:12" hidden="1" x14ac:dyDescent="0.25">
      <c r="A2974">
        <v>2973</v>
      </c>
      <c r="B2974" s="1" t="s">
        <v>12</v>
      </c>
      <c r="C2974">
        <v>1965</v>
      </c>
      <c r="D2974" s="1" t="s">
        <v>261</v>
      </c>
      <c r="E2974" s="1" t="s">
        <v>87</v>
      </c>
      <c r="F2974">
        <v>66</v>
      </c>
      <c r="G2974" s="1" t="s">
        <v>230</v>
      </c>
      <c r="H2974">
        <v>66056</v>
      </c>
      <c r="I2974">
        <v>15</v>
      </c>
      <c r="J2974">
        <v>15</v>
      </c>
      <c r="K2974">
        <v>18</v>
      </c>
      <c r="L2974">
        <v>1200</v>
      </c>
    </row>
    <row r="2975" spans="1:12" hidden="1" x14ac:dyDescent="0.25">
      <c r="A2975">
        <v>2974</v>
      </c>
      <c r="B2975" s="1" t="s">
        <v>12</v>
      </c>
      <c r="C2975">
        <v>1965</v>
      </c>
      <c r="D2975" s="1" t="s">
        <v>261</v>
      </c>
      <c r="E2975" s="1" t="s">
        <v>87</v>
      </c>
      <c r="F2975">
        <v>66</v>
      </c>
      <c r="G2975" s="1" t="s">
        <v>161</v>
      </c>
      <c r="H2975">
        <v>66133</v>
      </c>
      <c r="I2975">
        <v>15</v>
      </c>
      <c r="J2975">
        <v>15</v>
      </c>
      <c r="K2975">
        <v>15</v>
      </c>
      <c r="L2975">
        <v>1000</v>
      </c>
    </row>
    <row r="2976" spans="1:12" hidden="1" x14ac:dyDescent="0.25">
      <c r="A2976">
        <v>2975</v>
      </c>
      <c r="B2976" s="1" t="s">
        <v>12</v>
      </c>
      <c r="C2976">
        <v>1965</v>
      </c>
      <c r="D2976" s="1" t="s">
        <v>261</v>
      </c>
      <c r="E2976" s="1" t="s">
        <v>87</v>
      </c>
      <c r="F2976">
        <v>66</v>
      </c>
      <c r="G2976" s="1" t="s">
        <v>179</v>
      </c>
      <c r="H2976">
        <v>66126</v>
      </c>
      <c r="I2976">
        <v>8</v>
      </c>
      <c r="J2976">
        <v>8</v>
      </c>
      <c r="K2976">
        <v>10</v>
      </c>
      <c r="L2976">
        <v>1250</v>
      </c>
    </row>
    <row r="2977" spans="1:12" hidden="1" x14ac:dyDescent="0.25">
      <c r="A2977">
        <v>2976</v>
      </c>
      <c r="B2977" s="1" t="s">
        <v>12</v>
      </c>
      <c r="C2977">
        <v>1965</v>
      </c>
      <c r="D2977" s="1" t="s">
        <v>261</v>
      </c>
      <c r="E2977" s="1" t="s">
        <v>116</v>
      </c>
      <c r="F2977">
        <v>74</v>
      </c>
      <c r="G2977" s="1" t="s">
        <v>28</v>
      </c>
      <c r="H2977">
        <v>74056</v>
      </c>
      <c r="I2977">
        <v>280</v>
      </c>
      <c r="J2977">
        <v>180</v>
      </c>
      <c r="K2977">
        <v>135</v>
      </c>
      <c r="L2977">
        <v>750</v>
      </c>
    </row>
    <row r="2978" spans="1:12" hidden="1" x14ac:dyDescent="0.25">
      <c r="A2978">
        <v>2977</v>
      </c>
      <c r="B2978" s="1" t="s">
        <v>12</v>
      </c>
      <c r="C2978">
        <v>1965</v>
      </c>
      <c r="D2978" s="1" t="s">
        <v>261</v>
      </c>
      <c r="E2978" s="1" t="s">
        <v>116</v>
      </c>
      <c r="F2978">
        <v>74</v>
      </c>
      <c r="G2978" s="1" t="s">
        <v>126</v>
      </c>
      <c r="H2978">
        <v>74035</v>
      </c>
      <c r="I2978">
        <v>180</v>
      </c>
      <c r="J2978">
        <v>120</v>
      </c>
      <c r="K2978">
        <v>90</v>
      </c>
      <c r="L2978">
        <v>750</v>
      </c>
    </row>
    <row r="2979" spans="1:12" hidden="1" x14ac:dyDescent="0.25">
      <c r="A2979">
        <v>2978</v>
      </c>
      <c r="B2979" s="1" t="s">
        <v>12</v>
      </c>
      <c r="C2979">
        <v>1965</v>
      </c>
      <c r="D2979" s="1" t="s">
        <v>261</v>
      </c>
      <c r="E2979" s="1" t="s">
        <v>116</v>
      </c>
      <c r="F2979">
        <v>74</v>
      </c>
      <c r="G2979" s="1" t="s">
        <v>117</v>
      </c>
      <c r="H2979">
        <v>74021</v>
      </c>
      <c r="I2979">
        <v>150</v>
      </c>
      <c r="J2979">
        <v>110</v>
      </c>
      <c r="K2979">
        <v>88</v>
      </c>
      <c r="L2979">
        <v>800</v>
      </c>
    </row>
    <row r="2980" spans="1:12" hidden="1" x14ac:dyDescent="0.25">
      <c r="A2980">
        <v>2979</v>
      </c>
      <c r="B2980" s="1" t="s">
        <v>12</v>
      </c>
      <c r="C2980">
        <v>1965</v>
      </c>
      <c r="D2980" s="1" t="s">
        <v>261</v>
      </c>
      <c r="E2980" s="1" t="s">
        <v>116</v>
      </c>
      <c r="F2980">
        <v>74</v>
      </c>
      <c r="G2980" s="1" t="s">
        <v>118</v>
      </c>
      <c r="H2980">
        <v>74028</v>
      </c>
      <c r="I2980">
        <v>80</v>
      </c>
      <c r="J2980">
        <v>60</v>
      </c>
      <c r="K2980">
        <v>48</v>
      </c>
      <c r="L2980">
        <v>800</v>
      </c>
    </row>
    <row r="2981" spans="1:12" hidden="1" x14ac:dyDescent="0.25">
      <c r="A2981">
        <v>2980</v>
      </c>
      <c r="B2981" s="1" t="s">
        <v>12</v>
      </c>
      <c r="C2981">
        <v>1965</v>
      </c>
      <c r="D2981" s="1" t="s">
        <v>261</v>
      </c>
      <c r="E2981" s="1" t="s">
        <v>116</v>
      </c>
      <c r="F2981">
        <v>74</v>
      </c>
      <c r="G2981" s="1" t="s">
        <v>127</v>
      </c>
      <c r="H2981">
        <v>74049</v>
      </c>
      <c r="I2981">
        <v>60</v>
      </c>
      <c r="J2981">
        <v>50</v>
      </c>
      <c r="K2981">
        <v>39</v>
      </c>
      <c r="L2981">
        <v>780</v>
      </c>
    </row>
    <row r="2982" spans="1:12" hidden="1" x14ac:dyDescent="0.25">
      <c r="A2982">
        <v>2981</v>
      </c>
      <c r="B2982" s="1" t="s">
        <v>12</v>
      </c>
      <c r="C2982">
        <v>1965</v>
      </c>
      <c r="D2982" s="1" t="s">
        <v>261</v>
      </c>
      <c r="E2982" s="1" t="s">
        <v>64</v>
      </c>
      <c r="F2982">
        <v>82</v>
      </c>
      <c r="G2982" s="1" t="s">
        <v>66</v>
      </c>
      <c r="H2982">
        <v>82035</v>
      </c>
      <c r="I2982">
        <v>255</v>
      </c>
      <c r="J2982">
        <v>135</v>
      </c>
      <c r="K2982">
        <v>266</v>
      </c>
      <c r="L2982">
        <v>1970</v>
      </c>
    </row>
    <row r="2983" spans="1:12" hidden="1" x14ac:dyDescent="0.25">
      <c r="A2983">
        <v>2982</v>
      </c>
      <c r="B2983" s="1" t="s">
        <v>12</v>
      </c>
      <c r="C2983">
        <v>1965</v>
      </c>
      <c r="D2983" s="1" t="s">
        <v>261</v>
      </c>
      <c r="E2983" s="1" t="s">
        <v>64</v>
      </c>
      <c r="F2983">
        <v>82</v>
      </c>
      <c r="G2983" s="1" t="s">
        <v>65</v>
      </c>
      <c r="H2983">
        <v>82049</v>
      </c>
      <c r="I2983">
        <v>100</v>
      </c>
      <c r="J2983">
        <v>75</v>
      </c>
      <c r="K2983">
        <v>75</v>
      </c>
      <c r="L2983">
        <v>1000</v>
      </c>
    </row>
    <row r="2984" spans="1:12" hidden="1" x14ac:dyDescent="0.25">
      <c r="A2984">
        <v>2983</v>
      </c>
      <c r="B2984" s="1" t="s">
        <v>12</v>
      </c>
      <c r="C2984">
        <v>1965</v>
      </c>
      <c r="D2984" s="1" t="s">
        <v>261</v>
      </c>
      <c r="E2984" s="1" t="s">
        <v>64</v>
      </c>
      <c r="F2984">
        <v>82</v>
      </c>
      <c r="G2984" s="1" t="s">
        <v>62</v>
      </c>
      <c r="H2984">
        <v>82098</v>
      </c>
      <c r="I2984">
        <v>25</v>
      </c>
      <c r="J2984">
        <v>20</v>
      </c>
      <c r="K2984">
        <v>19</v>
      </c>
      <c r="L2984">
        <v>950</v>
      </c>
    </row>
    <row r="2985" spans="1:12" hidden="1" x14ac:dyDescent="0.25">
      <c r="A2985">
        <v>2984</v>
      </c>
      <c r="B2985" s="1" t="s">
        <v>12</v>
      </c>
      <c r="C2985">
        <v>1965</v>
      </c>
      <c r="D2985" s="1" t="s">
        <v>261</v>
      </c>
      <c r="E2985" s="1" t="s">
        <v>77</v>
      </c>
      <c r="F2985">
        <v>90</v>
      </c>
      <c r="G2985" s="1" t="s">
        <v>78</v>
      </c>
      <c r="H2985">
        <v>90007</v>
      </c>
      <c r="I2985">
        <v>1150</v>
      </c>
      <c r="J2985">
        <v>1000</v>
      </c>
      <c r="K2985">
        <v>1110</v>
      </c>
      <c r="L2985">
        <v>1110</v>
      </c>
    </row>
    <row r="2986" spans="1:12" hidden="1" x14ac:dyDescent="0.25">
      <c r="A2986">
        <v>2985</v>
      </c>
      <c r="B2986" s="1" t="s">
        <v>12</v>
      </c>
      <c r="C2986">
        <v>1965</v>
      </c>
      <c r="D2986" s="1" t="s">
        <v>261</v>
      </c>
      <c r="E2986" s="1" t="s">
        <v>77</v>
      </c>
      <c r="F2986">
        <v>90</v>
      </c>
      <c r="G2986" s="1" t="s">
        <v>90</v>
      </c>
      <c r="H2986">
        <v>90112</v>
      </c>
      <c r="I2986">
        <v>100</v>
      </c>
      <c r="J2986">
        <v>90</v>
      </c>
      <c r="K2986">
        <v>90</v>
      </c>
      <c r="L2986">
        <v>1000</v>
      </c>
    </row>
    <row r="2987" spans="1:12" hidden="1" x14ac:dyDescent="0.25">
      <c r="A2987">
        <v>2986</v>
      </c>
      <c r="B2987" s="1" t="s">
        <v>12</v>
      </c>
      <c r="C2987">
        <v>1965</v>
      </c>
      <c r="D2987" s="1" t="s">
        <v>261</v>
      </c>
      <c r="E2987" s="1" t="s">
        <v>77</v>
      </c>
      <c r="F2987">
        <v>90</v>
      </c>
      <c r="G2987" s="1" t="s">
        <v>110</v>
      </c>
      <c r="H2987">
        <v>90021</v>
      </c>
      <c r="I2987">
        <v>55</v>
      </c>
      <c r="J2987">
        <v>50</v>
      </c>
      <c r="K2987">
        <v>50</v>
      </c>
      <c r="L2987">
        <v>1000</v>
      </c>
    </row>
    <row r="2988" spans="1:12" hidden="1" x14ac:dyDescent="0.25">
      <c r="A2988">
        <v>2987</v>
      </c>
      <c r="B2988" s="1" t="s">
        <v>12</v>
      </c>
      <c r="C2988">
        <v>1965</v>
      </c>
      <c r="D2988" s="1" t="s">
        <v>261</v>
      </c>
      <c r="E2988" s="1" t="s">
        <v>77</v>
      </c>
      <c r="F2988">
        <v>90</v>
      </c>
      <c r="G2988" s="1" t="s">
        <v>92</v>
      </c>
      <c r="H2988">
        <v>90056</v>
      </c>
      <c r="I2988">
        <v>18</v>
      </c>
      <c r="J2988">
        <v>16</v>
      </c>
      <c r="K2988">
        <v>16</v>
      </c>
      <c r="L2988">
        <v>1000</v>
      </c>
    </row>
    <row r="2989" spans="1:12" hidden="1" x14ac:dyDescent="0.25">
      <c r="A2989">
        <v>2988</v>
      </c>
      <c r="B2989" s="1" t="s">
        <v>12</v>
      </c>
      <c r="C2989">
        <v>1965</v>
      </c>
      <c r="D2989" s="1" t="s">
        <v>261</v>
      </c>
      <c r="E2989" s="1" t="s">
        <v>77</v>
      </c>
      <c r="F2989">
        <v>90</v>
      </c>
      <c r="G2989" s="1" t="s">
        <v>95</v>
      </c>
      <c r="H2989">
        <v>90035</v>
      </c>
      <c r="I2989">
        <v>10</v>
      </c>
      <c r="J2989">
        <v>8</v>
      </c>
      <c r="K2989">
        <v>8</v>
      </c>
      <c r="L2989">
        <v>1000</v>
      </c>
    </row>
    <row r="2990" spans="1:12" hidden="1" x14ac:dyDescent="0.25">
      <c r="A2990">
        <v>2989</v>
      </c>
      <c r="B2990" s="1" t="s">
        <v>12</v>
      </c>
      <c r="C2990">
        <v>1965</v>
      </c>
      <c r="D2990" s="1" t="s">
        <v>261</v>
      </c>
      <c r="E2990" s="1" t="s">
        <v>77</v>
      </c>
      <c r="F2990">
        <v>90</v>
      </c>
      <c r="G2990" s="1" t="s">
        <v>109</v>
      </c>
      <c r="H2990">
        <v>90077</v>
      </c>
      <c r="I2990">
        <v>7</v>
      </c>
      <c r="J2990">
        <v>6</v>
      </c>
      <c r="K2990">
        <v>6</v>
      </c>
      <c r="L2990">
        <v>1000</v>
      </c>
    </row>
    <row r="2991" spans="1:12" hidden="1" x14ac:dyDescent="0.25">
      <c r="A2991">
        <v>2990</v>
      </c>
      <c r="B2991" s="1" t="s">
        <v>12</v>
      </c>
      <c r="C2991">
        <v>1966</v>
      </c>
      <c r="D2991" s="1" t="s">
        <v>262</v>
      </c>
      <c r="E2991" s="1" t="s">
        <v>14</v>
      </c>
      <c r="F2991">
        <v>22</v>
      </c>
      <c r="G2991" s="1" t="s">
        <v>119</v>
      </c>
      <c r="H2991">
        <v>22084</v>
      </c>
      <c r="I2991">
        <v>100</v>
      </c>
      <c r="J2991">
        <v>85</v>
      </c>
      <c r="K2991">
        <v>52</v>
      </c>
      <c r="L2991">
        <v>612</v>
      </c>
    </row>
    <row r="2992" spans="1:12" hidden="1" x14ac:dyDescent="0.25">
      <c r="A2992">
        <v>2991</v>
      </c>
      <c r="B2992" s="1" t="s">
        <v>12</v>
      </c>
      <c r="C2992">
        <v>1966</v>
      </c>
      <c r="D2992" s="1" t="s">
        <v>262</v>
      </c>
      <c r="E2992" s="1" t="s">
        <v>14</v>
      </c>
      <c r="F2992">
        <v>22</v>
      </c>
      <c r="G2992" s="1" t="s">
        <v>234</v>
      </c>
      <c r="H2992">
        <v>22168</v>
      </c>
      <c r="I2992">
        <v>53</v>
      </c>
      <c r="J2992">
        <v>43</v>
      </c>
      <c r="K2992">
        <v>27</v>
      </c>
      <c r="L2992">
        <v>630</v>
      </c>
    </row>
    <row r="2993" spans="1:12" hidden="1" x14ac:dyDescent="0.25">
      <c r="A2993">
        <v>2992</v>
      </c>
      <c r="B2993" s="1" t="s">
        <v>12</v>
      </c>
      <c r="C2993">
        <v>1966</v>
      </c>
      <c r="D2993" s="1" t="s">
        <v>262</v>
      </c>
      <c r="E2993" s="1" t="s">
        <v>14</v>
      </c>
      <c r="F2993">
        <v>22</v>
      </c>
      <c r="G2993" s="1" t="s">
        <v>183</v>
      </c>
      <c r="H2993">
        <v>22049</v>
      </c>
      <c r="I2993">
        <v>45</v>
      </c>
      <c r="J2993">
        <v>45</v>
      </c>
      <c r="K2993">
        <v>23</v>
      </c>
      <c r="L2993">
        <v>500</v>
      </c>
    </row>
    <row r="2994" spans="1:12" hidden="1" x14ac:dyDescent="0.25">
      <c r="A2994">
        <v>2993</v>
      </c>
      <c r="B2994" s="1" t="s">
        <v>12</v>
      </c>
      <c r="C2994">
        <v>1966</v>
      </c>
      <c r="D2994" s="1" t="s">
        <v>262</v>
      </c>
      <c r="E2994" s="1" t="s">
        <v>14</v>
      </c>
      <c r="F2994">
        <v>22</v>
      </c>
      <c r="G2994" s="1" t="s">
        <v>226</v>
      </c>
      <c r="H2994">
        <v>22154</v>
      </c>
      <c r="I2994">
        <v>40</v>
      </c>
      <c r="J2994">
        <v>35</v>
      </c>
      <c r="K2994">
        <v>21</v>
      </c>
      <c r="L2994">
        <v>600</v>
      </c>
    </row>
    <row r="2995" spans="1:12" hidden="1" x14ac:dyDescent="0.25">
      <c r="A2995">
        <v>2994</v>
      </c>
      <c r="B2995" s="1" t="s">
        <v>12</v>
      </c>
      <c r="C2995">
        <v>1966</v>
      </c>
      <c r="D2995" s="1" t="s">
        <v>262</v>
      </c>
      <c r="E2995" s="1" t="s">
        <v>14</v>
      </c>
      <c r="F2995">
        <v>22</v>
      </c>
      <c r="G2995" s="1" t="s">
        <v>227</v>
      </c>
      <c r="H2995">
        <v>22056</v>
      </c>
      <c r="I2995">
        <v>30</v>
      </c>
      <c r="J2995">
        <v>28</v>
      </c>
      <c r="K2995">
        <v>14</v>
      </c>
      <c r="L2995">
        <v>500</v>
      </c>
    </row>
    <row r="2996" spans="1:12" hidden="1" x14ac:dyDescent="0.25">
      <c r="A2996">
        <v>2995</v>
      </c>
      <c r="B2996" s="1" t="s">
        <v>12</v>
      </c>
      <c r="C2996">
        <v>1966</v>
      </c>
      <c r="D2996" s="1" t="s">
        <v>262</v>
      </c>
      <c r="E2996" s="1" t="s">
        <v>14</v>
      </c>
      <c r="F2996">
        <v>22</v>
      </c>
      <c r="G2996" s="1" t="s">
        <v>232</v>
      </c>
      <c r="H2996">
        <v>22105</v>
      </c>
      <c r="I2996">
        <v>30</v>
      </c>
      <c r="J2996">
        <v>30</v>
      </c>
      <c r="K2996">
        <v>17</v>
      </c>
      <c r="L2996">
        <v>567</v>
      </c>
    </row>
    <row r="2997" spans="1:12" hidden="1" x14ac:dyDescent="0.25">
      <c r="A2997">
        <v>2996</v>
      </c>
      <c r="B2997" s="1" t="s">
        <v>12</v>
      </c>
      <c r="C2997">
        <v>1966</v>
      </c>
      <c r="D2997" s="1" t="s">
        <v>262</v>
      </c>
      <c r="E2997" s="1" t="s">
        <v>14</v>
      </c>
      <c r="F2997">
        <v>22</v>
      </c>
      <c r="G2997" s="1" t="s">
        <v>233</v>
      </c>
      <c r="H2997">
        <v>22133</v>
      </c>
      <c r="I2997">
        <v>23</v>
      </c>
      <c r="J2997">
        <v>23</v>
      </c>
      <c r="K2997">
        <v>12</v>
      </c>
      <c r="L2997">
        <v>530</v>
      </c>
    </row>
    <row r="2998" spans="1:12" hidden="1" x14ac:dyDescent="0.25">
      <c r="A2998">
        <v>2997</v>
      </c>
      <c r="B2998" s="1" t="s">
        <v>12</v>
      </c>
      <c r="C2998">
        <v>1966</v>
      </c>
      <c r="D2998" s="1" t="s">
        <v>262</v>
      </c>
      <c r="E2998" s="1" t="s">
        <v>14</v>
      </c>
      <c r="F2998">
        <v>22</v>
      </c>
      <c r="G2998" s="1" t="s">
        <v>225</v>
      </c>
      <c r="H2998">
        <v>22119</v>
      </c>
      <c r="I2998">
        <v>20</v>
      </c>
      <c r="J2998">
        <v>14</v>
      </c>
      <c r="K2998">
        <v>8</v>
      </c>
      <c r="L2998">
        <v>580</v>
      </c>
    </row>
    <row r="2999" spans="1:12" hidden="1" x14ac:dyDescent="0.25">
      <c r="A2999">
        <v>2998</v>
      </c>
      <c r="B2999" s="1" t="s">
        <v>12</v>
      </c>
      <c r="C2999">
        <v>1966</v>
      </c>
      <c r="D2999" s="1" t="s">
        <v>262</v>
      </c>
      <c r="E2999" s="1" t="s">
        <v>14</v>
      </c>
      <c r="F2999">
        <v>22</v>
      </c>
      <c r="G2999" s="1" t="s">
        <v>240</v>
      </c>
      <c r="H2999">
        <v>22021</v>
      </c>
      <c r="I2999">
        <v>18</v>
      </c>
      <c r="J2999">
        <v>18</v>
      </c>
      <c r="K2999">
        <v>9</v>
      </c>
      <c r="L2999">
        <v>500</v>
      </c>
    </row>
    <row r="3000" spans="1:12" hidden="1" x14ac:dyDescent="0.25">
      <c r="A3000">
        <v>2999</v>
      </c>
      <c r="B3000" s="1" t="s">
        <v>12</v>
      </c>
      <c r="C3000">
        <v>1966</v>
      </c>
      <c r="D3000" s="1" t="s">
        <v>262</v>
      </c>
      <c r="E3000" s="1" t="s">
        <v>14</v>
      </c>
      <c r="F3000">
        <v>22</v>
      </c>
      <c r="G3000" s="1" t="s">
        <v>229</v>
      </c>
      <c r="H3000">
        <v>22077</v>
      </c>
      <c r="I3000">
        <v>17</v>
      </c>
      <c r="J3000">
        <v>13</v>
      </c>
      <c r="K3000">
        <v>8</v>
      </c>
      <c r="L3000">
        <v>616</v>
      </c>
    </row>
    <row r="3001" spans="1:12" hidden="1" x14ac:dyDescent="0.25">
      <c r="A3001">
        <v>3000</v>
      </c>
      <c r="B3001" s="1" t="s">
        <v>12</v>
      </c>
      <c r="C3001">
        <v>1966</v>
      </c>
      <c r="D3001" s="1" t="s">
        <v>262</v>
      </c>
      <c r="E3001" s="1" t="s">
        <v>14</v>
      </c>
      <c r="F3001">
        <v>22</v>
      </c>
      <c r="G3001" s="1" t="s">
        <v>235</v>
      </c>
      <c r="H3001">
        <v>22140</v>
      </c>
      <c r="I3001">
        <v>17</v>
      </c>
      <c r="J3001">
        <v>14</v>
      </c>
      <c r="K3001">
        <v>8</v>
      </c>
      <c r="L3001">
        <v>580</v>
      </c>
    </row>
    <row r="3002" spans="1:12" hidden="1" x14ac:dyDescent="0.25">
      <c r="A3002">
        <v>3001</v>
      </c>
      <c r="B3002" s="1" t="s">
        <v>12</v>
      </c>
      <c r="C3002">
        <v>1966</v>
      </c>
      <c r="D3002" s="1" t="s">
        <v>262</v>
      </c>
      <c r="E3002" s="1" t="s">
        <v>14</v>
      </c>
      <c r="F3002">
        <v>22</v>
      </c>
      <c r="G3002" s="1" t="s">
        <v>236</v>
      </c>
      <c r="H3002">
        <v>22063</v>
      </c>
      <c r="I3002">
        <v>15</v>
      </c>
      <c r="J3002">
        <v>15</v>
      </c>
      <c r="K3002">
        <v>7</v>
      </c>
      <c r="L3002">
        <v>470</v>
      </c>
    </row>
    <row r="3003" spans="1:12" hidden="1" x14ac:dyDescent="0.25">
      <c r="A3003">
        <v>3002</v>
      </c>
      <c r="B3003" s="1" t="s">
        <v>12</v>
      </c>
      <c r="C3003">
        <v>1966</v>
      </c>
      <c r="D3003" s="1" t="s">
        <v>262</v>
      </c>
      <c r="E3003" s="1" t="s">
        <v>14</v>
      </c>
      <c r="F3003">
        <v>22</v>
      </c>
      <c r="G3003" s="1" t="s">
        <v>19</v>
      </c>
      <c r="H3003">
        <v>22014</v>
      </c>
      <c r="I3003">
        <v>10</v>
      </c>
      <c r="J3003">
        <v>8</v>
      </c>
      <c r="K3003">
        <v>4</v>
      </c>
      <c r="L3003">
        <v>500</v>
      </c>
    </row>
    <row r="3004" spans="1:12" hidden="1" x14ac:dyDescent="0.25">
      <c r="A3004">
        <v>3003</v>
      </c>
      <c r="B3004" s="1" t="s">
        <v>12</v>
      </c>
      <c r="C3004">
        <v>1966</v>
      </c>
      <c r="D3004" s="1" t="s">
        <v>262</v>
      </c>
      <c r="E3004" s="1" t="s">
        <v>14</v>
      </c>
      <c r="F3004">
        <v>22</v>
      </c>
      <c r="G3004" s="1" t="s">
        <v>241</v>
      </c>
      <c r="H3004">
        <v>22112</v>
      </c>
      <c r="I3004">
        <v>10</v>
      </c>
      <c r="J3004">
        <v>10</v>
      </c>
      <c r="K3004">
        <v>5</v>
      </c>
      <c r="L3004">
        <v>500</v>
      </c>
    </row>
    <row r="3005" spans="1:12" hidden="1" x14ac:dyDescent="0.25">
      <c r="A3005">
        <v>3004</v>
      </c>
      <c r="B3005" s="1" t="s">
        <v>12</v>
      </c>
      <c r="C3005">
        <v>1966</v>
      </c>
      <c r="D3005" s="1" t="s">
        <v>262</v>
      </c>
      <c r="E3005" s="1" t="s">
        <v>14</v>
      </c>
      <c r="F3005">
        <v>22</v>
      </c>
      <c r="G3005" s="1" t="s">
        <v>238</v>
      </c>
      <c r="H3005">
        <v>22036</v>
      </c>
      <c r="I3005">
        <v>5</v>
      </c>
      <c r="J3005">
        <v>5</v>
      </c>
      <c r="K3005">
        <v>3</v>
      </c>
      <c r="L3005">
        <v>600</v>
      </c>
    </row>
    <row r="3006" spans="1:12" hidden="1" x14ac:dyDescent="0.25">
      <c r="A3006">
        <v>3005</v>
      </c>
      <c r="B3006" s="1" t="s">
        <v>12</v>
      </c>
      <c r="C3006">
        <v>1966</v>
      </c>
      <c r="D3006" s="1" t="s">
        <v>262</v>
      </c>
      <c r="E3006" s="1" t="s">
        <v>14</v>
      </c>
      <c r="F3006">
        <v>22</v>
      </c>
      <c r="G3006" s="1" t="s">
        <v>228</v>
      </c>
      <c r="H3006">
        <v>22126</v>
      </c>
      <c r="I3006">
        <v>3</v>
      </c>
      <c r="J3006">
        <v>2</v>
      </c>
      <c r="K3006">
        <v>1</v>
      </c>
      <c r="L3006">
        <v>500</v>
      </c>
    </row>
    <row r="3007" spans="1:12" hidden="1" x14ac:dyDescent="0.25">
      <c r="A3007">
        <v>3006</v>
      </c>
      <c r="B3007" s="1" t="s">
        <v>12</v>
      </c>
      <c r="C3007">
        <v>1966</v>
      </c>
      <c r="D3007" s="1" t="s">
        <v>262</v>
      </c>
      <c r="E3007" s="1" t="s">
        <v>14</v>
      </c>
      <c r="F3007">
        <v>22</v>
      </c>
      <c r="G3007" s="1" t="s">
        <v>118</v>
      </c>
      <c r="H3007">
        <v>22028</v>
      </c>
      <c r="I3007">
        <v>2</v>
      </c>
      <c r="J3007">
        <v>2</v>
      </c>
      <c r="K3007">
        <v>1</v>
      </c>
      <c r="L3007">
        <v>500</v>
      </c>
    </row>
    <row r="3008" spans="1:12" hidden="1" x14ac:dyDescent="0.25">
      <c r="A3008">
        <v>3007</v>
      </c>
      <c r="B3008" s="1" t="s">
        <v>12</v>
      </c>
      <c r="C3008">
        <v>1966</v>
      </c>
      <c r="D3008" s="1" t="s">
        <v>262</v>
      </c>
      <c r="E3008" s="1" t="s">
        <v>14</v>
      </c>
      <c r="F3008">
        <v>22</v>
      </c>
      <c r="G3008" s="1" t="s">
        <v>21</v>
      </c>
      <c r="H3008">
        <v>22161</v>
      </c>
      <c r="I3008">
        <v>2</v>
      </c>
    </row>
    <row r="3009" spans="1:12" hidden="1" x14ac:dyDescent="0.25">
      <c r="A3009">
        <v>3008</v>
      </c>
      <c r="B3009" s="1" t="s">
        <v>12</v>
      </c>
      <c r="C3009">
        <v>1966</v>
      </c>
      <c r="D3009" s="1" t="s">
        <v>262</v>
      </c>
      <c r="E3009" s="1" t="s">
        <v>22</v>
      </c>
      <c r="F3009">
        <v>14</v>
      </c>
      <c r="G3009" s="1" t="s">
        <v>26</v>
      </c>
      <c r="H3009">
        <v>14161</v>
      </c>
      <c r="I3009">
        <v>138000</v>
      </c>
      <c r="J3009">
        <v>137000</v>
      </c>
      <c r="K3009">
        <v>147178</v>
      </c>
      <c r="L3009">
        <v>1074</v>
      </c>
    </row>
    <row r="3010" spans="1:12" hidden="1" x14ac:dyDescent="0.25">
      <c r="A3010">
        <v>3009</v>
      </c>
      <c r="B3010" s="1" t="s">
        <v>12</v>
      </c>
      <c r="C3010">
        <v>1966</v>
      </c>
      <c r="D3010" s="1" t="s">
        <v>262</v>
      </c>
      <c r="E3010" s="1" t="s">
        <v>22</v>
      </c>
      <c r="F3010">
        <v>14</v>
      </c>
      <c r="G3010" s="1" t="s">
        <v>24</v>
      </c>
      <c r="H3010">
        <v>14119</v>
      </c>
      <c r="I3010">
        <v>70000</v>
      </c>
      <c r="J3010">
        <v>70000</v>
      </c>
      <c r="K3010">
        <v>78358</v>
      </c>
      <c r="L3010">
        <v>1119</v>
      </c>
    </row>
    <row r="3011" spans="1:12" hidden="1" x14ac:dyDescent="0.25">
      <c r="A3011">
        <v>3010</v>
      </c>
      <c r="B3011" s="1" t="s">
        <v>12</v>
      </c>
      <c r="C3011">
        <v>1966</v>
      </c>
      <c r="D3011" s="1" t="s">
        <v>262</v>
      </c>
      <c r="E3011" s="1" t="s">
        <v>22</v>
      </c>
      <c r="F3011">
        <v>14</v>
      </c>
      <c r="G3011" s="1" t="s">
        <v>143</v>
      </c>
      <c r="H3011">
        <v>14056</v>
      </c>
      <c r="I3011">
        <v>33000</v>
      </c>
      <c r="J3011">
        <v>33000</v>
      </c>
      <c r="K3011">
        <v>39403</v>
      </c>
      <c r="L3011">
        <v>1194</v>
      </c>
    </row>
    <row r="3012" spans="1:12" hidden="1" x14ac:dyDescent="0.25">
      <c r="A3012">
        <v>3011</v>
      </c>
      <c r="B3012" s="1" t="s">
        <v>12</v>
      </c>
      <c r="C3012">
        <v>1966</v>
      </c>
      <c r="D3012" s="1" t="s">
        <v>262</v>
      </c>
      <c r="E3012" s="1" t="s">
        <v>22</v>
      </c>
      <c r="F3012">
        <v>14</v>
      </c>
      <c r="G3012" s="1" t="s">
        <v>23</v>
      </c>
      <c r="H3012">
        <v>14147</v>
      </c>
      <c r="I3012">
        <v>31500</v>
      </c>
      <c r="J3012">
        <v>31200</v>
      </c>
      <c r="K3012">
        <v>27940</v>
      </c>
      <c r="L3012">
        <v>896</v>
      </c>
    </row>
    <row r="3013" spans="1:12" hidden="1" x14ac:dyDescent="0.25">
      <c r="A3013">
        <v>3012</v>
      </c>
      <c r="B3013" s="1" t="s">
        <v>12</v>
      </c>
      <c r="C3013">
        <v>1966</v>
      </c>
      <c r="D3013" s="1" t="s">
        <v>262</v>
      </c>
      <c r="E3013" s="1" t="s">
        <v>22</v>
      </c>
      <c r="F3013">
        <v>14</v>
      </c>
      <c r="G3013" s="1" t="s">
        <v>184</v>
      </c>
      <c r="H3013">
        <v>14042</v>
      </c>
      <c r="I3013">
        <v>24000</v>
      </c>
      <c r="J3013">
        <v>24000</v>
      </c>
      <c r="K3013">
        <v>26866</v>
      </c>
      <c r="L3013">
        <v>1119</v>
      </c>
    </row>
    <row r="3014" spans="1:12" hidden="1" x14ac:dyDescent="0.25">
      <c r="A3014">
        <v>3013</v>
      </c>
      <c r="B3014" s="1" t="s">
        <v>12</v>
      </c>
      <c r="C3014">
        <v>1966</v>
      </c>
      <c r="D3014" s="1" t="s">
        <v>262</v>
      </c>
      <c r="E3014" s="1" t="s">
        <v>22</v>
      </c>
      <c r="F3014">
        <v>14</v>
      </c>
      <c r="G3014" s="1" t="s">
        <v>29</v>
      </c>
      <c r="H3014">
        <v>14098</v>
      </c>
      <c r="I3014">
        <v>14000</v>
      </c>
      <c r="J3014">
        <v>13000</v>
      </c>
      <c r="K3014">
        <v>15522</v>
      </c>
      <c r="L3014">
        <v>1194</v>
      </c>
    </row>
    <row r="3015" spans="1:12" hidden="1" x14ac:dyDescent="0.25">
      <c r="A3015">
        <v>3014</v>
      </c>
      <c r="B3015" s="1" t="s">
        <v>12</v>
      </c>
      <c r="C3015">
        <v>1966</v>
      </c>
      <c r="D3015" s="1" t="s">
        <v>262</v>
      </c>
      <c r="E3015" s="1" t="s">
        <v>22</v>
      </c>
      <c r="F3015">
        <v>14</v>
      </c>
      <c r="G3015" s="1" t="s">
        <v>25</v>
      </c>
      <c r="H3015">
        <v>14105</v>
      </c>
      <c r="I3015">
        <v>9500</v>
      </c>
      <c r="J3015">
        <v>5000</v>
      </c>
      <c r="K3015">
        <v>4478</v>
      </c>
      <c r="L3015">
        <v>896</v>
      </c>
    </row>
    <row r="3016" spans="1:12" hidden="1" x14ac:dyDescent="0.25">
      <c r="A3016">
        <v>3015</v>
      </c>
      <c r="B3016" s="1" t="s">
        <v>12</v>
      </c>
      <c r="C3016">
        <v>1966</v>
      </c>
      <c r="D3016" s="1" t="s">
        <v>262</v>
      </c>
      <c r="E3016" s="1" t="s">
        <v>22</v>
      </c>
      <c r="F3016">
        <v>14</v>
      </c>
      <c r="G3016" s="1" t="s">
        <v>97</v>
      </c>
      <c r="H3016">
        <v>14007</v>
      </c>
      <c r="I3016">
        <v>9000</v>
      </c>
      <c r="J3016">
        <v>9000</v>
      </c>
      <c r="K3016">
        <v>8463</v>
      </c>
      <c r="L3016">
        <v>940</v>
      </c>
    </row>
    <row r="3017" spans="1:12" hidden="1" x14ac:dyDescent="0.25">
      <c r="A3017">
        <v>3016</v>
      </c>
      <c r="B3017" s="1" t="s">
        <v>12</v>
      </c>
      <c r="C3017">
        <v>1966</v>
      </c>
      <c r="D3017" s="1" t="s">
        <v>262</v>
      </c>
      <c r="E3017" s="1" t="s">
        <v>22</v>
      </c>
      <c r="F3017">
        <v>14</v>
      </c>
      <c r="G3017" s="1" t="s">
        <v>122</v>
      </c>
      <c r="H3017">
        <v>14182</v>
      </c>
      <c r="I3017">
        <v>1340</v>
      </c>
      <c r="J3017">
        <v>1340</v>
      </c>
      <c r="K3017">
        <v>1552</v>
      </c>
      <c r="L3017">
        <v>1158</v>
      </c>
    </row>
    <row r="3018" spans="1:12" hidden="1" x14ac:dyDescent="0.25">
      <c r="A3018">
        <v>3017</v>
      </c>
      <c r="B3018" s="1" t="s">
        <v>12</v>
      </c>
      <c r="C3018">
        <v>1966</v>
      </c>
      <c r="D3018" s="1" t="s">
        <v>262</v>
      </c>
      <c r="E3018" s="1" t="s">
        <v>22</v>
      </c>
      <c r="F3018">
        <v>14</v>
      </c>
      <c r="G3018" s="1" t="s">
        <v>67</v>
      </c>
      <c r="H3018">
        <v>14140</v>
      </c>
      <c r="I3018">
        <v>700</v>
      </c>
      <c r="J3018">
        <v>350</v>
      </c>
      <c r="K3018">
        <v>261</v>
      </c>
      <c r="L3018">
        <v>746</v>
      </c>
    </row>
    <row r="3019" spans="1:12" hidden="1" x14ac:dyDescent="0.25">
      <c r="A3019">
        <v>3018</v>
      </c>
      <c r="B3019" s="1" t="s">
        <v>12</v>
      </c>
      <c r="C3019">
        <v>1966</v>
      </c>
      <c r="D3019" s="1" t="s">
        <v>262</v>
      </c>
      <c r="E3019" s="1" t="s">
        <v>22</v>
      </c>
      <c r="F3019">
        <v>14</v>
      </c>
      <c r="G3019" s="1" t="s">
        <v>28</v>
      </c>
      <c r="H3019">
        <v>14014</v>
      </c>
      <c r="I3019">
        <v>80</v>
      </c>
      <c r="J3019">
        <v>70</v>
      </c>
      <c r="K3019">
        <v>95</v>
      </c>
      <c r="L3019">
        <v>1357</v>
      </c>
    </row>
    <row r="3020" spans="1:12" hidden="1" x14ac:dyDescent="0.25">
      <c r="A3020">
        <v>3019</v>
      </c>
      <c r="B3020" s="1" t="s">
        <v>12</v>
      </c>
      <c r="C3020">
        <v>1966</v>
      </c>
      <c r="D3020" s="1" t="s">
        <v>262</v>
      </c>
      <c r="E3020" s="1" t="s">
        <v>22</v>
      </c>
      <c r="F3020">
        <v>14</v>
      </c>
      <c r="G3020" s="1" t="s">
        <v>27</v>
      </c>
      <c r="H3020">
        <v>14021</v>
      </c>
      <c r="I3020">
        <v>50</v>
      </c>
      <c r="J3020">
        <v>40</v>
      </c>
      <c r="K3020">
        <v>60</v>
      </c>
      <c r="L3020">
        <v>1500</v>
      </c>
    </row>
    <row r="3021" spans="1:12" hidden="1" x14ac:dyDescent="0.25">
      <c r="A3021">
        <v>3020</v>
      </c>
      <c r="B3021" s="1" t="s">
        <v>12</v>
      </c>
      <c r="C3021">
        <v>1966</v>
      </c>
      <c r="D3021" s="1" t="s">
        <v>262</v>
      </c>
      <c r="E3021" s="1" t="s">
        <v>22</v>
      </c>
      <c r="F3021">
        <v>14</v>
      </c>
      <c r="G3021" s="1" t="s">
        <v>173</v>
      </c>
      <c r="H3021">
        <v>14028</v>
      </c>
      <c r="I3021">
        <v>50</v>
      </c>
      <c r="J3021">
        <v>40</v>
      </c>
      <c r="K3021">
        <v>52</v>
      </c>
      <c r="L3021">
        <v>1300</v>
      </c>
    </row>
    <row r="3022" spans="1:12" hidden="1" x14ac:dyDescent="0.25">
      <c r="A3022">
        <v>3021</v>
      </c>
      <c r="B3022" s="1" t="s">
        <v>12</v>
      </c>
      <c r="C3022">
        <v>1966</v>
      </c>
      <c r="D3022" s="1" t="s">
        <v>262</v>
      </c>
      <c r="E3022" s="1" t="s">
        <v>22</v>
      </c>
      <c r="F3022">
        <v>14</v>
      </c>
      <c r="G3022" s="1" t="s">
        <v>170</v>
      </c>
      <c r="H3022">
        <v>14049</v>
      </c>
      <c r="I3022">
        <v>50</v>
      </c>
      <c r="J3022">
        <v>40</v>
      </c>
      <c r="K3022">
        <v>45</v>
      </c>
      <c r="L3022">
        <v>1125</v>
      </c>
    </row>
    <row r="3023" spans="1:12" hidden="1" x14ac:dyDescent="0.25">
      <c r="A3023">
        <v>3022</v>
      </c>
      <c r="B3023" s="1" t="s">
        <v>12</v>
      </c>
      <c r="C3023">
        <v>1966</v>
      </c>
      <c r="D3023" s="1" t="s">
        <v>262</v>
      </c>
      <c r="E3023" s="1" t="s">
        <v>22</v>
      </c>
      <c r="F3023">
        <v>14</v>
      </c>
      <c r="G3023" s="1" t="s">
        <v>114</v>
      </c>
      <c r="H3023">
        <v>14168</v>
      </c>
      <c r="I3023">
        <v>30</v>
      </c>
      <c r="J3023">
        <v>20</v>
      </c>
      <c r="K3023">
        <v>27</v>
      </c>
      <c r="L3023">
        <v>1350</v>
      </c>
    </row>
    <row r="3024" spans="1:12" hidden="1" x14ac:dyDescent="0.25">
      <c r="A3024">
        <v>3023</v>
      </c>
      <c r="B3024" s="1" t="s">
        <v>12</v>
      </c>
      <c r="C3024">
        <v>1966</v>
      </c>
      <c r="D3024" s="1" t="s">
        <v>262</v>
      </c>
      <c r="E3024" s="1" t="s">
        <v>30</v>
      </c>
      <c r="F3024">
        <v>18</v>
      </c>
      <c r="G3024" s="1" t="s">
        <v>63</v>
      </c>
      <c r="H3024">
        <v>18028</v>
      </c>
      <c r="I3024">
        <v>220</v>
      </c>
      <c r="J3024">
        <v>220</v>
      </c>
      <c r="K3024">
        <v>374</v>
      </c>
      <c r="L3024">
        <v>1700</v>
      </c>
    </row>
    <row r="3025" spans="1:12" hidden="1" x14ac:dyDescent="0.25">
      <c r="A3025">
        <v>3024</v>
      </c>
      <c r="B3025" s="1" t="s">
        <v>12</v>
      </c>
      <c r="C3025">
        <v>1966</v>
      </c>
      <c r="D3025" s="1" t="s">
        <v>262</v>
      </c>
      <c r="E3025" s="1" t="s">
        <v>30</v>
      </c>
      <c r="F3025">
        <v>18</v>
      </c>
      <c r="G3025" s="1" t="s">
        <v>40</v>
      </c>
      <c r="H3025">
        <v>18126</v>
      </c>
      <c r="I3025">
        <v>100</v>
      </c>
      <c r="J3025">
        <v>100</v>
      </c>
      <c r="K3025">
        <v>155</v>
      </c>
      <c r="L3025">
        <v>1550</v>
      </c>
    </row>
    <row r="3026" spans="1:12" hidden="1" x14ac:dyDescent="0.25">
      <c r="A3026">
        <v>3025</v>
      </c>
      <c r="B3026" s="1" t="s">
        <v>12</v>
      </c>
      <c r="C3026">
        <v>1966</v>
      </c>
      <c r="D3026" s="1" t="s">
        <v>262</v>
      </c>
      <c r="E3026" s="1" t="s">
        <v>30</v>
      </c>
      <c r="F3026">
        <v>18</v>
      </c>
      <c r="G3026" s="1" t="s">
        <v>98</v>
      </c>
      <c r="H3026">
        <v>18098</v>
      </c>
      <c r="I3026">
        <v>80</v>
      </c>
      <c r="J3026">
        <v>80</v>
      </c>
      <c r="K3026">
        <v>124</v>
      </c>
      <c r="L3026">
        <v>1550</v>
      </c>
    </row>
    <row r="3027" spans="1:12" hidden="1" x14ac:dyDescent="0.25">
      <c r="A3027">
        <v>3026</v>
      </c>
      <c r="B3027" s="1" t="s">
        <v>12</v>
      </c>
      <c r="C3027">
        <v>1966</v>
      </c>
      <c r="D3027" s="1" t="s">
        <v>262</v>
      </c>
      <c r="E3027" s="1" t="s">
        <v>30</v>
      </c>
      <c r="F3027">
        <v>18</v>
      </c>
      <c r="G3027" s="1" t="s">
        <v>38</v>
      </c>
      <c r="H3027">
        <v>18007</v>
      </c>
      <c r="I3027">
        <v>50</v>
      </c>
      <c r="J3027">
        <v>50</v>
      </c>
      <c r="K3027">
        <v>80</v>
      </c>
      <c r="L3027">
        <v>1600</v>
      </c>
    </row>
    <row r="3028" spans="1:12" hidden="1" x14ac:dyDescent="0.25">
      <c r="A3028">
        <v>3027</v>
      </c>
      <c r="B3028" s="1" t="s">
        <v>12</v>
      </c>
      <c r="C3028">
        <v>1966</v>
      </c>
      <c r="D3028" s="1" t="s">
        <v>262</v>
      </c>
      <c r="E3028" s="1" t="s">
        <v>30</v>
      </c>
      <c r="F3028">
        <v>18</v>
      </c>
      <c r="G3028" s="1" t="s">
        <v>34</v>
      </c>
      <c r="H3028">
        <v>18042</v>
      </c>
      <c r="I3028">
        <v>50</v>
      </c>
      <c r="J3028">
        <v>48</v>
      </c>
      <c r="K3028">
        <v>54</v>
      </c>
      <c r="L3028">
        <v>1125</v>
      </c>
    </row>
    <row r="3029" spans="1:12" hidden="1" x14ac:dyDescent="0.25">
      <c r="A3029">
        <v>3028</v>
      </c>
      <c r="B3029" s="1" t="s">
        <v>12</v>
      </c>
      <c r="C3029">
        <v>1966</v>
      </c>
      <c r="D3029" s="1" t="s">
        <v>262</v>
      </c>
      <c r="E3029" s="1" t="s">
        <v>30</v>
      </c>
      <c r="F3029">
        <v>18</v>
      </c>
      <c r="G3029" s="1" t="s">
        <v>41</v>
      </c>
      <c r="H3029">
        <v>18140</v>
      </c>
      <c r="I3029">
        <v>50</v>
      </c>
      <c r="J3029">
        <v>48</v>
      </c>
      <c r="K3029">
        <v>58</v>
      </c>
      <c r="L3029">
        <v>1208</v>
      </c>
    </row>
    <row r="3030" spans="1:12" hidden="1" x14ac:dyDescent="0.25">
      <c r="A3030">
        <v>3029</v>
      </c>
      <c r="B3030" s="1" t="s">
        <v>12</v>
      </c>
      <c r="C3030">
        <v>1966</v>
      </c>
      <c r="D3030" s="1" t="s">
        <v>262</v>
      </c>
      <c r="E3030" s="1" t="s">
        <v>30</v>
      </c>
      <c r="F3030">
        <v>18</v>
      </c>
      <c r="G3030" s="1" t="s">
        <v>36</v>
      </c>
      <c r="H3030">
        <v>18133</v>
      </c>
      <c r="I3030">
        <v>40</v>
      </c>
      <c r="J3030">
        <v>38</v>
      </c>
      <c r="K3030">
        <v>43</v>
      </c>
      <c r="L3030">
        <v>1132</v>
      </c>
    </row>
    <row r="3031" spans="1:12" hidden="1" x14ac:dyDescent="0.25">
      <c r="A3031">
        <v>3030</v>
      </c>
      <c r="B3031" s="1" t="s">
        <v>12</v>
      </c>
      <c r="C3031">
        <v>1966</v>
      </c>
      <c r="D3031" s="1" t="s">
        <v>262</v>
      </c>
      <c r="E3031" s="1" t="s">
        <v>30</v>
      </c>
      <c r="F3031">
        <v>18</v>
      </c>
      <c r="G3031" s="1" t="s">
        <v>103</v>
      </c>
      <c r="H3031">
        <v>18154</v>
      </c>
      <c r="I3031">
        <v>35</v>
      </c>
      <c r="J3031">
        <v>34</v>
      </c>
      <c r="K3031">
        <v>37</v>
      </c>
      <c r="L3031">
        <v>1088</v>
      </c>
    </row>
    <row r="3032" spans="1:12" hidden="1" x14ac:dyDescent="0.25">
      <c r="A3032">
        <v>3031</v>
      </c>
      <c r="B3032" s="1" t="s">
        <v>12</v>
      </c>
      <c r="C3032">
        <v>1966</v>
      </c>
      <c r="D3032" s="1" t="s">
        <v>262</v>
      </c>
      <c r="E3032" s="1" t="s">
        <v>30</v>
      </c>
      <c r="F3032">
        <v>18</v>
      </c>
      <c r="G3032" s="1" t="s">
        <v>28</v>
      </c>
      <c r="H3032">
        <v>18021</v>
      </c>
      <c r="I3032">
        <v>30</v>
      </c>
      <c r="J3032">
        <v>30</v>
      </c>
      <c r="K3032">
        <v>30</v>
      </c>
      <c r="L3032">
        <v>1000</v>
      </c>
    </row>
    <row r="3033" spans="1:12" hidden="1" x14ac:dyDescent="0.25">
      <c r="A3033">
        <v>3032</v>
      </c>
      <c r="B3033" s="1" t="s">
        <v>12</v>
      </c>
      <c r="C3033">
        <v>1966</v>
      </c>
      <c r="D3033" s="1" t="s">
        <v>262</v>
      </c>
      <c r="E3033" s="1" t="s">
        <v>30</v>
      </c>
      <c r="F3033">
        <v>18</v>
      </c>
      <c r="G3033" s="1" t="s">
        <v>99</v>
      </c>
      <c r="H3033">
        <v>18063</v>
      </c>
      <c r="I3033">
        <v>30</v>
      </c>
      <c r="J3033">
        <v>28</v>
      </c>
      <c r="K3033">
        <v>30</v>
      </c>
      <c r="L3033">
        <v>1071</v>
      </c>
    </row>
    <row r="3034" spans="1:12" hidden="1" x14ac:dyDescent="0.25">
      <c r="A3034">
        <v>3033</v>
      </c>
      <c r="B3034" s="1" t="s">
        <v>12</v>
      </c>
      <c r="C3034">
        <v>1966</v>
      </c>
      <c r="D3034" s="1" t="s">
        <v>262</v>
      </c>
      <c r="E3034" s="1" t="s">
        <v>30</v>
      </c>
      <c r="F3034">
        <v>18</v>
      </c>
      <c r="G3034" s="1" t="s">
        <v>100</v>
      </c>
      <c r="H3034">
        <v>18077</v>
      </c>
      <c r="I3034">
        <v>15</v>
      </c>
      <c r="J3034">
        <v>14</v>
      </c>
      <c r="K3034">
        <v>15</v>
      </c>
      <c r="L3034">
        <v>1071</v>
      </c>
    </row>
    <row r="3035" spans="1:12" hidden="1" x14ac:dyDescent="0.25">
      <c r="A3035">
        <v>3034</v>
      </c>
      <c r="B3035" s="1" t="s">
        <v>12</v>
      </c>
      <c r="C3035">
        <v>1966</v>
      </c>
      <c r="D3035" s="1" t="s">
        <v>262</v>
      </c>
      <c r="E3035" s="1" t="s">
        <v>45</v>
      </c>
      <c r="F3035">
        <v>30</v>
      </c>
      <c r="G3035" s="1" t="s">
        <v>47</v>
      </c>
      <c r="H3035">
        <v>30015</v>
      </c>
      <c r="I3035">
        <v>10</v>
      </c>
      <c r="J3035">
        <v>10</v>
      </c>
      <c r="K3035">
        <v>5</v>
      </c>
      <c r="L3035">
        <v>500</v>
      </c>
    </row>
    <row r="3036" spans="1:12" hidden="1" x14ac:dyDescent="0.25">
      <c r="A3036">
        <v>3035</v>
      </c>
      <c r="B3036" s="1" t="s">
        <v>12</v>
      </c>
      <c r="C3036">
        <v>1966</v>
      </c>
      <c r="D3036" s="1" t="s">
        <v>262</v>
      </c>
      <c r="E3036" s="1" t="s">
        <v>45</v>
      </c>
      <c r="F3036">
        <v>30</v>
      </c>
      <c r="G3036" s="1" t="s">
        <v>46</v>
      </c>
      <c r="H3036">
        <v>30028</v>
      </c>
      <c r="I3036">
        <v>10</v>
      </c>
      <c r="J3036">
        <v>10</v>
      </c>
      <c r="K3036">
        <v>5</v>
      </c>
      <c r="L3036">
        <v>500</v>
      </c>
    </row>
    <row r="3037" spans="1:12" hidden="1" x14ac:dyDescent="0.25">
      <c r="A3037">
        <v>3036</v>
      </c>
      <c r="B3037" s="1" t="s">
        <v>12</v>
      </c>
      <c r="C3037">
        <v>1966</v>
      </c>
      <c r="D3037" s="1" t="s">
        <v>262</v>
      </c>
      <c r="E3037" s="1" t="s">
        <v>48</v>
      </c>
      <c r="F3037">
        <v>34</v>
      </c>
      <c r="G3037" s="1" t="s">
        <v>51</v>
      </c>
      <c r="H3037">
        <v>34056</v>
      </c>
      <c r="I3037">
        <v>50</v>
      </c>
      <c r="J3037">
        <v>50</v>
      </c>
      <c r="K3037">
        <v>55</v>
      </c>
      <c r="L3037">
        <v>1100</v>
      </c>
    </row>
    <row r="3038" spans="1:12" hidden="1" x14ac:dyDescent="0.25">
      <c r="A3038">
        <v>3037</v>
      </c>
      <c r="B3038" s="1" t="s">
        <v>12</v>
      </c>
      <c r="C3038">
        <v>1966</v>
      </c>
      <c r="D3038" s="1" t="s">
        <v>262</v>
      </c>
      <c r="E3038" s="1" t="s">
        <v>48</v>
      </c>
      <c r="F3038">
        <v>34</v>
      </c>
      <c r="G3038" s="1" t="s">
        <v>49</v>
      </c>
      <c r="H3038">
        <v>34049</v>
      </c>
      <c r="I3038">
        <v>40</v>
      </c>
      <c r="J3038">
        <v>40</v>
      </c>
      <c r="K3038">
        <v>40</v>
      </c>
      <c r="L3038">
        <v>1000</v>
      </c>
    </row>
    <row r="3039" spans="1:12" hidden="1" x14ac:dyDescent="0.25">
      <c r="A3039">
        <v>3038</v>
      </c>
      <c r="B3039" s="1" t="s">
        <v>12</v>
      </c>
      <c r="C3039">
        <v>1966</v>
      </c>
      <c r="D3039" s="1" t="s">
        <v>262</v>
      </c>
      <c r="E3039" s="1" t="s">
        <v>48</v>
      </c>
      <c r="F3039">
        <v>34</v>
      </c>
      <c r="G3039" s="1" t="s">
        <v>108</v>
      </c>
      <c r="H3039">
        <v>34042</v>
      </c>
      <c r="I3039">
        <v>35</v>
      </c>
      <c r="J3039">
        <v>35</v>
      </c>
      <c r="K3039">
        <v>35</v>
      </c>
      <c r="L3039">
        <v>1000</v>
      </c>
    </row>
    <row r="3040" spans="1:12" hidden="1" x14ac:dyDescent="0.25">
      <c r="A3040">
        <v>3039</v>
      </c>
      <c r="B3040" s="1" t="s">
        <v>12</v>
      </c>
      <c r="C3040">
        <v>1966</v>
      </c>
      <c r="D3040" s="1" t="s">
        <v>262</v>
      </c>
      <c r="E3040" s="1" t="s">
        <v>48</v>
      </c>
      <c r="F3040">
        <v>34</v>
      </c>
      <c r="G3040" s="1" t="s">
        <v>50</v>
      </c>
      <c r="H3040">
        <v>34021</v>
      </c>
      <c r="I3040">
        <v>20</v>
      </c>
      <c r="J3040">
        <v>20</v>
      </c>
      <c r="K3040">
        <v>20</v>
      </c>
      <c r="L3040">
        <v>1000</v>
      </c>
    </row>
    <row r="3041" spans="1:12" hidden="1" x14ac:dyDescent="0.25">
      <c r="A3041">
        <v>3040</v>
      </c>
      <c r="B3041" s="1" t="s">
        <v>12</v>
      </c>
      <c r="C3041">
        <v>1966</v>
      </c>
      <c r="D3041" s="1" t="s">
        <v>262</v>
      </c>
      <c r="E3041" s="1" t="s">
        <v>48</v>
      </c>
      <c r="F3041">
        <v>34</v>
      </c>
      <c r="G3041" s="1" t="s">
        <v>48</v>
      </c>
      <c r="H3041">
        <v>34014</v>
      </c>
      <c r="I3041">
        <v>15</v>
      </c>
      <c r="J3041">
        <v>15</v>
      </c>
      <c r="K3041">
        <v>15</v>
      </c>
      <c r="L3041">
        <v>1000</v>
      </c>
    </row>
    <row r="3042" spans="1:12" hidden="1" x14ac:dyDescent="0.25">
      <c r="A3042">
        <v>3041</v>
      </c>
      <c r="B3042" s="1" t="s">
        <v>12</v>
      </c>
      <c r="C3042">
        <v>1966</v>
      </c>
      <c r="D3042" s="1" t="s">
        <v>262</v>
      </c>
      <c r="E3042" s="1" t="s">
        <v>48</v>
      </c>
      <c r="F3042">
        <v>34</v>
      </c>
      <c r="G3042" s="1" t="s">
        <v>52</v>
      </c>
      <c r="H3042">
        <v>34035</v>
      </c>
      <c r="I3042">
        <v>10</v>
      </c>
      <c r="J3042">
        <v>10</v>
      </c>
      <c r="K3042">
        <v>15</v>
      </c>
      <c r="L3042">
        <v>1500</v>
      </c>
    </row>
    <row r="3043" spans="1:12" hidden="1" x14ac:dyDescent="0.25">
      <c r="A3043">
        <v>3042</v>
      </c>
      <c r="B3043" s="1" t="s">
        <v>12</v>
      </c>
      <c r="C3043">
        <v>1966</v>
      </c>
      <c r="D3043" s="1" t="s">
        <v>262</v>
      </c>
      <c r="E3043" s="1" t="s">
        <v>58</v>
      </c>
      <c r="F3043">
        <v>54</v>
      </c>
      <c r="G3043" s="1" t="s">
        <v>242</v>
      </c>
      <c r="H3043">
        <v>54091</v>
      </c>
      <c r="I3043">
        <v>60</v>
      </c>
      <c r="J3043">
        <v>57</v>
      </c>
      <c r="K3043">
        <v>43</v>
      </c>
      <c r="L3043">
        <v>756</v>
      </c>
    </row>
    <row r="3044" spans="1:12" hidden="1" x14ac:dyDescent="0.25">
      <c r="A3044">
        <v>3043</v>
      </c>
      <c r="B3044" s="1" t="s">
        <v>12</v>
      </c>
      <c r="C3044">
        <v>1966</v>
      </c>
      <c r="D3044" s="1" t="s">
        <v>262</v>
      </c>
      <c r="E3044" s="1" t="s">
        <v>58</v>
      </c>
      <c r="F3044">
        <v>54</v>
      </c>
      <c r="G3044" s="1" t="s">
        <v>61</v>
      </c>
      <c r="H3044">
        <v>54098</v>
      </c>
      <c r="I3044">
        <v>60</v>
      </c>
      <c r="J3044">
        <v>54</v>
      </c>
      <c r="K3044">
        <v>41</v>
      </c>
      <c r="L3044">
        <v>760</v>
      </c>
    </row>
    <row r="3045" spans="1:12" hidden="1" x14ac:dyDescent="0.25">
      <c r="A3045">
        <v>3044</v>
      </c>
      <c r="B3045" s="1" t="s">
        <v>12</v>
      </c>
      <c r="C3045">
        <v>1966</v>
      </c>
      <c r="D3045" s="1" t="s">
        <v>262</v>
      </c>
      <c r="E3045" s="1" t="s">
        <v>58</v>
      </c>
      <c r="F3045">
        <v>54</v>
      </c>
      <c r="G3045" s="1" t="s">
        <v>60</v>
      </c>
      <c r="H3045">
        <v>54021</v>
      </c>
      <c r="I3045">
        <v>50</v>
      </c>
      <c r="J3045">
        <v>48</v>
      </c>
      <c r="K3045">
        <v>36</v>
      </c>
      <c r="L3045">
        <v>750</v>
      </c>
    </row>
    <row r="3046" spans="1:12" hidden="1" x14ac:dyDescent="0.25">
      <c r="A3046">
        <v>3045</v>
      </c>
      <c r="B3046" s="1" t="s">
        <v>12</v>
      </c>
      <c r="C3046">
        <v>1966</v>
      </c>
      <c r="D3046" s="1" t="s">
        <v>262</v>
      </c>
      <c r="E3046" s="1" t="s">
        <v>58</v>
      </c>
      <c r="F3046">
        <v>54</v>
      </c>
      <c r="G3046" s="1" t="s">
        <v>243</v>
      </c>
      <c r="H3046">
        <v>54070</v>
      </c>
      <c r="I3046">
        <v>45</v>
      </c>
      <c r="J3046">
        <v>43</v>
      </c>
      <c r="K3046">
        <v>32</v>
      </c>
      <c r="L3046">
        <v>750</v>
      </c>
    </row>
    <row r="3047" spans="1:12" hidden="1" x14ac:dyDescent="0.25">
      <c r="A3047">
        <v>3046</v>
      </c>
      <c r="B3047" s="1" t="s">
        <v>12</v>
      </c>
      <c r="C3047">
        <v>1966</v>
      </c>
      <c r="D3047" s="1" t="s">
        <v>262</v>
      </c>
      <c r="E3047" s="1" t="s">
        <v>58</v>
      </c>
      <c r="F3047">
        <v>54</v>
      </c>
      <c r="G3047" s="1" t="s">
        <v>59</v>
      </c>
      <c r="H3047">
        <v>54007</v>
      </c>
      <c r="I3047">
        <v>40</v>
      </c>
      <c r="J3047">
        <v>38</v>
      </c>
      <c r="K3047">
        <v>30</v>
      </c>
      <c r="L3047">
        <v>800</v>
      </c>
    </row>
    <row r="3048" spans="1:12" hidden="1" x14ac:dyDescent="0.25">
      <c r="A3048">
        <v>3047</v>
      </c>
      <c r="B3048" s="1" t="s">
        <v>12</v>
      </c>
      <c r="C3048">
        <v>1966</v>
      </c>
      <c r="D3048" s="1" t="s">
        <v>262</v>
      </c>
      <c r="E3048" s="1" t="s">
        <v>58</v>
      </c>
      <c r="F3048">
        <v>54</v>
      </c>
      <c r="G3048" s="1" t="s">
        <v>63</v>
      </c>
      <c r="H3048">
        <v>54035</v>
      </c>
      <c r="I3048">
        <v>40</v>
      </c>
      <c r="J3048">
        <v>38</v>
      </c>
      <c r="K3048">
        <v>28</v>
      </c>
      <c r="L3048">
        <v>750</v>
      </c>
    </row>
    <row r="3049" spans="1:12" hidden="1" x14ac:dyDescent="0.25">
      <c r="A3049">
        <v>3048</v>
      </c>
      <c r="B3049" s="1" t="s">
        <v>12</v>
      </c>
      <c r="C3049">
        <v>1966</v>
      </c>
      <c r="D3049" s="1" t="s">
        <v>262</v>
      </c>
      <c r="E3049" s="1" t="s">
        <v>58</v>
      </c>
      <c r="F3049">
        <v>54</v>
      </c>
      <c r="G3049" s="1" t="s">
        <v>150</v>
      </c>
      <c r="H3049">
        <v>54014</v>
      </c>
      <c r="I3049">
        <v>30</v>
      </c>
      <c r="J3049">
        <v>29</v>
      </c>
      <c r="K3049">
        <v>24</v>
      </c>
      <c r="L3049">
        <v>820</v>
      </c>
    </row>
    <row r="3050" spans="1:12" hidden="1" x14ac:dyDescent="0.25">
      <c r="A3050">
        <v>3049</v>
      </c>
      <c r="B3050" s="1" t="s">
        <v>12</v>
      </c>
      <c r="C3050">
        <v>1966</v>
      </c>
      <c r="D3050" s="1" t="s">
        <v>262</v>
      </c>
      <c r="E3050" s="1" t="s">
        <v>58</v>
      </c>
      <c r="F3050">
        <v>54</v>
      </c>
      <c r="G3050" s="1" t="s">
        <v>244</v>
      </c>
      <c r="H3050">
        <v>54084</v>
      </c>
      <c r="I3050">
        <v>25</v>
      </c>
      <c r="J3050">
        <v>24</v>
      </c>
      <c r="K3050">
        <v>19</v>
      </c>
      <c r="L3050">
        <v>795</v>
      </c>
    </row>
    <row r="3051" spans="1:12" hidden="1" x14ac:dyDescent="0.25">
      <c r="A3051">
        <v>3050</v>
      </c>
      <c r="B3051" s="1" t="s">
        <v>12</v>
      </c>
      <c r="C3051">
        <v>1966</v>
      </c>
      <c r="D3051" s="1" t="s">
        <v>262</v>
      </c>
      <c r="E3051" s="1" t="s">
        <v>58</v>
      </c>
      <c r="F3051">
        <v>54</v>
      </c>
      <c r="G3051" s="1" t="s">
        <v>62</v>
      </c>
      <c r="H3051">
        <v>54105</v>
      </c>
      <c r="I3051">
        <v>25</v>
      </c>
      <c r="J3051">
        <v>24</v>
      </c>
      <c r="K3051">
        <v>17</v>
      </c>
      <c r="L3051">
        <v>710</v>
      </c>
    </row>
    <row r="3052" spans="1:12" hidden="1" x14ac:dyDescent="0.25">
      <c r="A3052">
        <v>3051</v>
      </c>
      <c r="B3052" s="1" t="s">
        <v>12</v>
      </c>
      <c r="C3052">
        <v>1966</v>
      </c>
      <c r="D3052" s="1" t="s">
        <v>262</v>
      </c>
      <c r="E3052" s="1" t="s">
        <v>58</v>
      </c>
      <c r="F3052">
        <v>54</v>
      </c>
      <c r="G3052" s="1" t="s">
        <v>245</v>
      </c>
      <c r="H3052">
        <v>54042</v>
      </c>
      <c r="I3052">
        <v>15</v>
      </c>
      <c r="J3052">
        <v>15</v>
      </c>
      <c r="K3052">
        <v>12</v>
      </c>
      <c r="L3052">
        <v>800</v>
      </c>
    </row>
    <row r="3053" spans="1:12" hidden="1" x14ac:dyDescent="0.25">
      <c r="A3053">
        <v>3052</v>
      </c>
      <c r="B3053" s="1" t="s">
        <v>12</v>
      </c>
      <c r="C3053">
        <v>1966</v>
      </c>
      <c r="D3053" s="1" t="s">
        <v>262</v>
      </c>
      <c r="E3053" s="1" t="s">
        <v>58</v>
      </c>
      <c r="F3053">
        <v>54</v>
      </c>
      <c r="G3053" s="1" t="s">
        <v>119</v>
      </c>
      <c r="H3053">
        <v>54077</v>
      </c>
      <c r="I3053">
        <v>15</v>
      </c>
      <c r="J3053">
        <v>15</v>
      </c>
      <c r="K3053">
        <v>12</v>
      </c>
      <c r="L3053">
        <v>800</v>
      </c>
    </row>
    <row r="3054" spans="1:12" hidden="1" x14ac:dyDescent="0.25">
      <c r="A3054">
        <v>3053</v>
      </c>
      <c r="B3054" s="1" t="s">
        <v>12</v>
      </c>
      <c r="C3054">
        <v>1966</v>
      </c>
      <c r="D3054" s="1" t="s">
        <v>262</v>
      </c>
      <c r="E3054" s="1" t="s">
        <v>58</v>
      </c>
      <c r="F3054">
        <v>54</v>
      </c>
      <c r="G3054" s="1" t="s">
        <v>151</v>
      </c>
      <c r="H3054">
        <v>54056</v>
      </c>
      <c r="I3054">
        <v>10</v>
      </c>
      <c r="J3054">
        <v>10</v>
      </c>
      <c r="K3054">
        <v>8</v>
      </c>
      <c r="L3054">
        <v>800</v>
      </c>
    </row>
    <row r="3055" spans="1:12" hidden="1" x14ac:dyDescent="0.25">
      <c r="A3055">
        <v>3054</v>
      </c>
      <c r="B3055" s="1" t="s">
        <v>12</v>
      </c>
      <c r="C3055">
        <v>1966</v>
      </c>
      <c r="D3055" s="1" t="s">
        <v>262</v>
      </c>
      <c r="E3055" s="1" t="s">
        <v>58</v>
      </c>
      <c r="F3055">
        <v>54</v>
      </c>
      <c r="G3055" s="1" t="s">
        <v>152</v>
      </c>
      <c r="H3055">
        <v>54063</v>
      </c>
      <c r="I3055">
        <v>10</v>
      </c>
      <c r="J3055">
        <v>10</v>
      </c>
      <c r="K3055">
        <v>8</v>
      </c>
      <c r="L3055">
        <v>800</v>
      </c>
    </row>
    <row r="3056" spans="1:12" hidden="1" x14ac:dyDescent="0.25">
      <c r="A3056">
        <v>3055</v>
      </c>
      <c r="B3056" s="1" t="s">
        <v>12</v>
      </c>
      <c r="C3056">
        <v>1966</v>
      </c>
      <c r="D3056" s="1" t="s">
        <v>262</v>
      </c>
      <c r="E3056" s="1" t="s">
        <v>58</v>
      </c>
      <c r="F3056">
        <v>54</v>
      </c>
      <c r="G3056" s="1" t="s">
        <v>258</v>
      </c>
      <c r="H3056">
        <v>54049</v>
      </c>
      <c r="I3056">
        <v>10</v>
      </c>
      <c r="J3056">
        <v>10</v>
      </c>
      <c r="K3056">
        <v>8</v>
      </c>
      <c r="L3056">
        <v>800</v>
      </c>
    </row>
    <row r="3057" spans="1:12" hidden="1" x14ac:dyDescent="0.25">
      <c r="A3057">
        <v>3056</v>
      </c>
      <c r="B3057" s="1" t="s">
        <v>12</v>
      </c>
      <c r="C3057">
        <v>1966</v>
      </c>
      <c r="D3057" s="1" t="s">
        <v>262</v>
      </c>
      <c r="E3057" s="1" t="s">
        <v>58</v>
      </c>
      <c r="F3057">
        <v>54</v>
      </c>
      <c r="G3057" s="1" t="s">
        <v>234</v>
      </c>
      <c r="H3057">
        <v>54119</v>
      </c>
      <c r="I3057">
        <v>10</v>
      </c>
      <c r="J3057">
        <v>10</v>
      </c>
      <c r="K3057">
        <v>8</v>
      </c>
      <c r="L3057">
        <v>800</v>
      </c>
    </row>
    <row r="3058" spans="1:12" x14ac:dyDescent="0.25">
      <c r="A3058">
        <v>3057</v>
      </c>
      <c r="B3058" s="1" t="s">
        <v>12</v>
      </c>
      <c r="C3058">
        <v>1966</v>
      </c>
      <c r="D3058" s="1" t="s">
        <v>262</v>
      </c>
      <c r="E3058" s="1" t="s">
        <v>58</v>
      </c>
      <c r="F3058">
        <v>54</v>
      </c>
      <c r="G3058" s="1" t="s">
        <v>56</v>
      </c>
      <c r="H3058">
        <v>54112</v>
      </c>
      <c r="I3058">
        <v>5</v>
      </c>
      <c r="J3058">
        <v>5</v>
      </c>
      <c r="K3058">
        <v>4</v>
      </c>
      <c r="L3058">
        <v>800</v>
      </c>
    </row>
    <row r="3059" spans="1:12" hidden="1" x14ac:dyDescent="0.25">
      <c r="A3059">
        <v>3058</v>
      </c>
      <c r="B3059" s="1" t="s">
        <v>12</v>
      </c>
      <c r="C3059">
        <v>1966</v>
      </c>
      <c r="D3059" s="1" t="s">
        <v>262</v>
      </c>
      <c r="E3059" s="1" t="s">
        <v>87</v>
      </c>
      <c r="F3059">
        <v>66</v>
      </c>
      <c r="G3059" s="1" t="s">
        <v>141</v>
      </c>
      <c r="H3059">
        <v>66112</v>
      </c>
      <c r="I3059">
        <v>135</v>
      </c>
      <c r="J3059">
        <v>101</v>
      </c>
      <c r="K3059">
        <v>83</v>
      </c>
      <c r="L3059">
        <v>822</v>
      </c>
    </row>
    <row r="3060" spans="1:12" hidden="1" x14ac:dyDescent="0.25">
      <c r="A3060">
        <v>3059</v>
      </c>
      <c r="B3060" s="1" t="s">
        <v>12</v>
      </c>
      <c r="C3060">
        <v>1966</v>
      </c>
      <c r="D3060" s="1" t="s">
        <v>262</v>
      </c>
      <c r="E3060" s="1" t="s">
        <v>87</v>
      </c>
      <c r="F3060">
        <v>66</v>
      </c>
      <c r="G3060" s="1" t="s">
        <v>153</v>
      </c>
      <c r="H3060">
        <v>66007</v>
      </c>
      <c r="I3060">
        <v>100</v>
      </c>
      <c r="J3060">
        <v>100</v>
      </c>
      <c r="K3060">
        <v>160</v>
      </c>
      <c r="L3060">
        <v>1600</v>
      </c>
    </row>
    <row r="3061" spans="1:12" hidden="1" x14ac:dyDescent="0.25">
      <c r="A3061">
        <v>3060</v>
      </c>
      <c r="B3061" s="1" t="s">
        <v>12</v>
      </c>
      <c r="C3061">
        <v>1966</v>
      </c>
      <c r="D3061" s="1" t="s">
        <v>262</v>
      </c>
      <c r="E3061" s="1" t="s">
        <v>87</v>
      </c>
      <c r="F3061">
        <v>66</v>
      </c>
      <c r="G3061" s="1" t="s">
        <v>125</v>
      </c>
      <c r="H3061">
        <v>66035</v>
      </c>
      <c r="I3061">
        <v>30</v>
      </c>
      <c r="J3061">
        <v>27</v>
      </c>
      <c r="K3061">
        <v>35</v>
      </c>
      <c r="L3061">
        <v>1300</v>
      </c>
    </row>
    <row r="3062" spans="1:12" hidden="1" x14ac:dyDescent="0.25">
      <c r="A3062">
        <v>3061</v>
      </c>
      <c r="B3062" s="1" t="s">
        <v>12</v>
      </c>
      <c r="C3062">
        <v>1966</v>
      </c>
      <c r="D3062" s="1" t="s">
        <v>262</v>
      </c>
      <c r="E3062" s="1" t="s">
        <v>87</v>
      </c>
      <c r="F3062">
        <v>66</v>
      </c>
      <c r="G3062" s="1" t="s">
        <v>230</v>
      </c>
      <c r="H3062">
        <v>66056</v>
      </c>
      <c r="I3062">
        <v>20</v>
      </c>
      <c r="J3062">
        <v>20</v>
      </c>
      <c r="K3062">
        <v>20</v>
      </c>
      <c r="L3062">
        <v>1000</v>
      </c>
    </row>
    <row r="3063" spans="1:12" hidden="1" x14ac:dyDescent="0.25">
      <c r="A3063">
        <v>3062</v>
      </c>
      <c r="B3063" s="1" t="s">
        <v>12</v>
      </c>
      <c r="C3063">
        <v>1966</v>
      </c>
      <c r="D3063" s="1" t="s">
        <v>262</v>
      </c>
      <c r="E3063" s="1" t="s">
        <v>87</v>
      </c>
      <c r="F3063">
        <v>66</v>
      </c>
      <c r="G3063" s="1" t="s">
        <v>130</v>
      </c>
      <c r="H3063">
        <v>66147</v>
      </c>
      <c r="I3063">
        <v>20</v>
      </c>
      <c r="J3063">
        <v>18</v>
      </c>
      <c r="K3063">
        <v>23</v>
      </c>
      <c r="L3063">
        <v>1300</v>
      </c>
    </row>
    <row r="3064" spans="1:12" hidden="1" x14ac:dyDescent="0.25">
      <c r="A3064">
        <v>3063</v>
      </c>
      <c r="B3064" s="1" t="s">
        <v>12</v>
      </c>
      <c r="C3064">
        <v>1966</v>
      </c>
      <c r="D3064" s="1" t="s">
        <v>262</v>
      </c>
      <c r="E3064" s="1" t="s">
        <v>87</v>
      </c>
      <c r="F3064">
        <v>66</v>
      </c>
      <c r="G3064" s="1" t="s">
        <v>161</v>
      </c>
      <c r="H3064">
        <v>66133</v>
      </c>
      <c r="I3064">
        <v>15</v>
      </c>
      <c r="J3064">
        <v>15</v>
      </c>
      <c r="K3064">
        <v>12</v>
      </c>
      <c r="L3064">
        <v>800</v>
      </c>
    </row>
    <row r="3065" spans="1:12" hidden="1" x14ac:dyDescent="0.25">
      <c r="A3065">
        <v>3064</v>
      </c>
      <c r="B3065" s="1" t="s">
        <v>12</v>
      </c>
      <c r="C3065">
        <v>1966</v>
      </c>
      <c r="D3065" s="1" t="s">
        <v>262</v>
      </c>
      <c r="E3065" s="1" t="s">
        <v>87</v>
      </c>
      <c r="F3065">
        <v>66</v>
      </c>
      <c r="G3065" s="1" t="s">
        <v>260</v>
      </c>
      <c r="H3065">
        <v>66063</v>
      </c>
      <c r="I3065">
        <v>10</v>
      </c>
      <c r="J3065">
        <v>9</v>
      </c>
      <c r="K3065">
        <v>12</v>
      </c>
      <c r="L3065">
        <v>1333</v>
      </c>
    </row>
    <row r="3066" spans="1:12" hidden="1" x14ac:dyDescent="0.25">
      <c r="A3066">
        <v>3065</v>
      </c>
      <c r="B3066" s="1" t="s">
        <v>12</v>
      </c>
      <c r="C3066">
        <v>1966</v>
      </c>
      <c r="D3066" s="1" t="s">
        <v>262</v>
      </c>
      <c r="E3066" s="1" t="s">
        <v>87</v>
      </c>
      <c r="F3066">
        <v>66</v>
      </c>
      <c r="G3066" s="1" t="s">
        <v>28</v>
      </c>
      <c r="H3066">
        <v>66028</v>
      </c>
      <c r="I3066">
        <v>5</v>
      </c>
      <c r="J3066">
        <v>5</v>
      </c>
      <c r="K3066">
        <v>7</v>
      </c>
      <c r="L3066">
        <v>1400</v>
      </c>
    </row>
    <row r="3067" spans="1:12" hidden="1" x14ac:dyDescent="0.25">
      <c r="A3067">
        <v>3066</v>
      </c>
      <c r="B3067" s="1" t="s">
        <v>12</v>
      </c>
      <c r="C3067">
        <v>1966</v>
      </c>
      <c r="D3067" s="1" t="s">
        <v>262</v>
      </c>
      <c r="E3067" s="1" t="s">
        <v>87</v>
      </c>
      <c r="F3067">
        <v>66</v>
      </c>
      <c r="G3067" s="1" t="s">
        <v>188</v>
      </c>
      <c r="H3067">
        <v>66140</v>
      </c>
      <c r="I3067">
        <v>5</v>
      </c>
      <c r="J3067">
        <v>5</v>
      </c>
      <c r="K3067">
        <v>8</v>
      </c>
      <c r="L3067">
        <v>1600</v>
      </c>
    </row>
    <row r="3068" spans="1:12" hidden="1" x14ac:dyDescent="0.25">
      <c r="A3068">
        <v>3067</v>
      </c>
      <c r="B3068" s="1" t="s">
        <v>12</v>
      </c>
      <c r="C3068">
        <v>1966</v>
      </c>
      <c r="D3068" s="1" t="s">
        <v>262</v>
      </c>
      <c r="E3068" s="1" t="s">
        <v>116</v>
      </c>
      <c r="F3068">
        <v>74</v>
      </c>
      <c r="G3068" s="1" t="s">
        <v>28</v>
      </c>
      <c r="H3068">
        <v>74056</v>
      </c>
      <c r="I3068">
        <v>100</v>
      </c>
    </row>
    <row r="3069" spans="1:12" hidden="1" x14ac:dyDescent="0.25">
      <c r="A3069">
        <v>3068</v>
      </c>
      <c r="B3069" s="1" t="s">
        <v>12</v>
      </c>
      <c r="C3069">
        <v>1966</v>
      </c>
      <c r="D3069" s="1" t="s">
        <v>262</v>
      </c>
      <c r="E3069" s="1" t="s">
        <v>116</v>
      </c>
      <c r="F3069">
        <v>74</v>
      </c>
      <c r="G3069" s="1" t="s">
        <v>117</v>
      </c>
      <c r="H3069">
        <v>74021</v>
      </c>
      <c r="I3069">
        <v>75</v>
      </c>
    </row>
    <row r="3070" spans="1:12" hidden="1" x14ac:dyDescent="0.25">
      <c r="A3070">
        <v>3069</v>
      </c>
      <c r="B3070" s="1" t="s">
        <v>12</v>
      </c>
      <c r="C3070">
        <v>1966</v>
      </c>
      <c r="D3070" s="1" t="s">
        <v>262</v>
      </c>
      <c r="E3070" s="1" t="s">
        <v>116</v>
      </c>
      <c r="F3070">
        <v>74</v>
      </c>
      <c r="G3070" s="1" t="s">
        <v>126</v>
      </c>
      <c r="H3070">
        <v>74035</v>
      </c>
      <c r="I3070">
        <v>50</v>
      </c>
    </row>
    <row r="3071" spans="1:12" hidden="1" x14ac:dyDescent="0.25">
      <c r="A3071">
        <v>3070</v>
      </c>
      <c r="B3071" s="1" t="s">
        <v>12</v>
      </c>
      <c r="C3071">
        <v>1966</v>
      </c>
      <c r="D3071" s="1" t="s">
        <v>262</v>
      </c>
      <c r="E3071" s="1" t="s">
        <v>116</v>
      </c>
      <c r="F3071">
        <v>74</v>
      </c>
      <c r="G3071" s="1" t="s">
        <v>118</v>
      </c>
      <c r="H3071">
        <v>74028</v>
      </c>
      <c r="I3071">
        <v>20</v>
      </c>
    </row>
    <row r="3072" spans="1:12" hidden="1" x14ac:dyDescent="0.25">
      <c r="A3072">
        <v>3071</v>
      </c>
      <c r="B3072" s="1" t="s">
        <v>12</v>
      </c>
      <c r="C3072">
        <v>1966</v>
      </c>
      <c r="D3072" s="1" t="s">
        <v>262</v>
      </c>
      <c r="E3072" s="1" t="s">
        <v>116</v>
      </c>
      <c r="F3072">
        <v>74</v>
      </c>
      <c r="G3072" s="1" t="s">
        <v>127</v>
      </c>
      <c r="H3072">
        <v>74049</v>
      </c>
      <c r="I3072">
        <v>5</v>
      </c>
    </row>
    <row r="3073" spans="1:12" hidden="1" x14ac:dyDescent="0.25">
      <c r="A3073">
        <v>3072</v>
      </c>
      <c r="B3073" s="1" t="s">
        <v>12</v>
      </c>
      <c r="C3073">
        <v>1966</v>
      </c>
      <c r="D3073" s="1" t="s">
        <v>262</v>
      </c>
      <c r="E3073" s="1" t="s">
        <v>64</v>
      </c>
      <c r="F3073">
        <v>82</v>
      </c>
      <c r="G3073" s="1" t="s">
        <v>65</v>
      </c>
      <c r="H3073">
        <v>82049</v>
      </c>
      <c r="I3073">
        <v>120</v>
      </c>
      <c r="J3073">
        <v>120</v>
      </c>
      <c r="K3073">
        <v>140</v>
      </c>
      <c r="L3073">
        <v>1167</v>
      </c>
    </row>
    <row r="3074" spans="1:12" hidden="1" x14ac:dyDescent="0.25">
      <c r="A3074">
        <v>3073</v>
      </c>
      <c r="B3074" s="1" t="s">
        <v>12</v>
      </c>
      <c r="C3074">
        <v>1966</v>
      </c>
      <c r="D3074" s="1" t="s">
        <v>262</v>
      </c>
      <c r="E3074" s="1" t="s">
        <v>64</v>
      </c>
      <c r="F3074">
        <v>82</v>
      </c>
      <c r="G3074" s="1" t="s">
        <v>66</v>
      </c>
      <c r="H3074">
        <v>82035</v>
      </c>
      <c r="I3074">
        <v>60</v>
      </c>
      <c r="J3074">
        <v>40</v>
      </c>
      <c r="K3074">
        <v>70</v>
      </c>
      <c r="L3074">
        <v>1750</v>
      </c>
    </row>
    <row r="3075" spans="1:12" hidden="1" x14ac:dyDescent="0.25">
      <c r="A3075">
        <v>3074</v>
      </c>
      <c r="B3075" s="1" t="s">
        <v>12</v>
      </c>
      <c r="C3075">
        <v>1966</v>
      </c>
      <c r="D3075" s="1" t="s">
        <v>262</v>
      </c>
      <c r="E3075" s="1" t="s">
        <v>64</v>
      </c>
      <c r="F3075">
        <v>82</v>
      </c>
      <c r="G3075" s="1" t="s">
        <v>62</v>
      </c>
      <c r="H3075">
        <v>82098</v>
      </c>
      <c r="I3075">
        <v>50</v>
      </c>
      <c r="J3075">
        <v>40</v>
      </c>
      <c r="K3075">
        <v>40</v>
      </c>
      <c r="L3075">
        <v>1000</v>
      </c>
    </row>
    <row r="3076" spans="1:12" hidden="1" x14ac:dyDescent="0.25">
      <c r="A3076">
        <v>3075</v>
      </c>
      <c r="B3076" s="1" t="s">
        <v>12</v>
      </c>
      <c r="C3076">
        <v>1966</v>
      </c>
      <c r="D3076" s="1" t="s">
        <v>262</v>
      </c>
      <c r="E3076" s="1" t="s">
        <v>77</v>
      </c>
      <c r="F3076">
        <v>90</v>
      </c>
      <c r="G3076" s="1" t="s">
        <v>78</v>
      </c>
      <c r="H3076">
        <v>90007</v>
      </c>
      <c r="I3076">
        <v>1195</v>
      </c>
      <c r="J3076">
        <v>1013</v>
      </c>
      <c r="K3076">
        <v>1155</v>
      </c>
      <c r="L3076">
        <v>1140</v>
      </c>
    </row>
    <row r="3077" spans="1:12" hidden="1" x14ac:dyDescent="0.25">
      <c r="A3077">
        <v>3076</v>
      </c>
      <c r="B3077" s="1" t="s">
        <v>12</v>
      </c>
      <c r="C3077">
        <v>1966</v>
      </c>
      <c r="D3077" s="1" t="s">
        <v>262</v>
      </c>
      <c r="E3077" s="1" t="s">
        <v>77</v>
      </c>
      <c r="F3077">
        <v>90</v>
      </c>
      <c r="G3077" s="1" t="s">
        <v>90</v>
      </c>
      <c r="H3077">
        <v>90112</v>
      </c>
      <c r="I3077">
        <v>110</v>
      </c>
      <c r="J3077">
        <v>100</v>
      </c>
      <c r="K3077">
        <v>108</v>
      </c>
      <c r="L3077">
        <v>1080</v>
      </c>
    </row>
    <row r="3078" spans="1:12" hidden="1" x14ac:dyDescent="0.25">
      <c r="A3078">
        <v>3077</v>
      </c>
      <c r="B3078" s="1" t="s">
        <v>12</v>
      </c>
      <c r="C3078">
        <v>1966</v>
      </c>
      <c r="D3078" s="1" t="s">
        <v>262</v>
      </c>
      <c r="E3078" s="1" t="s">
        <v>77</v>
      </c>
      <c r="F3078">
        <v>90</v>
      </c>
      <c r="G3078" s="1" t="s">
        <v>110</v>
      </c>
      <c r="H3078">
        <v>90021</v>
      </c>
      <c r="I3078">
        <v>60</v>
      </c>
      <c r="J3078">
        <v>55</v>
      </c>
      <c r="K3078">
        <v>55</v>
      </c>
      <c r="L3078">
        <v>1000</v>
      </c>
    </row>
    <row r="3079" spans="1:12" hidden="1" x14ac:dyDescent="0.25">
      <c r="A3079">
        <v>3078</v>
      </c>
      <c r="B3079" s="1" t="s">
        <v>12</v>
      </c>
      <c r="C3079">
        <v>1966</v>
      </c>
      <c r="D3079" s="1" t="s">
        <v>262</v>
      </c>
      <c r="E3079" s="1" t="s">
        <v>77</v>
      </c>
      <c r="F3079">
        <v>90</v>
      </c>
      <c r="G3079" s="1" t="s">
        <v>92</v>
      </c>
      <c r="H3079">
        <v>90056</v>
      </c>
      <c r="I3079">
        <v>18</v>
      </c>
      <c r="J3079">
        <v>17</v>
      </c>
      <c r="K3079">
        <v>17</v>
      </c>
      <c r="L3079">
        <v>1000</v>
      </c>
    </row>
    <row r="3080" spans="1:12" hidden="1" x14ac:dyDescent="0.25">
      <c r="A3080">
        <v>3079</v>
      </c>
      <c r="B3080" s="1" t="s">
        <v>12</v>
      </c>
      <c r="C3080">
        <v>1966</v>
      </c>
      <c r="D3080" s="1" t="s">
        <v>262</v>
      </c>
      <c r="E3080" s="1" t="s">
        <v>77</v>
      </c>
      <c r="F3080">
        <v>90</v>
      </c>
      <c r="G3080" s="1" t="s">
        <v>95</v>
      </c>
      <c r="H3080">
        <v>90035</v>
      </c>
      <c r="I3080">
        <v>10</v>
      </c>
      <c r="J3080">
        <v>9</v>
      </c>
      <c r="K3080">
        <v>9</v>
      </c>
      <c r="L3080">
        <v>1000</v>
      </c>
    </row>
    <row r="3081" spans="1:12" hidden="1" x14ac:dyDescent="0.25">
      <c r="A3081">
        <v>3080</v>
      </c>
      <c r="B3081" s="1" t="s">
        <v>12</v>
      </c>
      <c r="C3081">
        <v>1966</v>
      </c>
      <c r="D3081" s="1" t="s">
        <v>262</v>
      </c>
      <c r="E3081" s="1" t="s">
        <v>77</v>
      </c>
      <c r="F3081">
        <v>90</v>
      </c>
      <c r="G3081" s="1" t="s">
        <v>109</v>
      </c>
      <c r="H3081">
        <v>90077</v>
      </c>
      <c r="I3081">
        <v>7</v>
      </c>
      <c r="J3081">
        <v>6</v>
      </c>
      <c r="K3081">
        <v>6</v>
      </c>
      <c r="L3081">
        <v>1000</v>
      </c>
    </row>
    <row r="3082" spans="1:12" hidden="1" x14ac:dyDescent="0.25">
      <c r="A3082">
        <v>3081</v>
      </c>
      <c r="B3082" s="1" t="s">
        <v>12</v>
      </c>
      <c r="C3082">
        <v>1967</v>
      </c>
      <c r="D3082" s="1" t="s">
        <v>263</v>
      </c>
      <c r="E3082" s="1" t="s">
        <v>14</v>
      </c>
      <c r="F3082">
        <v>22</v>
      </c>
      <c r="G3082" s="1" t="s">
        <v>234</v>
      </c>
      <c r="H3082">
        <v>22168</v>
      </c>
      <c r="I3082">
        <v>55</v>
      </c>
      <c r="J3082">
        <v>52</v>
      </c>
      <c r="K3082">
        <v>35</v>
      </c>
      <c r="L3082">
        <v>673</v>
      </c>
    </row>
    <row r="3083" spans="1:12" hidden="1" x14ac:dyDescent="0.25">
      <c r="A3083">
        <v>3082</v>
      </c>
      <c r="B3083" s="1" t="s">
        <v>12</v>
      </c>
      <c r="C3083">
        <v>1967</v>
      </c>
      <c r="D3083" s="1" t="s">
        <v>263</v>
      </c>
      <c r="E3083" s="1" t="s">
        <v>14</v>
      </c>
      <c r="F3083">
        <v>22</v>
      </c>
      <c r="G3083" s="1" t="s">
        <v>183</v>
      </c>
      <c r="H3083">
        <v>22049</v>
      </c>
      <c r="I3083">
        <v>50</v>
      </c>
      <c r="J3083">
        <v>44</v>
      </c>
      <c r="K3083">
        <v>20</v>
      </c>
      <c r="L3083">
        <v>455</v>
      </c>
    </row>
    <row r="3084" spans="1:12" hidden="1" x14ac:dyDescent="0.25">
      <c r="A3084">
        <v>3083</v>
      </c>
      <c r="B3084" s="1" t="s">
        <v>12</v>
      </c>
      <c r="C3084">
        <v>1967</v>
      </c>
      <c r="D3084" s="1" t="s">
        <v>263</v>
      </c>
      <c r="E3084" s="1" t="s">
        <v>14</v>
      </c>
      <c r="F3084">
        <v>22</v>
      </c>
      <c r="G3084" s="1" t="s">
        <v>119</v>
      </c>
      <c r="H3084">
        <v>22084</v>
      </c>
      <c r="I3084">
        <v>50</v>
      </c>
      <c r="J3084">
        <v>48</v>
      </c>
      <c r="K3084">
        <v>29</v>
      </c>
      <c r="L3084">
        <v>604</v>
      </c>
    </row>
    <row r="3085" spans="1:12" hidden="1" x14ac:dyDescent="0.25">
      <c r="A3085">
        <v>3084</v>
      </c>
      <c r="B3085" s="1" t="s">
        <v>12</v>
      </c>
      <c r="C3085">
        <v>1967</v>
      </c>
      <c r="D3085" s="1" t="s">
        <v>263</v>
      </c>
      <c r="E3085" s="1" t="s">
        <v>14</v>
      </c>
      <c r="F3085">
        <v>22</v>
      </c>
      <c r="G3085" s="1" t="s">
        <v>233</v>
      </c>
      <c r="H3085">
        <v>22133</v>
      </c>
      <c r="I3085">
        <v>40</v>
      </c>
      <c r="J3085">
        <v>37</v>
      </c>
      <c r="K3085">
        <v>18</v>
      </c>
      <c r="L3085">
        <v>486</v>
      </c>
    </row>
    <row r="3086" spans="1:12" hidden="1" x14ac:dyDescent="0.25">
      <c r="A3086">
        <v>3085</v>
      </c>
      <c r="B3086" s="1" t="s">
        <v>12</v>
      </c>
      <c r="C3086">
        <v>1967</v>
      </c>
      <c r="D3086" s="1" t="s">
        <v>263</v>
      </c>
      <c r="E3086" s="1" t="s">
        <v>14</v>
      </c>
      <c r="F3086">
        <v>22</v>
      </c>
      <c r="G3086" s="1" t="s">
        <v>232</v>
      </c>
      <c r="H3086">
        <v>22105</v>
      </c>
      <c r="I3086">
        <v>30</v>
      </c>
      <c r="J3086">
        <v>26</v>
      </c>
      <c r="K3086">
        <v>11</v>
      </c>
      <c r="L3086">
        <v>423</v>
      </c>
    </row>
    <row r="3087" spans="1:12" hidden="1" x14ac:dyDescent="0.25">
      <c r="A3087">
        <v>3086</v>
      </c>
      <c r="B3087" s="1" t="s">
        <v>12</v>
      </c>
      <c r="C3087">
        <v>1967</v>
      </c>
      <c r="D3087" s="1" t="s">
        <v>263</v>
      </c>
      <c r="E3087" s="1" t="s">
        <v>14</v>
      </c>
      <c r="F3087">
        <v>22</v>
      </c>
      <c r="G3087" s="1" t="s">
        <v>240</v>
      </c>
      <c r="H3087">
        <v>22021</v>
      </c>
      <c r="I3087">
        <v>21</v>
      </c>
      <c r="J3087">
        <v>20</v>
      </c>
      <c r="K3087">
        <v>8</v>
      </c>
      <c r="L3087">
        <v>400</v>
      </c>
    </row>
    <row r="3088" spans="1:12" hidden="1" x14ac:dyDescent="0.25">
      <c r="A3088">
        <v>3087</v>
      </c>
      <c r="B3088" s="1" t="s">
        <v>12</v>
      </c>
      <c r="C3088">
        <v>1967</v>
      </c>
      <c r="D3088" s="1" t="s">
        <v>263</v>
      </c>
      <c r="E3088" s="1" t="s">
        <v>14</v>
      </c>
      <c r="F3088">
        <v>22</v>
      </c>
      <c r="G3088" s="1" t="s">
        <v>225</v>
      </c>
      <c r="H3088">
        <v>22119</v>
      </c>
      <c r="I3088">
        <v>20</v>
      </c>
      <c r="J3088">
        <v>18</v>
      </c>
      <c r="K3088">
        <v>13</v>
      </c>
      <c r="L3088">
        <v>722</v>
      </c>
    </row>
    <row r="3089" spans="1:12" hidden="1" x14ac:dyDescent="0.25">
      <c r="A3089">
        <v>3088</v>
      </c>
      <c r="B3089" s="1" t="s">
        <v>12</v>
      </c>
      <c r="C3089">
        <v>1967</v>
      </c>
      <c r="D3089" s="1" t="s">
        <v>263</v>
      </c>
      <c r="E3089" s="1" t="s">
        <v>14</v>
      </c>
      <c r="F3089">
        <v>22</v>
      </c>
      <c r="G3089" s="1" t="s">
        <v>236</v>
      </c>
      <c r="H3089">
        <v>22063</v>
      </c>
      <c r="I3089">
        <v>16</v>
      </c>
      <c r="J3089">
        <v>12</v>
      </c>
      <c r="K3089">
        <v>5</v>
      </c>
      <c r="L3089">
        <v>417</v>
      </c>
    </row>
    <row r="3090" spans="1:12" hidden="1" x14ac:dyDescent="0.25">
      <c r="A3090">
        <v>3089</v>
      </c>
      <c r="B3090" s="1" t="s">
        <v>12</v>
      </c>
      <c r="C3090">
        <v>1967</v>
      </c>
      <c r="D3090" s="1" t="s">
        <v>263</v>
      </c>
      <c r="E3090" s="1" t="s">
        <v>14</v>
      </c>
      <c r="F3090">
        <v>22</v>
      </c>
      <c r="G3090" s="1" t="s">
        <v>227</v>
      </c>
      <c r="H3090">
        <v>22056</v>
      </c>
      <c r="I3090">
        <v>15</v>
      </c>
      <c r="J3090">
        <v>14</v>
      </c>
      <c r="K3090">
        <v>6</v>
      </c>
      <c r="L3090">
        <v>429</v>
      </c>
    </row>
    <row r="3091" spans="1:12" hidden="1" x14ac:dyDescent="0.25">
      <c r="A3091">
        <v>3090</v>
      </c>
      <c r="B3091" s="1" t="s">
        <v>12</v>
      </c>
      <c r="C3091">
        <v>1967</v>
      </c>
      <c r="D3091" s="1" t="s">
        <v>263</v>
      </c>
      <c r="E3091" s="1" t="s">
        <v>14</v>
      </c>
      <c r="F3091">
        <v>22</v>
      </c>
      <c r="G3091" s="1" t="s">
        <v>229</v>
      </c>
      <c r="H3091">
        <v>22077</v>
      </c>
      <c r="I3091">
        <v>15</v>
      </c>
      <c r="J3091">
        <v>13</v>
      </c>
      <c r="K3091">
        <v>8</v>
      </c>
      <c r="L3091">
        <v>615</v>
      </c>
    </row>
    <row r="3092" spans="1:12" hidden="1" x14ac:dyDescent="0.25">
      <c r="A3092">
        <v>3091</v>
      </c>
      <c r="B3092" s="1" t="s">
        <v>12</v>
      </c>
      <c r="C3092">
        <v>1967</v>
      </c>
      <c r="D3092" s="1" t="s">
        <v>263</v>
      </c>
      <c r="E3092" s="1" t="s">
        <v>14</v>
      </c>
      <c r="F3092">
        <v>22</v>
      </c>
      <c r="G3092" s="1" t="s">
        <v>241</v>
      </c>
      <c r="H3092">
        <v>22112</v>
      </c>
      <c r="I3092">
        <v>12</v>
      </c>
      <c r="J3092">
        <v>12</v>
      </c>
      <c r="K3092">
        <v>5</v>
      </c>
      <c r="L3092">
        <v>417</v>
      </c>
    </row>
    <row r="3093" spans="1:12" hidden="1" x14ac:dyDescent="0.25">
      <c r="A3093">
        <v>3092</v>
      </c>
      <c r="B3093" s="1" t="s">
        <v>12</v>
      </c>
      <c r="C3093">
        <v>1967</v>
      </c>
      <c r="D3093" s="1" t="s">
        <v>263</v>
      </c>
      <c r="E3093" s="1" t="s">
        <v>14</v>
      </c>
      <c r="F3093">
        <v>22</v>
      </c>
      <c r="G3093" s="1" t="s">
        <v>19</v>
      </c>
      <c r="H3093">
        <v>22014</v>
      </c>
      <c r="I3093">
        <v>11</v>
      </c>
      <c r="J3093">
        <v>10</v>
      </c>
      <c r="K3093">
        <v>4</v>
      </c>
      <c r="L3093">
        <v>400</v>
      </c>
    </row>
    <row r="3094" spans="1:12" hidden="1" x14ac:dyDescent="0.25">
      <c r="A3094">
        <v>3093</v>
      </c>
      <c r="B3094" s="1" t="s">
        <v>12</v>
      </c>
      <c r="C3094">
        <v>1967</v>
      </c>
      <c r="D3094" s="1" t="s">
        <v>263</v>
      </c>
      <c r="E3094" s="1" t="s">
        <v>14</v>
      </c>
      <c r="F3094">
        <v>22</v>
      </c>
      <c r="G3094" s="1" t="s">
        <v>235</v>
      </c>
      <c r="H3094">
        <v>22140</v>
      </c>
      <c r="I3094">
        <v>11</v>
      </c>
      <c r="J3094">
        <v>10</v>
      </c>
      <c r="K3094">
        <v>6</v>
      </c>
      <c r="L3094">
        <v>600</v>
      </c>
    </row>
    <row r="3095" spans="1:12" hidden="1" x14ac:dyDescent="0.25">
      <c r="A3095">
        <v>3094</v>
      </c>
      <c r="B3095" s="1" t="s">
        <v>12</v>
      </c>
      <c r="C3095">
        <v>1967</v>
      </c>
      <c r="D3095" s="1" t="s">
        <v>263</v>
      </c>
      <c r="E3095" s="1" t="s">
        <v>14</v>
      </c>
      <c r="F3095">
        <v>22</v>
      </c>
      <c r="G3095" s="1" t="s">
        <v>226</v>
      </c>
      <c r="H3095">
        <v>22154</v>
      </c>
      <c r="I3095">
        <v>5</v>
      </c>
      <c r="J3095">
        <v>5</v>
      </c>
      <c r="K3095">
        <v>3</v>
      </c>
      <c r="L3095">
        <v>600</v>
      </c>
    </row>
    <row r="3096" spans="1:12" hidden="1" x14ac:dyDescent="0.25">
      <c r="A3096">
        <v>3095</v>
      </c>
      <c r="B3096" s="1" t="s">
        <v>12</v>
      </c>
      <c r="C3096">
        <v>1967</v>
      </c>
      <c r="D3096" s="1" t="s">
        <v>263</v>
      </c>
      <c r="E3096" s="1" t="s">
        <v>14</v>
      </c>
      <c r="F3096">
        <v>22</v>
      </c>
      <c r="G3096" s="1" t="s">
        <v>255</v>
      </c>
      <c r="H3096">
        <v>22070</v>
      </c>
      <c r="I3096">
        <v>4</v>
      </c>
      <c r="J3096">
        <v>4</v>
      </c>
      <c r="K3096">
        <v>2</v>
      </c>
      <c r="L3096">
        <v>500</v>
      </c>
    </row>
    <row r="3097" spans="1:12" hidden="1" x14ac:dyDescent="0.25">
      <c r="A3097">
        <v>3096</v>
      </c>
      <c r="B3097" s="1" t="s">
        <v>12</v>
      </c>
      <c r="C3097">
        <v>1967</v>
      </c>
      <c r="D3097" s="1" t="s">
        <v>263</v>
      </c>
      <c r="E3097" s="1" t="s">
        <v>14</v>
      </c>
      <c r="F3097">
        <v>22</v>
      </c>
      <c r="G3097" s="1" t="s">
        <v>228</v>
      </c>
      <c r="H3097">
        <v>22126</v>
      </c>
      <c r="I3097">
        <v>3</v>
      </c>
      <c r="J3097">
        <v>3</v>
      </c>
      <c r="K3097">
        <v>1</v>
      </c>
      <c r="L3097">
        <v>333</v>
      </c>
    </row>
    <row r="3098" spans="1:12" hidden="1" x14ac:dyDescent="0.25">
      <c r="A3098">
        <v>3097</v>
      </c>
      <c r="B3098" s="1" t="s">
        <v>12</v>
      </c>
      <c r="C3098">
        <v>1967</v>
      </c>
      <c r="D3098" s="1" t="s">
        <v>263</v>
      </c>
      <c r="E3098" s="1" t="s">
        <v>14</v>
      </c>
      <c r="F3098">
        <v>22</v>
      </c>
      <c r="G3098" s="1" t="s">
        <v>118</v>
      </c>
      <c r="H3098">
        <v>22028</v>
      </c>
      <c r="I3098">
        <v>2</v>
      </c>
      <c r="J3098">
        <v>2</v>
      </c>
      <c r="K3098">
        <v>1</v>
      </c>
      <c r="L3098">
        <v>500</v>
      </c>
    </row>
    <row r="3099" spans="1:12" hidden="1" x14ac:dyDescent="0.25">
      <c r="A3099">
        <v>3098</v>
      </c>
      <c r="B3099" s="1" t="s">
        <v>12</v>
      </c>
      <c r="C3099">
        <v>1967</v>
      </c>
      <c r="D3099" s="1" t="s">
        <v>263</v>
      </c>
      <c r="E3099" s="1" t="s">
        <v>22</v>
      </c>
      <c r="F3099">
        <v>14</v>
      </c>
      <c r="G3099" s="1" t="s">
        <v>26</v>
      </c>
      <c r="H3099">
        <v>14161</v>
      </c>
      <c r="I3099">
        <v>110000</v>
      </c>
      <c r="J3099">
        <v>110000</v>
      </c>
      <c r="K3099">
        <v>128358</v>
      </c>
      <c r="L3099">
        <v>1167</v>
      </c>
    </row>
    <row r="3100" spans="1:12" hidden="1" x14ac:dyDescent="0.25">
      <c r="A3100">
        <v>3099</v>
      </c>
      <c r="B3100" s="1" t="s">
        <v>12</v>
      </c>
      <c r="C3100">
        <v>1967</v>
      </c>
      <c r="D3100" s="1" t="s">
        <v>263</v>
      </c>
      <c r="E3100" s="1" t="s">
        <v>22</v>
      </c>
      <c r="F3100">
        <v>14</v>
      </c>
      <c r="G3100" s="1" t="s">
        <v>24</v>
      </c>
      <c r="H3100">
        <v>14119</v>
      </c>
      <c r="I3100">
        <v>75000</v>
      </c>
      <c r="J3100">
        <v>70500</v>
      </c>
      <c r="K3100">
        <v>47761</v>
      </c>
      <c r="L3100">
        <v>677</v>
      </c>
    </row>
    <row r="3101" spans="1:12" hidden="1" x14ac:dyDescent="0.25">
      <c r="A3101">
        <v>3100</v>
      </c>
      <c r="B3101" s="1" t="s">
        <v>12</v>
      </c>
      <c r="C3101">
        <v>1967</v>
      </c>
      <c r="D3101" s="1" t="s">
        <v>263</v>
      </c>
      <c r="E3101" s="1" t="s">
        <v>22</v>
      </c>
      <c r="F3101">
        <v>14</v>
      </c>
      <c r="G3101" s="1" t="s">
        <v>143</v>
      </c>
      <c r="H3101">
        <v>14056</v>
      </c>
      <c r="I3101">
        <v>30000</v>
      </c>
      <c r="J3101">
        <v>30000</v>
      </c>
      <c r="K3101">
        <v>35820</v>
      </c>
      <c r="L3101">
        <v>1194</v>
      </c>
    </row>
    <row r="3102" spans="1:12" hidden="1" x14ac:dyDescent="0.25">
      <c r="A3102">
        <v>3101</v>
      </c>
      <c r="B3102" s="1" t="s">
        <v>12</v>
      </c>
      <c r="C3102">
        <v>1967</v>
      </c>
      <c r="D3102" s="1" t="s">
        <v>263</v>
      </c>
      <c r="E3102" s="1" t="s">
        <v>22</v>
      </c>
      <c r="F3102">
        <v>14</v>
      </c>
      <c r="G3102" s="1" t="s">
        <v>23</v>
      </c>
      <c r="H3102">
        <v>14147</v>
      </c>
      <c r="I3102">
        <v>26000</v>
      </c>
      <c r="J3102">
        <v>24700</v>
      </c>
      <c r="K3102">
        <v>16418</v>
      </c>
      <c r="L3102">
        <v>665</v>
      </c>
    </row>
    <row r="3103" spans="1:12" hidden="1" x14ac:dyDescent="0.25">
      <c r="A3103">
        <v>3102</v>
      </c>
      <c r="B3103" s="1" t="s">
        <v>12</v>
      </c>
      <c r="C3103">
        <v>1967</v>
      </c>
      <c r="D3103" s="1" t="s">
        <v>263</v>
      </c>
      <c r="E3103" s="1" t="s">
        <v>22</v>
      </c>
      <c r="F3103">
        <v>14</v>
      </c>
      <c r="G3103" s="1" t="s">
        <v>184</v>
      </c>
      <c r="H3103">
        <v>14042</v>
      </c>
      <c r="I3103">
        <v>20000</v>
      </c>
      <c r="J3103">
        <v>19500</v>
      </c>
      <c r="K3103">
        <v>20373</v>
      </c>
      <c r="L3103">
        <v>1045</v>
      </c>
    </row>
    <row r="3104" spans="1:12" hidden="1" x14ac:dyDescent="0.25">
      <c r="A3104">
        <v>3103</v>
      </c>
      <c r="B3104" s="1" t="s">
        <v>12</v>
      </c>
      <c r="C3104">
        <v>1967</v>
      </c>
      <c r="D3104" s="1" t="s">
        <v>263</v>
      </c>
      <c r="E3104" s="1" t="s">
        <v>22</v>
      </c>
      <c r="F3104">
        <v>14</v>
      </c>
      <c r="G3104" s="1" t="s">
        <v>29</v>
      </c>
      <c r="H3104">
        <v>14098</v>
      </c>
      <c r="I3104">
        <v>12600</v>
      </c>
      <c r="J3104">
        <v>12600</v>
      </c>
      <c r="K3104">
        <v>16418</v>
      </c>
      <c r="L3104">
        <v>1303</v>
      </c>
    </row>
    <row r="3105" spans="1:12" hidden="1" x14ac:dyDescent="0.25">
      <c r="A3105">
        <v>3104</v>
      </c>
      <c r="B3105" s="1" t="s">
        <v>12</v>
      </c>
      <c r="C3105">
        <v>1967</v>
      </c>
      <c r="D3105" s="1" t="s">
        <v>263</v>
      </c>
      <c r="E3105" s="1" t="s">
        <v>22</v>
      </c>
      <c r="F3105">
        <v>14</v>
      </c>
      <c r="G3105" s="1" t="s">
        <v>97</v>
      </c>
      <c r="H3105">
        <v>14007</v>
      </c>
      <c r="I3105">
        <v>8500</v>
      </c>
      <c r="J3105">
        <v>8500</v>
      </c>
      <c r="K3105">
        <v>8880</v>
      </c>
      <c r="L3105">
        <v>1045</v>
      </c>
    </row>
    <row r="3106" spans="1:12" hidden="1" x14ac:dyDescent="0.25">
      <c r="A3106">
        <v>3105</v>
      </c>
      <c r="B3106" s="1" t="s">
        <v>12</v>
      </c>
      <c r="C3106">
        <v>1967</v>
      </c>
      <c r="D3106" s="1" t="s">
        <v>263</v>
      </c>
      <c r="E3106" s="1" t="s">
        <v>22</v>
      </c>
      <c r="F3106">
        <v>14</v>
      </c>
      <c r="G3106" s="1" t="s">
        <v>25</v>
      </c>
      <c r="H3106">
        <v>14105</v>
      </c>
      <c r="I3106">
        <v>6500</v>
      </c>
      <c r="J3106">
        <v>6000</v>
      </c>
      <c r="K3106">
        <v>3582</v>
      </c>
      <c r="L3106">
        <v>597</v>
      </c>
    </row>
    <row r="3107" spans="1:12" hidden="1" x14ac:dyDescent="0.25">
      <c r="A3107">
        <v>3106</v>
      </c>
      <c r="B3107" s="1" t="s">
        <v>12</v>
      </c>
      <c r="C3107">
        <v>1967</v>
      </c>
      <c r="D3107" s="1" t="s">
        <v>263</v>
      </c>
      <c r="E3107" s="1" t="s">
        <v>22</v>
      </c>
      <c r="F3107">
        <v>14</v>
      </c>
      <c r="G3107" s="1" t="s">
        <v>122</v>
      </c>
      <c r="H3107">
        <v>14182</v>
      </c>
      <c r="I3107">
        <v>1300</v>
      </c>
      <c r="J3107">
        <v>1300</v>
      </c>
      <c r="K3107">
        <v>1372</v>
      </c>
      <c r="L3107">
        <v>1055</v>
      </c>
    </row>
    <row r="3108" spans="1:12" hidden="1" x14ac:dyDescent="0.25">
      <c r="A3108">
        <v>3107</v>
      </c>
      <c r="B3108" s="1" t="s">
        <v>12</v>
      </c>
      <c r="C3108">
        <v>1967</v>
      </c>
      <c r="D3108" s="1" t="s">
        <v>263</v>
      </c>
      <c r="E3108" s="1" t="s">
        <v>22</v>
      </c>
      <c r="F3108">
        <v>14</v>
      </c>
      <c r="G3108" s="1" t="s">
        <v>67</v>
      </c>
      <c r="H3108">
        <v>14140</v>
      </c>
      <c r="I3108">
        <v>700</v>
      </c>
      <c r="J3108">
        <v>700</v>
      </c>
      <c r="K3108">
        <v>418</v>
      </c>
      <c r="L3108">
        <v>597</v>
      </c>
    </row>
    <row r="3109" spans="1:12" hidden="1" x14ac:dyDescent="0.25">
      <c r="A3109">
        <v>3108</v>
      </c>
      <c r="B3109" s="1" t="s">
        <v>12</v>
      </c>
      <c r="C3109">
        <v>1967</v>
      </c>
      <c r="D3109" s="1" t="s">
        <v>263</v>
      </c>
      <c r="E3109" s="1" t="s">
        <v>30</v>
      </c>
      <c r="F3109">
        <v>18</v>
      </c>
      <c r="G3109" s="1" t="s">
        <v>34</v>
      </c>
      <c r="H3109">
        <v>18042</v>
      </c>
      <c r="I3109">
        <v>16</v>
      </c>
      <c r="J3109">
        <v>10</v>
      </c>
      <c r="K3109">
        <v>8</v>
      </c>
      <c r="L3109">
        <v>800</v>
      </c>
    </row>
    <row r="3110" spans="1:12" hidden="1" x14ac:dyDescent="0.25">
      <c r="A3110">
        <v>3109</v>
      </c>
      <c r="B3110" s="1" t="s">
        <v>12</v>
      </c>
      <c r="C3110">
        <v>1967</v>
      </c>
      <c r="D3110" s="1" t="s">
        <v>263</v>
      </c>
      <c r="E3110" s="1" t="s">
        <v>30</v>
      </c>
      <c r="F3110">
        <v>18</v>
      </c>
      <c r="G3110" s="1" t="s">
        <v>99</v>
      </c>
      <c r="H3110">
        <v>18063</v>
      </c>
      <c r="I3110">
        <v>15</v>
      </c>
      <c r="J3110">
        <v>12</v>
      </c>
      <c r="K3110">
        <v>9</v>
      </c>
      <c r="L3110">
        <v>750</v>
      </c>
    </row>
    <row r="3111" spans="1:12" hidden="1" x14ac:dyDescent="0.25">
      <c r="A3111">
        <v>3110</v>
      </c>
      <c r="B3111" s="1" t="s">
        <v>12</v>
      </c>
      <c r="C3111">
        <v>1967</v>
      </c>
      <c r="D3111" s="1" t="s">
        <v>263</v>
      </c>
      <c r="E3111" s="1" t="s">
        <v>30</v>
      </c>
      <c r="F3111">
        <v>18</v>
      </c>
      <c r="G3111" s="1" t="s">
        <v>103</v>
      </c>
      <c r="H3111">
        <v>18154</v>
      </c>
      <c r="I3111">
        <v>11</v>
      </c>
      <c r="J3111">
        <v>10</v>
      </c>
      <c r="K3111">
        <v>8</v>
      </c>
      <c r="L3111">
        <v>800</v>
      </c>
    </row>
    <row r="3112" spans="1:12" hidden="1" x14ac:dyDescent="0.25">
      <c r="A3112">
        <v>3111</v>
      </c>
      <c r="B3112" s="1" t="s">
        <v>12</v>
      </c>
      <c r="C3112">
        <v>1967</v>
      </c>
      <c r="D3112" s="1" t="s">
        <v>263</v>
      </c>
      <c r="E3112" s="1" t="s">
        <v>30</v>
      </c>
      <c r="F3112">
        <v>18</v>
      </c>
      <c r="G3112" s="1" t="s">
        <v>28</v>
      </c>
      <c r="H3112">
        <v>18021</v>
      </c>
      <c r="I3112">
        <v>10</v>
      </c>
      <c r="J3112">
        <v>6</v>
      </c>
      <c r="K3112">
        <v>4</v>
      </c>
      <c r="L3112">
        <v>667</v>
      </c>
    </row>
    <row r="3113" spans="1:12" hidden="1" x14ac:dyDescent="0.25">
      <c r="A3113">
        <v>3112</v>
      </c>
      <c r="B3113" s="1" t="s">
        <v>12</v>
      </c>
      <c r="C3113">
        <v>1967</v>
      </c>
      <c r="D3113" s="1" t="s">
        <v>263</v>
      </c>
      <c r="E3113" s="1" t="s">
        <v>30</v>
      </c>
      <c r="F3113">
        <v>18</v>
      </c>
      <c r="G3113" s="1" t="s">
        <v>36</v>
      </c>
      <c r="H3113">
        <v>18133</v>
      </c>
      <c r="I3113">
        <v>10</v>
      </c>
      <c r="J3113">
        <v>8</v>
      </c>
      <c r="K3113">
        <v>6</v>
      </c>
      <c r="L3113">
        <v>750</v>
      </c>
    </row>
    <row r="3114" spans="1:12" hidden="1" x14ac:dyDescent="0.25">
      <c r="A3114">
        <v>3113</v>
      </c>
      <c r="B3114" s="1" t="s">
        <v>12</v>
      </c>
      <c r="C3114">
        <v>1967</v>
      </c>
      <c r="D3114" s="1" t="s">
        <v>263</v>
      </c>
      <c r="E3114" s="1" t="s">
        <v>30</v>
      </c>
      <c r="F3114">
        <v>18</v>
      </c>
      <c r="G3114" s="1" t="s">
        <v>41</v>
      </c>
      <c r="H3114">
        <v>18140</v>
      </c>
      <c r="I3114">
        <v>10</v>
      </c>
      <c r="J3114">
        <v>8</v>
      </c>
      <c r="K3114">
        <v>6</v>
      </c>
      <c r="L3114">
        <v>750</v>
      </c>
    </row>
    <row r="3115" spans="1:12" hidden="1" x14ac:dyDescent="0.25">
      <c r="A3115">
        <v>3114</v>
      </c>
      <c r="B3115" s="1" t="s">
        <v>12</v>
      </c>
      <c r="C3115">
        <v>1967</v>
      </c>
      <c r="D3115" s="1" t="s">
        <v>263</v>
      </c>
      <c r="E3115" s="1" t="s">
        <v>30</v>
      </c>
      <c r="F3115">
        <v>18</v>
      </c>
      <c r="G3115" s="1" t="s">
        <v>100</v>
      </c>
      <c r="H3115">
        <v>18077</v>
      </c>
      <c r="I3115">
        <v>8</v>
      </c>
      <c r="J3115">
        <v>6</v>
      </c>
      <c r="K3115">
        <v>4</v>
      </c>
      <c r="L3115">
        <v>667</v>
      </c>
    </row>
    <row r="3116" spans="1:12" hidden="1" x14ac:dyDescent="0.25">
      <c r="A3116">
        <v>3115</v>
      </c>
      <c r="B3116" s="1" t="s">
        <v>12</v>
      </c>
      <c r="C3116">
        <v>1967</v>
      </c>
      <c r="D3116" s="1" t="s">
        <v>263</v>
      </c>
      <c r="E3116" s="1" t="s">
        <v>45</v>
      </c>
      <c r="F3116">
        <v>30</v>
      </c>
      <c r="G3116" s="1" t="s">
        <v>47</v>
      </c>
      <c r="H3116">
        <v>30015</v>
      </c>
      <c r="I3116">
        <v>20</v>
      </c>
      <c r="J3116">
        <v>20</v>
      </c>
      <c r="K3116">
        <v>13</v>
      </c>
      <c r="L3116">
        <v>650</v>
      </c>
    </row>
    <row r="3117" spans="1:12" hidden="1" x14ac:dyDescent="0.25">
      <c r="A3117">
        <v>3116</v>
      </c>
      <c r="B3117" s="1" t="s">
        <v>12</v>
      </c>
      <c r="C3117">
        <v>1967</v>
      </c>
      <c r="D3117" s="1" t="s">
        <v>263</v>
      </c>
      <c r="E3117" s="1" t="s">
        <v>45</v>
      </c>
      <c r="F3117">
        <v>30</v>
      </c>
      <c r="G3117" s="1" t="s">
        <v>46</v>
      </c>
      <c r="H3117">
        <v>30028</v>
      </c>
      <c r="I3117">
        <v>10</v>
      </c>
      <c r="J3117">
        <v>10</v>
      </c>
      <c r="K3117">
        <v>7</v>
      </c>
      <c r="L3117">
        <v>700</v>
      </c>
    </row>
    <row r="3118" spans="1:12" hidden="1" x14ac:dyDescent="0.25">
      <c r="A3118">
        <v>3117</v>
      </c>
      <c r="B3118" s="1" t="s">
        <v>12</v>
      </c>
      <c r="C3118">
        <v>1967</v>
      </c>
      <c r="D3118" s="1" t="s">
        <v>263</v>
      </c>
      <c r="E3118" s="1" t="s">
        <v>48</v>
      </c>
      <c r="F3118">
        <v>34</v>
      </c>
      <c r="G3118" s="1" t="s">
        <v>51</v>
      </c>
      <c r="H3118">
        <v>34056</v>
      </c>
      <c r="I3118">
        <v>70</v>
      </c>
      <c r="J3118">
        <v>70</v>
      </c>
      <c r="K3118">
        <v>70</v>
      </c>
      <c r="L3118">
        <v>1000</v>
      </c>
    </row>
    <row r="3119" spans="1:12" hidden="1" x14ac:dyDescent="0.25">
      <c r="A3119">
        <v>3118</v>
      </c>
      <c r="B3119" s="1" t="s">
        <v>12</v>
      </c>
      <c r="C3119">
        <v>1967</v>
      </c>
      <c r="D3119" s="1" t="s">
        <v>263</v>
      </c>
      <c r="E3119" s="1" t="s">
        <v>48</v>
      </c>
      <c r="F3119">
        <v>34</v>
      </c>
      <c r="G3119" s="1" t="s">
        <v>49</v>
      </c>
      <c r="H3119">
        <v>34049</v>
      </c>
      <c r="I3119">
        <v>50</v>
      </c>
      <c r="J3119">
        <v>50</v>
      </c>
      <c r="K3119">
        <v>50</v>
      </c>
      <c r="L3119">
        <v>1000</v>
      </c>
    </row>
    <row r="3120" spans="1:12" hidden="1" x14ac:dyDescent="0.25">
      <c r="A3120">
        <v>3119</v>
      </c>
      <c r="B3120" s="1" t="s">
        <v>12</v>
      </c>
      <c r="C3120">
        <v>1967</v>
      </c>
      <c r="D3120" s="1" t="s">
        <v>263</v>
      </c>
      <c r="E3120" s="1" t="s">
        <v>48</v>
      </c>
      <c r="F3120">
        <v>34</v>
      </c>
      <c r="G3120" s="1" t="s">
        <v>50</v>
      </c>
      <c r="H3120">
        <v>34021</v>
      </c>
      <c r="I3120">
        <v>30</v>
      </c>
      <c r="J3120">
        <v>30</v>
      </c>
      <c r="K3120">
        <v>33</v>
      </c>
      <c r="L3120">
        <v>1100</v>
      </c>
    </row>
    <row r="3121" spans="1:12" hidden="1" x14ac:dyDescent="0.25">
      <c r="A3121">
        <v>3120</v>
      </c>
      <c r="B3121" s="1" t="s">
        <v>12</v>
      </c>
      <c r="C3121">
        <v>1967</v>
      </c>
      <c r="D3121" s="1" t="s">
        <v>263</v>
      </c>
      <c r="E3121" s="1" t="s">
        <v>48</v>
      </c>
      <c r="F3121">
        <v>34</v>
      </c>
      <c r="G3121" s="1" t="s">
        <v>108</v>
      </c>
      <c r="H3121">
        <v>34042</v>
      </c>
      <c r="I3121">
        <v>30</v>
      </c>
      <c r="J3121">
        <v>30</v>
      </c>
      <c r="K3121">
        <v>27</v>
      </c>
      <c r="L3121">
        <v>900</v>
      </c>
    </row>
    <row r="3122" spans="1:12" hidden="1" x14ac:dyDescent="0.25">
      <c r="A3122">
        <v>3121</v>
      </c>
      <c r="B3122" s="1" t="s">
        <v>12</v>
      </c>
      <c r="C3122">
        <v>1967</v>
      </c>
      <c r="D3122" s="1" t="s">
        <v>263</v>
      </c>
      <c r="E3122" s="1" t="s">
        <v>48</v>
      </c>
      <c r="F3122">
        <v>34</v>
      </c>
      <c r="G3122" s="1" t="s">
        <v>48</v>
      </c>
      <c r="H3122">
        <v>34014</v>
      </c>
      <c r="I3122">
        <v>25</v>
      </c>
      <c r="J3122">
        <v>25</v>
      </c>
      <c r="K3122">
        <v>25</v>
      </c>
      <c r="L3122">
        <v>1000</v>
      </c>
    </row>
    <row r="3123" spans="1:12" hidden="1" x14ac:dyDescent="0.25">
      <c r="A3123">
        <v>3122</v>
      </c>
      <c r="B3123" s="1" t="s">
        <v>12</v>
      </c>
      <c r="C3123">
        <v>1967</v>
      </c>
      <c r="D3123" s="1" t="s">
        <v>263</v>
      </c>
      <c r="E3123" s="1" t="s">
        <v>48</v>
      </c>
      <c r="F3123">
        <v>34</v>
      </c>
      <c r="G3123" s="1" t="s">
        <v>52</v>
      </c>
      <c r="H3123">
        <v>34035</v>
      </c>
      <c r="I3123">
        <v>5</v>
      </c>
      <c r="J3123">
        <v>5</v>
      </c>
      <c r="K3123">
        <v>5</v>
      </c>
      <c r="L3123">
        <v>1000</v>
      </c>
    </row>
    <row r="3124" spans="1:12" hidden="1" x14ac:dyDescent="0.25">
      <c r="A3124">
        <v>3123</v>
      </c>
      <c r="B3124" s="1" t="s">
        <v>12</v>
      </c>
      <c r="C3124">
        <v>1967</v>
      </c>
      <c r="D3124" s="1" t="s">
        <v>263</v>
      </c>
      <c r="E3124" s="1" t="s">
        <v>58</v>
      </c>
      <c r="F3124">
        <v>54</v>
      </c>
      <c r="G3124" s="1" t="s">
        <v>61</v>
      </c>
      <c r="H3124">
        <v>54098</v>
      </c>
      <c r="I3124">
        <v>60</v>
      </c>
      <c r="J3124">
        <v>51</v>
      </c>
      <c r="K3124">
        <v>40</v>
      </c>
      <c r="L3124">
        <v>784</v>
      </c>
    </row>
    <row r="3125" spans="1:12" hidden="1" x14ac:dyDescent="0.25">
      <c r="A3125">
        <v>3124</v>
      </c>
      <c r="B3125" s="1" t="s">
        <v>12</v>
      </c>
      <c r="C3125">
        <v>1967</v>
      </c>
      <c r="D3125" s="1" t="s">
        <v>263</v>
      </c>
      <c r="E3125" s="1" t="s">
        <v>58</v>
      </c>
      <c r="F3125">
        <v>54</v>
      </c>
      <c r="G3125" s="1" t="s">
        <v>60</v>
      </c>
      <c r="H3125">
        <v>54021</v>
      </c>
      <c r="I3125">
        <v>50</v>
      </c>
      <c r="J3125">
        <v>43</v>
      </c>
      <c r="K3125">
        <v>33</v>
      </c>
      <c r="L3125">
        <v>767</v>
      </c>
    </row>
    <row r="3126" spans="1:12" hidden="1" x14ac:dyDescent="0.25">
      <c r="A3126">
        <v>3125</v>
      </c>
      <c r="B3126" s="1" t="s">
        <v>12</v>
      </c>
      <c r="C3126">
        <v>1967</v>
      </c>
      <c r="D3126" s="1" t="s">
        <v>263</v>
      </c>
      <c r="E3126" s="1" t="s">
        <v>58</v>
      </c>
      <c r="F3126">
        <v>54</v>
      </c>
      <c r="G3126" s="1" t="s">
        <v>243</v>
      </c>
      <c r="H3126">
        <v>54070</v>
      </c>
      <c r="I3126">
        <v>50</v>
      </c>
      <c r="J3126">
        <v>40</v>
      </c>
      <c r="K3126">
        <v>28</v>
      </c>
      <c r="L3126">
        <v>700</v>
      </c>
    </row>
    <row r="3127" spans="1:12" hidden="1" x14ac:dyDescent="0.25">
      <c r="A3127">
        <v>3126</v>
      </c>
      <c r="B3127" s="1" t="s">
        <v>12</v>
      </c>
      <c r="C3127">
        <v>1967</v>
      </c>
      <c r="D3127" s="1" t="s">
        <v>263</v>
      </c>
      <c r="E3127" s="1" t="s">
        <v>58</v>
      </c>
      <c r="F3127">
        <v>54</v>
      </c>
      <c r="G3127" s="1" t="s">
        <v>242</v>
      </c>
      <c r="H3127">
        <v>54091</v>
      </c>
      <c r="I3127">
        <v>50</v>
      </c>
      <c r="J3127">
        <v>42</v>
      </c>
      <c r="K3127">
        <v>31</v>
      </c>
      <c r="L3127">
        <v>738</v>
      </c>
    </row>
    <row r="3128" spans="1:12" hidden="1" x14ac:dyDescent="0.25">
      <c r="A3128">
        <v>3127</v>
      </c>
      <c r="B3128" s="1" t="s">
        <v>12</v>
      </c>
      <c r="C3128">
        <v>1967</v>
      </c>
      <c r="D3128" s="1" t="s">
        <v>263</v>
      </c>
      <c r="E3128" s="1" t="s">
        <v>58</v>
      </c>
      <c r="F3128">
        <v>54</v>
      </c>
      <c r="G3128" s="1" t="s">
        <v>63</v>
      </c>
      <c r="H3128">
        <v>54035</v>
      </c>
      <c r="I3128">
        <v>45</v>
      </c>
      <c r="J3128">
        <v>38</v>
      </c>
      <c r="K3128">
        <v>29</v>
      </c>
      <c r="L3128">
        <v>763</v>
      </c>
    </row>
    <row r="3129" spans="1:12" hidden="1" x14ac:dyDescent="0.25">
      <c r="A3129">
        <v>3128</v>
      </c>
      <c r="B3129" s="1" t="s">
        <v>12</v>
      </c>
      <c r="C3129">
        <v>1967</v>
      </c>
      <c r="D3129" s="1" t="s">
        <v>263</v>
      </c>
      <c r="E3129" s="1" t="s">
        <v>58</v>
      </c>
      <c r="F3129">
        <v>54</v>
      </c>
      <c r="G3129" s="1" t="s">
        <v>59</v>
      </c>
      <c r="H3129">
        <v>54007</v>
      </c>
      <c r="I3129">
        <v>40</v>
      </c>
      <c r="J3129">
        <v>34</v>
      </c>
      <c r="K3129">
        <v>27</v>
      </c>
      <c r="L3129">
        <v>794</v>
      </c>
    </row>
    <row r="3130" spans="1:12" hidden="1" x14ac:dyDescent="0.25">
      <c r="A3130">
        <v>3129</v>
      </c>
      <c r="B3130" s="1" t="s">
        <v>12</v>
      </c>
      <c r="C3130">
        <v>1967</v>
      </c>
      <c r="D3130" s="1" t="s">
        <v>263</v>
      </c>
      <c r="E3130" s="1" t="s">
        <v>58</v>
      </c>
      <c r="F3130">
        <v>54</v>
      </c>
      <c r="G3130" s="1" t="s">
        <v>245</v>
      </c>
      <c r="H3130">
        <v>54042</v>
      </c>
      <c r="I3130">
        <v>40</v>
      </c>
      <c r="J3130">
        <v>35</v>
      </c>
      <c r="K3130">
        <v>28</v>
      </c>
      <c r="L3130">
        <v>800</v>
      </c>
    </row>
    <row r="3131" spans="1:12" hidden="1" x14ac:dyDescent="0.25">
      <c r="A3131">
        <v>3130</v>
      </c>
      <c r="B3131" s="1" t="s">
        <v>12</v>
      </c>
      <c r="C3131">
        <v>1967</v>
      </c>
      <c r="D3131" s="1" t="s">
        <v>263</v>
      </c>
      <c r="E3131" s="1" t="s">
        <v>58</v>
      </c>
      <c r="F3131">
        <v>54</v>
      </c>
      <c r="G3131" s="1" t="s">
        <v>150</v>
      </c>
      <c r="H3131">
        <v>54014</v>
      </c>
      <c r="I3131">
        <v>30</v>
      </c>
      <c r="J3131">
        <v>26</v>
      </c>
      <c r="K3131">
        <v>21</v>
      </c>
      <c r="L3131">
        <v>808</v>
      </c>
    </row>
    <row r="3132" spans="1:12" hidden="1" x14ac:dyDescent="0.25">
      <c r="A3132">
        <v>3131</v>
      </c>
      <c r="B3132" s="1" t="s">
        <v>12</v>
      </c>
      <c r="C3132">
        <v>1967</v>
      </c>
      <c r="D3132" s="1" t="s">
        <v>263</v>
      </c>
      <c r="E3132" s="1" t="s">
        <v>58</v>
      </c>
      <c r="F3132">
        <v>54</v>
      </c>
      <c r="G3132" s="1" t="s">
        <v>244</v>
      </c>
      <c r="H3132">
        <v>54084</v>
      </c>
      <c r="I3132">
        <v>25</v>
      </c>
      <c r="J3132">
        <v>20</v>
      </c>
      <c r="K3132">
        <v>17</v>
      </c>
      <c r="L3132">
        <v>850</v>
      </c>
    </row>
    <row r="3133" spans="1:12" hidden="1" x14ac:dyDescent="0.25">
      <c r="A3133">
        <v>3132</v>
      </c>
      <c r="B3133" s="1" t="s">
        <v>12</v>
      </c>
      <c r="C3133">
        <v>1967</v>
      </c>
      <c r="D3133" s="1" t="s">
        <v>263</v>
      </c>
      <c r="E3133" s="1" t="s">
        <v>58</v>
      </c>
      <c r="F3133">
        <v>54</v>
      </c>
      <c r="G3133" s="1" t="s">
        <v>62</v>
      </c>
      <c r="H3133">
        <v>54105</v>
      </c>
      <c r="I3133">
        <v>20</v>
      </c>
      <c r="J3133">
        <v>17</v>
      </c>
      <c r="K3133">
        <v>12</v>
      </c>
      <c r="L3133">
        <v>706</v>
      </c>
    </row>
    <row r="3134" spans="1:12" hidden="1" x14ac:dyDescent="0.25">
      <c r="A3134">
        <v>3133</v>
      </c>
      <c r="B3134" s="1" t="s">
        <v>12</v>
      </c>
      <c r="C3134">
        <v>1967</v>
      </c>
      <c r="D3134" s="1" t="s">
        <v>263</v>
      </c>
      <c r="E3134" s="1" t="s">
        <v>58</v>
      </c>
      <c r="F3134">
        <v>54</v>
      </c>
      <c r="G3134" s="1" t="s">
        <v>119</v>
      </c>
      <c r="H3134">
        <v>54077</v>
      </c>
      <c r="I3134">
        <v>15</v>
      </c>
      <c r="J3134">
        <v>13</v>
      </c>
      <c r="K3134">
        <v>11</v>
      </c>
      <c r="L3134">
        <v>846</v>
      </c>
    </row>
    <row r="3135" spans="1:12" hidden="1" x14ac:dyDescent="0.25">
      <c r="A3135">
        <v>3134</v>
      </c>
      <c r="B3135" s="1" t="s">
        <v>12</v>
      </c>
      <c r="C3135">
        <v>1967</v>
      </c>
      <c r="D3135" s="1" t="s">
        <v>263</v>
      </c>
      <c r="E3135" s="1" t="s">
        <v>58</v>
      </c>
      <c r="F3135">
        <v>54</v>
      </c>
      <c r="G3135" s="1" t="s">
        <v>151</v>
      </c>
      <c r="H3135">
        <v>54056</v>
      </c>
      <c r="I3135">
        <v>10</v>
      </c>
      <c r="J3135">
        <v>9</v>
      </c>
      <c r="K3135">
        <v>7</v>
      </c>
      <c r="L3135">
        <v>778</v>
      </c>
    </row>
    <row r="3136" spans="1:12" hidden="1" x14ac:dyDescent="0.25">
      <c r="A3136">
        <v>3135</v>
      </c>
      <c r="B3136" s="1" t="s">
        <v>12</v>
      </c>
      <c r="C3136">
        <v>1967</v>
      </c>
      <c r="D3136" s="1" t="s">
        <v>263</v>
      </c>
      <c r="E3136" s="1" t="s">
        <v>58</v>
      </c>
      <c r="F3136">
        <v>54</v>
      </c>
      <c r="G3136" s="1" t="s">
        <v>152</v>
      </c>
      <c r="H3136">
        <v>54063</v>
      </c>
      <c r="I3136">
        <v>10</v>
      </c>
      <c r="J3136">
        <v>9</v>
      </c>
      <c r="K3136">
        <v>8</v>
      </c>
      <c r="L3136">
        <v>889</v>
      </c>
    </row>
    <row r="3137" spans="1:12" hidden="1" x14ac:dyDescent="0.25">
      <c r="A3137">
        <v>3136</v>
      </c>
      <c r="B3137" s="1" t="s">
        <v>12</v>
      </c>
      <c r="C3137">
        <v>1967</v>
      </c>
      <c r="D3137" s="1" t="s">
        <v>263</v>
      </c>
      <c r="E3137" s="1" t="s">
        <v>58</v>
      </c>
      <c r="F3137">
        <v>54</v>
      </c>
      <c r="G3137" s="1" t="s">
        <v>258</v>
      </c>
      <c r="H3137">
        <v>54049</v>
      </c>
      <c r="I3137">
        <v>10</v>
      </c>
      <c r="J3137">
        <v>9</v>
      </c>
      <c r="K3137">
        <v>7</v>
      </c>
      <c r="L3137">
        <v>778</v>
      </c>
    </row>
    <row r="3138" spans="1:12" hidden="1" x14ac:dyDescent="0.25">
      <c r="A3138">
        <v>3137</v>
      </c>
      <c r="B3138" s="1" t="s">
        <v>12</v>
      </c>
      <c r="C3138">
        <v>1967</v>
      </c>
      <c r="D3138" s="1" t="s">
        <v>263</v>
      </c>
      <c r="E3138" s="1" t="s">
        <v>58</v>
      </c>
      <c r="F3138">
        <v>54</v>
      </c>
      <c r="G3138" s="1" t="s">
        <v>234</v>
      </c>
      <c r="H3138">
        <v>54119</v>
      </c>
      <c r="I3138">
        <v>10</v>
      </c>
      <c r="J3138">
        <v>9</v>
      </c>
      <c r="K3138">
        <v>7</v>
      </c>
      <c r="L3138">
        <v>778</v>
      </c>
    </row>
    <row r="3139" spans="1:12" x14ac:dyDescent="0.25">
      <c r="A3139">
        <v>3138</v>
      </c>
      <c r="B3139" s="1" t="s">
        <v>12</v>
      </c>
      <c r="C3139">
        <v>1967</v>
      </c>
      <c r="D3139" s="1" t="s">
        <v>263</v>
      </c>
      <c r="E3139" s="1" t="s">
        <v>58</v>
      </c>
      <c r="F3139">
        <v>54</v>
      </c>
      <c r="G3139" s="1" t="s">
        <v>56</v>
      </c>
      <c r="H3139">
        <v>54112</v>
      </c>
      <c r="I3139">
        <v>5</v>
      </c>
      <c r="J3139">
        <v>5</v>
      </c>
      <c r="K3139">
        <v>4</v>
      </c>
      <c r="L3139">
        <v>800</v>
      </c>
    </row>
    <row r="3140" spans="1:12" hidden="1" x14ac:dyDescent="0.25">
      <c r="A3140">
        <v>3139</v>
      </c>
      <c r="B3140" s="1" t="s">
        <v>12</v>
      </c>
      <c r="C3140">
        <v>1967</v>
      </c>
      <c r="D3140" s="1" t="s">
        <v>263</v>
      </c>
      <c r="E3140" s="1" t="s">
        <v>87</v>
      </c>
      <c r="F3140">
        <v>66</v>
      </c>
      <c r="G3140" s="1" t="s">
        <v>230</v>
      </c>
      <c r="H3140">
        <v>66056</v>
      </c>
      <c r="I3140">
        <v>400</v>
      </c>
      <c r="J3140">
        <v>400</v>
      </c>
      <c r="K3140">
        <v>480</v>
      </c>
      <c r="L3140">
        <v>1200</v>
      </c>
    </row>
    <row r="3141" spans="1:12" hidden="1" x14ac:dyDescent="0.25">
      <c r="A3141">
        <v>3140</v>
      </c>
      <c r="B3141" s="1" t="s">
        <v>12</v>
      </c>
      <c r="C3141">
        <v>1967</v>
      </c>
      <c r="D3141" s="1" t="s">
        <v>263</v>
      </c>
      <c r="E3141" s="1" t="s">
        <v>87</v>
      </c>
      <c r="F3141">
        <v>66</v>
      </c>
      <c r="G3141" s="1" t="s">
        <v>188</v>
      </c>
      <c r="H3141">
        <v>66140</v>
      </c>
      <c r="I3141">
        <v>180</v>
      </c>
      <c r="J3141">
        <v>77</v>
      </c>
      <c r="K3141">
        <v>69</v>
      </c>
      <c r="L3141">
        <v>900</v>
      </c>
    </row>
    <row r="3142" spans="1:12" hidden="1" x14ac:dyDescent="0.25">
      <c r="A3142">
        <v>3141</v>
      </c>
      <c r="B3142" s="1" t="s">
        <v>12</v>
      </c>
      <c r="C3142">
        <v>1967</v>
      </c>
      <c r="D3142" s="1" t="s">
        <v>263</v>
      </c>
      <c r="E3142" s="1" t="s">
        <v>87</v>
      </c>
      <c r="F3142">
        <v>66</v>
      </c>
      <c r="G3142" s="1" t="s">
        <v>141</v>
      </c>
      <c r="H3142">
        <v>66112</v>
      </c>
      <c r="I3142">
        <v>130</v>
      </c>
      <c r="J3142">
        <v>53</v>
      </c>
      <c r="K3142">
        <v>44</v>
      </c>
      <c r="L3142">
        <v>830</v>
      </c>
    </row>
    <row r="3143" spans="1:12" hidden="1" x14ac:dyDescent="0.25">
      <c r="A3143">
        <v>3142</v>
      </c>
      <c r="B3143" s="1" t="s">
        <v>12</v>
      </c>
      <c r="C3143">
        <v>1967</v>
      </c>
      <c r="D3143" s="1" t="s">
        <v>263</v>
      </c>
      <c r="E3143" s="1" t="s">
        <v>87</v>
      </c>
      <c r="F3143">
        <v>66</v>
      </c>
      <c r="G3143" s="1" t="s">
        <v>125</v>
      </c>
      <c r="H3143">
        <v>66035</v>
      </c>
      <c r="I3143">
        <v>20</v>
      </c>
      <c r="J3143">
        <v>20</v>
      </c>
      <c r="K3143">
        <v>27</v>
      </c>
      <c r="L3143">
        <v>1350</v>
      </c>
    </row>
    <row r="3144" spans="1:12" hidden="1" x14ac:dyDescent="0.25">
      <c r="A3144">
        <v>3143</v>
      </c>
      <c r="B3144" s="1" t="s">
        <v>12</v>
      </c>
      <c r="C3144">
        <v>1967</v>
      </c>
      <c r="D3144" s="1" t="s">
        <v>263</v>
      </c>
      <c r="E3144" s="1" t="s">
        <v>87</v>
      </c>
      <c r="F3144">
        <v>66</v>
      </c>
      <c r="G3144" s="1" t="s">
        <v>260</v>
      </c>
      <c r="H3144">
        <v>66063</v>
      </c>
      <c r="I3144">
        <v>20</v>
      </c>
      <c r="J3144">
        <v>20</v>
      </c>
      <c r="K3144">
        <v>24</v>
      </c>
      <c r="L3144">
        <v>1200</v>
      </c>
    </row>
    <row r="3145" spans="1:12" hidden="1" x14ac:dyDescent="0.25">
      <c r="A3145">
        <v>3144</v>
      </c>
      <c r="B3145" s="1" t="s">
        <v>12</v>
      </c>
      <c r="C3145">
        <v>1967</v>
      </c>
      <c r="D3145" s="1" t="s">
        <v>263</v>
      </c>
      <c r="E3145" s="1" t="s">
        <v>87</v>
      </c>
      <c r="F3145">
        <v>66</v>
      </c>
      <c r="G3145" s="1" t="s">
        <v>161</v>
      </c>
      <c r="H3145">
        <v>66133</v>
      </c>
      <c r="I3145">
        <v>20</v>
      </c>
      <c r="J3145">
        <v>20</v>
      </c>
      <c r="K3145">
        <v>16</v>
      </c>
      <c r="L3145">
        <v>800</v>
      </c>
    </row>
    <row r="3146" spans="1:12" hidden="1" x14ac:dyDescent="0.25">
      <c r="A3146">
        <v>3145</v>
      </c>
      <c r="B3146" s="1" t="s">
        <v>12</v>
      </c>
      <c r="C3146">
        <v>1967</v>
      </c>
      <c r="D3146" s="1" t="s">
        <v>263</v>
      </c>
      <c r="E3146" s="1" t="s">
        <v>87</v>
      </c>
      <c r="F3146">
        <v>66</v>
      </c>
      <c r="G3146" s="1" t="s">
        <v>130</v>
      </c>
      <c r="H3146">
        <v>66147</v>
      </c>
      <c r="I3146">
        <v>20</v>
      </c>
      <c r="J3146">
        <v>20</v>
      </c>
      <c r="K3146">
        <v>27</v>
      </c>
      <c r="L3146">
        <v>1350</v>
      </c>
    </row>
    <row r="3147" spans="1:12" hidden="1" x14ac:dyDescent="0.25">
      <c r="A3147">
        <v>3146</v>
      </c>
      <c r="B3147" s="1" t="s">
        <v>12</v>
      </c>
      <c r="C3147">
        <v>1967</v>
      </c>
      <c r="D3147" s="1" t="s">
        <v>263</v>
      </c>
      <c r="E3147" s="1" t="s">
        <v>87</v>
      </c>
      <c r="F3147">
        <v>66</v>
      </c>
      <c r="G3147" s="1" t="s">
        <v>28</v>
      </c>
      <c r="H3147">
        <v>66028</v>
      </c>
      <c r="I3147">
        <v>10</v>
      </c>
      <c r="J3147">
        <v>10</v>
      </c>
      <c r="K3147">
        <v>13</v>
      </c>
      <c r="L3147">
        <v>1300</v>
      </c>
    </row>
    <row r="3148" spans="1:12" hidden="1" x14ac:dyDescent="0.25">
      <c r="A3148">
        <v>3147</v>
      </c>
      <c r="B3148" s="1" t="s">
        <v>12</v>
      </c>
      <c r="C3148">
        <v>1967</v>
      </c>
      <c r="D3148" s="1" t="s">
        <v>263</v>
      </c>
      <c r="E3148" s="1" t="s">
        <v>64</v>
      </c>
      <c r="F3148">
        <v>82</v>
      </c>
      <c r="G3148" s="1" t="s">
        <v>66</v>
      </c>
      <c r="H3148">
        <v>82035</v>
      </c>
      <c r="I3148">
        <v>200</v>
      </c>
      <c r="J3148">
        <v>150</v>
      </c>
      <c r="K3148">
        <v>290</v>
      </c>
      <c r="L3148">
        <v>1933</v>
      </c>
    </row>
    <row r="3149" spans="1:12" hidden="1" x14ac:dyDescent="0.25">
      <c r="A3149">
        <v>3148</v>
      </c>
      <c r="B3149" s="1" t="s">
        <v>12</v>
      </c>
      <c r="C3149">
        <v>1967</v>
      </c>
      <c r="D3149" s="1" t="s">
        <v>263</v>
      </c>
      <c r="E3149" s="1" t="s">
        <v>64</v>
      </c>
      <c r="F3149">
        <v>82</v>
      </c>
      <c r="G3149" s="1" t="s">
        <v>65</v>
      </c>
      <c r="H3149">
        <v>82049</v>
      </c>
      <c r="I3149">
        <v>100</v>
      </c>
      <c r="J3149">
        <v>100</v>
      </c>
      <c r="K3149">
        <v>100</v>
      </c>
      <c r="L3149">
        <v>1000</v>
      </c>
    </row>
    <row r="3150" spans="1:12" hidden="1" x14ac:dyDescent="0.25">
      <c r="A3150">
        <v>3149</v>
      </c>
      <c r="B3150" s="1" t="s">
        <v>12</v>
      </c>
      <c r="C3150">
        <v>1967</v>
      </c>
      <c r="D3150" s="1" t="s">
        <v>263</v>
      </c>
      <c r="E3150" s="1" t="s">
        <v>64</v>
      </c>
      <c r="F3150">
        <v>82</v>
      </c>
      <c r="G3150" s="1" t="s">
        <v>62</v>
      </c>
      <c r="H3150">
        <v>82098</v>
      </c>
      <c r="I3150">
        <v>50</v>
      </c>
      <c r="J3150">
        <v>50</v>
      </c>
      <c r="K3150">
        <v>50</v>
      </c>
      <c r="L3150">
        <v>1000</v>
      </c>
    </row>
    <row r="3151" spans="1:12" hidden="1" x14ac:dyDescent="0.25">
      <c r="A3151">
        <v>3150</v>
      </c>
      <c r="B3151" s="1" t="s">
        <v>12</v>
      </c>
      <c r="C3151">
        <v>1967</v>
      </c>
      <c r="D3151" s="1" t="s">
        <v>263</v>
      </c>
      <c r="E3151" s="1" t="s">
        <v>77</v>
      </c>
      <c r="F3151">
        <v>90</v>
      </c>
      <c r="G3151" s="1" t="s">
        <v>78</v>
      </c>
      <c r="H3151">
        <v>90007</v>
      </c>
      <c r="I3151">
        <v>1040</v>
      </c>
      <c r="J3151">
        <v>1040</v>
      </c>
      <c r="K3151">
        <v>990</v>
      </c>
      <c r="L3151">
        <v>952</v>
      </c>
    </row>
    <row r="3152" spans="1:12" hidden="1" x14ac:dyDescent="0.25">
      <c r="A3152">
        <v>3151</v>
      </c>
      <c r="B3152" s="1" t="s">
        <v>12</v>
      </c>
      <c r="C3152">
        <v>1967</v>
      </c>
      <c r="D3152" s="1" t="s">
        <v>263</v>
      </c>
      <c r="E3152" s="1" t="s">
        <v>77</v>
      </c>
      <c r="F3152">
        <v>90</v>
      </c>
      <c r="G3152" s="1" t="s">
        <v>92</v>
      </c>
      <c r="H3152">
        <v>90056</v>
      </c>
      <c r="I3152">
        <v>230</v>
      </c>
      <c r="J3152">
        <v>230</v>
      </c>
      <c r="K3152">
        <v>269</v>
      </c>
      <c r="L3152">
        <v>1170</v>
      </c>
    </row>
    <row r="3153" spans="1:12" hidden="1" x14ac:dyDescent="0.25">
      <c r="A3153">
        <v>3152</v>
      </c>
      <c r="B3153" s="1" t="s">
        <v>12</v>
      </c>
      <c r="C3153">
        <v>1967</v>
      </c>
      <c r="D3153" s="1" t="s">
        <v>263</v>
      </c>
      <c r="E3153" s="1" t="s">
        <v>77</v>
      </c>
      <c r="F3153">
        <v>90</v>
      </c>
      <c r="G3153" s="1" t="s">
        <v>91</v>
      </c>
      <c r="H3153">
        <v>90014</v>
      </c>
      <c r="I3153">
        <v>180</v>
      </c>
      <c r="J3153">
        <v>180</v>
      </c>
      <c r="K3153">
        <v>194</v>
      </c>
      <c r="L3153">
        <v>1078</v>
      </c>
    </row>
    <row r="3154" spans="1:12" hidden="1" x14ac:dyDescent="0.25">
      <c r="A3154">
        <v>3153</v>
      </c>
      <c r="B3154" s="1" t="s">
        <v>12</v>
      </c>
      <c r="C3154">
        <v>1967</v>
      </c>
      <c r="D3154" s="1" t="s">
        <v>263</v>
      </c>
      <c r="E3154" s="1" t="s">
        <v>77</v>
      </c>
      <c r="F3154">
        <v>90</v>
      </c>
      <c r="G3154" s="1" t="s">
        <v>110</v>
      </c>
      <c r="H3154">
        <v>90021</v>
      </c>
      <c r="I3154">
        <v>22</v>
      </c>
      <c r="J3154">
        <v>22</v>
      </c>
      <c r="K3154">
        <v>22</v>
      </c>
      <c r="L3154">
        <v>1000</v>
      </c>
    </row>
    <row r="3155" spans="1:12" hidden="1" x14ac:dyDescent="0.25">
      <c r="A3155">
        <v>3154</v>
      </c>
      <c r="B3155" s="1" t="s">
        <v>12</v>
      </c>
      <c r="C3155">
        <v>1967</v>
      </c>
      <c r="D3155" s="1" t="s">
        <v>263</v>
      </c>
      <c r="E3155" s="1" t="s">
        <v>77</v>
      </c>
      <c r="F3155">
        <v>90</v>
      </c>
      <c r="G3155" s="1" t="s">
        <v>95</v>
      </c>
      <c r="H3155">
        <v>90035</v>
      </c>
      <c r="I3155">
        <v>10</v>
      </c>
      <c r="J3155">
        <v>10</v>
      </c>
      <c r="K3155">
        <v>9</v>
      </c>
      <c r="L3155">
        <v>900</v>
      </c>
    </row>
    <row r="3156" spans="1:12" hidden="1" x14ac:dyDescent="0.25">
      <c r="A3156">
        <v>3155</v>
      </c>
      <c r="B3156" s="1" t="s">
        <v>12</v>
      </c>
      <c r="C3156">
        <v>1967</v>
      </c>
      <c r="D3156" s="1" t="s">
        <v>263</v>
      </c>
      <c r="E3156" s="1" t="s">
        <v>77</v>
      </c>
      <c r="F3156">
        <v>90</v>
      </c>
      <c r="G3156" s="1" t="s">
        <v>90</v>
      </c>
      <c r="H3156">
        <v>90112</v>
      </c>
      <c r="I3156">
        <v>10</v>
      </c>
      <c r="J3156">
        <v>10</v>
      </c>
      <c r="K3156">
        <v>8</v>
      </c>
      <c r="L3156">
        <v>800</v>
      </c>
    </row>
    <row r="3157" spans="1:12" hidden="1" x14ac:dyDescent="0.25">
      <c r="A3157">
        <v>3156</v>
      </c>
      <c r="B3157" s="1" t="s">
        <v>12</v>
      </c>
      <c r="C3157">
        <v>1967</v>
      </c>
      <c r="D3157" s="1" t="s">
        <v>263</v>
      </c>
      <c r="E3157" s="1" t="s">
        <v>77</v>
      </c>
      <c r="F3157">
        <v>90</v>
      </c>
      <c r="G3157" s="1" t="s">
        <v>109</v>
      </c>
      <c r="H3157">
        <v>90077</v>
      </c>
      <c r="I3157">
        <v>8</v>
      </c>
      <c r="J3157">
        <v>8</v>
      </c>
      <c r="K3157">
        <v>8</v>
      </c>
      <c r="L3157">
        <v>1000</v>
      </c>
    </row>
    <row r="3158" spans="1:12" hidden="1" x14ac:dyDescent="0.25">
      <c r="A3158">
        <v>3157</v>
      </c>
      <c r="B3158" s="1" t="s">
        <v>12</v>
      </c>
      <c r="C3158">
        <v>1968</v>
      </c>
      <c r="D3158" s="1" t="s">
        <v>264</v>
      </c>
      <c r="E3158" s="1" t="s">
        <v>14</v>
      </c>
      <c r="F3158">
        <v>22</v>
      </c>
      <c r="G3158" s="1" t="s">
        <v>183</v>
      </c>
      <c r="H3158">
        <v>22049</v>
      </c>
      <c r="I3158">
        <v>45</v>
      </c>
      <c r="J3158">
        <v>35</v>
      </c>
      <c r="K3158">
        <v>15</v>
      </c>
      <c r="L3158">
        <v>429</v>
      </c>
    </row>
    <row r="3159" spans="1:12" hidden="1" x14ac:dyDescent="0.25">
      <c r="A3159">
        <v>3158</v>
      </c>
      <c r="B3159" s="1" t="s">
        <v>12</v>
      </c>
      <c r="C3159">
        <v>1968</v>
      </c>
      <c r="D3159" s="1" t="s">
        <v>264</v>
      </c>
      <c r="E3159" s="1" t="s">
        <v>14</v>
      </c>
      <c r="F3159">
        <v>22</v>
      </c>
      <c r="G3159" s="1" t="s">
        <v>234</v>
      </c>
      <c r="H3159">
        <v>22168</v>
      </c>
      <c r="I3159">
        <v>40</v>
      </c>
      <c r="J3159">
        <v>35</v>
      </c>
      <c r="K3159">
        <v>18</v>
      </c>
      <c r="L3159">
        <v>514</v>
      </c>
    </row>
    <row r="3160" spans="1:12" hidden="1" x14ac:dyDescent="0.25">
      <c r="A3160">
        <v>3159</v>
      </c>
      <c r="B3160" s="1" t="s">
        <v>12</v>
      </c>
      <c r="C3160">
        <v>1968</v>
      </c>
      <c r="D3160" s="1" t="s">
        <v>264</v>
      </c>
      <c r="E3160" s="1" t="s">
        <v>14</v>
      </c>
      <c r="F3160">
        <v>22</v>
      </c>
      <c r="G3160" s="1" t="s">
        <v>119</v>
      </c>
      <c r="H3160">
        <v>22084</v>
      </c>
      <c r="I3160">
        <v>35</v>
      </c>
      <c r="J3160">
        <v>31</v>
      </c>
      <c r="K3160">
        <v>15</v>
      </c>
      <c r="L3160">
        <v>484</v>
      </c>
    </row>
    <row r="3161" spans="1:12" hidden="1" x14ac:dyDescent="0.25">
      <c r="A3161">
        <v>3160</v>
      </c>
      <c r="B3161" s="1" t="s">
        <v>12</v>
      </c>
      <c r="C3161">
        <v>1968</v>
      </c>
      <c r="D3161" s="1" t="s">
        <v>264</v>
      </c>
      <c r="E3161" s="1" t="s">
        <v>14</v>
      </c>
      <c r="F3161">
        <v>22</v>
      </c>
      <c r="G3161" s="1" t="s">
        <v>233</v>
      </c>
      <c r="H3161">
        <v>22133</v>
      </c>
      <c r="I3161">
        <v>35</v>
      </c>
      <c r="J3161">
        <v>30</v>
      </c>
      <c r="K3161">
        <v>15</v>
      </c>
      <c r="L3161">
        <v>500</v>
      </c>
    </row>
    <row r="3162" spans="1:12" hidden="1" x14ac:dyDescent="0.25">
      <c r="A3162">
        <v>3161</v>
      </c>
      <c r="B3162" s="1" t="s">
        <v>12</v>
      </c>
      <c r="C3162">
        <v>1968</v>
      </c>
      <c r="D3162" s="1" t="s">
        <v>264</v>
      </c>
      <c r="E3162" s="1" t="s">
        <v>14</v>
      </c>
      <c r="F3162">
        <v>22</v>
      </c>
      <c r="G3162" s="1" t="s">
        <v>232</v>
      </c>
      <c r="H3162">
        <v>22105</v>
      </c>
      <c r="I3162">
        <v>20</v>
      </c>
      <c r="J3162">
        <v>15</v>
      </c>
      <c r="K3162">
        <v>7</v>
      </c>
      <c r="L3162">
        <v>467</v>
      </c>
    </row>
    <row r="3163" spans="1:12" hidden="1" x14ac:dyDescent="0.25">
      <c r="A3163">
        <v>3162</v>
      </c>
      <c r="B3163" s="1" t="s">
        <v>12</v>
      </c>
      <c r="C3163">
        <v>1968</v>
      </c>
      <c r="D3163" s="1" t="s">
        <v>264</v>
      </c>
      <c r="E3163" s="1" t="s">
        <v>14</v>
      </c>
      <c r="F3163">
        <v>22</v>
      </c>
      <c r="G3163" s="1" t="s">
        <v>225</v>
      </c>
      <c r="H3163">
        <v>22119</v>
      </c>
      <c r="I3163">
        <v>17</v>
      </c>
      <c r="J3163">
        <v>17</v>
      </c>
      <c r="K3163">
        <v>8</v>
      </c>
      <c r="L3163">
        <v>471</v>
      </c>
    </row>
    <row r="3164" spans="1:12" hidden="1" x14ac:dyDescent="0.25">
      <c r="A3164">
        <v>3163</v>
      </c>
      <c r="B3164" s="1" t="s">
        <v>12</v>
      </c>
      <c r="C3164">
        <v>1968</v>
      </c>
      <c r="D3164" s="1" t="s">
        <v>264</v>
      </c>
      <c r="E3164" s="1" t="s">
        <v>14</v>
      </c>
      <c r="F3164">
        <v>22</v>
      </c>
      <c r="G3164" s="1" t="s">
        <v>240</v>
      </c>
      <c r="H3164">
        <v>22021</v>
      </c>
      <c r="I3164">
        <v>15</v>
      </c>
      <c r="J3164">
        <v>15</v>
      </c>
      <c r="K3164">
        <v>7</v>
      </c>
      <c r="L3164">
        <v>467</v>
      </c>
    </row>
    <row r="3165" spans="1:12" hidden="1" x14ac:dyDescent="0.25">
      <c r="A3165">
        <v>3164</v>
      </c>
      <c r="B3165" s="1" t="s">
        <v>12</v>
      </c>
      <c r="C3165">
        <v>1968</v>
      </c>
      <c r="D3165" s="1" t="s">
        <v>264</v>
      </c>
      <c r="E3165" s="1" t="s">
        <v>14</v>
      </c>
      <c r="F3165">
        <v>22</v>
      </c>
      <c r="G3165" s="1" t="s">
        <v>241</v>
      </c>
      <c r="H3165">
        <v>22112</v>
      </c>
      <c r="I3165">
        <v>12</v>
      </c>
      <c r="J3165">
        <v>12</v>
      </c>
      <c r="K3165">
        <v>6</v>
      </c>
      <c r="L3165">
        <v>500</v>
      </c>
    </row>
    <row r="3166" spans="1:12" hidden="1" x14ac:dyDescent="0.25">
      <c r="A3166">
        <v>3165</v>
      </c>
      <c r="B3166" s="1" t="s">
        <v>12</v>
      </c>
      <c r="C3166">
        <v>1968</v>
      </c>
      <c r="D3166" s="1" t="s">
        <v>264</v>
      </c>
      <c r="E3166" s="1" t="s">
        <v>14</v>
      </c>
      <c r="F3166">
        <v>22</v>
      </c>
      <c r="G3166" s="1" t="s">
        <v>227</v>
      </c>
      <c r="H3166">
        <v>22056</v>
      </c>
      <c r="I3166">
        <v>10</v>
      </c>
      <c r="J3166">
        <v>10</v>
      </c>
      <c r="K3166">
        <v>5</v>
      </c>
      <c r="L3166">
        <v>500</v>
      </c>
    </row>
    <row r="3167" spans="1:12" hidden="1" x14ac:dyDescent="0.25">
      <c r="A3167">
        <v>3166</v>
      </c>
      <c r="B3167" s="1" t="s">
        <v>12</v>
      </c>
      <c r="C3167">
        <v>1968</v>
      </c>
      <c r="D3167" s="1" t="s">
        <v>264</v>
      </c>
      <c r="E3167" s="1" t="s">
        <v>14</v>
      </c>
      <c r="F3167">
        <v>22</v>
      </c>
      <c r="G3167" s="1" t="s">
        <v>236</v>
      </c>
      <c r="H3167">
        <v>22063</v>
      </c>
      <c r="I3167">
        <v>10</v>
      </c>
      <c r="J3167">
        <v>10</v>
      </c>
      <c r="K3167">
        <v>4</v>
      </c>
      <c r="L3167">
        <v>400</v>
      </c>
    </row>
    <row r="3168" spans="1:12" hidden="1" x14ac:dyDescent="0.25">
      <c r="A3168">
        <v>3167</v>
      </c>
      <c r="B3168" s="1" t="s">
        <v>12</v>
      </c>
      <c r="C3168">
        <v>1968</v>
      </c>
      <c r="D3168" s="1" t="s">
        <v>264</v>
      </c>
      <c r="E3168" s="1" t="s">
        <v>14</v>
      </c>
      <c r="F3168">
        <v>22</v>
      </c>
      <c r="G3168" s="1" t="s">
        <v>19</v>
      </c>
      <c r="H3168">
        <v>22014</v>
      </c>
      <c r="I3168">
        <v>5</v>
      </c>
      <c r="J3168">
        <v>5</v>
      </c>
      <c r="K3168">
        <v>2</v>
      </c>
      <c r="L3168">
        <v>400</v>
      </c>
    </row>
    <row r="3169" spans="1:12" hidden="1" x14ac:dyDescent="0.25">
      <c r="A3169">
        <v>3168</v>
      </c>
      <c r="B3169" s="1" t="s">
        <v>12</v>
      </c>
      <c r="C3169">
        <v>1968</v>
      </c>
      <c r="D3169" s="1" t="s">
        <v>264</v>
      </c>
      <c r="E3169" s="1" t="s">
        <v>14</v>
      </c>
      <c r="F3169">
        <v>22</v>
      </c>
      <c r="G3169" s="1" t="s">
        <v>229</v>
      </c>
      <c r="H3169">
        <v>22077</v>
      </c>
      <c r="I3169">
        <v>5</v>
      </c>
      <c r="J3169">
        <v>5</v>
      </c>
      <c r="K3169">
        <v>3</v>
      </c>
      <c r="L3169">
        <v>600</v>
      </c>
    </row>
    <row r="3170" spans="1:12" hidden="1" x14ac:dyDescent="0.25">
      <c r="A3170">
        <v>3169</v>
      </c>
      <c r="B3170" s="1" t="s">
        <v>12</v>
      </c>
      <c r="C3170">
        <v>1968</v>
      </c>
      <c r="D3170" s="1" t="s">
        <v>264</v>
      </c>
      <c r="E3170" s="1" t="s">
        <v>14</v>
      </c>
      <c r="F3170">
        <v>22</v>
      </c>
      <c r="G3170" s="1" t="s">
        <v>235</v>
      </c>
      <c r="H3170">
        <v>22140</v>
      </c>
      <c r="I3170">
        <v>5</v>
      </c>
      <c r="J3170">
        <v>5</v>
      </c>
      <c r="K3170">
        <v>3</v>
      </c>
      <c r="L3170">
        <v>600</v>
      </c>
    </row>
    <row r="3171" spans="1:12" hidden="1" x14ac:dyDescent="0.25">
      <c r="A3171">
        <v>3170</v>
      </c>
      <c r="B3171" s="1" t="s">
        <v>12</v>
      </c>
      <c r="C3171">
        <v>1968</v>
      </c>
      <c r="D3171" s="1" t="s">
        <v>264</v>
      </c>
      <c r="E3171" s="1" t="s">
        <v>14</v>
      </c>
      <c r="F3171">
        <v>22</v>
      </c>
      <c r="G3171" s="1" t="s">
        <v>226</v>
      </c>
      <c r="H3171">
        <v>22154</v>
      </c>
      <c r="I3171">
        <v>5</v>
      </c>
      <c r="J3171">
        <v>5</v>
      </c>
      <c r="K3171">
        <v>2</v>
      </c>
      <c r="L3171">
        <v>400</v>
      </c>
    </row>
    <row r="3172" spans="1:12" hidden="1" x14ac:dyDescent="0.25">
      <c r="A3172">
        <v>3171</v>
      </c>
      <c r="B3172" s="1" t="s">
        <v>12</v>
      </c>
      <c r="C3172">
        <v>1968</v>
      </c>
      <c r="D3172" s="1" t="s">
        <v>264</v>
      </c>
      <c r="E3172" s="1" t="s">
        <v>22</v>
      </c>
      <c r="F3172">
        <v>14</v>
      </c>
      <c r="G3172" s="1" t="s">
        <v>26</v>
      </c>
      <c r="H3172">
        <v>14161</v>
      </c>
      <c r="I3172">
        <v>97000</v>
      </c>
      <c r="J3172">
        <v>92500</v>
      </c>
      <c r="K3172">
        <v>85814</v>
      </c>
      <c r="L3172">
        <v>927</v>
      </c>
    </row>
    <row r="3173" spans="1:12" hidden="1" x14ac:dyDescent="0.25">
      <c r="A3173">
        <v>3172</v>
      </c>
      <c r="B3173" s="1" t="s">
        <v>12</v>
      </c>
      <c r="C3173">
        <v>1968</v>
      </c>
      <c r="D3173" s="1" t="s">
        <v>264</v>
      </c>
      <c r="E3173" s="1" t="s">
        <v>22</v>
      </c>
      <c r="F3173">
        <v>14</v>
      </c>
      <c r="G3173" s="1" t="s">
        <v>24</v>
      </c>
      <c r="H3173">
        <v>14119</v>
      </c>
      <c r="I3173">
        <v>70000</v>
      </c>
      <c r="J3173">
        <v>69000</v>
      </c>
      <c r="K3173">
        <v>62100</v>
      </c>
      <c r="L3173">
        <v>900</v>
      </c>
    </row>
    <row r="3174" spans="1:12" hidden="1" x14ac:dyDescent="0.25">
      <c r="A3174">
        <v>3173</v>
      </c>
      <c r="B3174" s="1" t="s">
        <v>12</v>
      </c>
      <c r="C3174">
        <v>1968</v>
      </c>
      <c r="D3174" s="1" t="s">
        <v>264</v>
      </c>
      <c r="E3174" s="1" t="s">
        <v>22</v>
      </c>
      <c r="F3174">
        <v>14</v>
      </c>
      <c r="G3174" s="1" t="s">
        <v>143</v>
      </c>
      <c r="H3174">
        <v>14056</v>
      </c>
      <c r="I3174">
        <v>25000</v>
      </c>
      <c r="J3174">
        <v>24500</v>
      </c>
      <c r="K3174">
        <v>24451</v>
      </c>
      <c r="L3174">
        <v>998</v>
      </c>
    </row>
    <row r="3175" spans="1:12" hidden="1" x14ac:dyDescent="0.25">
      <c r="A3175">
        <v>3174</v>
      </c>
      <c r="B3175" s="1" t="s">
        <v>12</v>
      </c>
      <c r="C3175">
        <v>1968</v>
      </c>
      <c r="D3175" s="1" t="s">
        <v>264</v>
      </c>
      <c r="E3175" s="1" t="s">
        <v>22</v>
      </c>
      <c r="F3175">
        <v>14</v>
      </c>
      <c r="G3175" s="1" t="s">
        <v>23</v>
      </c>
      <c r="H3175">
        <v>14147</v>
      </c>
      <c r="I3175">
        <v>20000</v>
      </c>
      <c r="J3175">
        <v>19000</v>
      </c>
      <c r="K3175">
        <v>12300</v>
      </c>
      <c r="L3175">
        <v>647</v>
      </c>
    </row>
    <row r="3176" spans="1:12" hidden="1" x14ac:dyDescent="0.25">
      <c r="A3176">
        <v>3175</v>
      </c>
      <c r="B3176" s="1" t="s">
        <v>12</v>
      </c>
      <c r="C3176">
        <v>1968</v>
      </c>
      <c r="D3176" s="1" t="s">
        <v>264</v>
      </c>
      <c r="E3176" s="1" t="s">
        <v>22</v>
      </c>
      <c r="F3176">
        <v>14</v>
      </c>
      <c r="G3176" s="1" t="s">
        <v>184</v>
      </c>
      <c r="H3176">
        <v>14042</v>
      </c>
      <c r="I3176">
        <v>16000</v>
      </c>
      <c r="J3176">
        <v>15500</v>
      </c>
      <c r="K3176">
        <v>14430</v>
      </c>
      <c r="L3176">
        <v>931</v>
      </c>
    </row>
    <row r="3177" spans="1:12" hidden="1" x14ac:dyDescent="0.25">
      <c r="A3177">
        <v>3176</v>
      </c>
      <c r="B3177" s="1" t="s">
        <v>12</v>
      </c>
      <c r="C3177">
        <v>1968</v>
      </c>
      <c r="D3177" s="1" t="s">
        <v>264</v>
      </c>
      <c r="E3177" s="1" t="s">
        <v>22</v>
      </c>
      <c r="F3177">
        <v>14</v>
      </c>
      <c r="G3177" s="1" t="s">
        <v>29</v>
      </c>
      <c r="H3177">
        <v>14098</v>
      </c>
      <c r="I3177">
        <v>9000</v>
      </c>
      <c r="J3177">
        <v>8500</v>
      </c>
      <c r="K3177">
        <v>6800</v>
      </c>
      <c r="L3177">
        <v>800</v>
      </c>
    </row>
    <row r="3178" spans="1:12" hidden="1" x14ac:dyDescent="0.25">
      <c r="A3178">
        <v>3177</v>
      </c>
      <c r="B3178" s="1" t="s">
        <v>12</v>
      </c>
      <c r="C3178">
        <v>1968</v>
      </c>
      <c r="D3178" s="1" t="s">
        <v>264</v>
      </c>
      <c r="E3178" s="1" t="s">
        <v>22</v>
      </c>
      <c r="F3178">
        <v>14</v>
      </c>
      <c r="G3178" s="1" t="s">
        <v>97</v>
      </c>
      <c r="H3178">
        <v>14007</v>
      </c>
      <c r="I3178">
        <v>5900</v>
      </c>
      <c r="J3178">
        <v>5000</v>
      </c>
      <c r="K3178">
        <v>3000</v>
      </c>
      <c r="L3178">
        <v>600</v>
      </c>
    </row>
    <row r="3179" spans="1:12" hidden="1" x14ac:dyDescent="0.25">
      <c r="A3179">
        <v>3178</v>
      </c>
      <c r="B3179" s="1" t="s">
        <v>12</v>
      </c>
      <c r="C3179">
        <v>1968</v>
      </c>
      <c r="D3179" s="1" t="s">
        <v>264</v>
      </c>
      <c r="E3179" s="1" t="s">
        <v>22</v>
      </c>
      <c r="F3179">
        <v>14</v>
      </c>
      <c r="G3179" s="1" t="s">
        <v>25</v>
      </c>
      <c r="H3179">
        <v>14105</v>
      </c>
      <c r="I3179">
        <v>5000</v>
      </c>
      <c r="J3179">
        <v>4000</v>
      </c>
      <c r="K3179">
        <v>2928</v>
      </c>
      <c r="L3179">
        <v>732</v>
      </c>
    </row>
    <row r="3180" spans="1:12" hidden="1" x14ac:dyDescent="0.25">
      <c r="A3180">
        <v>3179</v>
      </c>
      <c r="B3180" s="1" t="s">
        <v>12</v>
      </c>
      <c r="C3180">
        <v>1968</v>
      </c>
      <c r="D3180" s="1" t="s">
        <v>264</v>
      </c>
      <c r="E3180" s="1" t="s">
        <v>22</v>
      </c>
      <c r="F3180">
        <v>14</v>
      </c>
      <c r="G3180" s="1" t="s">
        <v>122</v>
      </c>
      <c r="H3180">
        <v>14182</v>
      </c>
      <c r="I3180">
        <v>800</v>
      </c>
      <c r="J3180">
        <v>800</v>
      </c>
      <c r="K3180">
        <v>798</v>
      </c>
      <c r="L3180">
        <v>998</v>
      </c>
    </row>
    <row r="3181" spans="1:12" hidden="1" x14ac:dyDescent="0.25">
      <c r="A3181">
        <v>3180</v>
      </c>
      <c r="B3181" s="1" t="s">
        <v>12</v>
      </c>
      <c r="C3181">
        <v>1968</v>
      </c>
      <c r="D3181" s="1" t="s">
        <v>264</v>
      </c>
      <c r="E3181" s="1" t="s">
        <v>22</v>
      </c>
      <c r="F3181">
        <v>14</v>
      </c>
      <c r="G3181" s="1" t="s">
        <v>67</v>
      </c>
      <c r="H3181">
        <v>14140</v>
      </c>
      <c r="I3181">
        <v>600</v>
      </c>
      <c r="J3181">
        <v>600</v>
      </c>
      <c r="K3181">
        <v>479</v>
      </c>
      <c r="L3181">
        <v>798</v>
      </c>
    </row>
    <row r="3182" spans="1:12" hidden="1" x14ac:dyDescent="0.25">
      <c r="A3182">
        <v>3181</v>
      </c>
      <c r="B3182" s="1" t="s">
        <v>12</v>
      </c>
      <c r="C3182">
        <v>1968</v>
      </c>
      <c r="D3182" s="1" t="s">
        <v>264</v>
      </c>
      <c r="E3182" s="1" t="s">
        <v>30</v>
      </c>
      <c r="F3182">
        <v>18</v>
      </c>
      <c r="G3182" s="1" t="s">
        <v>140</v>
      </c>
      <c r="H3182">
        <v>18056</v>
      </c>
      <c r="I3182">
        <v>18</v>
      </c>
      <c r="J3182">
        <v>15</v>
      </c>
      <c r="K3182">
        <v>10</v>
      </c>
      <c r="L3182">
        <v>667</v>
      </c>
    </row>
    <row r="3183" spans="1:12" hidden="1" x14ac:dyDescent="0.25">
      <c r="A3183">
        <v>3182</v>
      </c>
      <c r="B3183" s="1" t="s">
        <v>12</v>
      </c>
      <c r="C3183">
        <v>1968</v>
      </c>
      <c r="D3183" s="1" t="s">
        <v>264</v>
      </c>
      <c r="E3183" s="1" t="s">
        <v>30</v>
      </c>
      <c r="F3183">
        <v>18</v>
      </c>
      <c r="G3183" s="1" t="s">
        <v>28</v>
      </c>
      <c r="H3183">
        <v>18021</v>
      </c>
      <c r="I3183">
        <v>15</v>
      </c>
      <c r="J3183">
        <v>14</v>
      </c>
      <c r="K3183">
        <v>9</v>
      </c>
      <c r="L3183">
        <v>643</v>
      </c>
    </row>
    <row r="3184" spans="1:12" hidden="1" x14ac:dyDescent="0.25">
      <c r="A3184">
        <v>3183</v>
      </c>
      <c r="B3184" s="1" t="s">
        <v>12</v>
      </c>
      <c r="C3184">
        <v>1968</v>
      </c>
      <c r="D3184" s="1" t="s">
        <v>264</v>
      </c>
      <c r="E3184" s="1" t="s">
        <v>30</v>
      </c>
      <c r="F3184">
        <v>18</v>
      </c>
      <c r="G3184" s="1" t="s">
        <v>34</v>
      </c>
      <c r="H3184">
        <v>18042</v>
      </c>
      <c r="I3184">
        <v>15</v>
      </c>
      <c r="J3184">
        <v>12</v>
      </c>
      <c r="K3184">
        <v>9</v>
      </c>
      <c r="L3184">
        <v>750</v>
      </c>
    </row>
    <row r="3185" spans="1:12" hidden="1" x14ac:dyDescent="0.25">
      <c r="A3185">
        <v>3184</v>
      </c>
      <c r="B3185" s="1" t="s">
        <v>12</v>
      </c>
      <c r="C3185">
        <v>1968</v>
      </c>
      <c r="D3185" s="1" t="s">
        <v>264</v>
      </c>
      <c r="E3185" s="1" t="s">
        <v>30</v>
      </c>
      <c r="F3185">
        <v>18</v>
      </c>
      <c r="G3185" s="1" t="s">
        <v>100</v>
      </c>
      <c r="H3185">
        <v>18077</v>
      </c>
      <c r="I3185">
        <v>10</v>
      </c>
      <c r="J3185">
        <v>9</v>
      </c>
      <c r="K3185">
        <v>6</v>
      </c>
      <c r="L3185">
        <v>667</v>
      </c>
    </row>
    <row r="3186" spans="1:12" hidden="1" x14ac:dyDescent="0.25">
      <c r="A3186">
        <v>3185</v>
      </c>
      <c r="B3186" s="1" t="s">
        <v>12</v>
      </c>
      <c r="C3186">
        <v>1968</v>
      </c>
      <c r="D3186" s="1" t="s">
        <v>264</v>
      </c>
      <c r="E3186" s="1" t="s">
        <v>30</v>
      </c>
      <c r="F3186">
        <v>18</v>
      </c>
      <c r="G3186" s="1" t="s">
        <v>36</v>
      </c>
      <c r="H3186">
        <v>18133</v>
      </c>
      <c r="I3186">
        <v>10</v>
      </c>
      <c r="J3186">
        <v>9</v>
      </c>
      <c r="K3186">
        <v>6</v>
      </c>
      <c r="L3186">
        <v>667</v>
      </c>
    </row>
    <row r="3187" spans="1:12" hidden="1" x14ac:dyDescent="0.25">
      <c r="A3187">
        <v>3186</v>
      </c>
      <c r="B3187" s="1" t="s">
        <v>12</v>
      </c>
      <c r="C3187">
        <v>1968</v>
      </c>
      <c r="D3187" s="1" t="s">
        <v>264</v>
      </c>
      <c r="E3187" s="1" t="s">
        <v>30</v>
      </c>
      <c r="F3187">
        <v>18</v>
      </c>
      <c r="G3187" s="1" t="s">
        <v>103</v>
      </c>
      <c r="H3187">
        <v>18154</v>
      </c>
      <c r="I3187">
        <v>10</v>
      </c>
      <c r="J3187">
        <v>9</v>
      </c>
      <c r="K3187">
        <v>6</v>
      </c>
      <c r="L3187">
        <v>667</v>
      </c>
    </row>
    <row r="3188" spans="1:12" hidden="1" x14ac:dyDescent="0.25">
      <c r="A3188">
        <v>3187</v>
      </c>
      <c r="B3188" s="1" t="s">
        <v>12</v>
      </c>
      <c r="C3188">
        <v>1968</v>
      </c>
      <c r="D3188" s="1" t="s">
        <v>264</v>
      </c>
      <c r="E3188" s="1" t="s">
        <v>30</v>
      </c>
      <c r="F3188">
        <v>18</v>
      </c>
      <c r="G3188" s="1" t="s">
        <v>41</v>
      </c>
      <c r="H3188">
        <v>18140</v>
      </c>
      <c r="I3188">
        <v>8</v>
      </c>
      <c r="J3188">
        <v>7</v>
      </c>
      <c r="K3188">
        <v>4</v>
      </c>
      <c r="L3188">
        <v>571</v>
      </c>
    </row>
    <row r="3189" spans="1:12" hidden="1" x14ac:dyDescent="0.25">
      <c r="A3189">
        <v>3188</v>
      </c>
      <c r="B3189" s="1" t="s">
        <v>12</v>
      </c>
      <c r="C3189">
        <v>1968</v>
      </c>
      <c r="D3189" s="1" t="s">
        <v>264</v>
      </c>
      <c r="E3189" s="1" t="s">
        <v>45</v>
      </c>
      <c r="F3189">
        <v>30</v>
      </c>
      <c r="G3189" s="1" t="s">
        <v>47</v>
      </c>
      <c r="H3189">
        <v>30015</v>
      </c>
      <c r="I3189">
        <v>25</v>
      </c>
      <c r="J3189">
        <v>25</v>
      </c>
      <c r="K3189">
        <v>14</v>
      </c>
      <c r="L3189">
        <v>560</v>
      </c>
    </row>
    <row r="3190" spans="1:12" hidden="1" x14ac:dyDescent="0.25">
      <c r="A3190">
        <v>3189</v>
      </c>
      <c r="B3190" s="1" t="s">
        <v>12</v>
      </c>
      <c r="C3190">
        <v>1968</v>
      </c>
      <c r="D3190" s="1" t="s">
        <v>264</v>
      </c>
      <c r="E3190" s="1" t="s">
        <v>45</v>
      </c>
      <c r="F3190">
        <v>30</v>
      </c>
      <c r="G3190" s="1" t="s">
        <v>46</v>
      </c>
      <c r="H3190">
        <v>30028</v>
      </c>
      <c r="I3190">
        <v>10</v>
      </c>
      <c r="J3190">
        <v>10</v>
      </c>
      <c r="K3190">
        <v>6</v>
      </c>
      <c r="L3190">
        <v>600</v>
      </c>
    </row>
    <row r="3191" spans="1:12" hidden="1" x14ac:dyDescent="0.25">
      <c r="A3191">
        <v>3190</v>
      </c>
      <c r="B3191" s="1" t="s">
        <v>12</v>
      </c>
      <c r="C3191">
        <v>1968</v>
      </c>
      <c r="D3191" s="1" t="s">
        <v>264</v>
      </c>
      <c r="E3191" s="1" t="s">
        <v>48</v>
      </c>
      <c r="F3191">
        <v>34</v>
      </c>
      <c r="G3191" s="1" t="s">
        <v>52</v>
      </c>
      <c r="H3191">
        <v>34035</v>
      </c>
      <c r="I3191">
        <v>400</v>
      </c>
      <c r="J3191">
        <v>400</v>
      </c>
      <c r="K3191">
        <v>316</v>
      </c>
      <c r="L3191">
        <v>790</v>
      </c>
    </row>
    <row r="3192" spans="1:12" hidden="1" x14ac:dyDescent="0.25">
      <c r="A3192">
        <v>3191</v>
      </c>
      <c r="B3192" s="1" t="s">
        <v>12</v>
      </c>
      <c r="C3192">
        <v>1968</v>
      </c>
      <c r="D3192" s="1" t="s">
        <v>264</v>
      </c>
      <c r="E3192" s="1" t="s">
        <v>48</v>
      </c>
      <c r="F3192">
        <v>34</v>
      </c>
      <c r="G3192" s="1" t="s">
        <v>51</v>
      </c>
      <c r="H3192">
        <v>34056</v>
      </c>
      <c r="I3192">
        <v>100</v>
      </c>
      <c r="J3192">
        <v>100</v>
      </c>
      <c r="K3192">
        <v>120</v>
      </c>
      <c r="L3192">
        <v>1200</v>
      </c>
    </row>
    <row r="3193" spans="1:12" hidden="1" x14ac:dyDescent="0.25">
      <c r="A3193">
        <v>3192</v>
      </c>
      <c r="B3193" s="1" t="s">
        <v>12</v>
      </c>
      <c r="C3193">
        <v>1968</v>
      </c>
      <c r="D3193" s="1" t="s">
        <v>264</v>
      </c>
      <c r="E3193" s="1" t="s">
        <v>48</v>
      </c>
      <c r="F3193">
        <v>34</v>
      </c>
      <c r="G3193" s="1" t="s">
        <v>49</v>
      </c>
      <c r="H3193">
        <v>34049</v>
      </c>
      <c r="I3193">
        <v>50</v>
      </c>
      <c r="J3193">
        <v>50</v>
      </c>
      <c r="K3193">
        <v>65</v>
      </c>
      <c r="L3193">
        <v>1300</v>
      </c>
    </row>
    <row r="3194" spans="1:12" hidden="1" x14ac:dyDescent="0.25">
      <c r="A3194">
        <v>3193</v>
      </c>
      <c r="B3194" s="1" t="s">
        <v>12</v>
      </c>
      <c r="C3194">
        <v>1968</v>
      </c>
      <c r="D3194" s="1" t="s">
        <v>264</v>
      </c>
      <c r="E3194" s="1" t="s">
        <v>48</v>
      </c>
      <c r="F3194">
        <v>34</v>
      </c>
      <c r="G3194" s="1" t="s">
        <v>50</v>
      </c>
      <c r="H3194">
        <v>34021</v>
      </c>
      <c r="I3194">
        <v>40</v>
      </c>
      <c r="J3194">
        <v>40</v>
      </c>
      <c r="K3194">
        <v>48</v>
      </c>
      <c r="L3194">
        <v>1200</v>
      </c>
    </row>
    <row r="3195" spans="1:12" hidden="1" x14ac:dyDescent="0.25">
      <c r="A3195">
        <v>3194</v>
      </c>
      <c r="B3195" s="1" t="s">
        <v>12</v>
      </c>
      <c r="C3195">
        <v>1968</v>
      </c>
      <c r="D3195" s="1" t="s">
        <v>264</v>
      </c>
      <c r="E3195" s="1" t="s">
        <v>48</v>
      </c>
      <c r="F3195">
        <v>34</v>
      </c>
      <c r="G3195" s="1" t="s">
        <v>48</v>
      </c>
      <c r="H3195">
        <v>34014</v>
      </c>
      <c r="I3195">
        <v>30</v>
      </c>
      <c r="J3195">
        <v>30</v>
      </c>
      <c r="K3195">
        <v>33</v>
      </c>
      <c r="L3195">
        <v>1100</v>
      </c>
    </row>
    <row r="3196" spans="1:12" hidden="1" x14ac:dyDescent="0.25">
      <c r="A3196">
        <v>3195</v>
      </c>
      <c r="B3196" s="1" t="s">
        <v>12</v>
      </c>
      <c r="C3196">
        <v>1968</v>
      </c>
      <c r="D3196" s="1" t="s">
        <v>264</v>
      </c>
      <c r="E3196" s="1" t="s">
        <v>48</v>
      </c>
      <c r="F3196">
        <v>34</v>
      </c>
      <c r="G3196" s="1" t="s">
        <v>108</v>
      </c>
      <c r="H3196">
        <v>34042</v>
      </c>
      <c r="I3196">
        <v>20</v>
      </c>
      <c r="J3196">
        <v>20</v>
      </c>
      <c r="K3196">
        <v>18</v>
      </c>
      <c r="L3196">
        <v>900</v>
      </c>
    </row>
    <row r="3197" spans="1:12" hidden="1" x14ac:dyDescent="0.25">
      <c r="A3197">
        <v>3196</v>
      </c>
      <c r="B3197" s="1" t="s">
        <v>12</v>
      </c>
      <c r="C3197">
        <v>1968</v>
      </c>
      <c r="D3197" s="1" t="s">
        <v>264</v>
      </c>
      <c r="E3197" s="1" t="s">
        <v>58</v>
      </c>
      <c r="F3197">
        <v>54</v>
      </c>
      <c r="G3197" s="1" t="s">
        <v>61</v>
      </c>
      <c r="H3197">
        <v>54098</v>
      </c>
      <c r="I3197">
        <v>60</v>
      </c>
      <c r="J3197">
        <v>52</v>
      </c>
      <c r="K3197">
        <v>36</v>
      </c>
      <c r="L3197">
        <v>692</v>
      </c>
    </row>
    <row r="3198" spans="1:12" hidden="1" x14ac:dyDescent="0.25">
      <c r="A3198">
        <v>3197</v>
      </c>
      <c r="B3198" s="1" t="s">
        <v>12</v>
      </c>
      <c r="C3198">
        <v>1968</v>
      </c>
      <c r="D3198" s="1" t="s">
        <v>264</v>
      </c>
      <c r="E3198" s="1" t="s">
        <v>58</v>
      </c>
      <c r="F3198">
        <v>54</v>
      </c>
      <c r="G3198" s="1" t="s">
        <v>243</v>
      </c>
      <c r="H3198">
        <v>54070</v>
      </c>
      <c r="I3198">
        <v>50</v>
      </c>
      <c r="J3198">
        <v>43</v>
      </c>
      <c r="K3198">
        <v>30</v>
      </c>
      <c r="L3198">
        <v>698</v>
      </c>
    </row>
    <row r="3199" spans="1:12" hidden="1" x14ac:dyDescent="0.25">
      <c r="A3199">
        <v>3198</v>
      </c>
      <c r="B3199" s="1" t="s">
        <v>12</v>
      </c>
      <c r="C3199">
        <v>1968</v>
      </c>
      <c r="D3199" s="1" t="s">
        <v>264</v>
      </c>
      <c r="E3199" s="1" t="s">
        <v>58</v>
      </c>
      <c r="F3199">
        <v>54</v>
      </c>
      <c r="G3199" s="1" t="s">
        <v>242</v>
      </c>
      <c r="H3199">
        <v>54091</v>
      </c>
      <c r="I3199">
        <v>50</v>
      </c>
      <c r="J3199">
        <v>44</v>
      </c>
      <c r="K3199">
        <v>31</v>
      </c>
      <c r="L3199">
        <v>705</v>
      </c>
    </row>
    <row r="3200" spans="1:12" hidden="1" x14ac:dyDescent="0.25">
      <c r="A3200">
        <v>3199</v>
      </c>
      <c r="B3200" s="1" t="s">
        <v>12</v>
      </c>
      <c r="C3200">
        <v>1968</v>
      </c>
      <c r="D3200" s="1" t="s">
        <v>264</v>
      </c>
      <c r="E3200" s="1" t="s">
        <v>58</v>
      </c>
      <c r="F3200">
        <v>54</v>
      </c>
      <c r="G3200" s="1" t="s">
        <v>59</v>
      </c>
      <c r="H3200">
        <v>54007</v>
      </c>
      <c r="I3200">
        <v>45</v>
      </c>
      <c r="J3200">
        <v>40</v>
      </c>
      <c r="K3200">
        <v>30</v>
      </c>
      <c r="L3200">
        <v>750</v>
      </c>
    </row>
    <row r="3201" spans="1:12" hidden="1" x14ac:dyDescent="0.25">
      <c r="A3201">
        <v>3200</v>
      </c>
      <c r="B3201" s="1" t="s">
        <v>12</v>
      </c>
      <c r="C3201">
        <v>1968</v>
      </c>
      <c r="D3201" s="1" t="s">
        <v>264</v>
      </c>
      <c r="E3201" s="1" t="s">
        <v>58</v>
      </c>
      <c r="F3201">
        <v>54</v>
      </c>
      <c r="G3201" s="1" t="s">
        <v>150</v>
      </c>
      <c r="H3201">
        <v>54014</v>
      </c>
      <c r="I3201">
        <v>45</v>
      </c>
      <c r="J3201">
        <v>40</v>
      </c>
      <c r="K3201">
        <v>31</v>
      </c>
      <c r="L3201">
        <v>775</v>
      </c>
    </row>
    <row r="3202" spans="1:12" hidden="1" x14ac:dyDescent="0.25">
      <c r="A3202">
        <v>3201</v>
      </c>
      <c r="B3202" s="1" t="s">
        <v>12</v>
      </c>
      <c r="C3202">
        <v>1968</v>
      </c>
      <c r="D3202" s="1" t="s">
        <v>264</v>
      </c>
      <c r="E3202" s="1" t="s">
        <v>58</v>
      </c>
      <c r="F3202">
        <v>54</v>
      </c>
      <c r="G3202" s="1" t="s">
        <v>63</v>
      </c>
      <c r="H3202">
        <v>54035</v>
      </c>
      <c r="I3202">
        <v>45</v>
      </c>
      <c r="J3202">
        <v>40</v>
      </c>
      <c r="K3202">
        <v>28</v>
      </c>
      <c r="L3202">
        <v>700</v>
      </c>
    </row>
    <row r="3203" spans="1:12" hidden="1" x14ac:dyDescent="0.25">
      <c r="A3203">
        <v>3202</v>
      </c>
      <c r="B3203" s="1" t="s">
        <v>12</v>
      </c>
      <c r="C3203">
        <v>1968</v>
      </c>
      <c r="D3203" s="1" t="s">
        <v>264</v>
      </c>
      <c r="E3203" s="1" t="s">
        <v>58</v>
      </c>
      <c r="F3203">
        <v>54</v>
      </c>
      <c r="G3203" s="1" t="s">
        <v>60</v>
      </c>
      <c r="H3203">
        <v>54021</v>
      </c>
      <c r="I3203">
        <v>40</v>
      </c>
      <c r="J3203">
        <v>36</v>
      </c>
      <c r="K3203">
        <v>25</v>
      </c>
      <c r="L3203">
        <v>694</v>
      </c>
    </row>
    <row r="3204" spans="1:12" hidden="1" x14ac:dyDescent="0.25">
      <c r="A3204">
        <v>3203</v>
      </c>
      <c r="B3204" s="1" t="s">
        <v>12</v>
      </c>
      <c r="C3204">
        <v>1968</v>
      </c>
      <c r="D3204" s="1" t="s">
        <v>264</v>
      </c>
      <c r="E3204" s="1" t="s">
        <v>58</v>
      </c>
      <c r="F3204">
        <v>54</v>
      </c>
      <c r="G3204" s="1" t="s">
        <v>245</v>
      </c>
      <c r="H3204">
        <v>54042</v>
      </c>
      <c r="I3204">
        <v>40</v>
      </c>
      <c r="J3204">
        <v>36</v>
      </c>
      <c r="K3204">
        <v>27</v>
      </c>
      <c r="L3204">
        <v>750</v>
      </c>
    </row>
    <row r="3205" spans="1:12" hidden="1" x14ac:dyDescent="0.25">
      <c r="A3205">
        <v>3204</v>
      </c>
      <c r="B3205" s="1" t="s">
        <v>12</v>
      </c>
      <c r="C3205">
        <v>1968</v>
      </c>
      <c r="D3205" s="1" t="s">
        <v>264</v>
      </c>
      <c r="E3205" s="1" t="s">
        <v>58</v>
      </c>
      <c r="F3205">
        <v>54</v>
      </c>
      <c r="G3205" s="1" t="s">
        <v>244</v>
      </c>
      <c r="H3205">
        <v>54084</v>
      </c>
      <c r="I3205">
        <v>30</v>
      </c>
      <c r="J3205">
        <v>27</v>
      </c>
      <c r="K3205">
        <v>20</v>
      </c>
      <c r="L3205">
        <v>741</v>
      </c>
    </row>
    <row r="3206" spans="1:12" hidden="1" x14ac:dyDescent="0.25">
      <c r="A3206">
        <v>3205</v>
      </c>
      <c r="B3206" s="1" t="s">
        <v>12</v>
      </c>
      <c r="C3206">
        <v>1968</v>
      </c>
      <c r="D3206" s="1" t="s">
        <v>264</v>
      </c>
      <c r="E3206" s="1" t="s">
        <v>58</v>
      </c>
      <c r="F3206">
        <v>54</v>
      </c>
      <c r="G3206" s="1" t="s">
        <v>62</v>
      </c>
      <c r="H3206">
        <v>54105</v>
      </c>
      <c r="I3206">
        <v>25</v>
      </c>
      <c r="J3206">
        <v>22</v>
      </c>
      <c r="K3206">
        <v>14</v>
      </c>
      <c r="L3206">
        <v>636</v>
      </c>
    </row>
    <row r="3207" spans="1:12" hidden="1" x14ac:dyDescent="0.25">
      <c r="A3207">
        <v>3206</v>
      </c>
      <c r="B3207" s="1" t="s">
        <v>12</v>
      </c>
      <c r="C3207">
        <v>1968</v>
      </c>
      <c r="D3207" s="1" t="s">
        <v>264</v>
      </c>
      <c r="E3207" s="1" t="s">
        <v>58</v>
      </c>
      <c r="F3207">
        <v>54</v>
      </c>
      <c r="G3207" s="1" t="s">
        <v>119</v>
      </c>
      <c r="H3207">
        <v>54077</v>
      </c>
      <c r="I3207">
        <v>20</v>
      </c>
      <c r="J3207">
        <v>18</v>
      </c>
      <c r="K3207">
        <v>14</v>
      </c>
      <c r="L3207">
        <v>778</v>
      </c>
    </row>
    <row r="3208" spans="1:12" hidden="1" x14ac:dyDescent="0.25">
      <c r="A3208">
        <v>3207</v>
      </c>
      <c r="B3208" s="1" t="s">
        <v>12</v>
      </c>
      <c r="C3208">
        <v>1968</v>
      </c>
      <c r="D3208" s="1" t="s">
        <v>264</v>
      </c>
      <c r="E3208" s="1" t="s">
        <v>58</v>
      </c>
      <c r="F3208">
        <v>54</v>
      </c>
      <c r="G3208" s="1" t="s">
        <v>234</v>
      </c>
      <c r="H3208">
        <v>54119</v>
      </c>
      <c r="I3208">
        <v>15</v>
      </c>
      <c r="J3208">
        <v>13</v>
      </c>
      <c r="K3208">
        <v>9</v>
      </c>
      <c r="L3208">
        <v>692</v>
      </c>
    </row>
    <row r="3209" spans="1:12" hidden="1" x14ac:dyDescent="0.25">
      <c r="A3209">
        <v>3208</v>
      </c>
      <c r="B3209" s="1" t="s">
        <v>12</v>
      </c>
      <c r="C3209">
        <v>1968</v>
      </c>
      <c r="D3209" s="1" t="s">
        <v>264</v>
      </c>
      <c r="E3209" s="1" t="s">
        <v>58</v>
      </c>
      <c r="F3209">
        <v>54</v>
      </c>
      <c r="G3209" s="1" t="s">
        <v>151</v>
      </c>
      <c r="H3209">
        <v>54056</v>
      </c>
      <c r="I3209">
        <v>10</v>
      </c>
      <c r="J3209">
        <v>9</v>
      </c>
      <c r="K3209">
        <v>7</v>
      </c>
      <c r="L3209">
        <v>778</v>
      </c>
    </row>
    <row r="3210" spans="1:12" hidden="1" x14ac:dyDescent="0.25">
      <c r="A3210">
        <v>3209</v>
      </c>
      <c r="B3210" s="1" t="s">
        <v>12</v>
      </c>
      <c r="C3210">
        <v>1968</v>
      </c>
      <c r="D3210" s="1" t="s">
        <v>264</v>
      </c>
      <c r="E3210" s="1" t="s">
        <v>58</v>
      </c>
      <c r="F3210">
        <v>54</v>
      </c>
      <c r="G3210" s="1" t="s">
        <v>152</v>
      </c>
      <c r="H3210">
        <v>54063</v>
      </c>
      <c r="I3210">
        <v>10</v>
      </c>
      <c r="J3210">
        <v>9</v>
      </c>
      <c r="K3210">
        <v>7</v>
      </c>
      <c r="L3210">
        <v>778</v>
      </c>
    </row>
    <row r="3211" spans="1:12" hidden="1" x14ac:dyDescent="0.25">
      <c r="A3211">
        <v>3210</v>
      </c>
      <c r="B3211" s="1" t="s">
        <v>12</v>
      </c>
      <c r="C3211">
        <v>1968</v>
      </c>
      <c r="D3211" s="1" t="s">
        <v>264</v>
      </c>
      <c r="E3211" s="1" t="s">
        <v>58</v>
      </c>
      <c r="F3211">
        <v>54</v>
      </c>
      <c r="G3211" s="1" t="s">
        <v>258</v>
      </c>
      <c r="H3211">
        <v>54049</v>
      </c>
      <c r="I3211">
        <v>10</v>
      </c>
      <c r="J3211">
        <v>9</v>
      </c>
      <c r="K3211">
        <v>7</v>
      </c>
      <c r="L3211">
        <v>778</v>
      </c>
    </row>
    <row r="3212" spans="1:12" x14ac:dyDescent="0.25">
      <c r="A3212">
        <v>3211</v>
      </c>
      <c r="B3212" s="1" t="s">
        <v>12</v>
      </c>
      <c r="C3212">
        <v>1968</v>
      </c>
      <c r="D3212" s="1" t="s">
        <v>264</v>
      </c>
      <c r="E3212" s="1" t="s">
        <v>58</v>
      </c>
      <c r="F3212">
        <v>54</v>
      </c>
      <c r="G3212" s="1" t="s">
        <v>56</v>
      </c>
      <c r="H3212">
        <v>54112</v>
      </c>
      <c r="I3212">
        <v>5</v>
      </c>
      <c r="J3212">
        <v>5</v>
      </c>
      <c r="K3212">
        <v>4</v>
      </c>
      <c r="L3212">
        <v>800</v>
      </c>
    </row>
    <row r="3213" spans="1:12" hidden="1" x14ac:dyDescent="0.25">
      <c r="A3213">
        <v>3212</v>
      </c>
      <c r="B3213" s="1" t="s">
        <v>12</v>
      </c>
      <c r="C3213">
        <v>1968</v>
      </c>
      <c r="D3213" s="1" t="s">
        <v>264</v>
      </c>
      <c r="E3213" s="1" t="s">
        <v>87</v>
      </c>
      <c r="F3213">
        <v>66</v>
      </c>
      <c r="G3213" s="1" t="s">
        <v>230</v>
      </c>
      <c r="H3213">
        <v>66056</v>
      </c>
      <c r="I3213">
        <v>400</v>
      </c>
      <c r="J3213">
        <v>400</v>
      </c>
      <c r="K3213">
        <v>480</v>
      </c>
      <c r="L3213">
        <v>1200</v>
      </c>
    </row>
    <row r="3214" spans="1:12" hidden="1" x14ac:dyDescent="0.25">
      <c r="A3214">
        <v>3213</v>
      </c>
      <c r="B3214" s="1" t="s">
        <v>12</v>
      </c>
      <c r="C3214">
        <v>1968</v>
      </c>
      <c r="D3214" s="1" t="s">
        <v>264</v>
      </c>
      <c r="E3214" s="1" t="s">
        <v>87</v>
      </c>
      <c r="F3214">
        <v>66</v>
      </c>
      <c r="G3214" s="1" t="s">
        <v>141</v>
      </c>
      <c r="H3214">
        <v>66112</v>
      </c>
      <c r="I3214">
        <v>100</v>
      </c>
      <c r="J3214">
        <v>100</v>
      </c>
      <c r="K3214">
        <v>146</v>
      </c>
      <c r="L3214">
        <v>1460</v>
      </c>
    </row>
    <row r="3215" spans="1:12" hidden="1" x14ac:dyDescent="0.25">
      <c r="A3215">
        <v>3214</v>
      </c>
      <c r="B3215" s="1" t="s">
        <v>12</v>
      </c>
      <c r="C3215">
        <v>1968</v>
      </c>
      <c r="D3215" s="1" t="s">
        <v>264</v>
      </c>
      <c r="E3215" s="1" t="s">
        <v>87</v>
      </c>
      <c r="F3215">
        <v>66</v>
      </c>
      <c r="G3215" s="1" t="s">
        <v>188</v>
      </c>
      <c r="H3215">
        <v>66140</v>
      </c>
      <c r="I3215">
        <v>30</v>
      </c>
      <c r="J3215">
        <v>30</v>
      </c>
      <c r="K3215">
        <v>43</v>
      </c>
      <c r="L3215">
        <v>1433</v>
      </c>
    </row>
    <row r="3216" spans="1:12" hidden="1" x14ac:dyDescent="0.25">
      <c r="A3216">
        <v>3215</v>
      </c>
      <c r="B3216" s="1" t="s">
        <v>12</v>
      </c>
      <c r="C3216">
        <v>1968</v>
      </c>
      <c r="D3216" s="1" t="s">
        <v>264</v>
      </c>
      <c r="E3216" s="1" t="s">
        <v>87</v>
      </c>
      <c r="F3216">
        <v>66</v>
      </c>
      <c r="G3216" s="1" t="s">
        <v>125</v>
      </c>
      <c r="H3216">
        <v>66035</v>
      </c>
      <c r="I3216">
        <v>20</v>
      </c>
      <c r="J3216">
        <v>20</v>
      </c>
      <c r="K3216">
        <v>27</v>
      </c>
      <c r="L3216">
        <v>1350</v>
      </c>
    </row>
    <row r="3217" spans="1:12" hidden="1" x14ac:dyDescent="0.25">
      <c r="A3217">
        <v>3216</v>
      </c>
      <c r="B3217" s="1" t="s">
        <v>12</v>
      </c>
      <c r="C3217">
        <v>1968</v>
      </c>
      <c r="D3217" s="1" t="s">
        <v>264</v>
      </c>
      <c r="E3217" s="1" t="s">
        <v>87</v>
      </c>
      <c r="F3217">
        <v>66</v>
      </c>
      <c r="G3217" s="1" t="s">
        <v>260</v>
      </c>
      <c r="H3217">
        <v>66063</v>
      </c>
      <c r="I3217">
        <v>20</v>
      </c>
      <c r="J3217">
        <v>20</v>
      </c>
      <c r="K3217">
        <v>24</v>
      </c>
      <c r="L3217">
        <v>1200</v>
      </c>
    </row>
    <row r="3218" spans="1:12" hidden="1" x14ac:dyDescent="0.25">
      <c r="A3218">
        <v>3217</v>
      </c>
      <c r="B3218" s="1" t="s">
        <v>12</v>
      </c>
      <c r="C3218">
        <v>1968</v>
      </c>
      <c r="D3218" s="1" t="s">
        <v>264</v>
      </c>
      <c r="E3218" s="1" t="s">
        <v>87</v>
      </c>
      <c r="F3218">
        <v>66</v>
      </c>
      <c r="G3218" s="1" t="s">
        <v>179</v>
      </c>
      <c r="H3218">
        <v>66126</v>
      </c>
      <c r="I3218">
        <v>20</v>
      </c>
      <c r="J3218">
        <v>20</v>
      </c>
      <c r="K3218">
        <v>24</v>
      </c>
      <c r="L3218">
        <v>1200</v>
      </c>
    </row>
    <row r="3219" spans="1:12" hidden="1" x14ac:dyDescent="0.25">
      <c r="A3219">
        <v>3218</v>
      </c>
      <c r="B3219" s="1" t="s">
        <v>12</v>
      </c>
      <c r="C3219">
        <v>1968</v>
      </c>
      <c r="D3219" s="1" t="s">
        <v>264</v>
      </c>
      <c r="E3219" s="1" t="s">
        <v>87</v>
      </c>
      <c r="F3219">
        <v>66</v>
      </c>
      <c r="G3219" s="1" t="s">
        <v>161</v>
      </c>
      <c r="H3219">
        <v>66133</v>
      </c>
      <c r="I3219">
        <v>20</v>
      </c>
      <c r="J3219">
        <v>20</v>
      </c>
      <c r="K3219">
        <v>16</v>
      </c>
      <c r="L3219">
        <v>800</v>
      </c>
    </row>
    <row r="3220" spans="1:12" hidden="1" x14ac:dyDescent="0.25">
      <c r="A3220">
        <v>3219</v>
      </c>
      <c r="B3220" s="1" t="s">
        <v>12</v>
      </c>
      <c r="C3220">
        <v>1968</v>
      </c>
      <c r="D3220" s="1" t="s">
        <v>264</v>
      </c>
      <c r="E3220" s="1" t="s">
        <v>87</v>
      </c>
      <c r="F3220">
        <v>66</v>
      </c>
      <c r="G3220" s="1" t="s">
        <v>130</v>
      </c>
      <c r="H3220">
        <v>66147</v>
      </c>
      <c r="I3220">
        <v>20</v>
      </c>
      <c r="J3220">
        <v>20</v>
      </c>
      <c r="K3220">
        <v>27</v>
      </c>
      <c r="L3220">
        <v>1350</v>
      </c>
    </row>
    <row r="3221" spans="1:12" hidden="1" x14ac:dyDescent="0.25">
      <c r="A3221">
        <v>3220</v>
      </c>
      <c r="B3221" s="1" t="s">
        <v>12</v>
      </c>
      <c r="C3221">
        <v>1968</v>
      </c>
      <c r="D3221" s="1" t="s">
        <v>264</v>
      </c>
      <c r="E3221" s="1" t="s">
        <v>87</v>
      </c>
      <c r="F3221">
        <v>66</v>
      </c>
      <c r="G3221" s="1" t="s">
        <v>28</v>
      </c>
      <c r="H3221">
        <v>66028</v>
      </c>
      <c r="I3221">
        <v>10</v>
      </c>
      <c r="J3221">
        <v>10</v>
      </c>
      <c r="K3221">
        <v>13</v>
      </c>
      <c r="L3221">
        <v>1300</v>
      </c>
    </row>
    <row r="3222" spans="1:12" hidden="1" x14ac:dyDescent="0.25">
      <c r="A3222">
        <v>3221</v>
      </c>
      <c r="B3222" s="1" t="s">
        <v>12</v>
      </c>
      <c r="C3222">
        <v>1968</v>
      </c>
      <c r="D3222" s="1" t="s">
        <v>264</v>
      </c>
      <c r="E3222" s="1" t="s">
        <v>64</v>
      </c>
      <c r="F3222">
        <v>82</v>
      </c>
      <c r="G3222" s="1" t="s">
        <v>65</v>
      </c>
      <c r="H3222">
        <v>82049</v>
      </c>
      <c r="I3222">
        <v>130</v>
      </c>
      <c r="J3222">
        <v>130</v>
      </c>
      <c r="K3222">
        <v>136</v>
      </c>
      <c r="L3222">
        <v>1046</v>
      </c>
    </row>
    <row r="3223" spans="1:12" hidden="1" x14ac:dyDescent="0.25">
      <c r="A3223">
        <v>3222</v>
      </c>
      <c r="B3223" s="1" t="s">
        <v>12</v>
      </c>
      <c r="C3223">
        <v>1968</v>
      </c>
      <c r="D3223" s="1" t="s">
        <v>264</v>
      </c>
      <c r="E3223" s="1" t="s">
        <v>64</v>
      </c>
      <c r="F3223">
        <v>82</v>
      </c>
      <c r="G3223" s="1" t="s">
        <v>66</v>
      </c>
      <c r="H3223">
        <v>82035</v>
      </c>
      <c r="I3223">
        <v>10</v>
      </c>
      <c r="J3223">
        <v>7</v>
      </c>
      <c r="K3223">
        <v>14</v>
      </c>
      <c r="L3223">
        <v>2000</v>
      </c>
    </row>
    <row r="3224" spans="1:12" hidden="1" x14ac:dyDescent="0.25">
      <c r="A3224">
        <v>3223</v>
      </c>
      <c r="B3224" s="1" t="s">
        <v>12</v>
      </c>
      <c r="C3224">
        <v>1968</v>
      </c>
      <c r="D3224" s="1" t="s">
        <v>264</v>
      </c>
      <c r="E3224" s="1" t="s">
        <v>77</v>
      </c>
      <c r="F3224">
        <v>90</v>
      </c>
      <c r="G3224" s="1" t="s">
        <v>78</v>
      </c>
      <c r="H3224">
        <v>90007</v>
      </c>
      <c r="I3224">
        <v>1300</v>
      </c>
      <c r="J3224">
        <v>1300</v>
      </c>
      <c r="K3224">
        <v>1300</v>
      </c>
      <c r="L3224">
        <v>1000</v>
      </c>
    </row>
    <row r="3225" spans="1:12" hidden="1" x14ac:dyDescent="0.25">
      <c r="A3225">
        <v>3224</v>
      </c>
      <c r="B3225" s="1" t="s">
        <v>12</v>
      </c>
      <c r="C3225">
        <v>1968</v>
      </c>
      <c r="D3225" s="1" t="s">
        <v>264</v>
      </c>
      <c r="E3225" s="1" t="s">
        <v>77</v>
      </c>
      <c r="F3225">
        <v>90</v>
      </c>
      <c r="G3225" s="1" t="s">
        <v>91</v>
      </c>
      <c r="H3225">
        <v>90014</v>
      </c>
      <c r="I3225">
        <v>350</v>
      </c>
      <c r="J3225">
        <v>350</v>
      </c>
      <c r="K3225">
        <v>355</v>
      </c>
      <c r="L3225">
        <v>1014</v>
      </c>
    </row>
    <row r="3226" spans="1:12" hidden="1" x14ac:dyDescent="0.25">
      <c r="A3226">
        <v>3225</v>
      </c>
      <c r="B3226" s="1" t="s">
        <v>12</v>
      </c>
      <c r="C3226">
        <v>1968</v>
      </c>
      <c r="D3226" s="1" t="s">
        <v>264</v>
      </c>
      <c r="E3226" s="1" t="s">
        <v>77</v>
      </c>
      <c r="F3226">
        <v>90</v>
      </c>
      <c r="G3226" s="1" t="s">
        <v>92</v>
      </c>
      <c r="H3226">
        <v>90056</v>
      </c>
      <c r="I3226">
        <v>250</v>
      </c>
      <c r="J3226">
        <v>250</v>
      </c>
      <c r="K3226">
        <v>195</v>
      </c>
      <c r="L3226">
        <v>780</v>
      </c>
    </row>
    <row r="3227" spans="1:12" hidden="1" x14ac:dyDescent="0.25">
      <c r="A3227">
        <v>3226</v>
      </c>
      <c r="B3227" s="1" t="s">
        <v>12</v>
      </c>
      <c r="C3227">
        <v>1969</v>
      </c>
      <c r="D3227" s="1" t="s">
        <v>265</v>
      </c>
      <c r="E3227" s="1" t="s">
        <v>22</v>
      </c>
      <c r="F3227">
        <v>14</v>
      </c>
      <c r="G3227" s="1" t="s">
        <v>97</v>
      </c>
      <c r="H3227">
        <v>14007</v>
      </c>
      <c r="I3227">
        <v>6500</v>
      </c>
      <c r="J3227">
        <v>6450</v>
      </c>
      <c r="K3227">
        <v>7273</v>
      </c>
      <c r="L3227">
        <v>1128</v>
      </c>
    </row>
    <row r="3228" spans="1:12" hidden="1" x14ac:dyDescent="0.25">
      <c r="A3228">
        <v>3227</v>
      </c>
      <c r="B3228" s="1" t="s">
        <v>12</v>
      </c>
      <c r="C3228">
        <v>1969</v>
      </c>
      <c r="D3228" s="1" t="s">
        <v>265</v>
      </c>
      <c r="E3228" s="1" t="s">
        <v>22</v>
      </c>
      <c r="F3228">
        <v>14</v>
      </c>
      <c r="G3228" s="1" t="s">
        <v>184</v>
      </c>
      <c r="H3228">
        <v>14042</v>
      </c>
      <c r="I3228">
        <v>12000</v>
      </c>
      <c r="J3228">
        <v>12000</v>
      </c>
      <c r="K3228">
        <v>12537</v>
      </c>
      <c r="L3228">
        <v>1045</v>
      </c>
    </row>
    <row r="3229" spans="1:12" hidden="1" x14ac:dyDescent="0.25">
      <c r="A3229">
        <v>3228</v>
      </c>
      <c r="B3229" s="1" t="s">
        <v>12</v>
      </c>
      <c r="C3229">
        <v>1969</v>
      </c>
      <c r="D3229" s="1" t="s">
        <v>265</v>
      </c>
      <c r="E3229" s="1" t="s">
        <v>22</v>
      </c>
      <c r="F3229">
        <v>14</v>
      </c>
      <c r="G3229" s="1" t="s">
        <v>143</v>
      </c>
      <c r="H3229">
        <v>14056</v>
      </c>
      <c r="I3229">
        <v>30000</v>
      </c>
      <c r="J3229">
        <v>30000</v>
      </c>
      <c r="K3229">
        <v>42537</v>
      </c>
      <c r="L3229">
        <v>1418</v>
      </c>
    </row>
    <row r="3230" spans="1:12" hidden="1" x14ac:dyDescent="0.25">
      <c r="A3230">
        <v>3229</v>
      </c>
      <c r="B3230" s="1" t="s">
        <v>12</v>
      </c>
      <c r="C3230">
        <v>1969</v>
      </c>
      <c r="D3230" s="1" t="s">
        <v>265</v>
      </c>
      <c r="E3230" s="1" t="s">
        <v>22</v>
      </c>
      <c r="F3230">
        <v>14</v>
      </c>
      <c r="G3230" s="1" t="s">
        <v>29</v>
      </c>
      <c r="H3230">
        <v>14098</v>
      </c>
      <c r="I3230">
        <v>7000</v>
      </c>
      <c r="J3230">
        <v>7000</v>
      </c>
      <c r="K3230">
        <v>8358</v>
      </c>
      <c r="L3230">
        <v>1194</v>
      </c>
    </row>
    <row r="3231" spans="1:12" hidden="1" x14ac:dyDescent="0.25">
      <c r="A3231">
        <v>3230</v>
      </c>
      <c r="B3231" s="1" t="s">
        <v>12</v>
      </c>
      <c r="C3231">
        <v>1969</v>
      </c>
      <c r="D3231" s="1" t="s">
        <v>265</v>
      </c>
      <c r="E3231" s="1" t="s">
        <v>22</v>
      </c>
      <c r="F3231">
        <v>14</v>
      </c>
      <c r="G3231" s="1" t="s">
        <v>25</v>
      </c>
      <c r="H3231">
        <v>14105</v>
      </c>
      <c r="I3231">
        <v>3000</v>
      </c>
      <c r="J3231">
        <v>2500</v>
      </c>
      <c r="K3231">
        <v>1533</v>
      </c>
      <c r="L3231">
        <v>613</v>
      </c>
    </row>
    <row r="3232" spans="1:12" hidden="1" x14ac:dyDescent="0.25">
      <c r="A3232">
        <v>3231</v>
      </c>
      <c r="B3232" s="1" t="s">
        <v>12</v>
      </c>
      <c r="C3232">
        <v>1969</v>
      </c>
      <c r="D3232" s="1" t="s">
        <v>265</v>
      </c>
      <c r="E3232" s="1" t="s">
        <v>22</v>
      </c>
      <c r="F3232">
        <v>14</v>
      </c>
      <c r="G3232" s="1" t="s">
        <v>24</v>
      </c>
      <c r="H3232">
        <v>14119</v>
      </c>
      <c r="I3232">
        <v>64000</v>
      </c>
      <c r="J3232">
        <v>62000</v>
      </c>
      <c r="K3232">
        <v>60149</v>
      </c>
      <c r="L3232">
        <v>970</v>
      </c>
    </row>
    <row r="3233" spans="1:12" hidden="1" x14ac:dyDescent="0.25">
      <c r="A3233">
        <v>3232</v>
      </c>
      <c r="B3233" s="1" t="s">
        <v>12</v>
      </c>
      <c r="C3233">
        <v>1969</v>
      </c>
      <c r="D3233" s="1" t="s">
        <v>265</v>
      </c>
      <c r="E3233" s="1" t="s">
        <v>22</v>
      </c>
      <c r="F3233">
        <v>14</v>
      </c>
      <c r="G3233" s="1" t="s">
        <v>67</v>
      </c>
      <c r="H3233">
        <v>14140</v>
      </c>
      <c r="I3233">
        <v>400</v>
      </c>
      <c r="J3233">
        <v>350</v>
      </c>
      <c r="K3233">
        <v>261</v>
      </c>
      <c r="L3233">
        <v>746</v>
      </c>
    </row>
    <row r="3234" spans="1:12" hidden="1" x14ac:dyDescent="0.25">
      <c r="A3234">
        <v>3233</v>
      </c>
      <c r="B3234" s="1" t="s">
        <v>12</v>
      </c>
      <c r="C3234">
        <v>1969</v>
      </c>
      <c r="D3234" s="1" t="s">
        <v>265</v>
      </c>
      <c r="E3234" s="1" t="s">
        <v>22</v>
      </c>
      <c r="F3234">
        <v>14</v>
      </c>
      <c r="G3234" s="1" t="s">
        <v>23</v>
      </c>
      <c r="H3234">
        <v>14147</v>
      </c>
      <c r="I3234">
        <v>12500</v>
      </c>
      <c r="J3234">
        <v>11000</v>
      </c>
      <c r="K3234">
        <v>8209</v>
      </c>
      <c r="L3234">
        <v>746</v>
      </c>
    </row>
    <row r="3235" spans="1:12" hidden="1" x14ac:dyDescent="0.25">
      <c r="A3235">
        <v>3234</v>
      </c>
      <c r="B3235" s="1" t="s">
        <v>12</v>
      </c>
      <c r="C3235">
        <v>1969</v>
      </c>
      <c r="D3235" s="1" t="s">
        <v>265</v>
      </c>
      <c r="E3235" s="1" t="s">
        <v>22</v>
      </c>
      <c r="F3235">
        <v>14</v>
      </c>
      <c r="G3235" s="1" t="s">
        <v>26</v>
      </c>
      <c r="H3235">
        <v>14161</v>
      </c>
      <c r="I3235">
        <v>75000</v>
      </c>
      <c r="J3235">
        <v>75000</v>
      </c>
      <c r="K3235">
        <v>89507</v>
      </c>
      <c r="L3235">
        <v>1193</v>
      </c>
    </row>
    <row r="3236" spans="1:12" hidden="1" x14ac:dyDescent="0.25">
      <c r="A3236">
        <v>3235</v>
      </c>
      <c r="B3236" s="1" t="s">
        <v>12</v>
      </c>
      <c r="C3236">
        <v>1969</v>
      </c>
      <c r="D3236" s="1" t="s">
        <v>265</v>
      </c>
      <c r="E3236" s="1" t="s">
        <v>22</v>
      </c>
      <c r="F3236">
        <v>14</v>
      </c>
      <c r="G3236" s="1" t="s">
        <v>122</v>
      </c>
      <c r="H3236">
        <v>14182</v>
      </c>
      <c r="I3236">
        <v>800</v>
      </c>
      <c r="J3236">
        <v>800</v>
      </c>
      <c r="K3236">
        <v>836</v>
      </c>
      <c r="L3236">
        <v>1045</v>
      </c>
    </row>
    <row r="3237" spans="1:12" hidden="1" x14ac:dyDescent="0.25">
      <c r="A3237">
        <v>3236</v>
      </c>
      <c r="B3237" s="1" t="s">
        <v>12</v>
      </c>
      <c r="C3237">
        <v>1969</v>
      </c>
      <c r="D3237" s="1" t="s">
        <v>265</v>
      </c>
      <c r="E3237" s="1" t="s">
        <v>30</v>
      </c>
      <c r="F3237">
        <v>18</v>
      </c>
      <c r="G3237" s="1" t="s">
        <v>28</v>
      </c>
      <c r="H3237">
        <v>18021</v>
      </c>
      <c r="I3237">
        <v>17</v>
      </c>
      <c r="J3237">
        <v>16</v>
      </c>
      <c r="K3237">
        <v>21</v>
      </c>
      <c r="L3237">
        <v>1313</v>
      </c>
    </row>
    <row r="3238" spans="1:12" hidden="1" x14ac:dyDescent="0.25">
      <c r="A3238">
        <v>3237</v>
      </c>
      <c r="B3238" s="1" t="s">
        <v>12</v>
      </c>
      <c r="C3238">
        <v>1969</v>
      </c>
      <c r="D3238" s="1" t="s">
        <v>265</v>
      </c>
      <c r="E3238" s="1" t="s">
        <v>30</v>
      </c>
      <c r="F3238">
        <v>18</v>
      </c>
      <c r="G3238" s="1" t="s">
        <v>34</v>
      </c>
      <c r="H3238">
        <v>18042</v>
      </c>
      <c r="I3238">
        <v>16</v>
      </c>
      <c r="J3238">
        <v>15</v>
      </c>
      <c r="K3238">
        <v>19</v>
      </c>
      <c r="L3238">
        <v>1267</v>
      </c>
    </row>
    <row r="3239" spans="1:12" hidden="1" x14ac:dyDescent="0.25">
      <c r="A3239">
        <v>3238</v>
      </c>
      <c r="B3239" s="1" t="s">
        <v>12</v>
      </c>
      <c r="C3239">
        <v>1969</v>
      </c>
      <c r="D3239" s="1" t="s">
        <v>265</v>
      </c>
      <c r="E3239" s="1" t="s">
        <v>30</v>
      </c>
      <c r="F3239">
        <v>18</v>
      </c>
      <c r="G3239" s="1" t="s">
        <v>99</v>
      </c>
      <c r="H3239">
        <v>18063</v>
      </c>
      <c r="I3239">
        <v>17</v>
      </c>
      <c r="J3239">
        <v>16</v>
      </c>
      <c r="K3239">
        <v>21</v>
      </c>
      <c r="L3239">
        <v>1313</v>
      </c>
    </row>
    <row r="3240" spans="1:12" hidden="1" x14ac:dyDescent="0.25">
      <c r="A3240">
        <v>3239</v>
      </c>
      <c r="B3240" s="1" t="s">
        <v>12</v>
      </c>
      <c r="C3240">
        <v>1969</v>
      </c>
      <c r="D3240" s="1" t="s">
        <v>265</v>
      </c>
      <c r="E3240" s="1" t="s">
        <v>30</v>
      </c>
      <c r="F3240">
        <v>18</v>
      </c>
      <c r="G3240" s="1" t="s">
        <v>100</v>
      </c>
      <c r="H3240">
        <v>18077</v>
      </c>
      <c r="I3240">
        <v>9</v>
      </c>
      <c r="J3240">
        <v>8</v>
      </c>
      <c r="K3240">
        <v>10</v>
      </c>
      <c r="L3240">
        <v>1250</v>
      </c>
    </row>
    <row r="3241" spans="1:12" hidden="1" x14ac:dyDescent="0.25">
      <c r="A3241">
        <v>3240</v>
      </c>
      <c r="B3241" s="1" t="s">
        <v>12</v>
      </c>
      <c r="C3241">
        <v>1969</v>
      </c>
      <c r="D3241" s="1" t="s">
        <v>265</v>
      </c>
      <c r="E3241" s="1" t="s">
        <v>30</v>
      </c>
      <c r="F3241">
        <v>18</v>
      </c>
      <c r="G3241" s="1" t="s">
        <v>32</v>
      </c>
      <c r="H3241">
        <v>18112</v>
      </c>
      <c r="I3241">
        <v>150</v>
      </c>
      <c r="J3241">
        <v>142</v>
      </c>
      <c r="K3241">
        <v>191</v>
      </c>
      <c r="L3241">
        <v>1345</v>
      </c>
    </row>
    <row r="3242" spans="1:12" hidden="1" x14ac:dyDescent="0.25">
      <c r="A3242">
        <v>3241</v>
      </c>
      <c r="B3242" s="1" t="s">
        <v>12</v>
      </c>
      <c r="C3242">
        <v>1969</v>
      </c>
      <c r="D3242" s="1" t="s">
        <v>265</v>
      </c>
      <c r="E3242" s="1" t="s">
        <v>30</v>
      </c>
      <c r="F3242">
        <v>18</v>
      </c>
      <c r="G3242" s="1" t="s">
        <v>36</v>
      </c>
      <c r="H3242">
        <v>18133</v>
      </c>
      <c r="I3242">
        <v>10</v>
      </c>
      <c r="J3242">
        <v>9</v>
      </c>
      <c r="K3242">
        <v>12</v>
      </c>
      <c r="L3242">
        <v>1333</v>
      </c>
    </row>
    <row r="3243" spans="1:12" hidden="1" x14ac:dyDescent="0.25">
      <c r="A3243">
        <v>3242</v>
      </c>
      <c r="B3243" s="1" t="s">
        <v>12</v>
      </c>
      <c r="C3243">
        <v>1969</v>
      </c>
      <c r="D3243" s="1" t="s">
        <v>265</v>
      </c>
      <c r="E3243" s="1" t="s">
        <v>30</v>
      </c>
      <c r="F3243">
        <v>18</v>
      </c>
      <c r="G3243" s="1" t="s">
        <v>41</v>
      </c>
      <c r="H3243">
        <v>18140</v>
      </c>
      <c r="I3243">
        <v>9</v>
      </c>
      <c r="J3243">
        <v>8</v>
      </c>
      <c r="K3243">
        <v>12</v>
      </c>
      <c r="L3243">
        <v>1500</v>
      </c>
    </row>
    <row r="3244" spans="1:12" hidden="1" x14ac:dyDescent="0.25">
      <c r="A3244">
        <v>3243</v>
      </c>
      <c r="B3244" s="1" t="s">
        <v>12</v>
      </c>
      <c r="C3244">
        <v>1969</v>
      </c>
      <c r="D3244" s="1" t="s">
        <v>265</v>
      </c>
      <c r="E3244" s="1" t="s">
        <v>30</v>
      </c>
      <c r="F3244">
        <v>18</v>
      </c>
      <c r="G3244" s="1" t="s">
        <v>103</v>
      </c>
      <c r="H3244">
        <v>18154</v>
      </c>
      <c r="I3244">
        <v>11</v>
      </c>
      <c r="J3244">
        <v>10</v>
      </c>
      <c r="K3244">
        <v>13</v>
      </c>
      <c r="L3244">
        <v>1300</v>
      </c>
    </row>
    <row r="3245" spans="1:12" hidden="1" x14ac:dyDescent="0.25">
      <c r="A3245">
        <v>3244</v>
      </c>
      <c r="B3245" s="1" t="s">
        <v>12</v>
      </c>
      <c r="C3245">
        <v>1969</v>
      </c>
      <c r="D3245" s="1" t="s">
        <v>265</v>
      </c>
      <c r="E3245" s="1" t="s">
        <v>30</v>
      </c>
      <c r="F3245">
        <v>18</v>
      </c>
      <c r="G3245" s="1" t="s">
        <v>44</v>
      </c>
      <c r="H3245">
        <v>18168</v>
      </c>
      <c r="I3245">
        <v>531</v>
      </c>
      <c r="J3245">
        <v>486</v>
      </c>
      <c r="K3245">
        <v>601</v>
      </c>
      <c r="L3245">
        <v>1237</v>
      </c>
    </row>
    <row r="3246" spans="1:12" hidden="1" x14ac:dyDescent="0.25">
      <c r="A3246">
        <v>3245</v>
      </c>
      <c r="B3246" s="1" t="s">
        <v>12</v>
      </c>
      <c r="C3246">
        <v>1969</v>
      </c>
      <c r="D3246" s="1" t="s">
        <v>265</v>
      </c>
      <c r="E3246" s="1" t="s">
        <v>45</v>
      </c>
      <c r="F3246">
        <v>30</v>
      </c>
      <c r="G3246" s="1" t="s">
        <v>47</v>
      </c>
      <c r="H3246">
        <v>30015</v>
      </c>
      <c r="I3246">
        <v>40</v>
      </c>
      <c r="J3246">
        <v>40</v>
      </c>
      <c r="K3246">
        <v>32</v>
      </c>
      <c r="L3246">
        <v>800</v>
      </c>
    </row>
    <row r="3247" spans="1:12" hidden="1" x14ac:dyDescent="0.25">
      <c r="A3247">
        <v>3246</v>
      </c>
      <c r="B3247" s="1" t="s">
        <v>12</v>
      </c>
      <c r="C3247">
        <v>1969</v>
      </c>
      <c r="D3247" s="1" t="s">
        <v>265</v>
      </c>
      <c r="E3247" s="1" t="s">
        <v>45</v>
      </c>
      <c r="F3247">
        <v>30</v>
      </c>
      <c r="G3247" s="1" t="s">
        <v>46</v>
      </c>
      <c r="H3247">
        <v>30028</v>
      </c>
      <c r="I3247">
        <v>10</v>
      </c>
      <c r="J3247">
        <v>10</v>
      </c>
      <c r="K3247">
        <v>8</v>
      </c>
      <c r="L3247">
        <v>800</v>
      </c>
    </row>
    <row r="3248" spans="1:12" hidden="1" x14ac:dyDescent="0.25">
      <c r="A3248">
        <v>3247</v>
      </c>
      <c r="B3248" s="1" t="s">
        <v>12</v>
      </c>
      <c r="C3248">
        <v>1969</v>
      </c>
      <c r="D3248" s="1" t="s">
        <v>265</v>
      </c>
      <c r="E3248" s="1" t="s">
        <v>48</v>
      </c>
      <c r="F3248">
        <v>34</v>
      </c>
      <c r="G3248" s="1" t="s">
        <v>48</v>
      </c>
      <c r="H3248">
        <v>34014</v>
      </c>
      <c r="I3248">
        <v>30</v>
      </c>
      <c r="J3248">
        <v>30</v>
      </c>
      <c r="K3248">
        <v>24</v>
      </c>
      <c r="L3248">
        <v>800</v>
      </c>
    </row>
    <row r="3249" spans="1:12" hidden="1" x14ac:dyDescent="0.25">
      <c r="A3249">
        <v>3248</v>
      </c>
      <c r="B3249" s="1" t="s">
        <v>12</v>
      </c>
      <c r="C3249">
        <v>1969</v>
      </c>
      <c r="D3249" s="1" t="s">
        <v>265</v>
      </c>
      <c r="E3249" s="1" t="s">
        <v>48</v>
      </c>
      <c r="F3249">
        <v>34</v>
      </c>
      <c r="G3249" s="1" t="s">
        <v>50</v>
      </c>
      <c r="H3249">
        <v>34021</v>
      </c>
      <c r="I3249">
        <v>40</v>
      </c>
      <c r="J3249">
        <v>40</v>
      </c>
      <c r="K3249">
        <v>35</v>
      </c>
      <c r="L3249">
        <v>875</v>
      </c>
    </row>
    <row r="3250" spans="1:12" hidden="1" x14ac:dyDescent="0.25">
      <c r="A3250">
        <v>3249</v>
      </c>
      <c r="B3250" s="1" t="s">
        <v>12</v>
      </c>
      <c r="C3250">
        <v>1969</v>
      </c>
      <c r="D3250" s="1" t="s">
        <v>265</v>
      </c>
      <c r="E3250" s="1" t="s">
        <v>48</v>
      </c>
      <c r="F3250">
        <v>34</v>
      </c>
      <c r="G3250" s="1" t="s">
        <v>52</v>
      </c>
      <c r="H3250">
        <v>34035</v>
      </c>
      <c r="I3250">
        <v>400</v>
      </c>
      <c r="J3250">
        <v>400</v>
      </c>
      <c r="K3250">
        <v>116</v>
      </c>
      <c r="L3250">
        <v>290</v>
      </c>
    </row>
    <row r="3251" spans="1:12" hidden="1" x14ac:dyDescent="0.25">
      <c r="A3251">
        <v>3250</v>
      </c>
      <c r="B3251" s="1" t="s">
        <v>12</v>
      </c>
      <c r="C3251">
        <v>1969</v>
      </c>
      <c r="D3251" s="1" t="s">
        <v>265</v>
      </c>
      <c r="E3251" s="1" t="s">
        <v>48</v>
      </c>
      <c r="F3251">
        <v>34</v>
      </c>
      <c r="G3251" s="1" t="s">
        <v>108</v>
      </c>
      <c r="H3251">
        <v>34042</v>
      </c>
      <c r="I3251">
        <v>20</v>
      </c>
      <c r="J3251">
        <v>20</v>
      </c>
      <c r="K3251">
        <v>15</v>
      </c>
      <c r="L3251">
        <v>750</v>
      </c>
    </row>
    <row r="3252" spans="1:12" hidden="1" x14ac:dyDescent="0.25">
      <c r="A3252">
        <v>3251</v>
      </c>
      <c r="B3252" s="1" t="s">
        <v>12</v>
      </c>
      <c r="C3252">
        <v>1969</v>
      </c>
      <c r="D3252" s="1" t="s">
        <v>265</v>
      </c>
      <c r="E3252" s="1" t="s">
        <v>48</v>
      </c>
      <c r="F3252">
        <v>34</v>
      </c>
      <c r="G3252" s="1" t="s">
        <v>49</v>
      </c>
      <c r="H3252">
        <v>34049</v>
      </c>
      <c r="I3252">
        <v>50</v>
      </c>
      <c r="J3252">
        <v>50</v>
      </c>
      <c r="K3252">
        <v>40</v>
      </c>
      <c r="L3252">
        <v>800</v>
      </c>
    </row>
    <row r="3253" spans="1:12" hidden="1" x14ac:dyDescent="0.25">
      <c r="A3253">
        <v>3252</v>
      </c>
      <c r="B3253" s="1" t="s">
        <v>12</v>
      </c>
      <c r="C3253">
        <v>1969</v>
      </c>
      <c r="D3253" s="1" t="s">
        <v>265</v>
      </c>
      <c r="E3253" s="1" t="s">
        <v>48</v>
      </c>
      <c r="F3253">
        <v>34</v>
      </c>
      <c r="G3253" s="1" t="s">
        <v>51</v>
      </c>
      <c r="H3253">
        <v>34056</v>
      </c>
      <c r="I3253">
        <v>100</v>
      </c>
      <c r="J3253">
        <v>100</v>
      </c>
      <c r="K3253">
        <v>70</v>
      </c>
      <c r="L3253">
        <v>700</v>
      </c>
    </row>
    <row r="3254" spans="1:12" hidden="1" x14ac:dyDescent="0.25">
      <c r="A3254">
        <v>3253</v>
      </c>
      <c r="B3254" s="1" t="s">
        <v>12</v>
      </c>
      <c r="C3254">
        <v>1969</v>
      </c>
      <c r="D3254" s="1" t="s">
        <v>265</v>
      </c>
      <c r="E3254" s="1" t="s">
        <v>58</v>
      </c>
      <c r="F3254">
        <v>54</v>
      </c>
      <c r="G3254" s="1" t="s">
        <v>234</v>
      </c>
      <c r="H3254">
        <v>54119</v>
      </c>
      <c r="I3254">
        <v>15</v>
      </c>
      <c r="J3254">
        <v>14</v>
      </c>
      <c r="K3254">
        <v>10</v>
      </c>
      <c r="L3254">
        <v>714</v>
      </c>
    </row>
    <row r="3255" spans="1:12" hidden="1" x14ac:dyDescent="0.25">
      <c r="A3255">
        <v>3254</v>
      </c>
      <c r="B3255" s="1" t="s">
        <v>12</v>
      </c>
      <c r="C3255">
        <v>1969</v>
      </c>
      <c r="D3255" s="1" t="s">
        <v>265</v>
      </c>
      <c r="E3255" s="1" t="s">
        <v>58</v>
      </c>
      <c r="F3255">
        <v>54</v>
      </c>
      <c r="G3255" s="1" t="s">
        <v>59</v>
      </c>
      <c r="H3255">
        <v>54007</v>
      </c>
      <c r="I3255">
        <v>50</v>
      </c>
      <c r="J3255">
        <v>47</v>
      </c>
      <c r="K3255">
        <v>32</v>
      </c>
      <c r="L3255">
        <v>681</v>
      </c>
    </row>
    <row r="3256" spans="1:12" hidden="1" x14ac:dyDescent="0.25">
      <c r="A3256">
        <v>3255</v>
      </c>
      <c r="B3256" s="1" t="s">
        <v>12</v>
      </c>
      <c r="C3256">
        <v>1969</v>
      </c>
      <c r="D3256" s="1" t="s">
        <v>265</v>
      </c>
      <c r="E3256" s="1" t="s">
        <v>58</v>
      </c>
      <c r="F3256">
        <v>54</v>
      </c>
      <c r="G3256" s="1" t="s">
        <v>150</v>
      </c>
      <c r="H3256">
        <v>54014</v>
      </c>
      <c r="I3256">
        <v>47</v>
      </c>
      <c r="J3256">
        <v>44</v>
      </c>
      <c r="K3256">
        <v>30</v>
      </c>
      <c r="L3256">
        <v>682</v>
      </c>
    </row>
    <row r="3257" spans="1:12" hidden="1" x14ac:dyDescent="0.25">
      <c r="A3257">
        <v>3256</v>
      </c>
      <c r="B3257" s="1" t="s">
        <v>12</v>
      </c>
      <c r="C3257">
        <v>1969</v>
      </c>
      <c r="D3257" s="1" t="s">
        <v>265</v>
      </c>
      <c r="E3257" s="1" t="s">
        <v>58</v>
      </c>
      <c r="F3257">
        <v>54</v>
      </c>
      <c r="G3257" s="1" t="s">
        <v>60</v>
      </c>
      <c r="H3257">
        <v>54021</v>
      </c>
      <c r="I3257">
        <v>40</v>
      </c>
      <c r="J3257">
        <v>38</v>
      </c>
      <c r="K3257">
        <v>27</v>
      </c>
      <c r="L3257">
        <v>711</v>
      </c>
    </row>
    <row r="3258" spans="1:12" hidden="1" x14ac:dyDescent="0.25">
      <c r="A3258">
        <v>3257</v>
      </c>
      <c r="B3258" s="1" t="s">
        <v>12</v>
      </c>
      <c r="C3258">
        <v>1969</v>
      </c>
      <c r="D3258" s="1" t="s">
        <v>265</v>
      </c>
      <c r="E3258" s="1" t="s">
        <v>58</v>
      </c>
      <c r="F3258">
        <v>54</v>
      </c>
      <c r="G3258" s="1" t="s">
        <v>63</v>
      </c>
      <c r="H3258">
        <v>54035</v>
      </c>
      <c r="I3258">
        <v>45</v>
      </c>
      <c r="J3258">
        <v>42</v>
      </c>
      <c r="K3258">
        <v>29</v>
      </c>
      <c r="L3258">
        <v>690</v>
      </c>
    </row>
    <row r="3259" spans="1:12" hidden="1" x14ac:dyDescent="0.25">
      <c r="A3259">
        <v>3258</v>
      </c>
      <c r="B3259" s="1" t="s">
        <v>12</v>
      </c>
      <c r="C3259">
        <v>1969</v>
      </c>
      <c r="D3259" s="1" t="s">
        <v>265</v>
      </c>
      <c r="E3259" s="1" t="s">
        <v>58</v>
      </c>
      <c r="F3259">
        <v>54</v>
      </c>
      <c r="G3259" s="1" t="s">
        <v>266</v>
      </c>
      <c r="H3259">
        <v>54042</v>
      </c>
      <c r="I3259">
        <v>43</v>
      </c>
      <c r="J3259">
        <v>40</v>
      </c>
      <c r="K3259">
        <v>30</v>
      </c>
      <c r="L3259">
        <v>750</v>
      </c>
    </row>
    <row r="3260" spans="1:12" hidden="1" x14ac:dyDescent="0.25">
      <c r="A3260">
        <v>3259</v>
      </c>
      <c r="B3260" s="1" t="s">
        <v>12</v>
      </c>
      <c r="C3260">
        <v>1969</v>
      </c>
      <c r="D3260" s="1" t="s">
        <v>265</v>
      </c>
      <c r="E3260" s="1" t="s">
        <v>58</v>
      </c>
      <c r="F3260">
        <v>54</v>
      </c>
      <c r="G3260" s="1" t="s">
        <v>258</v>
      </c>
      <c r="H3260">
        <v>54049</v>
      </c>
      <c r="I3260">
        <v>10</v>
      </c>
      <c r="J3260">
        <v>9</v>
      </c>
      <c r="K3260">
        <v>11</v>
      </c>
      <c r="L3260">
        <v>1222</v>
      </c>
    </row>
    <row r="3261" spans="1:12" hidden="1" x14ac:dyDescent="0.25">
      <c r="A3261">
        <v>3260</v>
      </c>
      <c r="B3261" s="1" t="s">
        <v>12</v>
      </c>
      <c r="C3261">
        <v>1969</v>
      </c>
      <c r="D3261" s="1" t="s">
        <v>265</v>
      </c>
      <c r="E3261" s="1" t="s">
        <v>58</v>
      </c>
      <c r="F3261">
        <v>54</v>
      </c>
      <c r="G3261" s="1" t="s">
        <v>151</v>
      </c>
      <c r="H3261">
        <v>54056</v>
      </c>
      <c r="I3261">
        <v>10</v>
      </c>
      <c r="J3261">
        <v>9</v>
      </c>
      <c r="K3261">
        <v>9</v>
      </c>
      <c r="L3261">
        <v>1000</v>
      </c>
    </row>
    <row r="3262" spans="1:12" hidden="1" x14ac:dyDescent="0.25">
      <c r="A3262">
        <v>3261</v>
      </c>
      <c r="B3262" s="1" t="s">
        <v>12</v>
      </c>
      <c r="C3262">
        <v>1969</v>
      </c>
      <c r="D3262" s="1" t="s">
        <v>265</v>
      </c>
      <c r="E3262" s="1" t="s">
        <v>58</v>
      </c>
      <c r="F3262">
        <v>54</v>
      </c>
      <c r="G3262" s="1" t="s">
        <v>152</v>
      </c>
      <c r="H3262">
        <v>54063</v>
      </c>
      <c r="I3262">
        <v>10</v>
      </c>
      <c r="J3262">
        <v>10</v>
      </c>
      <c r="K3262">
        <v>12</v>
      </c>
      <c r="L3262">
        <v>1200</v>
      </c>
    </row>
    <row r="3263" spans="1:12" hidden="1" x14ac:dyDescent="0.25">
      <c r="A3263">
        <v>3262</v>
      </c>
      <c r="B3263" s="1" t="s">
        <v>12</v>
      </c>
      <c r="C3263">
        <v>1969</v>
      </c>
      <c r="D3263" s="1" t="s">
        <v>265</v>
      </c>
      <c r="E3263" s="1" t="s">
        <v>58</v>
      </c>
      <c r="F3263">
        <v>54</v>
      </c>
      <c r="G3263" s="1" t="s">
        <v>243</v>
      </c>
      <c r="H3263">
        <v>54070</v>
      </c>
      <c r="I3263">
        <v>52</v>
      </c>
      <c r="J3263">
        <v>48</v>
      </c>
      <c r="K3263">
        <v>30</v>
      </c>
      <c r="L3263">
        <v>625</v>
      </c>
    </row>
    <row r="3264" spans="1:12" hidden="1" x14ac:dyDescent="0.25">
      <c r="A3264">
        <v>3263</v>
      </c>
      <c r="B3264" s="1" t="s">
        <v>12</v>
      </c>
      <c r="C3264">
        <v>1969</v>
      </c>
      <c r="D3264" s="1" t="s">
        <v>265</v>
      </c>
      <c r="E3264" s="1" t="s">
        <v>58</v>
      </c>
      <c r="F3264">
        <v>54</v>
      </c>
      <c r="G3264" s="1" t="s">
        <v>119</v>
      </c>
      <c r="H3264">
        <v>54077</v>
      </c>
      <c r="I3264">
        <v>20</v>
      </c>
      <c r="J3264">
        <v>19</v>
      </c>
      <c r="K3264">
        <v>15</v>
      </c>
      <c r="L3264">
        <v>789</v>
      </c>
    </row>
    <row r="3265" spans="1:12" hidden="1" x14ac:dyDescent="0.25">
      <c r="A3265">
        <v>3264</v>
      </c>
      <c r="B3265" s="1" t="s">
        <v>12</v>
      </c>
      <c r="C3265">
        <v>1969</v>
      </c>
      <c r="D3265" s="1" t="s">
        <v>265</v>
      </c>
      <c r="E3265" s="1" t="s">
        <v>58</v>
      </c>
      <c r="F3265">
        <v>54</v>
      </c>
      <c r="G3265" s="1" t="s">
        <v>244</v>
      </c>
      <c r="H3265">
        <v>54084</v>
      </c>
      <c r="I3265">
        <v>30</v>
      </c>
      <c r="J3265">
        <v>30</v>
      </c>
      <c r="K3265">
        <v>61</v>
      </c>
      <c r="L3265">
        <v>2033</v>
      </c>
    </row>
    <row r="3266" spans="1:12" hidden="1" x14ac:dyDescent="0.25">
      <c r="A3266">
        <v>3265</v>
      </c>
      <c r="B3266" s="1" t="s">
        <v>12</v>
      </c>
      <c r="C3266">
        <v>1969</v>
      </c>
      <c r="D3266" s="1" t="s">
        <v>265</v>
      </c>
      <c r="E3266" s="1" t="s">
        <v>58</v>
      </c>
      <c r="F3266">
        <v>54</v>
      </c>
      <c r="G3266" s="1" t="s">
        <v>242</v>
      </c>
      <c r="H3266">
        <v>54091</v>
      </c>
      <c r="I3266">
        <v>57</v>
      </c>
      <c r="J3266">
        <v>53</v>
      </c>
      <c r="K3266">
        <v>35</v>
      </c>
      <c r="L3266">
        <v>660</v>
      </c>
    </row>
    <row r="3267" spans="1:12" hidden="1" x14ac:dyDescent="0.25">
      <c r="A3267">
        <v>3266</v>
      </c>
      <c r="B3267" s="1" t="s">
        <v>12</v>
      </c>
      <c r="C3267">
        <v>1969</v>
      </c>
      <c r="D3267" s="1" t="s">
        <v>265</v>
      </c>
      <c r="E3267" s="1" t="s">
        <v>58</v>
      </c>
      <c r="F3267">
        <v>54</v>
      </c>
      <c r="G3267" s="1" t="s">
        <v>61</v>
      </c>
      <c r="H3267">
        <v>54098</v>
      </c>
      <c r="I3267">
        <v>64</v>
      </c>
      <c r="J3267">
        <v>62</v>
      </c>
      <c r="K3267">
        <v>43</v>
      </c>
      <c r="L3267">
        <v>694</v>
      </c>
    </row>
    <row r="3268" spans="1:12" hidden="1" x14ac:dyDescent="0.25">
      <c r="A3268">
        <v>3267</v>
      </c>
      <c r="B3268" s="1" t="s">
        <v>12</v>
      </c>
      <c r="C3268">
        <v>1969</v>
      </c>
      <c r="D3268" s="1" t="s">
        <v>265</v>
      </c>
      <c r="E3268" s="1" t="s">
        <v>58</v>
      </c>
      <c r="F3268">
        <v>54</v>
      </c>
      <c r="G3268" s="1" t="s">
        <v>62</v>
      </c>
      <c r="H3268">
        <v>54105</v>
      </c>
      <c r="I3268">
        <v>30</v>
      </c>
      <c r="J3268">
        <v>28</v>
      </c>
      <c r="K3268">
        <v>20</v>
      </c>
      <c r="L3268">
        <v>714</v>
      </c>
    </row>
    <row r="3269" spans="1:12" x14ac:dyDescent="0.25">
      <c r="A3269">
        <v>3268</v>
      </c>
      <c r="B3269" s="1" t="s">
        <v>12</v>
      </c>
      <c r="C3269">
        <v>1969</v>
      </c>
      <c r="D3269" s="1" t="s">
        <v>265</v>
      </c>
      <c r="E3269" s="1" t="s">
        <v>58</v>
      </c>
      <c r="F3269">
        <v>54</v>
      </c>
      <c r="G3269" s="1" t="s">
        <v>56</v>
      </c>
      <c r="H3269">
        <v>54112</v>
      </c>
      <c r="I3269">
        <v>7</v>
      </c>
      <c r="J3269">
        <v>7</v>
      </c>
      <c r="K3269">
        <v>6</v>
      </c>
      <c r="L3269">
        <v>857</v>
      </c>
    </row>
    <row r="3270" spans="1:12" hidden="1" x14ac:dyDescent="0.25">
      <c r="A3270">
        <v>3269</v>
      </c>
      <c r="B3270" s="1" t="s">
        <v>12</v>
      </c>
      <c r="C3270">
        <v>1969</v>
      </c>
      <c r="D3270" s="1" t="s">
        <v>265</v>
      </c>
      <c r="E3270" s="1" t="s">
        <v>87</v>
      </c>
      <c r="F3270">
        <v>66</v>
      </c>
      <c r="G3270" s="1" t="s">
        <v>28</v>
      </c>
      <c r="H3270">
        <v>66028</v>
      </c>
      <c r="I3270">
        <v>5</v>
      </c>
      <c r="J3270">
        <v>5</v>
      </c>
      <c r="K3270">
        <v>7</v>
      </c>
      <c r="L3270">
        <v>1400</v>
      </c>
    </row>
    <row r="3271" spans="1:12" hidden="1" x14ac:dyDescent="0.25">
      <c r="A3271">
        <v>3270</v>
      </c>
      <c r="B3271" s="1" t="s">
        <v>12</v>
      </c>
      <c r="C3271">
        <v>1969</v>
      </c>
      <c r="D3271" s="1" t="s">
        <v>265</v>
      </c>
      <c r="E3271" s="1" t="s">
        <v>87</v>
      </c>
      <c r="F3271">
        <v>66</v>
      </c>
      <c r="G3271" s="1" t="s">
        <v>125</v>
      </c>
      <c r="H3271">
        <v>66035</v>
      </c>
      <c r="I3271">
        <v>10</v>
      </c>
      <c r="J3271">
        <v>10</v>
      </c>
      <c r="K3271">
        <v>13</v>
      </c>
      <c r="L3271">
        <v>1300</v>
      </c>
    </row>
    <row r="3272" spans="1:12" hidden="1" x14ac:dyDescent="0.25">
      <c r="A3272">
        <v>3271</v>
      </c>
      <c r="B3272" s="1" t="s">
        <v>12</v>
      </c>
      <c r="C3272">
        <v>1969</v>
      </c>
      <c r="D3272" s="1" t="s">
        <v>265</v>
      </c>
      <c r="E3272" s="1" t="s">
        <v>87</v>
      </c>
      <c r="F3272">
        <v>66</v>
      </c>
      <c r="G3272" s="1" t="s">
        <v>230</v>
      </c>
      <c r="H3272">
        <v>66056</v>
      </c>
      <c r="I3272">
        <v>105</v>
      </c>
      <c r="J3272">
        <v>105</v>
      </c>
      <c r="K3272">
        <v>100</v>
      </c>
      <c r="L3272">
        <v>952</v>
      </c>
    </row>
    <row r="3273" spans="1:12" hidden="1" x14ac:dyDescent="0.25">
      <c r="A3273">
        <v>3272</v>
      </c>
      <c r="B3273" s="1" t="s">
        <v>12</v>
      </c>
      <c r="C3273">
        <v>1969</v>
      </c>
      <c r="D3273" s="1" t="s">
        <v>265</v>
      </c>
      <c r="E3273" s="1" t="s">
        <v>87</v>
      </c>
      <c r="F3273">
        <v>66</v>
      </c>
      <c r="G3273" s="1" t="s">
        <v>260</v>
      </c>
      <c r="H3273">
        <v>66063</v>
      </c>
      <c r="I3273">
        <v>10</v>
      </c>
      <c r="J3273">
        <v>10</v>
      </c>
      <c r="K3273">
        <v>12</v>
      </c>
      <c r="L3273">
        <v>1200</v>
      </c>
    </row>
    <row r="3274" spans="1:12" hidden="1" x14ac:dyDescent="0.25">
      <c r="A3274">
        <v>3273</v>
      </c>
      <c r="B3274" s="1" t="s">
        <v>12</v>
      </c>
      <c r="C3274">
        <v>1969</v>
      </c>
      <c r="D3274" s="1" t="s">
        <v>265</v>
      </c>
      <c r="E3274" s="1" t="s">
        <v>87</v>
      </c>
      <c r="F3274">
        <v>66</v>
      </c>
      <c r="G3274" s="1" t="s">
        <v>141</v>
      </c>
      <c r="H3274">
        <v>66112</v>
      </c>
      <c r="I3274">
        <v>30</v>
      </c>
      <c r="J3274">
        <v>30</v>
      </c>
      <c r="K3274">
        <v>43</v>
      </c>
      <c r="L3274">
        <v>1433</v>
      </c>
    </row>
    <row r="3275" spans="1:12" hidden="1" x14ac:dyDescent="0.25">
      <c r="A3275">
        <v>3274</v>
      </c>
      <c r="B3275" s="1" t="s">
        <v>12</v>
      </c>
      <c r="C3275">
        <v>1969</v>
      </c>
      <c r="D3275" s="1" t="s">
        <v>265</v>
      </c>
      <c r="E3275" s="1" t="s">
        <v>87</v>
      </c>
      <c r="F3275">
        <v>66</v>
      </c>
      <c r="G3275" s="1" t="s">
        <v>179</v>
      </c>
      <c r="H3275">
        <v>66126</v>
      </c>
      <c r="I3275">
        <v>20</v>
      </c>
      <c r="J3275">
        <v>20</v>
      </c>
      <c r="K3275">
        <v>24</v>
      </c>
      <c r="L3275">
        <v>1200</v>
      </c>
    </row>
    <row r="3276" spans="1:12" hidden="1" x14ac:dyDescent="0.25">
      <c r="A3276">
        <v>3275</v>
      </c>
      <c r="B3276" s="1" t="s">
        <v>12</v>
      </c>
      <c r="C3276">
        <v>1969</v>
      </c>
      <c r="D3276" s="1" t="s">
        <v>265</v>
      </c>
      <c r="E3276" s="1" t="s">
        <v>87</v>
      </c>
      <c r="F3276">
        <v>66</v>
      </c>
      <c r="G3276" s="1" t="s">
        <v>161</v>
      </c>
      <c r="H3276">
        <v>66133</v>
      </c>
      <c r="I3276">
        <v>10</v>
      </c>
      <c r="J3276">
        <v>10</v>
      </c>
      <c r="K3276">
        <v>8</v>
      </c>
      <c r="L3276">
        <v>800</v>
      </c>
    </row>
    <row r="3277" spans="1:12" hidden="1" x14ac:dyDescent="0.25">
      <c r="A3277">
        <v>3276</v>
      </c>
      <c r="B3277" s="1" t="s">
        <v>12</v>
      </c>
      <c r="C3277">
        <v>1969</v>
      </c>
      <c r="D3277" s="1" t="s">
        <v>265</v>
      </c>
      <c r="E3277" s="1" t="s">
        <v>87</v>
      </c>
      <c r="F3277">
        <v>66</v>
      </c>
      <c r="G3277" s="1" t="s">
        <v>188</v>
      </c>
      <c r="H3277">
        <v>66140</v>
      </c>
      <c r="I3277">
        <v>50</v>
      </c>
      <c r="J3277">
        <v>50</v>
      </c>
      <c r="K3277">
        <v>70</v>
      </c>
      <c r="L3277">
        <v>1400</v>
      </c>
    </row>
    <row r="3278" spans="1:12" hidden="1" x14ac:dyDescent="0.25">
      <c r="A3278">
        <v>3277</v>
      </c>
      <c r="B3278" s="1" t="s">
        <v>12</v>
      </c>
      <c r="C3278">
        <v>1969</v>
      </c>
      <c r="D3278" s="1" t="s">
        <v>265</v>
      </c>
      <c r="E3278" s="1" t="s">
        <v>87</v>
      </c>
      <c r="F3278">
        <v>66</v>
      </c>
      <c r="G3278" s="1" t="s">
        <v>130</v>
      </c>
      <c r="H3278">
        <v>66147</v>
      </c>
      <c r="I3278">
        <v>10</v>
      </c>
      <c r="J3278">
        <v>10</v>
      </c>
      <c r="K3278">
        <v>13</v>
      </c>
      <c r="L3278">
        <v>1300</v>
      </c>
    </row>
    <row r="3279" spans="1:12" hidden="1" x14ac:dyDescent="0.25">
      <c r="A3279">
        <v>3278</v>
      </c>
      <c r="B3279" s="1" t="s">
        <v>12</v>
      </c>
      <c r="C3279">
        <v>1969</v>
      </c>
      <c r="D3279" s="1" t="s">
        <v>265</v>
      </c>
      <c r="E3279" s="1" t="s">
        <v>64</v>
      </c>
      <c r="F3279">
        <v>82</v>
      </c>
      <c r="G3279" s="1" t="s">
        <v>66</v>
      </c>
      <c r="H3279">
        <v>82035</v>
      </c>
      <c r="I3279">
        <v>10</v>
      </c>
      <c r="J3279">
        <v>2</v>
      </c>
      <c r="K3279">
        <v>4</v>
      </c>
      <c r="L3279">
        <v>2000</v>
      </c>
    </row>
    <row r="3280" spans="1:12" hidden="1" x14ac:dyDescent="0.25">
      <c r="A3280">
        <v>3279</v>
      </c>
      <c r="B3280" s="1" t="s">
        <v>12</v>
      </c>
      <c r="C3280">
        <v>1969</v>
      </c>
      <c r="D3280" s="1" t="s">
        <v>265</v>
      </c>
      <c r="E3280" s="1" t="s">
        <v>64</v>
      </c>
      <c r="F3280">
        <v>82</v>
      </c>
      <c r="G3280" s="1" t="s">
        <v>65</v>
      </c>
      <c r="H3280">
        <v>82049</v>
      </c>
      <c r="I3280">
        <v>350</v>
      </c>
      <c r="J3280">
        <v>348</v>
      </c>
      <c r="K3280">
        <v>416</v>
      </c>
      <c r="L3280">
        <v>1195</v>
      </c>
    </row>
    <row r="3281" spans="1:12" hidden="1" x14ac:dyDescent="0.25">
      <c r="A3281">
        <v>3280</v>
      </c>
      <c r="B3281" s="1" t="s">
        <v>12</v>
      </c>
      <c r="C3281">
        <v>1969</v>
      </c>
      <c r="D3281" s="1" t="s">
        <v>265</v>
      </c>
      <c r="E3281" s="1" t="s">
        <v>77</v>
      </c>
      <c r="F3281">
        <v>90</v>
      </c>
      <c r="G3281" s="1" t="s">
        <v>78</v>
      </c>
      <c r="H3281">
        <v>90007</v>
      </c>
      <c r="I3281">
        <v>900</v>
      </c>
      <c r="J3281">
        <v>540</v>
      </c>
      <c r="K3281">
        <v>590</v>
      </c>
      <c r="L3281">
        <v>1093</v>
      </c>
    </row>
    <row r="3282" spans="1:12" hidden="1" x14ac:dyDescent="0.25">
      <c r="A3282">
        <v>3281</v>
      </c>
      <c r="B3282" s="1" t="s">
        <v>12</v>
      </c>
      <c r="C3282">
        <v>1969</v>
      </c>
      <c r="D3282" s="1" t="s">
        <v>265</v>
      </c>
      <c r="E3282" s="1" t="s">
        <v>77</v>
      </c>
      <c r="F3282">
        <v>90</v>
      </c>
      <c r="G3282" s="1" t="s">
        <v>91</v>
      </c>
      <c r="H3282">
        <v>90014</v>
      </c>
      <c r="I3282">
        <v>200</v>
      </c>
      <c r="J3282">
        <v>180</v>
      </c>
      <c r="K3282">
        <v>198</v>
      </c>
      <c r="L3282">
        <v>1100</v>
      </c>
    </row>
    <row r="3283" spans="1:12" hidden="1" x14ac:dyDescent="0.25">
      <c r="A3283">
        <v>3282</v>
      </c>
      <c r="B3283" s="1" t="s">
        <v>12</v>
      </c>
      <c r="C3283">
        <v>1969</v>
      </c>
      <c r="D3283" s="1" t="s">
        <v>265</v>
      </c>
      <c r="E3283" s="1" t="s">
        <v>77</v>
      </c>
      <c r="F3283">
        <v>90</v>
      </c>
      <c r="G3283" s="1" t="s">
        <v>92</v>
      </c>
      <c r="H3283">
        <v>90056</v>
      </c>
      <c r="I3283">
        <v>200</v>
      </c>
      <c r="J3283">
        <v>180</v>
      </c>
      <c r="K3283">
        <v>162</v>
      </c>
      <c r="L3283">
        <v>900</v>
      </c>
    </row>
    <row r="3284" spans="1:12" hidden="1" x14ac:dyDescent="0.25">
      <c r="A3284">
        <v>3283</v>
      </c>
      <c r="B3284" s="1" t="s">
        <v>12</v>
      </c>
      <c r="C3284">
        <v>1970</v>
      </c>
      <c r="D3284" s="1" t="s">
        <v>267</v>
      </c>
      <c r="E3284" s="1" t="s">
        <v>22</v>
      </c>
      <c r="F3284">
        <v>14</v>
      </c>
      <c r="G3284" s="1" t="s">
        <v>97</v>
      </c>
      <c r="H3284">
        <v>14007</v>
      </c>
      <c r="I3284">
        <v>8000</v>
      </c>
      <c r="J3284">
        <v>8000</v>
      </c>
      <c r="K3284">
        <v>9400</v>
      </c>
      <c r="L3284">
        <v>1175</v>
      </c>
    </row>
    <row r="3285" spans="1:12" hidden="1" x14ac:dyDescent="0.25">
      <c r="A3285">
        <v>3284</v>
      </c>
      <c r="B3285" s="1" t="s">
        <v>12</v>
      </c>
      <c r="C3285">
        <v>1970</v>
      </c>
      <c r="D3285" s="1" t="s">
        <v>267</v>
      </c>
      <c r="E3285" s="1" t="s">
        <v>22</v>
      </c>
      <c r="F3285">
        <v>14</v>
      </c>
      <c r="G3285" s="1" t="s">
        <v>184</v>
      </c>
      <c r="H3285">
        <v>14042</v>
      </c>
      <c r="I3285">
        <v>15000</v>
      </c>
      <c r="J3285">
        <v>15000</v>
      </c>
      <c r="K3285">
        <v>21500</v>
      </c>
      <c r="L3285">
        <v>1433</v>
      </c>
    </row>
    <row r="3286" spans="1:12" hidden="1" x14ac:dyDescent="0.25">
      <c r="A3286">
        <v>3285</v>
      </c>
      <c r="B3286" s="1" t="s">
        <v>12</v>
      </c>
      <c r="C3286">
        <v>1970</v>
      </c>
      <c r="D3286" s="1" t="s">
        <v>267</v>
      </c>
      <c r="E3286" s="1" t="s">
        <v>22</v>
      </c>
      <c r="F3286">
        <v>14</v>
      </c>
      <c r="G3286" s="1" t="s">
        <v>143</v>
      </c>
      <c r="H3286">
        <v>14056</v>
      </c>
      <c r="I3286">
        <v>34000</v>
      </c>
      <c r="J3286">
        <v>33000</v>
      </c>
      <c r="K3286">
        <v>46100</v>
      </c>
      <c r="L3286">
        <v>1397</v>
      </c>
    </row>
    <row r="3287" spans="1:12" hidden="1" x14ac:dyDescent="0.25">
      <c r="A3287">
        <v>3286</v>
      </c>
      <c r="B3287" s="1" t="s">
        <v>12</v>
      </c>
      <c r="C3287">
        <v>1970</v>
      </c>
      <c r="D3287" s="1" t="s">
        <v>267</v>
      </c>
      <c r="E3287" s="1" t="s">
        <v>22</v>
      </c>
      <c r="F3287">
        <v>14</v>
      </c>
      <c r="G3287" s="1" t="s">
        <v>29</v>
      </c>
      <c r="H3287">
        <v>14098</v>
      </c>
      <c r="I3287">
        <v>6500</v>
      </c>
      <c r="J3287">
        <v>6500</v>
      </c>
      <c r="K3287">
        <v>8100</v>
      </c>
      <c r="L3287">
        <v>1246</v>
      </c>
    </row>
    <row r="3288" spans="1:12" hidden="1" x14ac:dyDescent="0.25">
      <c r="A3288">
        <v>3287</v>
      </c>
      <c r="B3288" s="1" t="s">
        <v>12</v>
      </c>
      <c r="C3288">
        <v>1970</v>
      </c>
      <c r="D3288" s="1" t="s">
        <v>267</v>
      </c>
      <c r="E3288" s="1" t="s">
        <v>22</v>
      </c>
      <c r="F3288">
        <v>14</v>
      </c>
      <c r="G3288" s="1" t="s">
        <v>25</v>
      </c>
      <c r="H3288">
        <v>14105</v>
      </c>
      <c r="I3288">
        <v>4500</v>
      </c>
      <c r="J3288">
        <v>4500</v>
      </c>
      <c r="K3288">
        <v>5150</v>
      </c>
      <c r="L3288">
        <v>1144</v>
      </c>
    </row>
    <row r="3289" spans="1:12" hidden="1" x14ac:dyDescent="0.25">
      <c r="A3289">
        <v>3288</v>
      </c>
      <c r="B3289" s="1" t="s">
        <v>12</v>
      </c>
      <c r="C3289">
        <v>1970</v>
      </c>
      <c r="D3289" s="1" t="s">
        <v>267</v>
      </c>
      <c r="E3289" s="1" t="s">
        <v>22</v>
      </c>
      <c r="F3289">
        <v>14</v>
      </c>
      <c r="G3289" s="1" t="s">
        <v>24</v>
      </c>
      <c r="H3289">
        <v>14119</v>
      </c>
      <c r="I3289">
        <v>95000</v>
      </c>
      <c r="J3289">
        <v>95000</v>
      </c>
      <c r="K3289">
        <v>108000</v>
      </c>
      <c r="L3289">
        <v>1137</v>
      </c>
    </row>
    <row r="3290" spans="1:12" hidden="1" x14ac:dyDescent="0.25">
      <c r="A3290">
        <v>3289</v>
      </c>
      <c r="B3290" s="1" t="s">
        <v>12</v>
      </c>
      <c r="C3290">
        <v>1970</v>
      </c>
      <c r="D3290" s="1" t="s">
        <v>267</v>
      </c>
      <c r="E3290" s="1" t="s">
        <v>22</v>
      </c>
      <c r="F3290">
        <v>14</v>
      </c>
      <c r="G3290" s="1" t="s">
        <v>67</v>
      </c>
      <c r="H3290">
        <v>14140</v>
      </c>
      <c r="I3290">
        <v>100</v>
      </c>
      <c r="J3290">
        <v>100</v>
      </c>
      <c r="K3290">
        <v>110</v>
      </c>
      <c r="L3290">
        <v>1100</v>
      </c>
    </row>
    <row r="3291" spans="1:12" hidden="1" x14ac:dyDescent="0.25">
      <c r="A3291">
        <v>3290</v>
      </c>
      <c r="B3291" s="1" t="s">
        <v>12</v>
      </c>
      <c r="C3291">
        <v>1970</v>
      </c>
      <c r="D3291" s="1" t="s">
        <v>267</v>
      </c>
      <c r="E3291" s="1" t="s">
        <v>22</v>
      </c>
      <c r="F3291">
        <v>14</v>
      </c>
      <c r="G3291" s="1" t="s">
        <v>23</v>
      </c>
      <c r="H3291">
        <v>14147</v>
      </c>
      <c r="I3291">
        <v>16000</v>
      </c>
      <c r="J3291">
        <v>15000</v>
      </c>
      <c r="K3291">
        <v>16300</v>
      </c>
      <c r="L3291">
        <v>1087</v>
      </c>
    </row>
    <row r="3292" spans="1:12" hidden="1" x14ac:dyDescent="0.25">
      <c r="A3292">
        <v>3291</v>
      </c>
      <c r="B3292" s="1" t="s">
        <v>12</v>
      </c>
      <c r="C3292">
        <v>1970</v>
      </c>
      <c r="D3292" s="1" t="s">
        <v>267</v>
      </c>
      <c r="E3292" s="1" t="s">
        <v>22</v>
      </c>
      <c r="F3292">
        <v>14</v>
      </c>
      <c r="G3292" s="1" t="s">
        <v>26</v>
      </c>
      <c r="H3292">
        <v>14161</v>
      </c>
      <c r="I3292">
        <v>120000</v>
      </c>
      <c r="J3292">
        <v>120000</v>
      </c>
      <c r="K3292">
        <v>160000</v>
      </c>
      <c r="L3292">
        <v>1333</v>
      </c>
    </row>
    <row r="3293" spans="1:12" hidden="1" x14ac:dyDescent="0.25">
      <c r="A3293">
        <v>3292</v>
      </c>
      <c r="B3293" s="1" t="s">
        <v>12</v>
      </c>
      <c r="C3293">
        <v>1970</v>
      </c>
      <c r="D3293" s="1" t="s">
        <v>267</v>
      </c>
      <c r="E3293" s="1" t="s">
        <v>22</v>
      </c>
      <c r="F3293">
        <v>14</v>
      </c>
      <c r="G3293" s="1" t="s">
        <v>122</v>
      </c>
      <c r="H3293">
        <v>14182</v>
      </c>
      <c r="I3293">
        <v>1000</v>
      </c>
      <c r="J3293">
        <v>1000</v>
      </c>
      <c r="K3293">
        <v>1340</v>
      </c>
      <c r="L3293">
        <v>1340</v>
      </c>
    </row>
    <row r="3294" spans="1:12" hidden="1" x14ac:dyDescent="0.25">
      <c r="A3294">
        <v>3293</v>
      </c>
      <c r="B3294" s="1" t="s">
        <v>12</v>
      </c>
      <c r="C3294">
        <v>1970</v>
      </c>
      <c r="D3294" s="1" t="s">
        <v>267</v>
      </c>
      <c r="E3294" s="1" t="s">
        <v>30</v>
      </c>
      <c r="F3294">
        <v>18</v>
      </c>
      <c r="G3294" s="1" t="s">
        <v>28</v>
      </c>
      <c r="H3294">
        <v>18021</v>
      </c>
      <c r="I3294">
        <v>5</v>
      </c>
      <c r="J3294">
        <v>4</v>
      </c>
      <c r="K3294">
        <v>5</v>
      </c>
      <c r="L3294">
        <v>1250</v>
      </c>
    </row>
    <row r="3295" spans="1:12" hidden="1" x14ac:dyDescent="0.25">
      <c r="A3295">
        <v>3294</v>
      </c>
      <c r="B3295" s="1" t="s">
        <v>12</v>
      </c>
      <c r="C3295">
        <v>1970</v>
      </c>
      <c r="D3295" s="1" t="s">
        <v>267</v>
      </c>
      <c r="E3295" s="1" t="s">
        <v>30</v>
      </c>
      <c r="F3295">
        <v>18</v>
      </c>
      <c r="G3295" s="1" t="s">
        <v>42</v>
      </c>
      <c r="H3295">
        <v>18035</v>
      </c>
      <c r="I3295">
        <v>150</v>
      </c>
      <c r="J3295">
        <v>120</v>
      </c>
      <c r="K3295">
        <v>125</v>
      </c>
      <c r="L3295">
        <v>1042</v>
      </c>
    </row>
    <row r="3296" spans="1:12" hidden="1" x14ac:dyDescent="0.25">
      <c r="A3296">
        <v>3295</v>
      </c>
      <c r="B3296" s="1" t="s">
        <v>12</v>
      </c>
      <c r="C3296">
        <v>1970</v>
      </c>
      <c r="D3296" s="1" t="s">
        <v>267</v>
      </c>
      <c r="E3296" s="1" t="s">
        <v>30</v>
      </c>
      <c r="F3296">
        <v>18</v>
      </c>
      <c r="G3296" s="1" t="s">
        <v>34</v>
      </c>
      <c r="H3296">
        <v>18042</v>
      </c>
      <c r="I3296">
        <v>3</v>
      </c>
      <c r="J3296">
        <v>2</v>
      </c>
      <c r="K3296">
        <v>3</v>
      </c>
      <c r="L3296">
        <v>1500</v>
      </c>
    </row>
    <row r="3297" spans="1:12" hidden="1" x14ac:dyDescent="0.25">
      <c r="A3297">
        <v>3296</v>
      </c>
      <c r="B3297" s="1" t="s">
        <v>12</v>
      </c>
      <c r="C3297">
        <v>1970</v>
      </c>
      <c r="D3297" s="1" t="s">
        <v>267</v>
      </c>
      <c r="E3297" s="1" t="s">
        <v>30</v>
      </c>
      <c r="F3297">
        <v>18</v>
      </c>
      <c r="G3297" s="1" t="s">
        <v>35</v>
      </c>
      <c r="H3297">
        <v>18049</v>
      </c>
      <c r="I3297">
        <v>4</v>
      </c>
      <c r="J3297">
        <v>3</v>
      </c>
      <c r="K3297">
        <v>3</v>
      </c>
      <c r="L3297">
        <v>1000</v>
      </c>
    </row>
    <row r="3298" spans="1:12" hidden="1" x14ac:dyDescent="0.25">
      <c r="A3298">
        <v>3297</v>
      </c>
      <c r="B3298" s="1" t="s">
        <v>12</v>
      </c>
      <c r="C3298">
        <v>1970</v>
      </c>
      <c r="D3298" s="1" t="s">
        <v>267</v>
      </c>
      <c r="E3298" s="1" t="s">
        <v>30</v>
      </c>
      <c r="F3298">
        <v>18</v>
      </c>
      <c r="G3298" s="1" t="s">
        <v>99</v>
      </c>
      <c r="H3298">
        <v>18063</v>
      </c>
      <c r="I3298">
        <v>5</v>
      </c>
      <c r="J3298">
        <v>4</v>
      </c>
      <c r="K3298">
        <v>5</v>
      </c>
      <c r="L3298">
        <v>1250</v>
      </c>
    </row>
    <row r="3299" spans="1:12" hidden="1" x14ac:dyDescent="0.25">
      <c r="A3299">
        <v>3298</v>
      </c>
      <c r="B3299" s="1" t="s">
        <v>12</v>
      </c>
      <c r="C3299">
        <v>1970</v>
      </c>
      <c r="D3299" s="1" t="s">
        <v>267</v>
      </c>
      <c r="E3299" s="1" t="s">
        <v>30</v>
      </c>
      <c r="F3299">
        <v>18</v>
      </c>
      <c r="G3299" s="1" t="s">
        <v>100</v>
      </c>
      <c r="H3299">
        <v>18077</v>
      </c>
      <c r="I3299">
        <v>2</v>
      </c>
      <c r="J3299">
        <v>2</v>
      </c>
      <c r="K3299">
        <v>3</v>
      </c>
      <c r="L3299">
        <v>1500</v>
      </c>
    </row>
    <row r="3300" spans="1:12" hidden="1" x14ac:dyDescent="0.25">
      <c r="A3300">
        <v>3299</v>
      </c>
      <c r="B3300" s="1" t="s">
        <v>12</v>
      </c>
      <c r="C3300">
        <v>1970</v>
      </c>
      <c r="D3300" s="1" t="s">
        <v>267</v>
      </c>
      <c r="E3300" s="1" t="s">
        <v>30</v>
      </c>
      <c r="F3300">
        <v>18</v>
      </c>
      <c r="G3300" s="1" t="s">
        <v>39</v>
      </c>
      <c r="H3300">
        <v>18084</v>
      </c>
      <c r="I3300">
        <v>300</v>
      </c>
      <c r="J3300">
        <v>180</v>
      </c>
      <c r="K3300">
        <v>126</v>
      </c>
      <c r="L3300">
        <v>700</v>
      </c>
    </row>
    <row r="3301" spans="1:12" hidden="1" x14ac:dyDescent="0.25">
      <c r="A3301">
        <v>3300</v>
      </c>
      <c r="B3301" s="1" t="s">
        <v>12</v>
      </c>
      <c r="C3301">
        <v>1970</v>
      </c>
      <c r="D3301" s="1" t="s">
        <v>267</v>
      </c>
      <c r="E3301" s="1" t="s">
        <v>30</v>
      </c>
      <c r="F3301">
        <v>18</v>
      </c>
      <c r="G3301" s="1" t="s">
        <v>33</v>
      </c>
      <c r="H3301">
        <v>18091</v>
      </c>
      <c r="I3301">
        <v>2</v>
      </c>
      <c r="J3301">
        <v>2</v>
      </c>
      <c r="K3301">
        <v>2</v>
      </c>
      <c r="L3301">
        <v>1000</v>
      </c>
    </row>
    <row r="3302" spans="1:12" hidden="1" x14ac:dyDescent="0.25">
      <c r="A3302">
        <v>3301</v>
      </c>
      <c r="B3302" s="1" t="s">
        <v>12</v>
      </c>
      <c r="C3302">
        <v>1970</v>
      </c>
      <c r="D3302" s="1" t="s">
        <v>267</v>
      </c>
      <c r="E3302" s="1" t="s">
        <v>30</v>
      </c>
      <c r="F3302">
        <v>18</v>
      </c>
      <c r="G3302" s="1" t="s">
        <v>32</v>
      </c>
      <c r="H3302">
        <v>18112</v>
      </c>
      <c r="I3302">
        <v>400</v>
      </c>
      <c r="J3302">
        <v>320</v>
      </c>
      <c r="K3302">
        <v>332</v>
      </c>
      <c r="L3302">
        <v>1038</v>
      </c>
    </row>
    <row r="3303" spans="1:12" hidden="1" x14ac:dyDescent="0.25">
      <c r="A3303">
        <v>3302</v>
      </c>
      <c r="B3303" s="1" t="s">
        <v>12</v>
      </c>
      <c r="C3303">
        <v>1970</v>
      </c>
      <c r="D3303" s="1" t="s">
        <v>267</v>
      </c>
      <c r="E3303" s="1" t="s">
        <v>30</v>
      </c>
      <c r="F3303">
        <v>18</v>
      </c>
      <c r="G3303" s="1" t="s">
        <v>104</v>
      </c>
      <c r="H3303">
        <v>18119</v>
      </c>
      <c r="I3303">
        <v>400</v>
      </c>
      <c r="J3303">
        <v>330</v>
      </c>
      <c r="K3303">
        <v>343</v>
      </c>
      <c r="L3303">
        <v>1039</v>
      </c>
    </row>
    <row r="3304" spans="1:12" hidden="1" x14ac:dyDescent="0.25">
      <c r="A3304">
        <v>3303</v>
      </c>
      <c r="B3304" s="1" t="s">
        <v>12</v>
      </c>
      <c r="C3304">
        <v>1970</v>
      </c>
      <c r="D3304" s="1" t="s">
        <v>267</v>
      </c>
      <c r="E3304" s="1" t="s">
        <v>30</v>
      </c>
      <c r="F3304">
        <v>18</v>
      </c>
      <c r="G3304" s="1" t="s">
        <v>36</v>
      </c>
      <c r="H3304">
        <v>18133</v>
      </c>
      <c r="I3304">
        <v>2</v>
      </c>
      <c r="J3304">
        <v>2</v>
      </c>
      <c r="K3304">
        <v>3</v>
      </c>
      <c r="L3304">
        <v>1500</v>
      </c>
    </row>
    <row r="3305" spans="1:12" hidden="1" x14ac:dyDescent="0.25">
      <c r="A3305">
        <v>3304</v>
      </c>
      <c r="B3305" s="1" t="s">
        <v>12</v>
      </c>
      <c r="C3305">
        <v>1970</v>
      </c>
      <c r="D3305" s="1" t="s">
        <v>267</v>
      </c>
      <c r="E3305" s="1" t="s">
        <v>30</v>
      </c>
      <c r="F3305">
        <v>18</v>
      </c>
      <c r="G3305" s="1" t="s">
        <v>41</v>
      </c>
      <c r="H3305">
        <v>18140</v>
      </c>
      <c r="I3305">
        <v>15</v>
      </c>
      <c r="J3305">
        <v>12</v>
      </c>
      <c r="K3305">
        <v>15</v>
      </c>
      <c r="L3305">
        <v>1250</v>
      </c>
    </row>
    <row r="3306" spans="1:12" hidden="1" x14ac:dyDescent="0.25">
      <c r="A3306">
        <v>3305</v>
      </c>
      <c r="B3306" s="1" t="s">
        <v>12</v>
      </c>
      <c r="C3306">
        <v>1970</v>
      </c>
      <c r="D3306" s="1" t="s">
        <v>267</v>
      </c>
      <c r="E3306" s="1" t="s">
        <v>30</v>
      </c>
      <c r="F3306">
        <v>18</v>
      </c>
      <c r="G3306" s="1" t="s">
        <v>37</v>
      </c>
      <c r="H3306">
        <v>18147</v>
      </c>
      <c r="I3306">
        <v>150</v>
      </c>
      <c r="J3306">
        <v>120</v>
      </c>
      <c r="K3306">
        <v>90</v>
      </c>
      <c r="L3306">
        <v>750</v>
      </c>
    </row>
    <row r="3307" spans="1:12" hidden="1" x14ac:dyDescent="0.25">
      <c r="A3307">
        <v>3306</v>
      </c>
      <c r="B3307" s="1" t="s">
        <v>12</v>
      </c>
      <c r="C3307">
        <v>1970</v>
      </c>
      <c r="D3307" s="1" t="s">
        <v>267</v>
      </c>
      <c r="E3307" s="1" t="s">
        <v>30</v>
      </c>
      <c r="F3307">
        <v>18</v>
      </c>
      <c r="G3307" s="1" t="s">
        <v>44</v>
      </c>
      <c r="H3307">
        <v>18168</v>
      </c>
      <c r="I3307">
        <v>3032</v>
      </c>
      <c r="J3307">
        <v>1809</v>
      </c>
      <c r="K3307">
        <v>1245</v>
      </c>
      <c r="L3307">
        <v>688</v>
      </c>
    </row>
    <row r="3308" spans="1:12" hidden="1" x14ac:dyDescent="0.25">
      <c r="A3308">
        <v>3307</v>
      </c>
      <c r="B3308" s="1" t="s">
        <v>12</v>
      </c>
      <c r="C3308">
        <v>1970</v>
      </c>
      <c r="D3308" s="1" t="s">
        <v>267</v>
      </c>
      <c r="E3308" s="1" t="s">
        <v>45</v>
      </c>
      <c r="F3308">
        <v>30</v>
      </c>
      <c r="G3308" s="1" t="s">
        <v>47</v>
      </c>
      <c r="H3308">
        <v>30015</v>
      </c>
      <c r="I3308">
        <v>40</v>
      </c>
      <c r="J3308">
        <v>40</v>
      </c>
      <c r="K3308">
        <v>30</v>
      </c>
      <c r="L3308">
        <v>750</v>
      </c>
    </row>
    <row r="3309" spans="1:12" hidden="1" x14ac:dyDescent="0.25">
      <c r="A3309">
        <v>3308</v>
      </c>
      <c r="B3309" s="1" t="s">
        <v>12</v>
      </c>
      <c r="C3309">
        <v>1970</v>
      </c>
      <c r="D3309" s="1" t="s">
        <v>267</v>
      </c>
      <c r="E3309" s="1" t="s">
        <v>45</v>
      </c>
      <c r="F3309">
        <v>30</v>
      </c>
      <c r="G3309" s="1" t="s">
        <v>46</v>
      </c>
      <c r="H3309">
        <v>30028</v>
      </c>
      <c r="I3309">
        <v>100</v>
      </c>
      <c r="J3309">
        <v>100</v>
      </c>
      <c r="K3309">
        <v>70</v>
      </c>
      <c r="L3309">
        <v>700</v>
      </c>
    </row>
    <row r="3310" spans="1:12" hidden="1" x14ac:dyDescent="0.25">
      <c r="A3310">
        <v>3309</v>
      </c>
      <c r="B3310" s="1" t="s">
        <v>12</v>
      </c>
      <c r="C3310">
        <v>1970</v>
      </c>
      <c r="D3310" s="1" t="s">
        <v>267</v>
      </c>
      <c r="E3310" s="1" t="s">
        <v>48</v>
      </c>
      <c r="F3310">
        <v>34</v>
      </c>
      <c r="G3310" s="1" t="s">
        <v>48</v>
      </c>
      <c r="H3310">
        <v>34014</v>
      </c>
      <c r="I3310">
        <v>10</v>
      </c>
      <c r="J3310">
        <v>10</v>
      </c>
      <c r="K3310">
        <v>7</v>
      </c>
      <c r="L3310">
        <v>700</v>
      </c>
    </row>
    <row r="3311" spans="1:12" hidden="1" x14ac:dyDescent="0.25">
      <c r="A3311">
        <v>3310</v>
      </c>
      <c r="B3311" s="1" t="s">
        <v>12</v>
      </c>
      <c r="C3311">
        <v>1970</v>
      </c>
      <c r="D3311" s="1" t="s">
        <v>267</v>
      </c>
      <c r="E3311" s="1" t="s">
        <v>48</v>
      </c>
      <c r="F3311">
        <v>34</v>
      </c>
      <c r="G3311" s="1" t="s">
        <v>50</v>
      </c>
      <c r="H3311">
        <v>34021</v>
      </c>
      <c r="I3311">
        <v>30</v>
      </c>
      <c r="J3311">
        <v>30</v>
      </c>
      <c r="K3311">
        <v>24</v>
      </c>
      <c r="L3311">
        <v>800</v>
      </c>
    </row>
    <row r="3312" spans="1:12" hidden="1" x14ac:dyDescent="0.25">
      <c r="A3312">
        <v>3311</v>
      </c>
      <c r="B3312" s="1" t="s">
        <v>12</v>
      </c>
      <c r="C3312">
        <v>1970</v>
      </c>
      <c r="D3312" s="1" t="s">
        <v>267</v>
      </c>
      <c r="E3312" s="1" t="s">
        <v>48</v>
      </c>
      <c r="F3312">
        <v>34</v>
      </c>
      <c r="G3312" s="1" t="s">
        <v>52</v>
      </c>
      <c r="H3312">
        <v>34035</v>
      </c>
      <c r="I3312">
        <v>120</v>
      </c>
      <c r="J3312">
        <v>90</v>
      </c>
      <c r="K3312">
        <v>30</v>
      </c>
      <c r="L3312">
        <v>333</v>
      </c>
    </row>
    <row r="3313" spans="1:12" hidden="1" x14ac:dyDescent="0.25">
      <c r="A3313">
        <v>3312</v>
      </c>
      <c r="B3313" s="1" t="s">
        <v>12</v>
      </c>
      <c r="C3313">
        <v>1970</v>
      </c>
      <c r="D3313" s="1" t="s">
        <v>267</v>
      </c>
      <c r="E3313" s="1" t="s">
        <v>48</v>
      </c>
      <c r="F3313">
        <v>34</v>
      </c>
      <c r="G3313" s="1" t="s">
        <v>108</v>
      </c>
      <c r="H3313">
        <v>34042</v>
      </c>
      <c r="I3313">
        <v>5</v>
      </c>
      <c r="J3313">
        <v>5</v>
      </c>
      <c r="K3313">
        <v>3</v>
      </c>
      <c r="L3313">
        <v>600</v>
      </c>
    </row>
    <row r="3314" spans="1:12" hidden="1" x14ac:dyDescent="0.25">
      <c r="A3314">
        <v>3313</v>
      </c>
      <c r="B3314" s="1" t="s">
        <v>12</v>
      </c>
      <c r="C3314">
        <v>1970</v>
      </c>
      <c r="D3314" s="1" t="s">
        <v>267</v>
      </c>
      <c r="E3314" s="1" t="s">
        <v>48</v>
      </c>
      <c r="F3314">
        <v>34</v>
      </c>
      <c r="G3314" s="1" t="s">
        <v>49</v>
      </c>
      <c r="H3314">
        <v>34049</v>
      </c>
      <c r="I3314">
        <v>20</v>
      </c>
      <c r="J3314">
        <v>20</v>
      </c>
      <c r="K3314">
        <v>16</v>
      </c>
      <c r="L3314">
        <v>800</v>
      </c>
    </row>
    <row r="3315" spans="1:12" hidden="1" x14ac:dyDescent="0.25">
      <c r="A3315">
        <v>3314</v>
      </c>
      <c r="B3315" s="1" t="s">
        <v>12</v>
      </c>
      <c r="C3315">
        <v>1970</v>
      </c>
      <c r="D3315" s="1" t="s">
        <v>267</v>
      </c>
      <c r="E3315" s="1" t="s">
        <v>48</v>
      </c>
      <c r="F3315">
        <v>34</v>
      </c>
      <c r="G3315" s="1" t="s">
        <v>51</v>
      </c>
      <c r="H3315">
        <v>34056</v>
      </c>
      <c r="I3315">
        <v>50</v>
      </c>
      <c r="J3315">
        <v>50</v>
      </c>
      <c r="K3315">
        <v>40</v>
      </c>
      <c r="L3315">
        <v>800</v>
      </c>
    </row>
    <row r="3316" spans="1:12" hidden="1" x14ac:dyDescent="0.25">
      <c r="A3316">
        <v>3315</v>
      </c>
      <c r="B3316" s="1" t="s">
        <v>12</v>
      </c>
      <c r="C3316">
        <v>1970</v>
      </c>
      <c r="D3316" s="1" t="s">
        <v>267</v>
      </c>
      <c r="E3316" s="1" t="s">
        <v>58</v>
      </c>
      <c r="F3316">
        <v>54</v>
      </c>
      <c r="G3316" s="1" t="s">
        <v>234</v>
      </c>
      <c r="H3316">
        <v>54119</v>
      </c>
      <c r="I3316">
        <v>15</v>
      </c>
      <c r="J3316">
        <v>10</v>
      </c>
      <c r="K3316">
        <v>6</v>
      </c>
      <c r="L3316">
        <v>600</v>
      </c>
    </row>
    <row r="3317" spans="1:12" hidden="1" x14ac:dyDescent="0.25">
      <c r="A3317">
        <v>3316</v>
      </c>
      <c r="B3317" s="1" t="s">
        <v>12</v>
      </c>
      <c r="C3317">
        <v>1970</v>
      </c>
      <c r="D3317" s="1" t="s">
        <v>267</v>
      </c>
      <c r="E3317" s="1" t="s">
        <v>58</v>
      </c>
      <c r="F3317">
        <v>54</v>
      </c>
      <c r="G3317" s="1" t="s">
        <v>59</v>
      </c>
      <c r="H3317">
        <v>54007</v>
      </c>
      <c r="I3317">
        <v>47</v>
      </c>
      <c r="J3317">
        <v>40</v>
      </c>
      <c r="K3317">
        <v>28</v>
      </c>
      <c r="L3317">
        <v>700</v>
      </c>
    </row>
    <row r="3318" spans="1:12" hidden="1" x14ac:dyDescent="0.25">
      <c r="A3318">
        <v>3317</v>
      </c>
      <c r="B3318" s="1" t="s">
        <v>12</v>
      </c>
      <c r="C3318">
        <v>1970</v>
      </c>
      <c r="D3318" s="1" t="s">
        <v>267</v>
      </c>
      <c r="E3318" s="1" t="s">
        <v>58</v>
      </c>
      <c r="F3318">
        <v>54</v>
      </c>
      <c r="G3318" s="1" t="s">
        <v>150</v>
      </c>
      <c r="H3318">
        <v>54014</v>
      </c>
      <c r="I3318">
        <v>47</v>
      </c>
      <c r="J3318">
        <v>40</v>
      </c>
      <c r="K3318">
        <v>28</v>
      </c>
      <c r="L3318">
        <v>700</v>
      </c>
    </row>
    <row r="3319" spans="1:12" hidden="1" x14ac:dyDescent="0.25">
      <c r="A3319">
        <v>3318</v>
      </c>
      <c r="B3319" s="1" t="s">
        <v>12</v>
      </c>
      <c r="C3319">
        <v>1970</v>
      </c>
      <c r="D3319" s="1" t="s">
        <v>267</v>
      </c>
      <c r="E3319" s="1" t="s">
        <v>58</v>
      </c>
      <c r="F3319">
        <v>54</v>
      </c>
      <c r="G3319" s="1" t="s">
        <v>60</v>
      </c>
      <c r="H3319">
        <v>54021</v>
      </c>
      <c r="I3319">
        <v>40</v>
      </c>
      <c r="J3319">
        <v>35</v>
      </c>
      <c r="K3319">
        <v>25</v>
      </c>
      <c r="L3319">
        <v>714</v>
      </c>
    </row>
    <row r="3320" spans="1:12" hidden="1" x14ac:dyDescent="0.25">
      <c r="A3320">
        <v>3319</v>
      </c>
      <c r="B3320" s="1" t="s">
        <v>12</v>
      </c>
      <c r="C3320">
        <v>1970</v>
      </c>
      <c r="D3320" s="1" t="s">
        <v>267</v>
      </c>
      <c r="E3320" s="1" t="s">
        <v>58</v>
      </c>
      <c r="F3320">
        <v>54</v>
      </c>
      <c r="G3320" s="1" t="s">
        <v>63</v>
      </c>
      <c r="H3320">
        <v>54035</v>
      </c>
      <c r="I3320">
        <v>45</v>
      </c>
      <c r="J3320">
        <v>40</v>
      </c>
      <c r="K3320">
        <v>28</v>
      </c>
      <c r="L3320">
        <v>700</v>
      </c>
    </row>
    <row r="3321" spans="1:12" hidden="1" x14ac:dyDescent="0.25">
      <c r="A3321">
        <v>3320</v>
      </c>
      <c r="B3321" s="1" t="s">
        <v>12</v>
      </c>
      <c r="C3321">
        <v>1970</v>
      </c>
      <c r="D3321" s="1" t="s">
        <v>267</v>
      </c>
      <c r="E3321" s="1" t="s">
        <v>58</v>
      </c>
      <c r="F3321">
        <v>54</v>
      </c>
      <c r="G3321" s="1" t="s">
        <v>266</v>
      </c>
      <c r="H3321">
        <v>54042</v>
      </c>
      <c r="I3321">
        <v>43</v>
      </c>
      <c r="J3321">
        <v>35</v>
      </c>
      <c r="K3321">
        <v>25</v>
      </c>
      <c r="L3321">
        <v>714</v>
      </c>
    </row>
    <row r="3322" spans="1:12" hidden="1" x14ac:dyDescent="0.25">
      <c r="A3322">
        <v>3321</v>
      </c>
      <c r="B3322" s="1" t="s">
        <v>12</v>
      </c>
      <c r="C3322">
        <v>1970</v>
      </c>
      <c r="D3322" s="1" t="s">
        <v>267</v>
      </c>
      <c r="E3322" s="1" t="s">
        <v>58</v>
      </c>
      <c r="F3322">
        <v>54</v>
      </c>
      <c r="G3322" s="1" t="s">
        <v>258</v>
      </c>
      <c r="H3322">
        <v>54049</v>
      </c>
      <c r="I3322">
        <v>10</v>
      </c>
      <c r="J3322">
        <v>8</v>
      </c>
      <c r="K3322">
        <v>4</v>
      </c>
      <c r="L3322">
        <v>500</v>
      </c>
    </row>
    <row r="3323" spans="1:12" hidden="1" x14ac:dyDescent="0.25">
      <c r="A3323">
        <v>3322</v>
      </c>
      <c r="B3323" s="1" t="s">
        <v>12</v>
      </c>
      <c r="C3323">
        <v>1970</v>
      </c>
      <c r="D3323" s="1" t="s">
        <v>267</v>
      </c>
      <c r="E3323" s="1" t="s">
        <v>58</v>
      </c>
      <c r="F3323">
        <v>54</v>
      </c>
      <c r="G3323" s="1" t="s">
        <v>151</v>
      </c>
      <c r="H3323">
        <v>54056</v>
      </c>
      <c r="I3323">
        <v>10</v>
      </c>
      <c r="J3323">
        <v>8</v>
      </c>
      <c r="K3323">
        <v>4</v>
      </c>
      <c r="L3323">
        <v>500</v>
      </c>
    </row>
    <row r="3324" spans="1:12" hidden="1" x14ac:dyDescent="0.25">
      <c r="A3324">
        <v>3323</v>
      </c>
      <c r="B3324" s="1" t="s">
        <v>12</v>
      </c>
      <c r="C3324">
        <v>1970</v>
      </c>
      <c r="D3324" s="1" t="s">
        <v>267</v>
      </c>
      <c r="E3324" s="1" t="s">
        <v>58</v>
      </c>
      <c r="F3324">
        <v>54</v>
      </c>
      <c r="G3324" s="1" t="s">
        <v>152</v>
      </c>
      <c r="H3324">
        <v>54063</v>
      </c>
      <c r="I3324">
        <v>10</v>
      </c>
      <c r="J3324">
        <v>10</v>
      </c>
      <c r="K3324">
        <v>6</v>
      </c>
      <c r="L3324">
        <v>600</v>
      </c>
    </row>
    <row r="3325" spans="1:12" hidden="1" x14ac:dyDescent="0.25">
      <c r="A3325">
        <v>3324</v>
      </c>
      <c r="B3325" s="1" t="s">
        <v>12</v>
      </c>
      <c r="C3325">
        <v>1970</v>
      </c>
      <c r="D3325" s="1" t="s">
        <v>267</v>
      </c>
      <c r="E3325" s="1" t="s">
        <v>58</v>
      </c>
      <c r="F3325">
        <v>54</v>
      </c>
      <c r="G3325" s="1" t="s">
        <v>243</v>
      </c>
      <c r="H3325">
        <v>54070</v>
      </c>
      <c r="I3325">
        <v>56</v>
      </c>
      <c r="J3325">
        <v>46</v>
      </c>
      <c r="K3325">
        <v>30</v>
      </c>
      <c r="L3325">
        <v>652</v>
      </c>
    </row>
    <row r="3326" spans="1:12" hidden="1" x14ac:dyDescent="0.25">
      <c r="A3326">
        <v>3325</v>
      </c>
      <c r="B3326" s="1" t="s">
        <v>12</v>
      </c>
      <c r="C3326">
        <v>1970</v>
      </c>
      <c r="D3326" s="1" t="s">
        <v>267</v>
      </c>
      <c r="E3326" s="1" t="s">
        <v>58</v>
      </c>
      <c r="F3326">
        <v>54</v>
      </c>
      <c r="G3326" s="1" t="s">
        <v>119</v>
      </c>
      <c r="H3326">
        <v>54077</v>
      </c>
      <c r="I3326">
        <v>20</v>
      </c>
      <c r="J3326">
        <v>15</v>
      </c>
      <c r="K3326">
        <v>9</v>
      </c>
      <c r="L3326">
        <v>600</v>
      </c>
    </row>
    <row r="3327" spans="1:12" hidden="1" x14ac:dyDescent="0.25">
      <c r="A3327">
        <v>3326</v>
      </c>
      <c r="B3327" s="1" t="s">
        <v>12</v>
      </c>
      <c r="C3327">
        <v>1970</v>
      </c>
      <c r="D3327" s="1" t="s">
        <v>267</v>
      </c>
      <c r="E3327" s="1" t="s">
        <v>58</v>
      </c>
      <c r="F3327">
        <v>54</v>
      </c>
      <c r="G3327" s="1" t="s">
        <v>244</v>
      </c>
      <c r="H3327">
        <v>54084</v>
      </c>
      <c r="I3327">
        <v>3</v>
      </c>
      <c r="J3327">
        <v>3</v>
      </c>
      <c r="K3327">
        <v>3</v>
      </c>
      <c r="L3327">
        <v>1000</v>
      </c>
    </row>
    <row r="3328" spans="1:12" hidden="1" x14ac:dyDescent="0.25">
      <c r="A3328">
        <v>3327</v>
      </c>
      <c r="B3328" s="1" t="s">
        <v>12</v>
      </c>
      <c r="C3328">
        <v>1970</v>
      </c>
      <c r="D3328" s="1" t="s">
        <v>267</v>
      </c>
      <c r="E3328" s="1" t="s">
        <v>58</v>
      </c>
      <c r="F3328">
        <v>54</v>
      </c>
      <c r="G3328" s="1" t="s">
        <v>242</v>
      </c>
      <c r="H3328">
        <v>54091</v>
      </c>
      <c r="I3328">
        <v>37</v>
      </c>
      <c r="J3328">
        <v>25</v>
      </c>
      <c r="K3328">
        <v>17</v>
      </c>
      <c r="L3328">
        <v>680</v>
      </c>
    </row>
    <row r="3329" spans="1:12" hidden="1" x14ac:dyDescent="0.25">
      <c r="A3329">
        <v>3328</v>
      </c>
      <c r="B3329" s="1" t="s">
        <v>12</v>
      </c>
      <c r="C3329">
        <v>1970</v>
      </c>
      <c r="D3329" s="1" t="s">
        <v>267</v>
      </c>
      <c r="E3329" s="1" t="s">
        <v>58</v>
      </c>
      <c r="F3329">
        <v>54</v>
      </c>
      <c r="G3329" s="1" t="s">
        <v>61</v>
      </c>
      <c r="H3329">
        <v>54098</v>
      </c>
      <c r="I3329">
        <v>60</v>
      </c>
      <c r="J3329">
        <v>40</v>
      </c>
      <c r="K3329">
        <v>28</v>
      </c>
      <c r="L3329">
        <v>700</v>
      </c>
    </row>
    <row r="3330" spans="1:12" hidden="1" x14ac:dyDescent="0.25">
      <c r="A3330">
        <v>3329</v>
      </c>
      <c r="B3330" s="1" t="s">
        <v>12</v>
      </c>
      <c r="C3330">
        <v>1970</v>
      </c>
      <c r="D3330" s="1" t="s">
        <v>267</v>
      </c>
      <c r="E3330" s="1" t="s">
        <v>58</v>
      </c>
      <c r="F3330">
        <v>54</v>
      </c>
      <c r="G3330" s="1" t="s">
        <v>62</v>
      </c>
      <c r="H3330">
        <v>54105</v>
      </c>
      <c r="I3330">
        <v>30</v>
      </c>
      <c r="J3330">
        <v>10</v>
      </c>
      <c r="K3330">
        <v>6</v>
      </c>
      <c r="L3330">
        <v>600</v>
      </c>
    </row>
    <row r="3331" spans="1:12" x14ac:dyDescent="0.25">
      <c r="A3331">
        <v>3330</v>
      </c>
      <c r="B3331" s="1" t="s">
        <v>12</v>
      </c>
      <c r="C3331">
        <v>1970</v>
      </c>
      <c r="D3331" s="1" t="s">
        <v>267</v>
      </c>
      <c r="E3331" s="1" t="s">
        <v>58</v>
      </c>
      <c r="F3331">
        <v>54</v>
      </c>
      <c r="G3331" s="1" t="s">
        <v>56</v>
      </c>
      <c r="H3331">
        <v>54112</v>
      </c>
      <c r="I3331">
        <v>7</v>
      </c>
      <c r="J3331">
        <v>5</v>
      </c>
      <c r="K3331">
        <v>3</v>
      </c>
      <c r="L3331">
        <v>600</v>
      </c>
    </row>
    <row r="3332" spans="1:12" hidden="1" x14ac:dyDescent="0.25">
      <c r="A3332">
        <v>3331</v>
      </c>
      <c r="B3332" s="1" t="s">
        <v>12</v>
      </c>
      <c r="C3332">
        <v>1970</v>
      </c>
      <c r="D3332" s="1" t="s">
        <v>267</v>
      </c>
      <c r="E3332" s="1" t="s">
        <v>87</v>
      </c>
      <c r="F3332">
        <v>66</v>
      </c>
      <c r="G3332" s="1" t="s">
        <v>28</v>
      </c>
      <c r="H3332">
        <v>66028</v>
      </c>
      <c r="I3332">
        <v>5</v>
      </c>
      <c r="J3332">
        <v>5</v>
      </c>
      <c r="K3332">
        <v>7</v>
      </c>
      <c r="L3332">
        <v>1400</v>
      </c>
    </row>
    <row r="3333" spans="1:12" hidden="1" x14ac:dyDescent="0.25">
      <c r="A3333">
        <v>3332</v>
      </c>
      <c r="B3333" s="1" t="s">
        <v>12</v>
      </c>
      <c r="C3333">
        <v>1970</v>
      </c>
      <c r="D3333" s="1" t="s">
        <v>267</v>
      </c>
      <c r="E3333" s="1" t="s">
        <v>87</v>
      </c>
      <c r="F3333">
        <v>66</v>
      </c>
      <c r="G3333" s="1" t="s">
        <v>125</v>
      </c>
      <c r="H3333">
        <v>66035</v>
      </c>
      <c r="I3333">
        <v>10</v>
      </c>
      <c r="J3333">
        <v>10</v>
      </c>
      <c r="K3333">
        <v>13</v>
      </c>
      <c r="L3333">
        <v>1300</v>
      </c>
    </row>
    <row r="3334" spans="1:12" hidden="1" x14ac:dyDescent="0.25">
      <c r="A3334">
        <v>3333</v>
      </c>
      <c r="B3334" s="1" t="s">
        <v>12</v>
      </c>
      <c r="C3334">
        <v>1970</v>
      </c>
      <c r="D3334" s="1" t="s">
        <v>267</v>
      </c>
      <c r="E3334" s="1" t="s">
        <v>87</v>
      </c>
      <c r="F3334">
        <v>66</v>
      </c>
      <c r="G3334" s="1" t="s">
        <v>230</v>
      </c>
      <c r="H3334">
        <v>66056</v>
      </c>
      <c r="I3334">
        <v>50</v>
      </c>
      <c r="J3334">
        <v>50</v>
      </c>
      <c r="K3334">
        <v>65</v>
      </c>
      <c r="L3334">
        <v>1300</v>
      </c>
    </row>
    <row r="3335" spans="1:12" hidden="1" x14ac:dyDescent="0.25">
      <c r="A3335">
        <v>3334</v>
      </c>
      <c r="B3335" s="1" t="s">
        <v>12</v>
      </c>
      <c r="C3335">
        <v>1970</v>
      </c>
      <c r="D3335" s="1" t="s">
        <v>267</v>
      </c>
      <c r="E3335" s="1" t="s">
        <v>87</v>
      </c>
      <c r="F3335">
        <v>66</v>
      </c>
      <c r="G3335" s="1" t="s">
        <v>260</v>
      </c>
      <c r="H3335">
        <v>66063</v>
      </c>
      <c r="I3335">
        <v>10</v>
      </c>
      <c r="J3335">
        <v>10</v>
      </c>
      <c r="K3335">
        <v>13</v>
      </c>
      <c r="L3335">
        <v>1300</v>
      </c>
    </row>
    <row r="3336" spans="1:12" hidden="1" x14ac:dyDescent="0.25">
      <c r="A3336">
        <v>3335</v>
      </c>
      <c r="B3336" s="1" t="s">
        <v>12</v>
      </c>
      <c r="C3336">
        <v>1970</v>
      </c>
      <c r="D3336" s="1" t="s">
        <v>267</v>
      </c>
      <c r="E3336" s="1" t="s">
        <v>87</v>
      </c>
      <c r="F3336">
        <v>66</v>
      </c>
      <c r="G3336" s="1" t="s">
        <v>141</v>
      </c>
      <c r="H3336">
        <v>66112</v>
      </c>
      <c r="I3336">
        <v>30</v>
      </c>
      <c r="J3336">
        <v>30</v>
      </c>
      <c r="K3336">
        <v>39</v>
      </c>
      <c r="L3336">
        <v>1300</v>
      </c>
    </row>
    <row r="3337" spans="1:12" hidden="1" x14ac:dyDescent="0.25">
      <c r="A3337">
        <v>3336</v>
      </c>
      <c r="B3337" s="1" t="s">
        <v>12</v>
      </c>
      <c r="C3337">
        <v>1970</v>
      </c>
      <c r="D3337" s="1" t="s">
        <v>267</v>
      </c>
      <c r="E3337" s="1" t="s">
        <v>87</v>
      </c>
      <c r="F3337">
        <v>66</v>
      </c>
      <c r="G3337" s="1" t="s">
        <v>179</v>
      </c>
      <c r="H3337">
        <v>66126</v>
      </c>
      <c r="I3337">
        <v>20</v>
      </c>
      <c r="J3337">
        <v>20</v>
      </c>
      <c r="K3337">
        <v>28</v>
      </c>
      <c r="L3337">
        <v>1400</v>
      </c>
    </row>
    <row r="3338" spans="1:12" hidden="1" x14ac:dyDescent="0.25">
      <c r="A3338">
        <v>3337</v>
      </c>
      <c r="B3338" s="1" t="s">
        <v>12</v>
      </c>
      <c r="C3338">
        <v>1970</v>
      </c>
      <c r="D3338" s="1" t="s">
        <v>267</v>
      </c>
      <c r="E3338" s="1" t="s">
        <v>87</v>
      </c>
      <c r="F3338">
        <v>66</v>
      </c>
      <c r="G3338" s="1" t="s">
        <v>161</v>
      </c>
      <c r="H3338">
        <v>66133</v>
      </c>
      <c r="I3338">
        <v>5</v>
      </c>
      <c r="J3338">
        <v>5</v>
      </c>
      <c r="K3338">
        <v>7</v>
      </c>
      <c r="L3338">
        <v>1400</v>
      </c>
    </row>
    <row r="3339" spans="1:12" hidden="1" x14ac:dyDescent="0.25">
      <c r="A3339">
        <v>3338</v>
      </c>
      <c r="B3339" s="1" t="s">
        <v>12</v>
      </c>
      <c r="C3339">
        <v>1970</v>
      </c>
      <c r="D3339" s="1" t="s">
        <v>267</v>
      </c>
      <c r="E3339" s="1" t="s">
        <v>87</v>
      </c>
      <c r="F3339">
        <v>66</v>
      </c>
      <c r="G3339" s="1" t="s">
        <v>188</v>
      </c>
      <c r="H3339">
        <v>66140</v>
      </c>
      <c r="I3339">
        <v>30</v>
      </c>
      <c r="J3339">
        <v>30</v>
      </c>
      <c r="K3339">
        <v>39</v>
      </c>
      <c r="L3339">
        <v>1300</v>
      </c>
    </row>
    <row r="3340" spans="1:12" hidden="1" x14ac:dyDescent="0.25">
      <c r="A3340">
        <v>3339</v>
      </c>
      <c r="B3340" s="1" t="s">
        <v>12</v>
      </c>
      <c r="C3340">
        <v>1970</v>
      </c>
      <c r="D3340" s="1" t="s">
        <v>267</v>
      </c>
      <c r="E3340" s="1" t="s">
        <v>87</v>
      </c>
      <c r="F3340">
        <v>66</v>
      </c>
      <c r="G3340" s="1" t="s">
        <v>130</v>
      </c>
      <c r="H3340">
        <v>66147</v>
      </c>
      <c r="I3340">
        <v>15</v>
      </c>
      <c r="J3340">
        <v>15</v>
      </c>
      <c r="K3340">
        <v>19</v>
      </c>
      <c r="L3340">
        <v>1267</v>
      </c>
    </row>
    <row r="3341" spans="1:12" hidden="1" x14ac:dyDescent="0.25">
      <c r="A3341">
        <v>3340</v>
      </c>
      <c r="B3341" s="1" t="s">
        <v>12</v>
      </c>
      <c r="C3341">
        <v>1970</v>
      </c>
      <c r="D3341" s="1" t="s">
        <v>267</v>
      </c>
      <c r="E3341" s="1" t="s">
        <v>64</v>
      </c>
      <c r="F3341">
        <v>82</v>
      </c>
      <c r="G3341" s="1" t="s">
        <v>66</v>
      </c>
      <c r="H3341">
        <v>82035</v>
      </c>
      <c r="I3341">
        <v>120</v>
      </c>
      <c r="J3341">
        <v>120</v>
      </c>
      <c r="K3341">
        <v>270</v>
      </c>
      <c r="L3341">
        <v>2250</v>
      </c>
    </row>
    <row r="3342" spans="1:12" hidden="1" x14ac:dyDescent="0.25">
      <c r="A3342">
        <v>3341</v>
      </c>
      <c r="B3342" s="1" t="s">
        <v>12</v>
      </c>
      <c r="C3342">
        <v>1970</v>
      </c>
      <c r="D3342" s="1" t="s">
        <v>267</v>
      </c>
      <c r="E3342" s="1" t="s">
        <v>64</v>
      </c>
      <c r="F3342">
        <v>82</v>
      </c>
      <c r="G3342" s="1" t="s">
        <v>65</v>
      </c>
      <c r="H3342">
        <v>82049</v>
      </c>
      <c r="I3342">
        <v>980</v>
      </c>
      <c r="J3342">
        <v>880</v>
      </c>
      <c r="K3342">
        <v>1430</v>
      </c>
      <c r="L3342">
        <v>1625</v>
      </c>
    </row>
    <row r="3343" spans="1:12" hidden="1" x14ac:dyDescent="0.25">
      <c r="A3343">
        <v>3342</v>
      </c>
      <c r="B3343" s="1" t="s">
        <v>12</v>
      </c>
      <c r="C3343">
        <v>1970</v>
      </c>
      <c r="D3343" s="1" t="s">
        <v>267</v>
      </c>
      <c r="E3343" s="1" t="s">
        <v>77</v>
      </c>
      <c r="F3343">
        <v>90</v>
      </c>
      <c r="G3343" s="1" t="s">
        <v>78</v>
      </c>
      <c r="H3343">
        <v>90007</v>
      </c>
      <c r="I3343">
        <v>4500</v>
      </c>
      <c r="J3343">
        <v>4200</v>
      </c>
      <c r="K3343">
        <v>4200</v>
      </c>
      <c r="L3343">
        <v>1000</v>
      </c>
    </row>
    <row r="3344" spans="1:12" hidden="1" x14ac:dyDescent="0.25">
      <c r="A3344">
        <v>3343</v>
      </c>
      <c r="B3344" s="1" t="s">
        <v>12</v>
      </c>
      <c r="C3344">
        <v>1970</v>
      </c>
      <c r="D3344" s="1" t="s">
        <v>267</v>
      </c>
      <c r="E3344" s="1" t="s">
        <v>77</v>
      </c>
      <c r="F3344">
        <v>90</v>
      </c>
      <c r="G3344" s="1" t="s">
        <v>91</v>
      </c>
      <c r="H3344">
        <v>90014</v>
      </c>
      <c r="I3344">
        <v>2500</v>
      </c>
      <c r="J3344">
        <v>2500</v>
      </c>
      <c r="K3344">
        <v>2492</v>
      </c>
      <c r="L3344">
        <v>997</v>
      </c>
    </row>
    <row r="3345" spans="1:12" hidden="1" x14ac:dyDescent="0.25">
      <c r="A3345">
        <v>3344</v>
      </c>
      <c r="B3345" s="1" t="s">
        <v>12</v>
      </c>
      <c r="C3345">
        <v>1970</v>
      </c>
      <c r="D3345" s="1" t="s">
        <v>267</v>
      </c>
      <c r="E3345" s="1" t="s">
        <v>77</v>
      </c>
      <c r="F3345">
        <v>90</v>
      </c>
      <c r="G3345" s="1" t="s">
        <v>95</v>
      </c>
      <c r="H3345">
        <v>90035</v>
      </c>
      <c r="I3345">
        <v>10</v>
      </c>
      <c r="J3345">
        <v>10</v>
      </c>
      <c r="K3345">
        <v>8</v>
      </c>
      <c r="L3345">
        <v>800</v>
      </c>
    </row>
    <row r="3346" spans="1:12" hidden="1" x14ac:dyDescent="0.25">
      <c r="A3346">
        <v>3345</v>
      </c>
      <c r="B3346" s="1" t="s">
        <v>12</v>
      </c>
      <c r="C3346">
        <v>1970</v>
      </c>
      <c r="D3346" s="1" t="s">
        <v>267</v>
      </c>
      <c r="E3346" s="1" t="s">
        <v>77</v>
      </c>
      <c r="F3346">
        <v>90</v>
      </c>
      <c r="G3346" s="1" t="s">
        <v>92</v>
      </c>
      <c r="H3346">
        <v>90056</v>
      </c>
      <c r="I3346">
        <v>290</v>
      </c>
      <c r="J3346">
        <v>190</v>
      </c>
      <c r="K3346">
        <v>200</v>
      </c>
      <c r="L3346">
        <v>1053</v>
      </c>
    </row>
    <row r="3347" spans="1:12" hidden="1" x14ac:dyDescent="0.25">
      <c r="A3347">
        <v>3346</v>
      </c>
      <c r="B3347" s="1" t="s">
        <v>12</v>
      </c>
      <c r="C3347">
        <v>1971</v>
      </c>
      <c r="D3347" s="1" t="s">
        <v>268</v>
      </c>
      <c r="E3347" s="1" t="s">
        <v>22</v>
      </c>
      <c r="F3347">
        <v>14</v>
      </c>
      <c r="G3347" s="1" t="s">
        <v>97</v>
      </c>
      <c r="H3347">
        <v>14007</v>
      </c>
      <c r="I3347">
        <v>7000</v>
      </c>
      <c r="J3347">
        <v>6790</v>
      </c>
      <c r="K3347">
        <v>5250</v>
      </c>
      <c r="L3347">
        <v>773</v>
      </c>
    </row>
    <row r="3348" spans="1:12" hidden="1" x14ac:dyDescent="0.25">
      <c r="A3348">
        <v>3347</v>
      </c>
      <c r="B3348" s="1" t="s">
        <v>12</v>
      </c>
      <c r="C3348">
        <v>1971</v>
      </c>
      <c r="D3348" s="1" t="s">
        <v>268</v>
      </c>
      <c r="E3348" s="1" t="s">
        <v>22</v>
      </c>
      <c r="F3348">
        <v>14</v>
      </c>
      <c r="G3348" s="1" t="s">
        <v>184</v>
      </c>
      <c r="H3348">
        <v>14042</v>
      </c>
      <c r="I3348">
        <v>20000</v>
      </c>
      <c r="J3348">
        <v>19600</v>
      </c>
      <c r="K3348">
        <v>18100</v>
      </c>
      <c r="L3348">
        <v>923</v>
      </c>
    </row>
    <row r="3349" spans="1:12" hidden="1" x14ac:dyDescent="0.25">
      <c r="A3349">
        <v>3348</v>
      </c>
      <c r="B3349" s="1" t="s">
        <v>12</v>
      </c>
      <c r="C3349">
        <v>1971</v>
      </c>
      <c r="D3349" s="1" t="s">
        <v>268</v>
      </c>
      <c r="E3349" s="1" t="s">
        <v>22</v>
      </c>
      <c r="F3349">
        <v>14</v>
      </c>
      <c r="G3349" s="1" t="s">
        <v>143</v>
      </c>
      <c r="H3349">
        <v>14056</v>
      </c>
      <c r="I3349">
        <v>38000</v>
      </c>
      <c r="J3349">
        <v>36100</v>
      </c>
      <c r="K3349">
        <v>30600</v>
      </c>
      <c r="L3349">
        <v>848</v>
      </c>
    </row>
    <row r="3350" spans="1:12" hidden="1" x14ac:dyDescent="0.25">
      <c r="A3350">
        <v>3349</v>
      </c>
      <c r="B3350" s="1" t="s">
        <v>12</v>
      </c>
      <c r="C3350">
        <v>1971</v>
      </c>
      <c r="D3350" s="1" t="s">
        <v>268</v>
      </c>
      <c r="E3350" s="1" t="s">
        <v>22</v>
      </c>
      <c r="F3350">
        <v>14</v>
      </c>
      <c r="G3350" s="1" t="s">
        <v>29</v>
      </c>
      <c r="H3350">
        <v>14098</v>
      </c>
      <c r="I3350">
        <v>4500</v>
      </c>
      <c r="J3350">
        <v>4300</v>
      </c>
      <c r="K3350">
        <v>3660</v>
      </c>
      <c r="L3350">
        <v>851</v>
      </c>
    </row>
    <row r="3351" spans="1:12" hidden="1" x14ac:dyDescent="0.25">
      <c r="A3351">
        <v>3350</v>
      </c>
      <c r="B3351" s="1" t="s">
        <v>12</v>
      </c>
      <c r="C3351">
        <v>1971</v>
      </c>
      <c r="D3351" s="1" t="s">
        <v>268</v>
      </c>
      <c r="E3351" s="1" t="s">
        <v>22</v>
      </c>
      <c r="F3351">
        <v>14</v>
      </c>
      <c r="G3351" s="1" t="s">
        <v>25</v>
      </c>
      <c r="H3351">
        <v>14105</v>
      </c>
      <c r="I3351">
        <v>1000</v>
      </c>
      <c r="J3351">
        <v>750</v>
      </c>
      <c r="K3351">
        <v>470</v>
      </c>
      <c r="L3351">
        <v>627</v>
      </c>
    </row>
    <row r="3352" spans="1:12" hidden="1" x14ac:dyDescent="0.25">
      <c r="A3352">
        <v>3351</v>
      </c>
      <c r="B3352" s="1" t="s">
        <v>12</v>
      </c>
      <c r="C3352">
        <v>1971</v>
      </c>
      <c r="D3352" s="1" t="s">
        <v>268</v>
      </c>
      <c r="E3352" s="1" t="s">
        <v>22</v>
      </c>
      <c r="F3352">
        <v>14</v>
      </c>
      <c r="G3352" s="1" t="s">
        <v>24</v>
      </c>
      <c r="H3352">
        <v>14119</v>
      </c>
      <c r="I3352">
        <v>88000</v>
      </c>
      <c r="J3352">
        <v>74800</v>
      </c>
      <c r="K3352">
        <v>57600</v>
      </c>
      <c r="L3352">
        <v>770</v>
      </c>
    </row>
    <row r="3353" spans="1:12" hidden="1" x14ac:dyDescent="0.25">
      <c r="A3353">
        <v>3352</v>
      </c>
      <c r="B3353" s="1" t="s">
        <v>12</v>
      </c>
      <c r="C3353">
        <v>1971</v>
      </c>
      <c r="D3353" s="1" t="s">
        <v>268</v>
      </c>
      <c r="E3353" s="1" t="s">
        <v>22</v>
      </c>
      <c r="F3353">
        <v>14</v>
      </c>
      <c r="G3353" s="1" t="s">
        <v>23</v>
      </c>
      <c r="H3353">
        <v>14147</v>
      </c>
      <c r="I3353">
        <v>10000</v>
      </c>
      <c r="J3353">
        <v>8000</v>
      </c>
      <c r="K3353">
        <v>3700</v>
      </c>
      <c r="L3353">
        <v>463</v>
      </c>
    </row>
    <row r="3354" spans="1:12" hidden="1" x14ac:dyDescent="0.25">
      <c r="A3354">
        <v>3353</v>
      </c>
      <c r="B3354" s="1" t="s">
        <v>12</v>
      </c>
      <c r="C3354">
        <v>1971</v>
      </c>
      <c r="D3354" s="1" t="s">
        <v>268</v>
      </c>
      <c r="E3354" s="1" t="s">
        <v>22</v>
      </c>
      <c r="F3354">
        <v>14</v>
      </c>
      <c r="G3354" s="1" t="s">
        <v>26</v>
      </c>
      <c r="H3354">
        <v>14161</v>
      </c>
      <c r="I3354">
        <v>145000</v>
      </c>
      <c r="J3354">
        <v>137800</v>
      </c>
      <c r="K3354">
        <v>127400</v>
      </c>
      <c r="L3354">
        <v>925</v>
      </c>
    </row>
    <row r="3355" spans="1:12" hidden="1" x14ac:dyDescent="0.25">
      <c r="A3355">
        <v>3354</v>
      </c>
      <c r="B3355" s="1" t="s">
        <v>12</v>
      </c>
      <c r="C3355">
        <v>1971</v>
      </c>
      <c r="D3355" s="1" t="s">
        <v>268</v>
      </c>
      <c r="E3355" s="1" t="s">
        <v>22</v>
      </c>
      <c r="F3355">
        <v>14</v>
      </c>
      <c r="G3355" s="1" t="s">
        <v>122</v>
      </c>
      <c r="H3355">
        <v>14182</v>
      </c>
      <c r="I3355">
        <v>800</v>
      </c>
      <c r="J3355">
        <v>760</v>
      </c>
      <c r="K3355">
        <v>720</v>
      </c>
      <c r="L3355">
        <v>947</v>
      </c>
    </row>
    <row r="3356" spans="1:12" hidden="1" x14ac:dyDescent="0.25">
      <c r="A3356">
        <v>3355</v>
      </c>
      <c r="B3356" s="1" t="s">
        <v>12</v>
      </c>
      <c r="C3356">
        <v>1971</v>
      </c>
      <c r="D3356" s="1" t="s">
        <v>268</v>
      </c>
      <c r="E3356" s="1" t="s">
        <v>30</v>
      </c>
      <c r="F3356">
        <v>18</v>
      </c>
      <c r="G3356" s="1" t="s">
        <v>38</v>
      </c>
      <c r="H3356">
        <v>18007</v>
      </c>
      <c r="I3356">
        <v>10</v>
      </c>
      <c r="J3356">
        <v>7</v>
      </c>
      <c r="K3356">
        <v>4</v>
      </c>
      <c r="L3356">
        <v>571</v>
      </c>
    </row>
    <row r="3357" spans="1:12" hidden="1" x14ac:dyDescent="0.25">
      <c r="A3357">
        <v>3356</v>
      </c>
      <c r="B3357" s="1" t="s">
        <v>12</v>
      </c>
      <c r="C3357">
        <v>1971</v>
      </c>
      <c r="D3357" s="1" t="s">
        <v>268</v>
      </c>
      <c r="E3357" s="1" t="s">
        <v>30</v>
      </c>
      <c r="F3357">
        <v>18</v>
      </c>
      <c r="G3357" s="1" t="s">
        <v>28</v>
      </c>
      <c r="H3357">
        <v>18021</v>
      </c>
      <c r="I3357">
        <v>60</v>
      </c>
      <c r="J3357">
        <v>35</v>
      </c>
      <c r="K3357">
        <v>25</v>
      </c>
      <c r="L3357">
        <v>714</v>
      </c>
    </row>
    <row r="3358" spans="1:12" hidden="1" x14ac:dyDescent="0.25">
      <c r="A3358">
        <v>3357</v>
      </c>
      <c r="B3358" s="1" t="s">
        <v>12</v>
      </c>
      <c r="C3358">
        <v>1971</v>
      </c>
      <c r="D3358" s="1" t="s">
        <v>268</v>
      </c>
      <c r="E3358" s="1" t="s">
        <v>30</v>
      </c>
      <c r="F3358">
        <v>18</v>
      </c>
      <c r="G3358" s="1" t="s">
        <v>42</v>
      </c>
      <c r="H3358">
        <v>18035</v>
      </c>
      <c r="I3358">
        <v>30</v>
      </c>
      <c r="J3358">
        <v>20</v>
      </c>
      <c r="K3358">
        <v>16</v>
      </c>
      <c r="L3358">
        <v>800</v>
      </c>
    </row>
    <row r="3359" spans="1:12" hidden="1" x14ac:dyDescent="0.25">
      <c r="A3359">
        <v>3358</v>
      </c>
      <c r="B3359" s="1" t="s">
        <v>12</v>
      </c>
      <c r="C3359">
        <v>1971</v>
      </c>
      <c r="D3359" s="1" t="s">
        <v>268</v>
      </c>
      <c r="E3359" s="1" t="s">
        <v>30</v>
      </c>
      <c r="F3359">
        <v>18</v>
      </c>
      <c r="G3359" s="1" t="s">
        <v>34</v>
      </c>
      <c r="H3359">
        <v>18042</v>
      </c>
      <c r="I3359">
        <v>60</v>
      </c>
      <c r="J3359">
        <v>35</v>
      </c>
      <c r="K3359">
        <v>25</v>
      </c>
      <c r="L3359">
        <v>714</v>
      </c>
    </row>
    <row r="3360" spans="1:12" hidden="1" x14ac:dyDescent="0.25">
      <c r="A3360">
        <v>3359</v>
      </c>
      <c r="B3360" s="1" t="s">
        <v>12</v>
      </c>
      <c r="C3360">
        <v>1971</v>
      </c>
      <c r="D3360" s="1" t="s">
        <v>268</v>
      </c>
      <c r="E3360" s="1" t="s">
        <v>30</v>
      </c>
      <c r="F3360">
        <v>18</v>
      </c>
      <c r="G3360" s="1" t="s">
        <v>35</v>
      </c>
      <c r="H3360">
        <v>18049</v>
      </c>
      <c r="I3360">
        <v>6</v>
      </c>
      <c r="J3360">
        <v>4</v>
      </c>
      <c r="K3360">
        <v>3</v>
      </c>
      <c r="L3360">
        <v>750</v>
      </c>
    </row>
    <row r="3361" spans="1:12" hidden="1" x14ac:dyDescent="0.25">
      <c r="A3361">
        <v>3360</v>
      </c>
      <c r="B3361" s="1" t="s">
        <v>12</v>
      </c>
      <c r="C3361">
        <v>1971</v>
      </c>
      <c r="D3361" s="1" t="s">
        <v>268</v>
      </c>
      <c r="E3361" s="1" t="s">
        <v>30</v>
      </c>
      <c r="F3361">
        <v>18</v>
      </c>
      <c r="G3361" s="1" t="s">
        <v>140</v>
      </c>
      <c r="H3361">
        <v>18056</v>
      </c>
      <c r="I3361">
        <v>70</v>
      </c>
      <c r="J3361">
        <v>40</v>
      </c>
      <c r="K3361">
        <v>36</v>
      </c>
      <c r="L3361">
        <v>900</v>
      </c>
    </row>
    <row r="3362" spans="1:12" hidden="1" x14ac:dyDescent="0.25">
      <c r="A3362">
        <v>3361</v>
      </c>
      <c r="B3362" s="1" t="s">
        <v>12</v>
      </c>
      <c r="C3362">
        <v>1971</v>
      </c>
      <c r="D3362" s="1" t="s">
        <v>268</v>
      </c>
      <c r="E3362" s="1" t="s">
        <v>30</v>
      </c>
      <c r="F3362">
        <v>18</v>
      </c>
      <c r="G3362" s="1" t="s">
        <v>99</v>
      </c>
      <c r="H3362">
        <v>18063</v>
      </c>
      <c r="I3362">
        <v>2</v>
      </c>
      <c r="J3362">
        <v>0</v>
      </c>
      <c r="K3362">
        <v>0</v>
      </c>
      <c r="L3362">
        <v>0</v>
      </c>
    </row>
    <row r="3363" spans="1:12" hidden="1" x14ac:dyDescent="0.25">
      <c r="A3363">
        <v>3362</v>
      </c>
      <c r="B3363" s="1" t="s">
        <v>12</v>
      </c>
      <c r="C3363">
        <v>1971</v>
      </c>
      <c r="D3363" s="1" t="s">
        <v>268</v>
      </c>
      <c r="E3363" s="1" t="s">
        <v>30</v>
      </c>
      <c r="F3363">
        <v>18</v>
      </c>
      <c r="G3363" s="1" t="s">
        <v>43</v>
      </c>
      <c r="H3363">
        <v>18070</v>
      </c>
      <c r="I3363">
        <v>2</v>
      </c>
      <c r="J3363">
        <v>0</v>
      </c>
      <c r="K3363">
        <v>0</v>
      </c>
      <c r="L3363">
        <v>0</v>
      </c>
    </row>
    <row r="3364" spans="1:12" hidden="1" x14ac:dyDescent="0.25">
      <c r="A3364">
        <v>3363</v>
      </c>
      <c r="B3364" s="1" t="s">
        <v>12</v>
      </c>
      <c r="C3364">
        <v>1971</v>
      </c>
      <c r="D3364" s="1" t="s">
        <v>268</v>
      </c>
      <c r="E3364" s="1" t="s">
        <v>30</v>
      </c>
      <c r="F3364">
        <v>18</v>
      </c>
      <c r="G3364" s="1" t="s">
        <v>100</v>
      </c>
      <c r="H3364">
        <v>18077</v>
      </c>
      <c r="I3364">
        <v>2</v>
      </c>
      <c r="J3364">
        <v>0</v>
      </c>
      <c r="K3364">
        <v>0</v>
      </c>
      <c r="L3364">
        <v>0</v>
      </c>
    </row>
    <row r="3365" spans="1:12" hidden="1" x14ac:dyDescent="0.25">
      <c r="A3365">
        <v>3364</v>
      </c>
      <c r="B3365" s="1" t="s">
        <v>12</v>
      </c>
      <c r="C3365">
        <v>1971</v>
      </c>
      <c r="D3365" s="1" t="s">
        <v>268</v>
      </c>
      <c r="E3365" s="1" t="s">
        <v>30</v>
      </c>
      <c r="F3365">
        <v>18</v>
      </c>
      <c r="G3365" s="1" t="s">
        <v>39</v>
      </c>
      <c r="H3365">
        <v>18084</v>
      </c>
      <c r="I3365">
        <v>220</v>
      </c>
      <c r="J3365">
        <v>125</v>
      </c>
      <c r="K3365">
        <v>104</v>
      </c>
      <c r="L3365">
        <v>832</v>
      </c>
    </row>
    <row r="3366" spans="1:12" hidden="1" x14ac:dyDescent="0.25">
      <c r="A3366">
        <v>3365</v>
      </c>
      <c r="B3366" s="1" t="s">
        <v>12</v>
      </c>
      <c r="C3366">
        <v>1971</v>
      </c>
      <c r="D3366" s="1" t="s">
        <v>268</v>
      </c>
      <c r="E3366" s="1" t="s">
        <v>30</v>
      </c>
      <c r="F3366">
        <v>18</v>
      </c>
      <c r="G3366" s="1" t="s">
        <v>33</v>
      </c>
      <c r="H3366">
        <v>18091</v>
      </c>
      <c r="I3366">
        <v>55</v>
      </c>
      <c r="J3366">
        <v>35</v>
      </c>
      <c r="K3366">
        <v>30</v>
      </c>
      <c r="L3366">
        <v>857</v>
      </c>
    </row>
    <row r="3367" spans="1:12" hidden="1" x14ac:dyDescent="0.25">
      <c r="A3367">
        <v>3366</v>
      </c>
      <c r="B3367" s="1" t="s">
        <v>12</v>
      </c>
      <c r="C3367">
        <v>1971</v>
      </c>
      <c r="D3367" s="1" t="s">
        <v>268</v>
      </c>
      <c r="E3367" s="1" t="s">
        <v>30</v>
      </c>
      <c r="F3367">
        <v>18</v>
      </c>
      <c r="G3367" s="1" t="s">
        <v>98</v>
      </c>
      <c r="H3367">
        <v>18098</v>
      </c>
      <c r="I3367">
        <v>6</v>
      </c>
      <c r="J3367">
        <v>4</v>
      </c>
      <c r="K3367">
        <v>3</v>
      </c>
      <c r="L3367">
        <v>750</v>
      </c>
    </row>
    <row r="3368" spans="1:12" hidden="1" x14ac:dyDescent="0.25">
      <c r="A3368">
        <v>3367</v>
      </c>
      <c r="B3368" s="1" t="s">
        <v>12</v>
      </c>
      <c r="C3368">
        <v>1971</v>
      </c>
      <c r="D3368" s="1" t="s">
        <v>268</v>
      </c>
      <c r="E3368" s="1" t="s">
        <v>30</v>
      </c>
      <c r="F3368">
        <v>18</v>
      </c>
      <c r="G3368" s="1" t="s">
        <v>105</v>
      </c>
      <c r="H3368">
        <v>18105</v>
      </c>
      <c r="I3368">
        <v>10</v>
      </c>
      <c r="J3368">
        <v>6</v>
      </c>
      <c r="K3368">
        <v>4</v>
      </c>
      <c r="L3368">
        <v>667</v>
      </c>
    </row>
    <row r="3369" spans="1:12" hidden="1" x14ac:dyDescent="0.25">
      <c r="A3369">
        <v>3368</v>
      </c>
      <c r="B3369" s="1" t="s">
        <v>12</v>
      </c>
      <c r="C3369">
        <v>1971</v>
      </c>
      <c r="D3369" s="1" t="s">
        <v>268</v>
      </c>
      <c r="E3369" s="1" t="s">
        <v>30</v>
      </c>
      <c r="F3369">
        <v>18</v>
      </c>
      <c r="G3369" s="1" t="s">
        <v>32</v>
      </c>
      <c r="H3369">
        <v>18112</v>
      </c>
      <c r="I3369">
        <v>540</v>
      </c>
      <c r="J3369">
        <v>310</v>
      </c>
      <c r="K3369">
        <v>227</v>
      </c>
      <c r="L3369">
        <v>732</v>
      </c>
    </row>
    <row r="3370" spans="1:12" hidden="1" x14ac:dyDescent="0.25">
      <c r="A3370">
        <v>3369</v>
      </c>
      <c r="B3370" s="1" t="s">
        <v>12</v>
      </c>
      <c r="C3370">
        <v>1971</v>
      </c>
      <c r="D3370" s="1" t="s">
        <v>268</v>
      </c>
      <c r="E3370" s="1" t="s">
        <v>30</v>
      </c>
      <c r="F3370">
        <v>18</v>
      </c>
      <c r="G3370" s="1" t="s">
        <v>104</v>
      </c>
      <c r="H3370">
        <v>18119</v>
      </c>
      <c r="I3370">
        <v>70</v>
      </c>
      <c r="J3370">
        <v>40</v>
      </c>
      <c r="K3370">
        <v>15</v>
      </c>
      <c r="L3370">
        <v>375</v>
      </c>
    </row>
    <row r="3371" spans="1:12" hidden="1" x14ac:dyDescent="0.25">
      <c r="A3371">
        <v>3370</v>
      </c>
      <c r="B3371" s="1" t="s">
        <v>12</v>
      </c>
      <c r="C3371">
        <v>1971</v>
      </c>
      <c r="D3371" s="1" t="s">
        <v>268</v>
      </c>
      <c r="E3371" s="1" t="s">
        <v>30</v>
      </c>
      <c r="F3371">
        <v>18</v>
      </c>
      <c r="G3371" s="1" t="s">
        <v>41</v>
      </c>
      <c r="H3371">
        <v>18140</v>
      </c>
      <c r="I3371">
        <v>70</v>
      </c>
      <c r="J3371">
        <v>40</v>
      </c>
      <c r="K3371">
        <v>30</v>
      </c>
      <c r="L3371">
        <v>750</v>
      </c>
    </row>
    <row r="3372" spans="1:12" hidden="1" x14ac:dyDescent="0.25">
      <c r="A3372">
        <v>3371</v>
      </c>
      <c r="B3372" s="1" t="s">
        <v>12</v>
      </c>
      <c r="C3372">
        <v>1971</v>
      </c>
      <c r="D3372" s="1" t="s">
        <v>268</v>
      </c>
      <c r="E3372" s="1" t="s">
        <v>30</v>
      </c>
      <c r="F3372">
        <v>18</v>
      </c>
      <c r="G3372" s="1" t="s">
        <v>37</v>
      </c>
      <c r="H3372">
        <v>18147</v>
      </c>
      <c r="I3372">
        <v>135</v>
      </c>
      <c r="J3372">
        <v>89</v>
      </c>
      <c r="K3372">
        <v>64</v>
      </c>
      <c r="L3372">
        <v>719</v>
      </c>
    </row>
    <row r="3373" spans="1:12" hidden="1" x14ac:dyDescent="0.25">
      <c r="A3373">
        <v>3372</v>
      </c>
      <c r="B3373" s="1" t="s">
        <v>12</v>
      </c>
      <c r="C3373">
        <v>1971</v>
      </c>
      <c r="D3373" s="1" t="s">
        <v>268</v>
      </c>
      <c r="E3373" s="1" t="s">
        <v>30</v>
      </c>
      <c r="F3373">
        <v>18</v>
      </c>
      <c r="G3373" s="1" t="s">
        <v>103</v>
      </c>
      <c r="H3373">
        <v>18154</v>
      </c>
      <c r="I3373">
        <v>2</v>
      </c>
      <c r="J3373">
        <v>0</v>
      </c>
      <c r="K3373">
        <v>0</v>
      </c>
      <c r="L3373">
        <v>0</v>
      </c>
    </row>
    <row r="3374" spans="1:12" hidden="1" x14ac:dyDescent="0.25">
      <c r="A3374">
        <v>3373</v>
      </c>
      <c r="B3374" s="1" t="s">
        <v>12</v>
      </c>
      <c r="C3374">
        <v>1971</v>
      </c>
      <c r="D3374" s="1" t="s">
        <v>268</v>
      </c>
      <c r="E3374" s="1" t="s">
        <v>30</v>
      </c>
      <c r="F3374">
        <v>18</v>
      </c>
      <c r="G3374" s="1" t="s">
        <v>101</v>
      </c>
      <c r="H3374">
        <v>18161</v>
      </c>
      <c r="I3374">
        <v>100</v>
      </c>
      <c r="J3374">
        <v>50</v>
      </c>
      <c r="K3374">
        <v>34</v>
      </c>
      <c r="L3374">
        <v>680</v>
      </c>
    </row>
    <row r="3375" spans="1:12" hidden="1" x14ac:dyDescent="0.25">
      <c r="A3375">
        <v>3374</v>
      </c>
      <c r="B3375" s="1" t="s">
        <v>12</v>
      </c>
      <c r="C3375">
        <v>1971</v>
      </c>
      <c r="D3375" s="1" t="s">
        <v>268</v>
      </c>
      <c r="E3375" s="1" t="s">
        <v>30</v>
      </c>
      <c r="F3375">
        <v>18</v>
      </c>
      <c r="G3375" s="1" t="s">
        <v>44</v>
      </c>
      <c r="H3375">
        <v>18168</v>
      </c>
      <c r="I3375">
        <v>2100</v>
      </c>
      <c r="J3375">
        <v>1280</v>
      </c>
      <c r="K3375">
        <v>1080</v>
      </c>
      <c r="L3375">
        <v>844</v>
      </c>
    </row>
    <row r="3376" spans="1:12" hidden="1" x14ac:dyDescent="0.25">
      <c r="A3376">
        <v>3375</v>
      </c>
      <c r="B3376" s="1" t="s">
        <v>12</v>
      </c>
      <c r="C3376">
        <v>1971</v>
      </c>
      <c r="D3376" s="1" t="s">
        <v>268</v>
      </c>
      <c r="E3376" s="1" t="s">
        <v>45</v>
      </c>
      <c r="F3376">
        <v>30</v>
      </c>
      <c r="G3376" s="1" t="s">
        <v>47</v>
      </c>
      <c r="H3376">
        <v>30015</v>
      </c>
      <c r="I3376">
        <v>120</v>
      </c>
      <c r="J3376">
        <v>100</v>
      </c>
      <c r="K3376">
        <v>70</v>
      </c>
      <c r="L3376">
        <v>700</v>
      </c>
    </row>
    <row r="3377" spans="1:12" hidden="1" x14ac:dyDescent="0.25">
      <c r="A3377">
        <v>3376</v>
      </c>
      <c r="B3377" s="1" t="s">
        <v>12</v>
      </c>
      <c r="C3377">
        <v>1971</v>
      </c>
      <c r="D3377" s="1" t="s">
        <v>268</v>
      </c>
      <c r="E3377" s="1" t="s">
        <v>45</v>
      </c>
      <c r="F3377">
        <v>30</v>
      </c>
      <c r="G3377" s="1" t="s">
        <v>46</v>
      </c>
      <c r="H3377">
        <v>30028</v>
      </c>
      <c r="I3377">
        <v>140</v>
      </c>
      <c r="J3377">
        <v>120</v>
      </c>
      <c r="K3377">
        <v>90</v>
      </c>
      <c r="L3377">
        <v>750</v>
      </c>
    </row>
    <row r="3378" spans="1:12" hidden="1" x14ac:dyDescent="0.25">
      <c r="A3378">
        <v>3377</v>
      </c>
      <c r="B3378" s="1" t="s">
        <v>12</v>
      </c>
      <c r="C3378">
        <v>1971</v>
      </c>
      <c r="D3378" s="1" t="s">
        <v>268</v>
      </c>
      <c r="E3378" s="1" t="s">
        <v>48</v>
      </c>
      <c r="F3378">
        <v>34</v>
      </c>
      <c r="G3378" s="1" t="s">
        <v>48</v>
      </c>
      <c r="H3378">
        <v>34014</v>
      </c>
      <c r="I3378">
        <v>10</v>
      </c>
      <c r="J3378">
        <v>10</v>
      </c>
      <c r="K3378">
        <v>6</v>
      </c>
      <c r="L3378">
        <v>600</v>
      </c>
    </row>
    <row r="3379" spans="1:12" hidden="1" x14ac:dyDescent="0.25">
      <c r="A3379">
        <v>3378</v>
      </c>
      <c r="B3379" s="1" t="s">
        <v>12</v>
      </c>
      <c r="C3379">
        <v>1971</v>
      </c>
      <c r="D3379" s="1" t="s">
        <v>268</v>
      </c>
      <c r="E3379" s="1" t="s">
        <v>48</v>
      </c>
      <c r="F3379">
        <v>34</v>
      </c>
      <c r="G3379" s="1" t="s">
        <v>50</v>
      </c>
      <c r="H3379">
        <v>34021</v>
      </c>
      <c r="I3379">
        <v>20</v>
      </c>
      <c r="J3379">
        <v>20</v>
      </c>
      <c r="K3379">
        <v>16</v>
      </c>
      <c r="L3379">
        <v>800</v>
      </c>
    </row>
    <row r="3380" spans="1:12" hidden="1" x14ac:dyDescent="0.25">
      <c r="A3380">
        <v>3379</v>
      </c>
      <c r="B3380" s="1" t="s">
        <v>12</v>
      </c>
      <c r="C3380">
        <v>1971</v>
      </c>
      <c r="D3380" s="1" t="s">
        <v>268</v>
      </c>
      <c r="E3380" s="1" t="s">
        <v>48</v>
      </c>
      <c r="F3380">
        <v>34</v>
      </c>
      <c r="G3380" s="1" t="s">
        <v>52</v>
      </c>
      <c r="H3380">
        <v>34035</v>
      </c>
      <c r="I3380">
        <v>400</v>
      </c>
      <c r="J3380">
        <v>400</v>
      </c>
      <c r="K3380">
        <v>260</v>
      </c>
      <c r="L3380">
        <v>650</v>
      </c>
    </row>
    <row r="3381" spans="1:12" hidden="1" x14ac:dyDescent="0.25">
      <c r="A3381">
        <v>3380</v>
      </c>
      <c r="B3381" s="1" t="s">
        <v>12</v>
      </c>
      <c r="C3381">
        <v>1971</v>
      </c>
      <c r="D3381" s="1" t="s">
        <v>268</v>
      </c>
      <c r="E3381" s="1" t="s">
        <v>48</v>
      </c>
      <c r="F3381">
        <v>34</v>
      </c>
      <c r="G3381" s="1" t="s">
        <v>108</v>
      </c>
      <c r="H3381">
        <v>34042</v>
      </c>
      <c r="I3381">
        <v>5</v>
      </c>
      <c r="J3381">
        <v>5</v>
      </c>
      <c r="K3381">
        <v>4</v>
      </c>
      <c r="L3381">
        <v>800</v>
      </c>
    </row>
    <row r="3382" spans="1:12" hidden="1" x14ac:dyDescent="0.25">
      <c r="A3382">
        <v>3381</v>
      </c>
      <c r="B3382" s="1" t="s">
        <v>12</v>
      </c>
      <c r="C3382">
        <v>1971</v>
      </c>
      <c r="D3382" s="1" t="s">
        <v>268</v>
      </c>
      <c r="E3382" s="1" t="s">
        <v>48</v>
      </c>
      <c r="F3382">
        <v>34</v>
      </c>
      <c r="G3382" s="1" t="s">
        <v>49</v>
      </c>
      <c r="H3382">
        <v>34049</v>
      </c>
      <c r="I3382">
        <v>20</v>
      </c>
      <c r="J3382">
        <v>20</v>
      </c>
      <c r="K3382">
        <v>18</v>
      </c>
      <c r="L3382">
        <v>900</v>
      </c>
    </row>
    <row r="3383" spans="1:12" hidden="1" x14ac:dyDescent="0.25">
      <c r="A3383">
        <v>3382</v>
      </c>
      <c r="B3383" s="1" t="s">
        <v>12</v>
      </c>
      <c r="C3383">
        <v>1971</v>
      </c>
      <c r="D3383" s="1" t="s">
        <v>268</v>
      </c>
      <c r="E3383" s="1" t="s">
        <v>48</v>
      </c>
      <c r="F3383">
        <v>34</v>
      </c>
      <c r="G3383" s="1" t="s">
        <v>51</v>
      </c>
      <c r="H3383">
        <v>34056</v>
      </c>
      <c r="I3383">
        <v>25</v>
      </c>
      <c r="J3383">
        <v>25</v>
      </c>
      <c r="K3383">
        <v>16</v>
      </c>
      <c r="L3383">
        <v>640</v>
      </c>
    </row>
    <row r="3384" spans="1:12" hidden="1" x14ac:dyDescent="0.25">
      <c r="A3384">
        <v>3383</v>
      </c>
      <c r="B3384" s="1" t="s">
        <v>12</v>
      </c>
      <c r="C3384">
        <v>1971</v>
      </c>
      <c r="D3384" s="1" t="s">
        <v>268</v>
      </c>
      <c r="E3384" s="1" t="s">
        <v>58</v>
      </c>
      <c r="F3384">
        <v>54</v>
      </c>
      <c r="G3384" s="1" t="s">
        <v>234</v>
      </c>
      <c r="H3384">
        <v>54119</v>
      </c>
      <c r="I3384">
        <v>5</v>
      </c>
      <c r="J3384">
        <v>0</v>
      </c>
      <c r="K3384">
        <v>0</v>
      </c>
      <c r="L3384">
        <v>0</v>
      </c>
    </row>
    <row r="3385" spans="1:12" hidden="1" x14ac:dyDescent="0.25">
      <c r="A3385">
        <v>3384</v>
      </c>
      <c r="B3385" s="1" t="s">
        <v>12</v>
      </c>
      <c r="C3385">
        <v>1971</v>
      </c>
      <c r="D3385" s="1" t="s">
        <v>268</v>
      </c>
      <c r="E3385" s="1" t="s">
        <v>58</v>
      </c>
      <c r="F3385">
        <v>54</v>
      </c>
      <c r="G3385" s="1" t="s">
        <v>59</v>
      </c>
      <c r="H3385">
        <v>54007</v>
      </c>
      <c r="I3385">
        <v>30</v>
      </c>
      <c r="J3385">
        <v>20</v>
      </c>
      <c r="K3385">
        <v>10</v>
      </c>
      <c r="L3385">
        <v>500</v>
      </c>
    </row>
    <row r="3386" spans="1:12" hidden="1" x14ac:dyDescent="0.25">
      <c r="A3386">
        <v>3385</v>
      </c>
      <c r="B3386" s="1" t="s">
        <v>12</v>
      </c>
      <c r="C3386">
        <v>1971</v>
      </c>
      <c r="D3386" s="1" t="s">
        <v>268</v>
      </c>
      <c r="E3386" s="1" t="s">
        <v>58</v>
      </c>
      <c r="F3386">
        <v>54</v>
      </c>
      <c r="G3386" s="1" t="s">
        <v>150</v>
      </c>
      <c r="H3386">
        <v>54014</v>
      </c>
      <c r="I3386">
        <v>32</v>
      </c>
      <c r="J3386">
        <v>20</v>
      </c>
      <c r="K3386">
        <v>10</v>
      </c>
      <c r="L3386">
        <v>500</v>
      </c>
    </row>
    <row r="3387" spans="1:12" hidden="1" x14ac:dyDescent="0.25">
      <c r="A3387">
        <v>3386</v>
      </c>
      <c r="B3387" s="1" t="s">
        <v>12</v>
      </c>
      <c r="C3387">
        <v>1971</v>
      </c>
      <c r="D3387" s="1" t="s">
        <v>268</v>
      </c>
      <c r="E3387" s="1" t="s">
        <v>58</v>
      </c>
      <c r="F3387">
        <v>54</v>
      </c>
      <c r="G3387" s="1" t="s">
        <v>60</v>
      </c>
      <c r="H3387">
        <v>54021</v>
      </c>
      <c r="I3387">
        <v>25</v>
      </c>
      <c r="J3387">
        <v>10</v>
      </c>
      <c r="K3387">
        <v>4</v>
      </c>
      <c r="L3387">
        <v>400</v>
      </c>
    </row>
    <row r="3388" spans="1:12" hidden="1" x14ac:dyDescent="0.25">
      <c r="A3388">
        <v>3387</v>
      </c>
      <c r="B3388" s="1" t="s">
        <v>12</v>
      </c>
      <c r="C3388">
        <v>1971</v>
      </c>
      <c r="D3388" s="1" t="s">
        <v>268</v>
      </c>
      <c r="E3388" s="1" t="s">
        <v>58</v>
      </c>
      <c r="F3388">
        <v>54</v>
      </c>
      <c r="G3388" s="1" t="s">
        <v>63</v>
      </c>
      <c r="H3388">
        <v>54035</v>
      </c>
      <c r="I3388">
        <v>30</v>
      </c>
      <c r="J3388">
        <v>20</v>
      </c>
      <c r="K3388">
        <v>9</v>
      </c>
      <c r="L3388">
        <v>450</v>
      </c>
    </row>
    <row r="3389" spans="1:12" hidden="1" x14ac:dyDescent="0.25">
      <c r="A3389">
        <v>3388</v>
      </c>
      <c r="B3389" s="1" t="s">
        <v>12</v>
      </c>
      <c r="C3389">
        <v>1971</v>
      </c>
      <c r="D3389" s="1" t="s">
        <v>268</v>
      </c>
      <c r="E3389" s="1" t="s">
        <v>58</v>
      </c>
      <c r="F3389">
        <v>54</v>
      </c>
      <c r="G3389" s="1" t="s">
        <v>266</v>
      </c>
      <c r="H3389">
        <v>54042</v>
      </c>
      <c r="I3389">
        <v>30</v>
      </c>
      <c r="J3389">
        <v>25</v>
      </c>
      <c r="K3389">
        <v>15</v>
      </c>
      <c r="L3389">
        <v>600</v>
      </c>
    </row>
    <row r="3390" spans="1:12" hidden="1" x14ac:dyDescent="0.25">
      <c r="A3390">
        <v>3389</v>
      </c>
      <c r="B3390" s="1" t="s">
        <v>12</v>
      </c>
      <c r="C3390">
        <v>1971</v>
      </c>
      <c r="D3390" s="1" t="s">
        <v>268</v>
      </c>
      <c r="E3390" s="1" t="s">
        <v>58</v>
      </c>
      <c r="F3390">
        <v>54</v>
      </c>
      <c r="G3390" s="1" t="s">
        <v>151</v>
      </c>
      <c r="H3390">
        <v>54056</v>
      </c>
      <c r="I3390">
        <v>10</v>
      </c>
      <c r="J3390">
        <v>8</v>
      </c>
      <c r="K3390">
        <v>5</v>
      </c>
      <c r="L3390">
        <v>625</v>
      </c>
    </row>
    <row r="3391" spans="1:12" hidden="1" x14ac:dyDescent="0.25">
      <c r="A3391">
        <v>3390</v>
      </c>
      <c r="B3391" s="1" t="s">
        <v>12</v>
      </c>
      <c r="C3391">
        <v>1971</v>
      </c>
      <c r="D3391" s="1" t="s">
        <v>268</v>
      </c>
      <c r="E3391" s="1" t="s">
        <v>58</v>
      </c>
      <c r="F3391">
        <v>54</v>
      </c>
      <c r="G3391" s="1" t="s">
        <v>152</v>
      </c>
      <c r="H3391">
        <v>54063</v>
      </c>
      <c r="I3391">
        <v>10</v>
      </c>
      <c r="J3391">
        <v>8</v>
      </c>
      <c r="K3391">
        <v>5</v>
      </c>
      <c r="L3391">
        <v>625</v>
      </c>
    </row>
    <row r="3392" spans="1:12" hidden="1" x14ac:dyDescent="0.25">
      <c r="A3392">
        <v>3391</v>
      </c>
      <c r="B3392" s="1" t="s">
        <v>12</v>
      </c>
      <c r="C3392">
        <v>1971</v>
      </c>
      <c r="D3392" s="1" t="s">
        <v>268</v>
      </c>
      <c r="E3392" s="1" t="s">
        <v>58</v>
      </c>
      <c r="F3392">
        <v>54</v>
      </c>
      <c r="G3392" s="1" t="s">
        <v>243</v>
      </c>
      <c r="H3392">
        <v>54070</v>
      </c>
      <c r="I3392">
        <v>38</v>
      </c>
      <c r="J3392">
        <v>32</v>
      </c>
      <c r="K3392">
        <v>18</v>
      </c>
      <c r="L3392">
        <v>563</v>
      </c>
    </row>
    <row r="3393" spans="1:12" hidden="1" x14ac:dyDescent="0.25">
      <c r="A3393">
        <v>3392</v>
      </c>
      <c r="B3393" s="1" t="s">
        <v>12</v>
      </c>
      <c r="C3393">
        <v>1971</v>
      </c>
      <c r="D3393" s="1" t="s">
        <v>268</v>
      </c>
      <c r="E3393" s="1" t="s">
        <v>58</v>
      </c>
      <c r="F3393">
        <v>54</v>
      </c>
      <c r="G3393" s="1" t="s">
        <v>119</v>
      </c>
      <c r="H3393">
        <v>54077</v>
      </c>
      <c r="I3393">
        <v>25</v>
      </c>
      <c r="J3393">
        <v>20</v>
      </c>
      <c r="K3393">
        <v>10</v>
      </c>
      <c r="L3393">
        <v>500</v>
      </c>
    </row>
    <row r="3394" spans="1:12" hidden="1" x14ac:dyDescent="0.25">
      <c r="A3394">
        <v>3393</v>
      </c>
      <c r="B3394" s="1" t="s">
        <v>12</v>
      </c>
      <c r="C3394">
        <v>1971</v>
      </c>
      <c r="D3394" s="1" t="s">
        <v>268</v>
      </c>
      <c r="E3394" s="1" t="s">
        <v>58</v>
      </c>
      <c r="F3394">
        <v>54</v>
      </c>
      <c r="G3394" s="1" t="s">
        <v>242</v>
      </c>
      <c r="H3394">
        <v>54091</v>
      </c>
      <c r="I3394">
        <v>25</v>
      </c>
      <c r="J3394">
        <v>20</v>
      </c>
      <c r="K3394">
        <v>10</v>
      </c>
      <c r="L3394">
        <v>500</v>
      </c>
    </row>
    <row r="3395" spans="1:12" hidden="1" x14ac:dyDescent="0.25">
      <c r="A3395">
        <v>3394</v>
      </c>
      <c r="B3395" s="1" t="s">
        <v>12</v>
      </c>
      <c r="C3395">
        <v>1971</v>
      </c>
      <c r="D3395" s="1" t="s">
        <v>268</v>
      </c>
      <c r="E3395" s="1" t="s">
        <v>58</v>
      </c>
      <c r="F3395">
        <v>54</v>
      </c>
      <c r="G3395" s="1" t="s">
        <v>61</v>
      </c>
      <c r="H3395">
        <v>54098</v>
      </c>
      <c r="I3395">
        <v>50</v>
      </c>
      <c r="J3395">
        <v>32</v>
      </c>
      <c r="K3395">
        <v>17</v>
      </c>
      <c r="L3395">
        <v>531</v>
      </c>
    </row>
    <row r="3396" spans="1:12" hidden="1" x14ac:dyDescent="0.25">
      <c r="A3396">
        <v>3395</v>
      </c>
      <c r="B3396" s="1" t="s">
        <v>12</v>
      </c>
      <c r="C3396">
        <v>1971</v>
      </c>
      <c r="D3396" s="1" t="s">
        <v>268</v>
      </c>
      <c r="E3396" s="1" t="s">
        <v>58</v>
      </c>
      <c r="F3396">
        <v>54</v>
      </c>
      <c r="G3396" s="1" t="s">
        <v>62</v>
      </c>
      <c r="H3396">
        <v>54105</v>
      </c>
      <c r="I3396">
        <v>20</v>
      </c>
      <c r="J3396">
        <v>15</v>
      </c>
      <c r="K3396">
        <v>7</v>
      </c>
      <c r="L3396">
        <v>467</v>
      </c>
    </row>
    <row r="3397" spans="1:12" hidden="1" x14ac:dyDescent="0.25">
      <c r="A3397">
        <v>3396</v>
      </c>
      <c r="B3397" s="1" t="s">
        <v>12</v>
      </c>
      <c r="C3397">
        <v>1971</v>
      </c>
      <c r="D3397" s="1" t="s">
        <v>268</v>
      </c>
      <c r="E3397" s="1" t="s">
        <v>87</v>
      </c>
      <c r="F3397">
        <v>66</v>
      </c>
      <c r="G3397" s="1" t="s">
        <v>153</v>
      </c>
      <c r="H3397">
        <v>66007</v>
      </c>
      <c r="I3397">
        <v>50</v>
      </c>
      <c r="J3397">
        <v>50</v>
      </c>
      <c r="K3397">
        <v>65</v>
      </c>
      <c r="L3397">
        <v>1300</v>
      </c>
    </row>
    <row r="3398" spans="1:12" hidden="1" x14ac:dyDescent="0.25">
      <c r="A3398">
        <v>3397</v>
      </c>
      <c r="B3398" s="1" t="s">
        <v>12</v>
      </c>
      <c r="C3398">
        <v>1971</v>
      </c>
      <c r="D3398" s="1" t="s">
        <v>268</v>
      </c>
      <c r="E3398" s="1" t="s">
        <v>87</v>
      </c>
      <c r="F3398">
        <v>66</v>
      </c>
      <c r="G3398" s="1" t="s">
        <v>125</v>
      </c>
      <c r="H3398">
        <v>66035</v>
      </c>
      <c r="I3398">
        <v>10</v>
      </c>
      <c r="J3398">
        <v>10</v>
      </c>
      <c r="K3398">
        <v>13</v>
      </c>
      <c r="L3398">
        <v>1300</v>
      </c>
    </row>
    <row r="3399" spans="1:12" hidden="1" x14ac:dyDescent="0.25">
      <c r="A3399">
        <v>3398</v>
      </c>
      <c r="B3399" s="1" t="s">
        <v>12</v>
      </c>
      <c r="C3399">
        <v>1971</v>
      </c>
      <c r="D3399" s="1" t="s">
        <v>268</v>
      </c>
      <c r="E3399" s="1" t="s">
        <v>87</v>
      </c>
      <c r="F3399">
        <v>66</v>
      </c>
      <c r="G3399" s="1" t="s">
        <v>230</v>
      </c>
      <c r="H3399">
        <v>66056</v>
      </c>
      <c r="I3399">
        <v>50</v>
      </c>
      <c r="J3399">
        <v>50</v>
      </c>
      <c r="K3399">
        <v>70</v>
      </c>
      <c r="L3399">
        <v>1400</v>
      </c>
    </row>
    <row r="3400" spans="1:12" hidden="1" x14ac:dyDescent="0.25">
      <c r="A3400">
        <v>3399</v>
      </c>
      <c r="B3400" s="1" t="s">
        <v>12</v>
      </c>
      <c r="C3400">
        <v>1971</v>
      </c>
      <c r="D3400" s="1" t="s">
        <v>268</v>
      </c>
      <c r="E3400" s="1" t="s">
        <v>87</v>
      </c>
      <c r="F3400">
        <v>66</v>
      </c>
      <c r="G3400" s="1" t="s">
        <v>260</v>
      </c>
      <c r="H3400">
        <v>66063</v>
      </c>
      <c r="I3400">
        <v>5</v>
      </c>
      <c r="J3400">
        <v>5</v>
      </c>
      <c r="K3400">
        <v>6</v>
      </c>
      <c r="L3400">
        <v>1200</v>
      </c>
    </row>
    <row r="3401" spans="1:12" hidden="1" x14ac:dyDescent="0.25">
      <c r="A3401">
        <v>3400</v>
      </c>
      <c r="B3401" s="1" t="s">
        <v>12</v>
      </c>
      <c r="C3401">
        <v>1971</v>
      </c>
      <c r="D3401" s="1" t="s">
        <v>268</v>
      </c>
      <c r="E3401" s="1" t="s">
        <v>87</v>
      </c>
      <c r="F3401">
        <v>66</v>
      </c>
      <c r="G3401" s="1" t="s">
        <v>141</v>
      </c>
      <c r="H3401">
        <v>66112</v>
      </c>
      <c r="I3401">
        <v>30</v>
      </c>
      <c r="J3401">
        <v>30</v>
      </c>
      <c r="K3401">
        <v>39</v>
      </c>
      <c r="L3401">
        <v>1300</v>
      </c>
    </row>
    <row r="3402" spans="1:12" hidden="1" x14ac:dyDescent="0.25">
      <c r="A3402">
        <v>3401</v>
      </c>
      <c r="B3402" s="1" t="s">
        <v>12</v>
      </c>
      <c r="C3402">
        <v>1971</v>
      </c>
      <c r="D3402" s="1" t="s">
        <v>268</v>
      </c>
      <c r="E3402" s="1" t="s">
        <v>87</v>
      </c>
      <c r="F3402">
        <v>66</v>
      </c>
      <c r="G3402" s="1" t="s">
        <v>179</v>
      </c>
      <c r="H3402">
        <v>66126</v>
      </c>
      <c r="I3402">
        <v>10</v>
      </c>
      <c r="J3402">
        <v>10</v>
      </c>
      <c r="K3402">
        <v>14</v>
      </c>
      <c r="L3402">
        <v>1400</v>
      </c>
    </row>
    <row r="3403" spans="1:12" hidden="1" x14ac:dyDescent="0.25">
      <c r="A3403">
        <v>3402</v>
      </c>
      <c r="B3403" s="1" t="s">
        <v>12</v>
      </c>
      <c r="C3403">
        <v>1971</v>
      </c>
      <c r="D3403" s="1" t="s">
        <v>268</v>
      </c>
      <c r="E3403" s="1" t="s">
        <v>87</v>
      </c>
      <c r="F3403">
        <v>66</v>
      </c>
      <c r="G3403" s="1" t="s">
        <v>161</v>
      </c>
      <c r="H3403">
        <v>66133</v>
      </c>
      <c r="I3403">
        <v>5</v>
      </c>
      <c r="J3403">
        <v>5</v>
      </c>
      <c r="K3403">
        <v>7</v>
      </c>
      <c r="L3403">
        <v>1400</v>
      </c>
    </row>
    <row r="3404" spans="1:12" hidden="1" x14ac:dyDescent="0.25">
      <c r="A3404">
        <v>3403</v>
      </c>
      <c r="B3404" s="1" t="s">
        <v>12</v>
      </c>
      <c r="C3404">
        <v>1971</v>
      </c>
      <c r="D3404" s="1" t="s">
        <v>268</v>
      </c>
      <c r="E3404" s="1" t="s">
        <v>87</v>
      </c>
      <c r="F3404">
        <v>66</v>
      </c>
      <c r="G3404" s="1" t="s">
        <v>188</v>
      </c>
      <c r="H3404">
        <v>66140</v>
      </c>
      <c r="I3404">
        <v>10</v>
      </c>
      <c r="J3404">
        <v>10</v>
      </c>
      <c r="K3404">
        <v>13</v>
      </c>
      <c r="L3404">
        <v>1300</v>
      </c>
    </row>
    <row r="3405" spans="1:12" hidden="1" x14ac:dyDescent="0.25">
      <c r="A3405">
        <v>3404</v>
      </c>
      <c r="B3405" s="1" t="s">
        <v>12</v>
      </c>
      <c r="C3405">
        <v>1971</v>
      </c>
      <c r="D3405" s="1" t="s">
        <v>268</v>
      </c>
      <c r="E3405" s="1" t="s">
        <v>87</v>
      </c>
      <c r="F3405">
        <v>66</v>
      </c>
      <c r="G3405" s="1" t="s">
        <v>130</v>
      </c>
      <c r="H3405">
        <v>66147</v>
      </c>
      <c r="I3405">
        <v>10</v>
      </c>
      <c r="J3405">
        <v>10</v>
      </c>
      <c r="K3405">
        <v>13</v>
      </c>
      <c r="L3405">
        <v>1300</v>
      </c>
    </row>
    <row r="3406" spans="1:12" hidden="1" x14ac:dyDescent="0.25">
      <c r="A3406">
        <v>3405</v>
      </c>
      <c r="B3406" s="1" t="s">
        <v>12</v>
      </c>
      <c r="C3406">
        <v>1971</v>
      </c>
      <c r="D3406" s="1" t="s">
        <v>268</v>
      </c>
      <c r="E3406" s="1" t="s">
        <v>64</v>
      </c>
      <c r="F3406">
        <v>82</v>
      </c>
      <c r="G3406" s="1" t="s">
        <v>66</v>
      </c>
      <c r="H3406">
        <v>82035</v>
      </c>
      <c r="I3406">
        <v>200</v>
      </c>
      <c r="J3406">
        <v>170</v>
      </c>
      <c r="K3406">
        <v>320</v>
      </c>
      <c r="L3406">
        <v>1882</v>
      </c>
    </row>
    <row r="3407" spans="1:12" hidden="1" x14ac:dyDescent="0.25">
      <c r="A3407">
        <v>3406</v>
      </c>
      <c r="B3407" s="1" t="s">
        <v>12</v>
      </c>
      <c r="C3407">
        <v>1971</v>
      </c>
      <c r="D3407" s="1" t="s">
        <v>268</v>
      </c>
      <c r="E3407" s="1" t="s">
        <v>64</v>
      </c>
      <c r="F3407">
        <v>82</v>
      </c>
      <c r="G3407" s="1" t="s">
        <v>65</v>
      </c>
      <c r="H3407">
        <v>82049</v>
      </c>
      <c r="I3407">
        <v>1000</v>
      </c>
      <c r="J3407">
        <v>900</v>
      </c>
      <c r="K3407">
        <v>900</v>
      </c>
      <c r="L3407">
        <v>1000</v>
      </c>
    </row>
    <row r="3408" spans="1:12" hidden="1" x14ac:dyDescent="0.25">
      <c r="A3408">
        <v>3407</v>
      </c>
      <c r="B3408" s="1" t="s">
        <v>12</v>
      </c>
      <c r="C3408">
        <v>1971</v>
      </c>
      <c r="D3408" s="1" t="s">
        <v>268</v>
      </c>
      <c r="E3408" s="1" t="s">
        <v>77</v>
      </c>
      <c r="F3408">
        <v>90</v>
      </c>
      <c r="G3408" s="1" t="s">
        <v>78</v>
      </c>
      <c r="H3408">
        <v>90007</v>
      </c>
      <c r="I3408">
        <v>150</v>
      </c>
      <c r="J3408">
        <v>150</v>
      </c>
      <c r="K3408">
        <v>163</v>
      </c>
      <c r="L3408">
        <v>1087</v>
      </c>
    </row>
    <row r="3409" spans="1:12" hidden="1" x14ac:dyDescent="0.25">
      <c r="A3409">
        <v>3408</v>
      </c>
      <c r="B3409" s="1" t="s">
        <v>12</v>
      </c>
      <c r="C3409">
        <v>1971</v>
      </c>
      <c r="D3409" s="1" t="s">
        <v>268</v>
      </c>
      <c r="E3409" s="1" t="s">
        <v>77</v>
      </c>
      <c r="F3409">
        <v>90</v>
      </c>
      <c r="G3409" s="1" t="s">
        <v>91</v>
      </c>
      <c r="H3409">
        <v>90014</v>
      </c>
      <c r="I3409">
        <v>300</v>
      </c>
      <c r="J3409">
        <v>300</v>
      </c>
      <c r="K3409">
        <v>385</v>
      </c>
      <c r="L3409">
        <v>1283</v>
      </c>
    </row>
    <row r="3410" spans="1:12" hidden="1" x14ac:dyDescent="0.25">
      <c r="A3410">
        <v>3409</v>
      </c>
      <c r="B3410" s="1" t="s">
        <v>12</v>
      </c>
      <c r="C3410">
        <v>1971</v>
      </c>
      <c r="D3410" s="1" t="s">
        <v>268</v>
      </c>
      <c r="E3410" s="1" t="s">
        <v>77</v>
      </c>
      <c r="F3410">
        <v>90</v>
      </c>
      <c r="G3410" s="1" t="s">
        <v>92</v>
      </c>
      <c r="H3410">
        <v>90056</v>
      </c>
      <c r="I3410">
        <v>150</v>
      </c>
      <c r="J3410">
        <v>150</v>
      </c>
      <c r="K3410">
        <v>192</v>
      </c>
      <c r="L3410">
        <v>1280</v>
      </c>
    </row>
    <row r="3411" spans="1:12" hidden="1" x14ac:dyDescent="0.25">
      <c r="A3411">
        <v>3410</v>
      </c>
      <c r="B3411" s="1" t="s">
        <v>12</v>
      </c>
      <c r="C3411">
        <v>1972</v>
      </c>
      <c r="D3411" s="1" t="s">
        <v>269</v>
      </c>
      <c r="E3411" s="1" t="s">
        <v>22</v>
      </c>
      <c r="F3411">
        <v>14</v>
      </c>
      <c r="G3411" s="1" t="s">
        <v>97</v>
      </c>
      <c r="H3411">
        <v>14007</v>
      </c>
      <c r="I3411">
        <v>9000</v>
      </c>
      <c r="J3411">
        <v>8600</v>
      </c>
      <c r="K3411">
        <v>9527</v>
      </c>
      <c r="L3411">
        <v>1108</v>
      </c>
    </row>
    <row r="3412" spans="1:12" hidden="1" x14ac:dyDescent="0.25">
      <c r="A3412">
        <v>3411</v>
      </c>
      <c r="B3412" s="1" t="s">
        <v>12</v>
      </c>
      <c r="C3412">
        <v>1972</v>
      </c>
      <c r="D3412" s="1" t="s">
        <v>269</v>
      </c>
      <c r="E3412" s="1" t="s">
        <v>22</v>
      </c>
      <c r="F3412">
        <v>14</v>
      </c>
      <c r="G3412" s="1" t="s">
        <v>184</v>
      </c>
      <c r="H3412">
        <v>14042</v>
      </c>
      <c r="I3412">
        <v>24000</v>
      </c>
      <c r="J3412">
        <v>23700</v>
      </c>
      <c r="K3412">
        <v>35000</v>
      </c>
      <c r="L3412">
        <v>1477</v>
      </c>
    </row>
    <row r="3413" spans="1:12" hidden="1" x14ac:dyDescent="0.25">
      <c r="A3413">
        <v>3412</v>
      </c>
      <c r="B3413" s="1" t="s">
        <v>12</v>
      </c>
      <c r="C3413">
        <v>1972</v>
      </c>
      <c r="D3413" s="1" t="s">
        <v>269</v>
      </c>
      <c r="E3413" s="1" t="s">
        <v>22</v>
      </c>
      <c r="F3413">
        <v>14</v>
      </c>
      <c r="G3413" s="1" t="s">
        <v>143</v>
      </c>
      <c r="H3413">
        <v>14056</v>
      </c>
      <c r="I3413">
        <v>45000</v>
      </c>
      <c r="J3413">
        <v>43500</v>
      </c>
      <c r="K3413">
        <v>64254</v>
      </c>
      <c r="L3413">
        <v>1477</v>
      </c>
    </row>
    <row r="3414" spans="1:12" hidden="1" x14ac:dyDescent="0.25">
      <c r="A3414">
        <v>3413</v>
      </c>
      <c r="B3414" s="1" t="s">
        <v>12</v>
      </c>
      <c r="C3414">
        <v>1972</v>
      </c>
      <c r="D3414" s="1" t="s">
        <v>269</v>
      </c>
      <c r="E3414" s="1" t="s">
        <v>22</v>
      </c>
      <c r="F3414">
        <v>14</v>
      </c>
      <c r="G3414" s="1" t="s">
        <v>29</v>
      </c>
      <c r="H3414">
        <v>14098</v>
      </c>
      <c r="I3414">
        <v>5500</v>
      </c>
      <c r="J3414">
        <v>5300</v>
      </c>
      <c r="K3414">
        <v>8200</v>
      </c>
      <c r="L3414">
        <v>1547</v>
      </c>
    </row>
    <row r="3415" spans="1:12" hidden="1" x14ac:dyDescent="0.25">
      <c r="A3415">
        <v>3414</v>
      </c>
      <c r="B3415" s="1" t="s">
        <v>12</v>
      </c>
      <c r="C3415">
        <v>1972</v>
      </c>
      <c r="D3415" s="1" t="s">
        <v>269</v>
      </c>
      <c r="E3415" s="1" t="s">
        <v>22</v>
      </c>
      <c r="F3415">
        <v>14</v>
      </c>
      <c r="G3415" s="1" t="s">
        <v>25</v>
      </c>
      <c r="H3415">
        <v>14105</v>
      </c>
      <c r="I3415">
        <v>3500</v>
      </c>
      <c r="J3415">
        <v>3400</v>
      </c>
      <c r="K3415">
        <v>3264</v>
      </c>
      <c r="L3415">
        <v>960</v>
      </c>
    </row>
    <row r="3416" spans="1:12" hidden="1" x14ac:dyDescent="0.25">
      <c r="A3416">
        <v>3415</v>
      </c>
      <c r="B3416" s="1" t="s">
        <v>12</v>
      </c>
      <c r="C3416">
        <v>1972</v>
      </c>
      <c r="D3416" s="1" t="s">
        <v>269</v>
      </c>
      <c r="E3416" s="1" t="s">
        <v>22</v>
      </c>
      <c r="F3416">
        <v>14</v>
      </c>
      <c r="G3416" s="1" t="s">
        <v>24</v>
      </c>
      <c r="H3416">
        <v>14119</v>
      </c>
      <c r="I3416">
        <v>108000</v>
      </c>
      <c r="J3416">
        <v>105500</v>
      </c>
      <c r="K3416">
        <v>109080</v>
      </c>
      <c r="L3416">
        <v>1034</v>
      </c>
    </row>
    <row r="3417" spans="1:12" hidden="1" x14ac:dyDescent="0.25">
      <c r="A3417">
        <v>3416</v>
      </c>
      <c r="B3417" s="1" t="s">
        <v>12</v>
      </c>
      <c r="C3417">
        <v>1972</v>
      </c>
      <c r="D3417" s="1" t="s">
        <v>269</v>
      </c>
      <c r="E3417" s="1" t="s">
        <v>22</v>
      </c>
      <c r="F3417">
        <v>14</v>
      </c>
      <c r="G3417" s="1" t="s">
        <v>23</v>
      </c>
      <c r="H3417">
        <v>14147</v>
      </c>
      <c r="I3417">
        <v>15000</v>
      </c>
      <c r="J3417">
        <v>14700</v>
      </c>
      <c r="K3417">
        <v>17371</v>
      </c>
      <c r="L3417">
        <v>1182</v>
      </c>
    </row>
    <row r="3418" spans="1:12" hidden="1" x14ac:dyDescent="0.25">
      <c r="A3418">
        <v>3417</v>
      </c>
      <c r="B3418" s="1" t="s">
        <v>12</v>
      </c>
      <c r="C3418">
        <v>1972</v>
      </c>
      <c r="D3418" s="1" t="s">
        <v>269</v>
      </c>
      <c r="E3418" s="1" t="s">
        <v>22</v>
      </c>
      <c r="F3418">
        <v>14</v>
      </c>
      <c r="G3418" s="1" t="s">
        <v>26</v>
      </c>
      <c r="H3418">
        <v>14161</v>
      </c>
      <c r="I3418">
        <v>173000</v>
      </c>
      <c r="J3418">
        <v>169000</v>
      </c>
      <c r="K3418">
        <v>187227</v>
      </c>
      <c r="L3418">
        <v>1108</v>
      </c>
    </row>
    <row r="3419" spans="1:12" hidden="1" x14ac:dyDescent="0.25">
      <c r="A3419">
        <v>3418</v>
      </c>
      <c r="B3419" s="1" t="s">
        <v>12</v>
      </c>
      <c r="C3419">
        <v>1972</v>
      </c>
      <c r="D3419" s="1" t="s">
        <v>269</v>
      </c>
      <c r="E3419" s="1" t="s">
        <v>22</v>
      </c>
      <c r="F3419">
        <v>14</v>
      </c>
      <c r="G3419" s="1" t="s">
        <v>122</v>
      </c>
      <c r="H3419">
        <v>14182</v>
      </c>
      <c r="I3419">
        <v>1000</v>
      </c>
      <c r="J3419">
        <v>1000</v>
      </c>
      <c r="K3419">
        <v>1477</v>
      </c>
      <c r="L3419">
        <v>1477</v>
      </c>
    </row>
    <row r="3420" spans="1:12" hidden="1" x14ac:dyDescent="0.25">
      <c r="A3420">
        <v>3419</v>
      </c>
      <c r="B3420" s="1" t="s">
        <v>12</v>
      </c>
      <c r="C3420">
        <v>1972</v>
      </c>
      <c r="D3420" s="1" t="s">
        <v>269</v>
      </c>
      <c r="E3420" s="1" t="s">
        <v>30</v>
      </c>
      <c r="F3420">
        <v>18</v>
      </c>
      <c r="G3420" s="1" t="s">
        <v>38</v>
      </c>
      <c r="H3420">
        <v>18007</v>
      </c>
      <c r="I3420">
        <v>10</v>
      </c>
      <c r="J3420">
        <v>8</v>
      </c>
      <c r="K3420">
        <v>8</v>
      </c>
      <c r="L3420">
        <v>1000</v>
      </c>
    </row>
    <row r="3421" spans="1:12" hidden="1" x14ac:dyDescent="0.25">
      <c r="A3421">
        <v>3420</v>
      </c>
      <c r="B3421" s="1" t="s">
        <v>12</v>
      </c>
      <c r="C3421">
        <v>1972</v>
      </c>
      <c r="D3421" s="1" t="s">
        <v>269</v>
      </c>
      <c r="E3421" s="1" t="s">
        <v>30</v>
      </c>
      <c r="F3421">
        <v>18</v>
      </c>
      <c r="G3421" s="1" t="s">
        <v>28</v>
      </c>
      <c r="H3421">
        <v>18021</v>
      </c>
      <c r="I3421">
        <v>60</v>
      </c>
      <c r="J3421">
        <v>55</v>
      </c>
      <c r="K3421">
        <v>50</v>
      </c>
      <c r="L3421">
        <v>909</v>
      </c>
    </row>
    <row r="3422" spans="1:12" hidden="1" x14ac:dyDescent="0.25">
      <c r="A3422">
        <v>3421</v>
      </c>
      <c r="B3422" s="1" t="s">
        <v>12</v>
      </c>
      <c r="C3422">
        <v>1972</v>
      </c>
      <c r="D3422" s="1" t="s">
        <v>269</v>
      </c>
      <c r="E3422" s="1" t="s">
        <v>30</v>
      </c>
      <c r="F3422">
        <v>18</v>
      </c>
      <c r="G3422" s="1" t="s">
        <v>42</v>
      </c>
      <c r="H3422">
        <v>18035</v>
      </c>
      <c r="I3422">
        <v>20</v>
      </c>
      <c r="J3422">
        <v>18</v>
      </c>
      <c r="K3422">
        <v>19</v>
      </c>
      <c r="L3422">
        <v>1056</v>
      </c>
    </row>
    <row r="3423" spans="1:12" hidden="1" x14ac:dyDescent="0.25">
      <c r="A3423">
        <v>3422</v>
      </c>
      <c r="B3423" s="1" t="s">
        <v>12</v>
      </c>
      <c r="C3423">
        <v>1972</v>
      </c>
      <c r="D3423" s="1" t="s">
        <v>269</v>
      </c>
      <c r="E3423" s="1" t="s">
        <v>30</v>
      </c>
      <c r="F3423">
        <v>18</v>
      </c>
      <c r="G3423" s="1" t="s">
        <v>34</v>
      </c>
      <c r="H3423">
        <v>18042</v>
      </c>
      <c r="I3423">
        <v>60</v>
      </c>
      <c r="J3423">
        <v>50</v>
      </c>
      <c r="K3423">
        <v>48</v>
      </c>
      <c r="L3423">
        <v>960</v>
      </c>
    </row>
    <row r="3424" spans="1:12" hidden="1" x14ac:dyDescent="0.25">
      <c r="A3424">
        <v>3423</v>
      </c>
      <c r="B3424" s="1" t="s">
        <v>12</v>
      </c>
      <c r="C3424">
        <v>1972</v>
      </c>
      <c r="D3424" s="1" t="s">
        <v>269</v>
      </c>
      <c r="E3424" s="1" t="s">
        <v>30</v>
      </c>
      <c r="F3424">
        <v>18</v>
      </c>
      <c r="G3424" s="1" t="s">
        <v>35</v>
      </c>
      <c r="H3424">
        <v>18049</v>
      </c>
      <c r="I3424">
        <v>4</v>
      </c>
      <c r="J3424">
        <v>4</v>
      </c>
      <c r="K3424">
        <v>4</v>
      </c>
      <c r="L3424">
        <v>1000</v>
      </c>
    </row>
    <row r="3425" spans="1:12" hidden="1" x14ac:dyDescent="0.25">
      <c r="A3425">
        <v>3424</v>
      </c>
      <c r="B3425" s="1" t="s">
        <v>12</v>
      </c>
      <c r="C3425">
        <v>1972</v>
      </c>
      <c r="D3425" s="1" t="s">
        <v>269</v>
      </c>
      <c r="E3425" s="1" t="s">
        <v>30</v>
      </c>
      <c r="F3425">
        <v>18</v>
      </c>
      <c r="G3425" s="1" t="s">
        <v>140</v>
      </c>
      <c r="H3425">
        <v>18056</v>
      </c>
      <c r="I3425">
        <v>200</v>
      </c>
      <c r="J3425">
        <v>190</v>
      </c>
      <c r="K3425">
        <v>207</v>
      </c>
      <c r="L3425">
        <v>1089</v>
      </c>
    </row>
    <row r="3426" spans="1:12" hidden="1" x14ac:dyDescent="0.25">
      <c r="A3426">
        <v>3425</v>
      </c>
      <c r="B3426" s="1" t="s">
        <v>12</v>
      </c>
      <c r="C3426">
        <v>1972</v>
      </c>
      <c r="D3426" s="1" t="s">
        <v>269</v>
      </c>
      <c r="E3426" s="1" t="s">
        <v>30</v>
      </c>
      <c r="F3426">
        <v>18</v>
      </c>
      <c r="G3426" s="1" t="s">
        <v>99</v>
      </c>
      <c r="H3426">
        <v>18063</v>
      </c>
      <c r="I3426">
        <v>4</v>
      </c>
      <c r="J3426">
        <v>4</v>
      </c>
      <c r="K3426">
        <v>4</v>
      </c>
      <c r="L3426">
        <v>1000</v>
      </c>
    </row>
    <row r="3427" spans="1:12" hidden="1" x14ac:dyDescent="0.25">
      <c r="A3427">
        <v>3426</v>
      </c>
      <c r="B3427" s="1" t="s">
        <v>12</v>
      </c>
      <c r="C3427">
        <v>1972</v>
      </c>
      <c r="D3427" s="1" t="s">
        <v>269</v>
      </c>
      <c r="E3427" s="1" t="s">
        <v>30</v>
      </c>
      <c r="F3427">
        <v>18</v>
      </c>
      <c r="G3427" s="1" t="s">
        <v>43</v>
      </c>
      <c r="H3427">
        <v>18070</v>
      </c>
      <c r="I3427">
        <v>2</v>
      </c>
      <c r="J3427">
        <v>2</v>
      </c>
      <c r="K3427">
        <v>2</v>
      </c>
      <c r="L3427">
        <v>1000</v>
      </c>
    </row>
    <row r="3428" spans="1:12" hidden="1" x14ac:dyDescent="0.25">
      <c r="A3428">
        <v>3427</v>
      </c>
      <c r="B3428" s="1" t="s">
        <v>12</v>
      </c>
      <c r="C3428">
        <v>1972</v>
      </c>
      <c r="D3428" s="1" t="s">
        <v>269</v>
      </c>
      <c r="E3428" s="1" t="s">
        <v>30</v>
      </c>
      <c r="F3428">
        <v>18</v>
      </c>
      <c r="G3428" s="1" t="s">
        <v>100</v>
      </c>
      <c r="H3428">
        <v>18077</v>
      </c>
      <c r="I3428">
        <v>4</v>
      </c>
      <c r="J3428">
        <v>4</v>
      </c>
      <c r="K3428">
        <v>4</v>
      </c>
      <c r="L3428">
        <v>1000</v>
      </c>
    </row>
    <row r="3429" spans="1:12" hidden="1" x14ac:dyDescent="0.25">
      <c r="A3429">
        <v>3428</v>
      </c>
      <c r="B3429" s="1" t="s">
        <v>12</v>
      </c>
      <c r="C3429">
        <v>1972</v>
      </c>
      <c r="D3429" s="1" t="s">
        <v>269</v>
      </c>
      <c r="E3429" s="1" t="s">
        <v>30</v>
      </c>
      <c r="F3429">
        <v>18</v>
      </c>
      <c r="G3429" s="1" t="s">
        <v>39</v>
      </c>
      <c r="H3429">
        <v>18084</v>
      </c>
      <c r="I3429">
        <v>150</v>
      </c>
      <c r="J3429">
        <v>140</v>
      </c>
      <c r="K3429">
        <v>151</v>
      </c>
      <c r="L3429">
        <v>1079</v>
      </c>
    </row>
    <row r="3430" spans="1:12" hidden="1" x14ac:dyDescent="0.25">
      <c r="A3430">
        <v>3429</v>
      </c>
      <c r="B3430" s="1" t="s">
        <v>12</v>
      </c>
      <c r="C3430">
        <v>1972</v>
      </c>
      <c r="D3430" s="1" t="s">
        <v>269</v>
      </c>
      <c r="E3430" s="1" t="s">
        <v>30</v>
      </c>
      <c r="F3430">
        <v>18</v>
      </c>
      <c r="G3430" s="1" t="s">
        <v>33</v>
      </c>
      <c r="H3430">
        <v>18091</v>
      </c>
      <c r="I3430">
        <v>35</v>
      </c>
      <c r="J3430">
        <v>30</v>
      </c>
      <c r="K3430">
        <v>31</v>
      </c>
      <c r="L3430">
        <v>1033</v>
      </c>
    </row>
    <row r="3431" spans="1:12" hidden="1" x14ac:dyDescent="0.25">
      <c r="A3431">
        <v>3430</v>
      </c>
      <c r="B3431" s="1" t="s">
        <v>12</v>
      </c>
      <c r="C3431">
        <v>1972</v>
      </c>
      <c r="D3431" s="1" t="s">
        <v>269</v>
      </c>
      <c r="E3431" s="1" t="s">
        <v>30</v>
      </c>
      <c r="F3431">
        <v>18</v>
      </c>
      <c r="G3431" s="1" t="s">
        <v>98</v>
      </c>
      <c r="H3431">
        <v>18098</v>
      </c>
      <c r="I3431">
        <v>7</v>
      </c>
      <c r="J3431">
        <v>6</v>
      </c>
      <c r="K3431">
        <v>7</v>
      </c>
      <c r="L3431">
        <v>1167</v>
      </c>
    </row>
    <row r="3432" spans="1:12" hidden="1" x14ac:dyDescent="0.25">
      <c r="A3432">
        <v>3431</v>
      </c>
      <c r="B3432" s="1" t="s">
        <v>12</v>
      </c>
      <c r="C3432">
        <v>1972</v>
      </c>
      <c r="D3432" s="1" t="s">
        <v>269</v>
      </c>
      <c r="E3432" s="1" t="s">
        <v>30</v>
      </c>
      <c r="F3432">
        <v>18</v>
      </c>
      <c r="G3432" s="1" t="s">
        <v>105</v>
      </c>
      <c r="H3432">
        <v>18105</v>
      </c>
      <c r="I3432">
        <v>10</v>
      </c>
      <c r="J3432">
        <v>9</v>
      </c>
      <c r="K3432">
        <v>10</v>
      </c>
      <c r="L3432">
        <v>1111</v>
      </c>
    </row>
    <row r="3433" spans="1:12" hidden="1" x14ac:dyDescent="0.25">
      <c r="A3433">
        <v>3432</v>
      </c>
      <c r="B3433" s="1" t="s">
        <v>12</v>
      </c>
      <c r="C3433">
        <v>1972</v>
      </c>
      <c r="D3433" s="1" t="s">
        <v>269</v>
      </c>
      <c r="E3433" s="1" t="s">
        <v>30</v>
      </c>
      <c r="F3433">
        <v>18</v>
      </c>
      <c r="G3433" s="1" t="s">
        <v>32</v>
      </c>
      <c r="H3433">
        <v>18112</v>
      </c>
      <c r="I3433">
        <v>300</v>
      </c>
      <c r="J3433">
        <v>290</v>
      </c>
      <c r="K3433">
        <v>312</v>
      </c>
      <c r="L3433">
        <v>1076</v>
      </c>
    </row>
    <row r="3434" spans="1:12" hidden="1" x14ac:dyDescent="0.25">
      <c r="A3434">
        <v>3433</v>
      </c>
      <c r="B3434" s="1" t="s">
        <v>12</v>
      </c>
      <c r="C3434">
        <v>1972</v>
      </c>
      <c r="D3434" s="1" t="s">
        <v>269</v>
      </c>
      <c r="E3434" s="1" t="s">
        <v>30</v>
      </c>
      <c r="F3434">
        <v>18</v>
      </c>
      <c r="G3434" s="1" t="s">
        <v>104</v>
      </c>
      <c r="H3434">
        <v>18119</v>
      </c>
      <c r="I3434">
        <v>40</v>
      </c>
      <c r="J3434">
        <v>37</v>
      </c>
      <c r="K3434">
        <v>41</v>
      </c>
      <c r="L3434">
        <v>1108</v>
      </c>
    </row>
    <row r="3435" spans="1:12" hidden="1" x14ac:dyDescent="0.25">
      <c r="A3435">
        <v>3434</v>
      </c>
      <c r="B3435" s="1" t="s">
        <v>12</v>
      </c>
      <c r="C3435">
        <v>1972</v>
      </c>
      <c r="D3435" s="1" t="s">
        <v>269</v>
      </c>
      <c r="E3435" s="1" t="s">
        <v>30</v>
      </c>
      <c r="F3435">
        <v>18</v>
      </c>
      <c r="G3435" s="1" t="s">
        <v>41</v>
      </c>
      <c r="H3435">
        <v>18140</v>
      </c>
      <c r="I3435">
        <v>120</v>
      </c>
      <c r="J3435">
        <v>105</v>
      </c>
      <c r="K3435">
        <v>113</v>
      </c>
      <c r="L3435">
        <v>1076</v>
      </c>
    </row>
    <row r="3436" spans="1:12" hidden="1" x14ac:dyDescent="0.25">
      <c r="A3436">
        <v>3435</v>
      </c>
      <c r="B3436" s="1" t="s">
        <v>12</v>
      </c>
      <c r="C3436">
        <v>1972</v>
      </c>
      <c r="D3436" s="1" t="s">
        <v>269</v>
      </c>
      <c r="E3436" s="1" t="s">
        <v>30</v>
      </c>
      <c r="F3436">
        <v>18</v>
      </c>
      <c r="G3436" s="1" t="s">
        <v>37</v>
      </c>
      <c r="H3436">
        <v>18147</v>
      </c>
      <c r="I3436">
        <v>120</v>
      </c>
      <c r="J3436">
        <v>110</v>
      </c>
      <c r="K3436">
        <v>119</v>
      </c>
      <c r="L3436">
        <v>1082</v>
      </c>
    </row>
    <row r="3437" spans="1:12" hidden="1" x14ac:dyDescent="0.25">
      <c r="A3437">
        <v>3436</v>
      </c>
      <c r="B3437" s="1" t="s">
        <v>12</v>
      </c>
      <c r="C3437">
        <v>1972</v>
      </c>
      <c r="D3437" s="1" t="s">
        <v>269</v>
      </c>
      <c r="E3437" s="1" t="s">
        <v>30</v>
      </c>
      <c r="F3437">
        <v>18</v>
      </c>
      <c r="G3437" s="1" t="s">
        <v>103</v>
      </c>
      <c r="H3437">
        <v>18154</v>
      </c>
      <c r="I3437">
        <v>2</v>
      </c>
      <c r="J3437">
        <v>2</v>
      </c>
      <c r="K3437">
        <v>2</v>
      </c>
      <c r="L3437">
        <v>1000</v>
      </c>
    </row>
    <row r="3438" spans="1:12" hidden="1" x14ac:dyDescent="0.25">
      <c r="A3438">
        <v>3437</v>
      </c>
      <c r="B3438" s="1" t="s">
        <v>12</v>
      </c>
      <c r="C3438">
        <v>1972</v>
      </c>
      <c r="D3438" s="1" t="s">
        <v>269</v>
      </c>
      <c r="E3438" s="1" t="s">
        <v>30</v>
      </c>
      <c r="F3438">
        <v>18</v>
      </c>
      <c r="G3438" s="1" t="s">
        <v>101</v>
      </c>
      <c r="H3438">
        <v>18161</v>
      </c>
      <c r="I3438">
        <v>50</v>
      </c>
      <c r="J3438">
        <v>45</v>
      </c>
      <c r="K3438">
        <v>50</v>
      </c>
      <c r="L3438">
        <v>1111</v>
      </c>
    </row>
    <row r="3439" spans="1:12" hidden="1" x14ac:dyDescent="0.25">
      <c r="A3439">
        <v>3438</v>
      </c>
      <c r="B3439" s="1" t="s">
        <v>12</v>
      </c>
      <c r="C3439">
        <v>1972</v>
      </c>
      <c r="D3439" s="1" t="s">
        <v>269</v>
      </c>
      <c r="E3439" s="1" t="s">
        <v>30</v>
      </c>
      <c r="F3439">
        <v>18</v>
      </c>
      <c r="G3439" s="1" t="s">
        <v>44</v>
      </c>
      <c r="H3439">
        <v>18168</v>
      </c>
      <c r="I3439">
        <v>562</v>
      </c>
      <c r="J3439">
        <v>541</v>
      </c>
      <c r="K3439">
        <v>678</v>
      </c>
      <c r="L3439">
        <v>1253</v>
      </c>
    </row>
    <row r="3440" spans="1:12" hidden="1" x14ac:dyDescent="0.25">
      <c r="A3440">
        <v>3439</v>
      </c>
      <c r="B3440" s="1" t="s">
        <v>12</v>
      </c>
      <c r="C3440">
        <v>1972</v>
      </c>
      <c r="D3440" s="1" t="s">
        <v>269</v>
      </c>
      <c r="E3440" s="1" t="s">
        <v>45</v>
      </c>
      <c r="F3440">
        <v>30</v>
      </c>
      <c r="G3440" s="1" t="s">
        <v>47</v>
      </c>
      <c r="H3440">
        <v>30015</v>
      </c>
      <c r="I3440">
        <v>100</v>
      </c>
      <c r="J3440">
        <v>90</v>
      </c>
      <c r="K3440">
        <v>59</v>
      </c>
      <c r="L3440">
        <v>656</v>
      </c>
    </row>
    <row r="3441" spans="1:12" hidden="1" x14ac:dyDescent="0.25">
      <c r="A3441">
        <v>3440</v>
      </c>
      <c r="B3441" s="1" t="s">
        <v>12</v>
      </c>
      <c r="C3441">
        <v>1972</v>
      </c>
      <c r="D3441" s="1" t="s">
        <v>269</v>
      </c>
      <c r="E3441" s="1" t="s">
        <v>45</v>
      </c>
      <c r="F3441">
        <v>30</v>
      </c>
      <c r="G3441" s="1" t="s">
        <v>46</v>
      </c>
      <c r="H3441">
        <v>30028</v>
      </c>
      <c r="I3441">
        <v>100</v>
      </c>
      <c r="J3441">
        <v>90</v>
      </c>
      <c r="K3441">
        <v>61</v>
      </c>
      <c r="L3441">
        <v>678</v>
      </c>
    </row>
    <row r="3442" spans="1:12" hidden="1" x14ac:dyDescent="0.25">
      <c r="A3442">
        <v>3441</v>
      </c>
      <c r="B3442" s="1" t="s">
        <v>12</v>
      </c>
      <c r="C3442">
        <v>1972</v>
      </c>
      <c r="D3442" s="1" t="s">
        <v>269</v>
      </c>
      <c r="E3442" s="1" t="s">
        <v>48</v>
      </c>
      <c r="F3442">
        <v>34</v>
      </c>
      <c r="G3442" s="1" t="s">
        <v>50</v>
      </c>
      <c r="H3442">
        <v>34021</v>
      </c>
      <c r="I3442">
        <v>15</v>
      </c>
      <c r="J3442">
        <v>15</v>
      </c>
      <c r="K3442">
        <v>12</v>
      </c>
      <c r="L3442">
        <v>800</v>
      </c>
    </row>
    <row r="3443" spans="1:12" hidden="1" x14ac:dyDescent="0.25">
      <c r="A3443">
        <v>3442</v>
      </c>
      <c r="B3443" s="1" t="s">
        <v>12</v>
      </c>
      <c r="C3443">
        <v>1972</v>
      </c>
      <c r="D3443" s="1" t="s">
        <v>269</v>
      </c>
      <c r="E3443" s="1" t="s">
        <v>48</v>
      </c>
      <c r="F3443">
        <v>34</v>
      </c>
      <c r="G3443" s="1" t="s">
        <v>52</v>
      </c>
      <c r="H3443">
        <v>34035</v>
      </c>
      <c r="I3443">
        <v>815</v>
      </c>
      <c r="J3443">
        <v>815</v>
      </c>
      <c r="K3443">
        <v>880</v>
      </c>
      <c r="L3443">
        <v>1080</v>
      </c>
    </row>
    <row r="3444" spans="1:12" hidden="1" x14ac:dyDescent="0.25">
      <c r="A3444">
        <v>3443</v>
      </c>
      <c r="B3444" s="1" t="s">
        <v>12</v>
      </c>
      <c r="C3444">
        <v>1972</v>
      </c>
      <c r="D3444" s="1" t="s">
        <v>269</v>
      </c>
      <c r="E3444" s="1" t="s">
        <v>48</v>
      </c>
      <c r="F3444">
        <v>34</v>
      </c>
      <c r="G3444" s="1" t="s">
        <v>108</v>
      </c>
      <c r="H3444">
        <v>34042</v>
      </c>
      <c r="I3444">
        <v>20</v>
      </c>
      <c r="J3444">
        <v>20</v>
      </c>
      <c r="K3444">
        <v>16</v>
      </c>
      <c r="L3444">
        <v>800</v>
      </c>
    </row>
    <row r="3445" spans="1:12" hidden="1" x14ac:dyDescent="0.25">
      <c r="A3445">
        <v>3444</v>
      </c>
      <c r="B3445" s="1" t="s">
        <v>12</v>
      </c>
      <c r="C3445">
        <v>1972</v>
      </c>
      <c r="D3445" s="1" t="s">
        <v>269</v>
      </c>
      <c r="E3445" s="1" t="s">
        <v>48</v>
      </c>
      <c r="F3445">
        <v>34</v>
      </c>
      <c r="G3445" s="1" t="s">
        <v>49</v>
      </c>
      <c r="H3445">
        <v>34049</v>
      </c>
      <c r="I3445">
        <v>30</v>
      </c>
      <c r="J3445">
        <v>30</v>
      </c>
      <c r="K3445">
        <v>24</v>
      </c>
      <c r="L3445">
        <v>800</v>
      </c>
    </row>
    <row r="3446" spans="1:12" hidden="1" x14ac:dyDescent="0.25">
      <c r="A3446">
        <v>3445</v>
      </c>
      <c r="B3446" s="1" t="s">
        <v>12</v>
      </c>
      <c r="C3446">
        <v>1972</v>
      </c>
      <c r="D3446" s="1" t="s">
        <v>269</v>
      </c>
      <c r="E3446" s="1" t="s">
        <v>48</v>
      </c>
      <c r="F3446">
        <v>34</v>
      </c>
      <c r="G3446" s="1" t="s">
        <v>51</v>
      </c>
      <c r="H3446">
        <v>34056</v>
      </c>
      <c r="I3446">
        <v>10</v>
      </c>
      <c r="J3446">
        <v>10</v>
      </c>
      <c r="K3446">
        <v>9</v>
      </c>
      <c r="L3446">
        <v>900</v>
      </c>
    </row>
    <row r="3447" spans="1:12" hidden="1" x14ac:dyDescent="0.25">
      <c r="A3447">
        <v>3446</v>
      </c>
      <c r="B3447" s="1" t="s">
        <v>12</v>
      </c>
      <c r="C3447">
        <v>1972</v>
      </c>
      <c r="D3447" s="1" t="s">
        <v>269</v>
      </c>
      <c r="E3447" s="1" t="s">
        <v>53</v>
      </c>
      <c r="F3447">
        <v>38</v>
      </c>
      <c r="G3447" s="1" t="s">
        <v>270</v>
      </c>
      <c r="H3447">
        <v>38070</v>
      </c>
      <c r="I3447">
        <v>130</v>
      </c>
      <c r="J3447">
        <v>110</v>
      </c>
      <c r="K3447">
        <v>160</v>
      </c>
      <c r="L3447">
        <v>1455</v>
      </c>
    </row>
    <row r="3448" spans="1:12" hidden="1" x14ac:dyDescent="0.25">
      <c r="A3448">
        <v>3447</v>
      </c>
      <c r="B3448" s="1" t="s">
        <v>12</v>
      </c>
      <c r="C3448">
        <v>1972</v>
      </c>
      <c r="D3448" s="1" t="s">
        <v>269</v>
      </c>
      <c r="E3448" s="1" t="s">
        <v>58</v>
      </c>
      <c r="F3448">
        <v>54</v>
      </c>
      <c r="G3448" s="1" t="s">
        <v>234</v>
      </c>
      <c r="H3448">
        <v>54119</v>
      </c>
      <c r="I3448">
        <v>5</v>
      </c>
      <c r="J3448">
        <v>3</v>
      </c>
      <c r="K3448">
        <v>1</v>
      </c>
      <c r="L3448">
        <v>333</v>
      </c>
    </row>
    <row r="3449" spans="1:12" hidden="1" x14ac:dyDescent="0.25">
      <c r="A3449">
        <v>3448</v>
      </c>
      <c r="B3449" s="1" t="s">
        <v>12</v>
      </c>
      <c r="C3449">
        <v>1972</v>
      </c>
      <c r="D3449" s="1" t="s">
        <v>269</v>
      </c>
      <c r="E3449" s="1" t="s">
        <v>58</v>
      </c>
      <c r="F3449">
        <v>54</v>
      </c>
      <c r="G3449" s="1" t="s">
        <v>59</v>
      </c>
      <c r="H3449">
        <v>54007</v>
      </c>
      <c r="I3449">
        <v>25</v>
      </c>
      <c r="J3449">
        <v>20</v>
      </c>
      <c r="K3449">
        <v>8</v>
      </c>
      <c r="L3449">
        <v>400</v>
      </c>
    </row>
    <row r="3450" spans="1:12" hidden="1" x14ac:dyDescent="0.25">
      <c r="A3450">
        <v>3449</v>
      </c>
      <c r="B3450" s="1" t="s">
        <v>12</v>
      </c>
      <c r="C3450">
        <v>1972</v>
      </c>
      <c r="D3450" s="1" t="s">
        <v>269</v>
      </c>
      <c r="E3450" s="1" t="s">
        <v>58</v>
      </c>
      <c r="F3450">
        <v>54</v>
      </c>
      <c r="G3450" s="1" t="s">
        <v>150</v>
      </c>
      <c r="H3450">
        <v>54014</v>
      </c>
      <c r="I3450">
        <v>27</v>
      </c>
      <c r="J3450">
        <v>20</v>
      </c>
      <c r="K3450">
        <v>8</v>
      </c>
      <c r="L3450">
        <v>400</v>
      </c>
    </row>
    <row r="3451" spans="1:12" hidden="1" x14ac:dyDescent="0.25">
      <c r="A3451">
        <v>3450</v>
      </c>
      <c r="B3451" s="1" t="s">
        <v>12</v>
      </c>
      <c r="C3451">
        <v>1972</v>
      </c>
      <c r="D3451" s="1" t="s">
        <v>269</v>
      </c>
      <c r="E3451" s="1" t="s">
        <v>58</v>
      </c>
      <c r="F3451">
        <v>54</v>
      </c>
      <c r="G3451" s="1" t="s">
        <v>60</v>
      </c>
      <c r="H3451">
        <v>54021</v>
      </c>
      <c r="I3451">
        <v>25</v>
      </c>
      <c r="J3451">
        <v>20</v>
      </c>
      <c r="K3451">
        <v>6</v>
      </c>
      <c r="L3451">
        <v>300</v>
      </c>
    </row>
    <row r="3452" spans="1:12" hidden="1" x14ac:dyDescent="0.25">
      <c r="A3452">
        <v>3451</v>
      </c>
      <c r="B3452" s="1" t="s">
        <v>12</v>
      </c>
      <c r="C3452">
        <v>1972</v>
      </c>
      <c r="D3452" s="1" t="s">
        <v>269</v>
      </c>
      <c r="E3452" s="1" t="s">
        <v>58</v>
      </c>
      <c r="F3452">
        <v>54</v>
      </c>
      <c r="G3452" s="1" t="s">
        <v>63</v>
      </c>
      <c r="H3452">
        <v>54035</v>
      </c>
      <c r="I3452">
        <v>27</v>
      </c>
      <c r="J3452">
        <v>20</v>
      </c>
      <c r="K3452">
        <v>6</v>
      </c>
      <c r="L3452">
        <v>300</v>
      </c>
    </row>
    <row r="3453" spans="1:12" hidden="1" x14ac:dyDescent="0.25">
      <c r="A3453">
        <v>3452</v>
      </c>
      <c r="B3453" s="1" t="s">
        <v>12</v>
      </c>
      <c r="C3453">
        <v>1972</v>
      </c>
      <c r="D3453" s="1" t="s">
        <v>269</v>
      </c>
      <c r="E3453" s="1" t="s">
        <v>58</v>
      </c>
      <c r="F3453">
        <v>54</v>
      </c>
      <c r="G3453" s="1" t="s">
        <v>266</v>
      </c>
      <c r="H3453">
        <v>54042</v>
      </c>
      <c r="I3453">
        <v>25</v>
      </c>
      <c r="J3453">
        <v>20</v>
      </c>
      <c r="K3453">
        <v>8</v>
      </c>
      <c r="L3453">
        <v>400</v>
      </c>
    </row>
    <row r="3454" spans="1:12" hidden="1" x14ac:dyDescent="0.25">
      <c r="A3454">
        <v>3453</v>
      </c>
      <c r="B3454" s="1" t="s">
        <v>12</v>
      </c>
      <c r="C3454">
        <v>1972</v>
      </c>
      <c r="D3454" s="1" t="s">
        <v>269</v>
      </c>
      <c r="E3454" s="1" t="s">
        <v>58</v>
      </c>
      <c r="F3454">
        <v>54</v>
      </c>
      <c r="G3454" s="1" t="s">
        <v>151</v>
      </c>
      <c r="H3454">
        <v>54056</v>
      </c>
      <c r="I3454">
        <v>8</v>
      </c>
      <c r="J3454">
        <v>5</v>
      </c>
      <c r="K3454">
        <v>2</v>
      </c>
      <c r="L3454">
        <v>400</v>
      </c>
    </row>
    <row r="3455" spans="1:12" hidden="1" x14ac:dyDescent="0.25">
      <c r="A3455">
        <v>3454</v>
      </c>
      <c r="B3455" s="1" t="s">
        <v>12</v>
      </c>
      <c r="C3455">
        <v>1972</v>
      </c>
      <c r="D3455" s="1" t="s">
        <v>269</v>
      </c>
      <c r="E3455" s="1" t="s">
        <v>58</v>
      </c>
      <c r="F3455">
        <v>54</v>
      </c>
      <c r="G3455" s="1" t="s">
        <v>152</v>
      </c>
      <c r="H3455">
        <v>54063</v>
      </c>
      <c r="I3455">
        <v>10</v>
      </c>
      <c r="J3455">
        <v>5</v>
      </c>
      <c r="K3455">
        <v>2</v>
      </c>
      <c r="L3455">
        <v>400</v>
      </c>
    </row>
    <row r="3456" spans="1:12" hidden="1" x14ac:dyDescent="0.25">
      <c r="A3456">
        <v>3455</v>
      </c>
      <c r="B3456" s="1" t="s">
        <v>12</v>
      </c>
      <c r="C3456">
        <v>1972</v>
      </c>
      <c r="D3456" s="1" t="s">
        <v>269</v>
      </c>
      <c r="E3456" s="1" t="s">
        <v>58</v>
      </c>
      <c r="F3456">
        <v>54</v>
      </c>
      <c r="G3456" s="1" t="s">
        <v>243</v>
      </c>
      <c r="H3456">
        <v>54070</v>
      </c>
      <c r="I3456">
        <v>35</v>
      </c>
      <c r="J3456">
        <v>25</v>
      </c>
      <c r="K3456">
        <v>10</v>
      </c>
      <c r="L3456">
        <v>400</v>
      </c>
    </row>
    <row r="3457" spans="1:12" hidden="1" x14ac:dyDescent="0.25">
      <c r="A3457">
        <v>3456</v>
      </c>
      <c r="B3457" s="1" t="s">
        <v>12</v>
      </c>
      <c r="C3457">
        <v>1972</v>
      </c>
      <c r="D3457" s="1" t="s">
        <v>269</v>
      </c>
      <c r="E3457" s="1" t="s">
        <v>58</v>
      </c>
      <c r="F3457">
        <v>54</v>
      </c>
      <c r="G3457" s="1" t="s">
        <v>119</v>
      </c>
      <c r="H3457">
        <v>54077</v>
      </c>
      <c r="I3457">
        <v>22</v>
      </c>
      <c r="J3457">
        <v>15</v>
      </c>
      <c r="K3457">
        <v>4</v>
      </c>
      <c r="L3457">
        <v>267</v>
      </c>
    </row>
    <row r="3458" spans="1:12" hidden="1" x14ac:dyDescent="0.25">
      <c r="A3458">
        <v>3457</v>
      </c>
      <c r="B3458" s="1" t="s">
        <v>12</v>
      </c>
      <c r="C3458">
        <v>1972</v>
      </c>
      <c r="D3458" s="1" t="s">
        <v>269</v>
      </c>
      <c r="E3458" s="1" t="s">
        <v>58</v>
      </c>
      <c r="F3458">
        <v>54</v>
      </c>
      <c r="G3458" s="1" t="s">
        <v>242</v>
      </c>
      <c r="H3458">
        <v>54091</v>
      </c>
      <c r="I3458">
        <v>25</v>
      </c>
      <c r="J3458">
        <v>15</v>
      </c>
      <c r="K3458">
        <v>4</v>
      </c>
      <c r="L3458">
        <v>267</v>
      </c>
    </row>
    <row r="3459" spans="1:12" hidden="1" x14ac:dyDescent="0.25">
      <c r="A3459">
        <v>3458</v>
      </c>
      <c r="B3459" s="1" t="s">
        <v>12</v>
      </c>
      <c r="C3459">
        <v>1972</v>
      </c>
      <c r="D3459" s="1" t="s">
        <v>269</v>
      </c>
      <c r="E3459" s="1" t="s">
        <v>58</v>
      </c>
      <c r="F3459">
        <v>54</v>
      </c>
      <c r="G3459" s="1" t="s">
        <v>61</v>
      </c>
      <c r="H3459">
        <v>54098</v>
      </c>
      <c r="I3459">
        <v>41</v>
      </c>
      <c r="J3459">
        <v>32</v>
      </c>
      <c r="K3459">
        <v>11</v>
      </c>
      <c r="L3459">
        <v>344</v>
      </c>
    </row>
    <row r="3460" spans="1:12" hidden="1" x14ac:dyDescent="0.25">
      <c r="A3460">
        <v>3459</v>
      </c>
      <c r="B3460" s="1" t="s">
        <v>12</v>
      </c>
      <c r="C3460">
        <v>1972</v>
      </c>
      <c r="D3460" s="1" t="s">
        <v>269</v>
      </c>
      <c r="E3460" s="1" t="s">
        <v>58</v>
      </c>
      <c r="F3460">
        <v>54</v>
      </c>
      <c r="G3460" s="1" t="s">
        <v>62</v>
      </c>
      <c r="H3460">
        <v>54105</v>
      </c>
      <c r="I3460">
        <v>15</v>
      </c>
      <c r="J3460">
        <v>10</v>
      </c>
      <c r="K3460">
        <v>4</v>
      </c>
      <c r="L3460">
        <v>400</v>
      </c>
    </row>
    <row r="3461" spans="1:12" hidden="1" x14ac:dyDescent="0.25">
      <c r="A3461">
        <v>3460</v>
      </c>
      <c r="B3461" s="1" t="s">
        <v>12</v>
      </c>
      <c r="C3461">
        <v>1972</v>
      </c>
      <c r="D3461" s="1" t="s">
        <v>269</v>
      </c>
      <c r="E3461" s="1" t="s">
        <v>87</v>
      </c>
      <c r="F3461">
        <v>66</v>
      </c>
      <c r="G3461" s="1" t="s">
        <v>230</v>
      </c>
      <c r="H3461">
        <v>66056</v>
      </c>
      <c r="I3461">
        <v>60</v>
      </c>
      <c r="J3461">
        <v>60</v>
      </c>
      <c r="K3461">
        <v>90</v>
      </c>
      <c r="L3461">
        <v>1500</v>
      </c>
    </row>
    <row r="3462" spans="1:12" hidden="1" x14ac:dyDescent="0.25">
      <c r="A3462">
        <v>3461</v>
      </c>
      <c r="B3462" s="1" t="s">
        <v>12</v>
      </c>
      <c r="C3462">
        <v>1972</v>
      </c>
      <c r="D3462" s="1" t="s">
        <v>269</v>
      </c>
      <c r="E3462" s="1" t="s">
        <v>87</v>
      </c>
      <c r="F3462">
        <v>66</v>
      </c>
      <c r="G3462" s="1" t="s">
        <v>179</v>
      </c>
      <c r="H3462">
        <v>66126</v>
      </c>
      <c r="I3462">
        <v>10</v>
      </c>
      <c r="J3462">
        <v>10</v>
      </c>
      <c r="K3462">
        <v>15</v>
      </c>
      <c r="L3462">
        <v>1500</v>
      </c>
    </row>
    <row r="3463" spans="1:12" hidden="1" x14ac:dyDescent="0.25">
      <c r="A3463">
        <v>3462</v>
      </c>
      <c r="B3463" s="1" t="s">
        <v>12</v>
      </c>
      <c r="C3463">
        <v>1972</v>
      </c>
      <c r="D3463" s="1" t="s">
        <v>269</v>
      </c>
      <c r="E3463" s="1" t="s">
        <v>64</v>
      </c>
      <c r="F3463">
        <v>82</v>
      </c>
      <c r="G3463" s="1" t="s">
        <v>66</v>
      </c>
      <c r="H3463">
        <v>82035</v>
      </c>
      <c r="I3463">
        <v>350</v>
      </c>
      <c r="J3463">
        <v>150</v>
      </c>
      <c r="K3463">
        <v>330</v>
      </c>
      <c r="L3463">
        <v>2200</v>
      </c>
    </row>
    <row r="3464" spans="1:12" hidden="1" x14ac:dyDescent="0.25">
      <c r="A3464">
        <v>3463</v>
      </c>
      <c r="B3464" s="1" t="s">
        <v>12</v>
      </c>
      <c r="C3464">
        <v>1972</v>
      </c>
      <c r="D3464" s="1" t="s">
        <v>269</v>
      </c>
      <c r="E3464" s="1" t="s">
        <v>64</v>
      </c>
      <c r="F3464">
        <v>82</v>
      </c>
      <c r="G3464" s="1" t="s">
        <v>65</v>
      </c>
      <c r="H3464">
        <v>82049</v>
      </c>
      <c r="I3464">
        <v>1200</v>
      </c>
      <c r="J3464">
        <v>1030</v>
      </c>
      <c r="K3464">
        <v>1000</v>
      </c>
      <c r="L3464">
        <v>971</v>
      </c>
    </row>
    <row r="3465" spans="1:12" hidden="1" x14ac:dyDescent="0.25">
      <c r="A3465">
        <v>3464</v>
      </c>
      <c r="B3465" s="1" t="s">
        <v>12</v>
      </c>
      <c r="C3465">
        <v>1972</v>
      </c>
      <c r="D3465" s="1" t="s">
        <v>269</v>
      </c>
      <c r="E3465" s="1" t="s">
        <v>77</v>
      </c>
      <c r="F3465">
        <v>90</v>
      </c>
      <c r="G3465" s="1" t="s">
        <v>78</v>
      </c>
      <c r="H3465">
        <v>90007</v>
      </c>
      <c r="I3465">
        <v>5</v>
      </c>
      <c r="J3465">
        <v>5</v>
      </c>
      <c r="K3465">
        <v>5</v>
      </c>
      <c r="L3465">
        <v>1000</v>
      </c>
    </row>
    <row r="3466" spans="1:12" hidden="1" x14ac:dyDescent="0.25">
      <c r="A3466">
        <v>3465</v>
      </c>
      <c r="B3466" s="1" t="s">
        <v>12</v>
      </c>
      <c r="C3466">
        <v>1972</v>
      </c>
      <c r="D3466" s="1" t="s">
        <v>269</v>
      </c>
      <c r="E3466" s="1" t="s">
        <v>77</v>
      </c>
      <c r="F3466">
        <v>90</v>
      </c>
      <c r="G3466" s="1" t="s">
        <v>91</v>
      </c>
      <c r="H3466">
        <v>90014</v>
      </c>
      <c r="I3466">
        <v>2</v>
      </c>
      <c r="J3466">
        <v>2</v>
      </c>
      <c r="K3466">
        <v>2</v>
      </c>
      <c r="L3466">
        <v>1000</v>
      </c>
    </row>
    <row r="3467" spans="1:12" hidden="1" x14ac:dyDescent="0.25">
      <c r="A3467">
        <v>3466</v>
      </c>
      <c r="B3467" s="1" t="s">
        <v>12</v>
      </c>
      <c r="C3467">
        <v>1972</v>
      </c>
      <c r="D3467" s="1" t="s">
        <v>269</v>
      </c>
      <c r="E3467" s="1" t="s">
        <v>77</v>
      </c>
      <c r="F3467">
        <v>90</v>
      </c>
      <c r="G3467" s="1" t="s">
        <v>92</v>
      </c>
      <c r="H3467">
        <v>90056</v>
      </c>
      <c r="I3467">
        <v>3</v>
      </c>
      <c r="J3467">
        <v>3</v>
      </c>
      <c r="K3467">
        <v>3</v>
      </c>
      <c r="L3467">
        <v>1000</v>
      </c>
    </row>
    <row r="3468" spans="1:12" hidden="1" x14ac:dyDescent="0.25">
      <c r="A3468">
        <v>3467</v>
      </c>
      <c r="B3468" s="1" t="s">
        <v>12</v>
      </c>
      <c r="C3468">
        <v>1973</v>
      </c>
      <c r="D3468" s="1" t="s">
        <v>271</v>
      </c>
      <c r="E3468" s="1" t="s">
        <v>22</v>
      </c>
      <c r="F3468">
        <v>14</v>
      </c>
      <c r="G3468" s="1" t="s">
        <v>97</v>
      </c>
      <c r="H3468">
        <v>14007</v>
      </c>
      <c r="I3468">
        <v>11500</v>
      </c>
      <c r="J3468">
        <v>11500</v>
      </c>
      <c r="K3468">
        <v>12000</v>
      </c>
      <c r="L3468">
        <v>1043</v>
      </c>
    </row>
    <row r="3469" spans="1:12" hidden="1" x14ac:dyDescent="0.25">
      <c r="A3469">
        <v>3468</v>
      </c>
      <c r="B3469" s="1" t="s">
        <v>12</v>
      </c>
      <c r="C3469">
        <v>1973</v>
      </c>
      <c r="D3469" s="1" t="s">
        <v>271</v>
      </c>
      <c r="E3469" s="1" t="s">
        <v>22</v>
      </c>
      <c r="F3469">
        <v>14</v>
      </c>
      <c r="G3469" s="1" t="s">
        <v>129</v>
      </c>
      <c r="H3469">
        <v>14035</v>
      </c>
      <c r="I3469">
        <v>19500</v>
      </c>
      <c r="J3469">
        <v>19500</v>
      </c>
      <c r="K3469">
        <v>19000</v>
      </c>
      <c r="L3469">
        <v>974</v>
      </c>
    </row>
    <row r="3470" spans="1:12" hidden="1" x14ac:dyDescent="0.25">
      <c r="A3470">
        <v>3469</v>
      </c>
      <c r="B3470" s="1" t="s">
        <v>12</v>
      </c>
      <c r="C3470">
        <v>1973</v>
      </c>
      <c r="D3470" s="1" t="s">
        <v>271</v>
      </c>
      <c r="E3470" s="1" t="s">
        <v>22</v>
      </c>
      <c r="F3470">
        <v>14</v>
      </c>
      <c r="G3470" s="1" t="s">
        <v>143</v>
      </c>
      <c r="H3470">
        <v>14056</v>
      </c>
      <c r="I3470">
        <v>36000</v>
      </c>
      <c r="J3470">
        <v>35500</v>
      </c>
      <c r="K3470">
        <v>30000</v>
      </c>
      <c r="L3470">
        <v>845</v>
      </c>
    </row>
    <row r="3471" spans="1:12" hidden="1" x14ac:dyDescent="0.25">
      <c r="A3471">
        <v>3470</v>
      </c>
      <c r="B3471" s="1" t="s">
        <v>12</v>
      </c>
      <c r="C3471">
        <v>1973</v>
      </c>
      <c r="D3471" s="1" t="s">
        <v>271</v>
      </c>
      <c r="E3471" s="1" t="s">
        <v>22</v>
      </c>
      <c r="F3471">
        <v>14</v>
      </c>
      <c r="G3471" s="1" t="s">
        <v>29</v>
      </c>
      <c r="H3471">
        <v>14098</v>
      </c>
      <c r="I3471">
        <v>6000</v>
      </c>
      <c r="J3471">
        <v>6000</v>
      </c>
      <c r="K3471">
        <v>6000</v>
      </c>
      <c r="L3471">
        <v>1000</v>
      </c>
    </row>
    <row r="3472" spans="1:12" hidden="1" x14ac:dyDescent="0.25">
      <c r="A3472">
        <v>3471</v>
      </c>
      <c r="B3472" s="1" t="s">
        <v>12</v>
      </c>
      <c r="C3472">
        <v>1973</v>
      </c>
      <c r="D3472" s="1" t="s">
        <v>271</v>
      </c>
      <c r="E3472" s="1" t="s">
        <v>22</v>
      </c>
      <c r="F3472">
        <v>14</v>
      </c>
      <c r="G3472" s="1" t="s">
        <v>25</v>
      </c>
      <c r="H3472">
        <v>14105</v>
      </c>
      <c r="I3472">
        <v>3500</v>
      </c>
      <c r="J3472">
        <v>3500</v>
      </c>
      <c r="K3472">
        <v>3000</v>
      </c>
      <c r="L3472">
        <v>857</v>
      </c>
    </row>
    <row r="3473" spans="1:12" hidden="1" x14ac:dyDescent="0.25">
      <c r="A3473">
        <v>3472</v>
      </c>
      <c r="B3473" s="1" t="s">
        <v>12</v>
      </c>
      <c r="C3473">
        <v>1973</v>
      </c>
      <c r="D3473" s="1" t="s">
        <v>271</v>
      </c>
      <c r="E3473" s="1" t="s">
        <v>22</v>
      </c>
      <c r="F3473">
        <v>14</v>
      </c>
      <c r="G3473" s="1" t="s">
        <v>24</v>
      </c>
      <c r="H3473">
        <v>14119</v>
      </c>
      <c r="I3473">
        <v>92500</v>
      </c>
      <c r="J3473">
        <v>91500</v>
      </c>
      <c r="K3473">
        <v>75000</v>
      </c>
      <c r="L3473">
        <v>820</v>
      </c>
    </row>
    <row r="3474" spans="1:12" hidden="1" x14ac:dyDescent="0.25">
      <c r="A3474">
        <v>3473</v>
      </c>
      <c r="B3474" s="1" t="s">
        <v>12</v>
      </c>
      <c r="C3474">
        <v>1973</v>
      </c>
      <c r="D3474" s="1" t="s">
        <v>271</v>
      </c>
      <c r="E3474" s="1" t="s">
        <v>22</v>
      </c>
      <c r="F3474">
        <v>14</v>
      </c>
      <c r="G3474" s="1" t="s">
        <v>23</v>
      </c>
      <c r="H3474">
        <v>14147</v>
      </c>
      <c r="I3474">
        <v>10500</v>
      </c>
      <c r="J3474">
        <v>10500</v>
      </c>
      <c r="K3474">
        <v>8000</v>
      </c>
      <c r="L3474">
        <v>762</v>
      </c>
    </row>
    <row r="3475" spans="1:12" hidden="1" x14ac:dyDescent="0.25">
      <c r="A3475">
        <v>3474</v>
      </c>
      <c r="B3475" s="1" t="s">
        <v>12</v>
      </c>
      <c r="C3475">
        <v>1973</v>
      </c>
      <c r="D3475" s="1" t="s">
        <v>271</v>
      </c>
      <c r="E3475" s="1" t="s">
        <v>22</v>
      </c>
      <c r="F3475">
        <v>14</v>
      </c>
      <c r="G3475" s="1" t="s">
        <v>26</v>
      </c>
      <c r="H3475">
        <v>14161</v>
      </c>
      <c r="I3475">
        <v>163000</v>
      </c>
      <c r="J3475">
        <v>160000</v>
      </c>
      <c r="K3475">
        <v>130000</v>
      </c>
      <c r="L3475">
        <v>813</v>
      </c>
    </row>
    <row r="3476" spans="1:12" hidden="1" x14ac:dyDescent="0.25">
      <c r="A3476">
        <v>3475</v>
      </c>
      <c r="B3476" s="1" t="s">
        <v>12</v>
      </c>
      <c r="C3476">
        <v>1973</v>
      </c>
      <c r="D3476" s="1" t="s">
        <v>271</v>
      </c>
      <c r="E3476" s="1" t="s">
        <v>22</v>
      </c>
      <c r="F3476">
        <v>14</v>
      </c>
      <c r="G3476" s="1" t="s">
        <v>122</v>
      </c>
      <c r="H3476">
        <v>14182</v>
      </c>
      <c r="I3476">
        <v>3000</v>
      </c>
      <c r="J3476">
        <v>3000</v>
      </c>
      <c r="K3476">
        <v>3000</v>
      </c>
      <c r="L3476">
        <v>1000</v>
      </c>
    </row>
    <row r="3477" spans="1:12" hidden="1" x14ac:dyDescent="0.25">
      <c r="A3477">
        <v>3476</v>
      </c>
      <c r="B3477" s="1" t="s">
        <v>12</v>
      </c>
      <c r="C3477">
        <v>1973</v>
      </c>
      <c r="D3477" s="1" t="s">
        <v>271</v>
      </c>
      <c r="E3477" s="1" t="s">
        <v>30</v>
      </c>
      <c r="F3477">
        <v>18</v>
      </c>
      <c r="G3477" s="1" t="s">
        <v>38</v>
      </c>
      <c r="H3477">
        <v>18007</v>
      </c>
      <c r="I3477">
        <v>5</v>
      </c>
      <c r="J3477">
        <v>4</v>
      </c>
      <c r="K3477">
        <v>5</v>
      </c>
      <c r="L3477">
        <v>1250</v>
      </c>
    </row>
    <row r="3478" spans="1:12" hidden="1" x14ac:dyDescent="0.25">
      <c r="A3478">
        <v>3477</v>
      </c>
      <c r="B3478" s="1" t="s">
        <v>12</v>
      </c>
      <c r="C3478">
        <v>1973</v>
      </c>
      <c r="D3478" s="1" t="s">
        <v>271</v>
      </c>
      <c r="E3478" s="1" t="s">
        <v>30</v>
      </c>
      <c r="F3478">
        <v>18</v>
      </c>
      <c r="G3478" s="1" t="s">
        <v>28</v>
      </c>
      <c r="H3478">
        <v>18021</v>
      </c>
      <c r="I3478">
        <v>10</v>
      </c>
      <c r="J3478">
        <v>8</v>
      </c>
      <c r="K3478">
        <v>9</v>
      </c>
      <c r="L3478">
        <v>1125</v>
      </c>
    </row>
    <row r="3479" spans="1:12" hidden="1" x14ac:dyDescent="0.25">
      <c r="A3479">
        <v>3478</v>
      </c>
      <c r="B3479" s="1" t="s">
        <v>12</v>
      </c>
      <c r="C3479">
        <v>1973</v>
      </c>
      <c r="D3479" s="1" t="s">
        <v>271</v>
      </c>
      <c r="E3479" s="1" t="s">
        <v>30</v>
      </c>
      <c r="F3479">
        <v>18</v>
      </c>
      <c r="G3479" s="1" t="s">
        <v>42</v>
      </c>
      <c r="H3479">
        <v>18035</v>
      </c>
      <c r="I3479">
        <v>5</v>
      </c>
      <c r="J3479">
        <v>4</v>
      </c>
      <c r="K3479">
        <v>5</v>
      </c>
      <c r="L3479">
        <v>1250</v>
      </c>
    </row>
    <row r="3480" spans="1:12" hidden="1" x14ac:dyDescent="0.25">
      <c r="A3480">
        <v>3479</v>
      </c>
      <c r="B3480" s="1" t="s">
        <v>12</v>
      </c>
      <c r="C3480">
        <v>1973</v>
      </c>
      <c r="D3480" s="1" t="s">
        <v>271</v>
      </c>
      <c r="E3480" s="1" t="s">
        <v>30</v>
      </c>
      <c r="F3480">
        <v>18</v>
      </c>
      <c r="G3480" s="1" t="s">
        <v>34</v>
      </c>
      <c r="H3480">
        <v>18042</v>
      </c>
      <c r="I3480">
        <v>15</v>
      </c>
      <c r="J3480">
        <v>12</v>
      </c>
      <c r="K3480">
        <v>13</v>
      </c>
      <c r="L3480">
        <v>1083</v>
      </c>
    </row>
    <row r="3481" spans="1:12" hidden="1" x14ac:dyDescent="0.25">
      <c r="A3481">
        <v>3480</v>
      </c>
      <c r="B3481" s="1" t="s">
        <v>12</v>
      </c>
      <c r="C3481">
        <v>1973</v>
      </c>
      <c r="D3481" s="1" t="s">
        <v>271</v>
      </c>
      <c r="E3481" s="1" t="s">
        <v>30</v>
      </c>
      <c r="F3481">
        <v>18</v>
      </c>
      <c r="G3481" s="1" t="s">
        <v>43</v>
      </c>
      <c r="H3481">
        <v>18070</v>
      </c>
      <c r="I3481">
        <v>80</v>
      </c>
      <c r="J3481">
        <v>72</v>
      </c>
      <c r="K3481">
        <v>83</v>
      </c>
      <c r="L3481">
        <v>1153</v>
      </c>
    </row>
    <row r="3482" spans="1:12" hidden="1" x14ac:dyDescent="0.25">
      <c r="A3482">
        <v>3481</v>
      </c>
      <c r="B3482" s="1" t="s">
        <v>12</v>
      </c>
      <c r="C3482">
        <v>1973</v>
      </c>
      <c r="D3482" s="1" t="s">
        <v>271</v>
      </c>
      <c r="E3482" s="1" t="s">
        <v>30</v>
      </c>
      <c r="F3482">
        <v>18</v>
      </c>
      <c r="G3482" s="1" t="s">
        <v>39</v>
      </c>
      <c r="H3482">
        <v>18084</v>
      </c>
      <c r="I3482">
        <v>50</v>
      </c>
      <c r="J3482">
        <v>46</v>
      </c>
      <c r="K3482">
        <v>56</v>
      </c>
      <c r="L3482">
        <v>1217</v>
      </c>
    </row>
    <row r="3483" spans="1:12" hidden="1" x14ac:dyDescent="0.25">
      <c r="A3483">
        <v>3482</v>
      </c>
      <c r="B3483" s="1" t="s">
        <v>12</v>
      </c>
      <c r="C3483">
        <v>1973</v>
      </c>
      <c r="D3483" s="1" t="s">
        <v>271</v>
      </c>
      <c r="E3483" s="1" t="s">
        <v>30</v>
      </c>
      <c r="F3483">
        <v>18</v>
      </c>
      <c r="G3483" s="1" t="s">
        <v>33</v>
      </c>
      <c r="H3483">
        <v>18091</v>
      </c>
      <c r="I3483">
        <v>8</v>
      </c>
      <c r="J3483">
        <v>7</v>
      </c>
      <c r="K3483">
        <v>9</v>
      </c>
      <c r="L3483">
        <v>1286</v>
      </c>
    </row>
    <row r="3484" spans="1:12" hidden="1" x14ac:dyDescent="0.25">
      <c r="A3484">
        <v>3483</v>
      </c>
      <c r="B3484" s="1" t="s">
        <v>12</v>
      </c>
      <c r="C3484">
        <v>1973</v>
      </c>
      <c r="D3484" s="1" t="s">
        <v>271</v>
      </c>
      <c r="E3484" s="1" t="s">
        <v>30</v>
      </c>
      <c r="F3484">
        <v>18</v>
      </c>
      <c r="G3484" s="1" t="s">
        <v>98</v>
      </c>
      <c r="H3484">
        <v>18098</v>
      </c>
      <c r="I3484">
        <v>5</v>
      </c>
      <c r="J3484">
        <v>4</v>
      </c>
      <c r="K3484">
        <v>5</v>
      </c>
      <c r="L3484">
        <v>1250</v>
      </c>
    </row>
    <row r="3485" spans="1:12" hidden="1" x14ac:dyDescent="0.25">
      <c r="A3485">
        <v>3484</v>
      </c>
      <c r="B3485" s="1" t="s">
        <v>12</v>
      </c>
      <c r="C3485">
        <v>1973</v>
      </c>
      <c r="D3485" s="1" t="s">
        <v>271</v>
      </c>
      <c r="E3485" s="1" t="s">
        <v>30</v>
      </c>
      <c r="F3485">
        <v>18</v>
      </c>
      <c r="G3485" s="1" t="s">
        <v>105</v>
      </c>
      <c r="H3485">
        <v>18105</v>
      </c>
      <c r="I3485">
        <v>5</v>
      </c>
      <c r="J3485">
        <v>4</v>
      </c>
      <c r="K3485">
        <v>5</v>
      </c>
      <c r="L3485">
        <v>1250</v>
      </c>
    </row>
    <row r="3486" spans="1:12" hidden="1" x14ac:dyDescent="0.25">
      <c r="A3486">
        <v>3485</v>
      </c>
      <c r="B3486" s="1" t="s">
        <v>12</v>
      </c>
      <c r="C3486">
        <v>1973</v>
      </c>
      <c r="D3486" s="1" t="s">
        <v>271</v>
      </c>
      <c r="E3486" s="1" t="s">
        <v>30</v>
      </c>
      <c r="F3486">
        <v>18</v>
      </c>
      <c r="G3486" s="1" t="s">
        <v>32</v>
      </c>
      <c r="H3486">
        <v>18112</v>
      </c>
      <c r="I3486">
        <v>70</v>
      </c>
      <c r="J3486">
        <v>60</v>
      </c>
      <c r="K3486">
        <v>68</v>
      </c>
      <c r="L3486">
        <v>1133</v>
      </c>
    </row>
    <row r="3487" spans="1:12" hidden="1" x14ac:dyDescent="0.25">
      <c r="A3487">
        <v>3486</v>
      </c>
      <c r="B3487" s="1" t="s">
        <v>12</v>
      </c>
      <c r="C3487">
        <v>1973</v>
      </c>
      <c r="D3487" s="1" t="s">
        <v>271</v>
      </c>
      <c r="E3487" s="1" t="s">
        <v>30</v>
      </c>
      <c r="F3487">
        <v>18</v>
      </c>
      <c r="G3487" s="1" t="s">
        <v>104</v>
      </c>
      <c r="H3487">
        <v>18119</v>
      </c>
      <c r="I3487">
        <v>15</v>
      </c>
      <c r="J3487">
        <v>13</v>
      </c>
      <c r="K3487">
        <v>15</v>
      </c>
      <c r="L3487">
        <v>1154</v>
      </c>
    </row>
    <row r="3488" spans="1:12" hidden="1" x14ac:dyDescent="0.25">
      <c r="A3488">
        <v>3487</v>
      </c>
      <c r="B3488" s="1" t="s">
        <v>12</v>
      </c>
      <c r="C3488">
        <v>1973</v>
      </c>
      <c r="D3488" s="1" t="s">
        <v>271</v>
      </c>
      <c r="E3488" s="1" t="s">
        <v>30</v>
      </c>
      <c r="F3488">
        <v>18</v>
      </c>
      <c r="G3488" s="1" t="s">
        <v>41</v>
      </c>
      <c r="H3488">
        <v>18140</v>
      </c>
      <c r="I3488">
        <v>62</v>
      </c>
      <c r="J3488">
        <v>54</v>
      </c>
      <c r="K3488">
        <v>61</v>
      </c>
      <c r="L3488">
        <v>1130</v>
      </c>
    </row>
    <row r="3489" spans="1:12" hidden="1" x14ac:dyDescent="0.25">
      <c r="A3489">
        <v>3488</v>
      </c>
      <c r="B3489" s="1" t="s">
        <v>12</v>
      </c>
      <c r="C3489">
        <v>1973</v>
      </c>
      <c r="D3489" s="1" t="s">
        <v>271</v>
      </c>
      <c r="E3489" s="1" t="s">
        <v>30</v>
      </c>
      <c r="F3489">
        <v>18</v>
      </c>
      <c r="G3489" s="1" t="s">
        <v>37</v>
      </c>
      <c r="H3489">
        <v>18147</v>
      </c>
      <c r="I3489">
        <v>40</v>
      </c>
      <c r="J3489">
        <v>35</v>
      </c>
      <c r="K3489">
        <v>39</v>
      </c>
      <c r="L3489">
        <v>1114</v>
      </c>
    </row>
    <row r="3490" spans="1:12" hidden="1" x14ac:dyDescent="0.25">
      <c r="A3490">
        <v>3489</v>
      </c>
      <c r="B3490" s="1" t="s">
        <v>12</v>
      </c>
      <c r="C3490">
        <v>1973</v>
      </c>
      <c r="D3490" s="1" t="s">
        <v>271</v>
      </c>
      <c r="E3490" s="1" t="s">
        <v>30</v>
      </c>
      <c r="F3490">
        <v>18</v>
      </c>
      <c r="G3490" s="1" t="s">
        <v>101</v>
      </c>
      <c r="H3490">
        <v>18161</v>
      </c>
      <c r="I3490">
        <v>20</v>
      </c>
      <c r="J3490">
        <v>17</v>
      </c>
      <c r="K3490">
        <v>17</v>
      </c>
      <c r="L3490">
        <v>1000</v>
      </c>
    </row>
    <row r="3491" spans="1:12" hidden="1" x14ac:dyDescent="0.25">
      <c r="A3491">
        <v>3490</v>
      </c>
      <c r="B3491" s="1" t="s">
        <v>12</v>
      </c>
      <c r="C3491">
        <v>1973</v>
      </c>
      <c r="D3491" s="1" t="s">
        <v>271</v>
      </c>
      <c r="E3491" s="1" t="s">
        <v>30</v>
      </c>
      <c r="F3491">
        <v>18</v>
      </c>
      <c r="G3491" s="1" t="s">
        <v>44</v>
      </c>
      <c r="H3491">
        <v>18168</v>
      </c>
      <c r="I3491">
        <v>140</v>
      </c>
      <c r="J3491">
        <v>110</v>
      </c>
      <c r="K3491">
        <v>140</v>
      </c>
      <c r="L3491">
        <v>1273</v>
      </c>
    </row>
    <row r="3492" spans="1:12" hidden="1" x14ac:dyDescent="0.25">
      <c r="A3492">
        <v>3491</v>
      </c>
      <c r="B3492" s="1" t="s">
        <v>12</v>
      </c>
      <c r="C3492">
        <v>1973</v>
      </c>
      <c r="D3492" s="1" t="s">
        <v>271</v>
      </c>
      <c r="E3492" s="1" t="s">
        <v>45</v>
      </c>
      <c r="F3492">
        <v>30</v>
      </c>
      <c r="G3492" s="1" t="s">
        <v>47</v>
      </c>
      <c r="H3492">
        <v>30015</v>
      </c>
      <c r="I3492">
        <v>50</v>
      </c>
      <c r="J3492">
        <v>45</v>
      </c>
      <c r="K3492">
        <v>32</v>
      </c>
      <c r="L3492">
        <v>711</v>
      </c>
    </row>
    <row r="3493" spans="1:12" hidden="1" x14ac:dyDescent="0.25">
      <c r="A3493">
        <v>3492</v>
      </c>
      <c r="B3493" s="1" t="s">
        <v>12</v>
      </c>
      <c r="C3493">
        <v>1973</v>
      </c>
      <c r="D3493" s="1" t="s">
        <v>271</v>
      </c>
      <c r="E3493" s="1" t="s">
        <v>45</v>
      </c>
      <c r="F3493">
        <v>30</v>
      </c>
      <c r="G3493" s="1" t="s">
        <v>46</v>
      </c>
      <c r="H3493">
        <v>30028</v>
      </c>
      <c r="I3493">
        <v>60</v>
      </c>
      <c r="J3493">
        <v>55</v>
      </c>
      <c r="K3493">
        <v>38</v>
      </c>
      <c r="L3493">
        <v>691</v>
      </c>
    </row>
    <row r="3494" spans="1:12" hidden="1" x14ac:dyDescent="0.25">
      <c r="A3494">
        <v>3493</v>
      </c>
      <c r="B3494" s="1" t="s">
        <v>12</v>
      </c>
      <c r="C3494">
        <v>1973</v>
      </c>
      <c r="D3494" s="1" t="s">
        <v>271</v>
      </c>
      <c r="E3494" s="1" t="s">
        <v>48</v>
      </c>
      <c r="F3494">
        <v>34</v>
      </c>
      <c r="G3494" s="1" t="s">
        <v>50</v>
      </c>
      <c r="H3494">
        <v>34021</v>
      </c>
      <c r="I3494">
        <v>12</v>
      </c>
      <c r="J3494">
        <v>12</v>
      </c>
      <c r="K3494">
        <v>12</v>
      </c>
      <c r="L3494">
        <v>1000</v>
      </c>
    </row>
    <row r="3495" spans="1:12" hidden="1" x14ac:dyDescent="0.25">
      <c r="A3495">
        <v>3494</v>
      </c>
      <c r="B3495" s="1" t="s">
        <v>12</v>
      </c>
      <c r="C3495">
        <v>1973</v>
      </c>
      <c r="D3495" s="1" t="s">
        <v>271</v>
      </c>
      <c r="E3495" s="1" t="s">
        <v>48</v>
      </c>
      <c r="F3495">
        <v>34</v>
      </c>
      <c r="G3495" s="1" t="s">
        <v>52</v>
      </c>
      <c r="H3495">
        <v>34035</v>
      </c>
      <c r="I3495">
        <v>800</v>
      </c>
      <c r="J3495">
        <v>800</v>
      </c>
      <c r="K3495">
        <v>718</v>
      </c>
      <c r="L3495">
        <v>898</v>
      </c>
    </row>
    <row r="3496" spans="1:12" hidden="1" x14ac:dyDescent="0.25">
      <c r="A3496">
        <v>3495</v>
      </c>
      <c r="B3496" s="1" t="s">
        <v>12</v>
      </c>
      <c r="C3496">
        <v>1973</v>
      </c>
      <c r="D3496" s="1" t="s">
        <v>271</v>
      </c>
      <c r="E3496" s="1" t="s">
        <v>48</v>
      </c>
      <c r="F3496">
        <v>34</v>
      </c>
      <c r="G3496" s="1" t="s">
        <v>108</v>
      </c>
      <c r="H3496">
        <v>34042</v>
      </c>
      <c r="I3496">
        <v>10</v>
      </c>
      <c r="J3496">
        <v>10</v>
      </c>
      <c r="K3496">
        <v>5</v>
      </c>
      <c r="L3496">
        <v>500</v>
      </c>
    </row>
    <row r="3497" spans="1:12" hidden="1" x14ac:dyDescent="0.25">
      <c r="A3497">
        <v>3496</v>
      </c>
      <c r="B3497" s="1" t="s">
        <v>12</v>
      </c>
      <c r="C3497">
        <v>1973</v>
      </c>
      <c r="D3497" s="1" t="s">
        <v>271</v>
      </c>
      <c r="E3497" s="1" t="s">
        <v>48</v>
      </c>
      <c r="F3497">
        <v>34</v>
      </c>
      <c r="G3497" s="1" t="s">
        <v>49</v>
      </c>
      <c r="H3497">
        <v>34049</v>
      </c>
      <c r="I3497">
        <v>18</v>
      </c>
      <c r="J3497">
        <v>18</v>
      </c>
      <c r="K3497">
        <v>7</v>
      </c>
      <c r="L3497">
        <v>389</v>
      </c>
    </row>
    <row r="3498" spans="1:12" hidden="1" x14ac:dyDescent="0.25">
      <c r="A3498">
        <v>3497</v>
      </c>
      <c r="B3498" s="1" t="s">
        <v>12</v>
      </c>
      <c r="C3498">
        <v>1973</v>
      </c>
      <c r="D3498" s="1" t="s">
        <v>271</v>
      </c>
      <c r="E3498" s="1" t="s">
        <v>48</v>
      </c>
      <c r="F3498">
        <v>34</v>
      </c>
      <c r="G3498" s="1" t="s">
        <v>51</v>
      </c>
      <c r="H3498">
        <v>34056</v>
      </c>
      <c r="I3498">
        <v>10</v>
      </c>
      <c r="J3498">
        <v>10</v>
      </c>
      <c r="K3498">
        <v>8</v>
      </c>
      <c r="L3498">
        <v>800</v>
      </c>
    </row>
    <row r="3499" spans="1:12" hidden="1" x14ac:dyDescent="0.25">
      <c r="A3499">
        <v>3498</v>
      </c>
      <c r="B3499" s="1" t="s">
        <v>12</v>
      </c>
      <c r="C3499">
        <v>1973</v>
      </c>
      <c r="D3499" s="1" t="s">
        <v>271</v>
      </c>
      <c r="E3499" s="1" t="s">
        <v>53</v>
      </c>
      <c r="F3499">
        <v>38</v>
      </c>
      <c r="G3499" s="1" t="s">
        <v>270</v>
      </c>
      <c r="H3499">
        <v>38070</v>
      </c>
      <c r="I3499">
        <v>150</v>
      </c>
      <c r="J3499">
        <v>100</v>
      </c>
      <c r="K3499">
        <v>150</v>
      </c>
      <c r="L3499">
        <v>1500</v>
      </c>
    </row>
    <row r="3500" spans="1:12" hidden="1" x14ac:dyDescent="0.25">
      <c r="A3500">
        <v>3499</v>
      </c>
      <c r="B3500" s="1" t="s">
        <v>12</v>
      </c>
      <c r="C3500">
        <v>1973</v>
      </c>
      <c r="D3500" s="1" t="s">
        <v>271</v>
      </c>
      <c r="E3500" s="1" t="s">
        <v>58</v>
      </c>
      <c r="F3500">
        <v>54</v>
      </c>
      <c r="G3500" s="1" t="s">
        <v>234</v>
      </c>
      <c r="H3500">
        <v>54119</v>
      </c>
      <c r="I3500">
        <v>5</v>
      </c>
      <c r="J3500">
        <v>3</v>
      </c>
      <c r="K3500">
        <v>2</v>
      </c>
      <c r="L3500">
        <v>667</v>
      </c>
    </row>
    <row r="3501" spans="1:12" hidden="1" x14ac:dyDescent="0.25">
      <c r="A3501">
        <v>3500</v>
      </c>
      <c r="B3501" s="1" t="s">
        <v>12</v>
      </c>
      <c r="C3501">
        <v>1973</v>
      </c>
      <c r="D3501" s="1" t="s">
        <v>271</v>
      </c>
      <c r="E3501" s="1" t="s">
        <v>58</v>
      </c>
      <c r="F3501">
        <v>54</v>
      </c>
      <c r="G3501" s="1" t="s">
        <v>59</v>
      </c>
      <c r="H3501">
        <v>54007</v>
      </c>
      <c r="I3501">
        <v>26</v>
      </c>
      <c r="J3501">
        <v>20</v>
      </c>
      <c r="K3501">
        <v>11</v>
      </c>
      <c r="L3501">
        <v>550</v>
      </c>
    </row>
    <row r="3502" spans="1:12" hidden="1" x14ac:dyDescent="0.25">
      <c r="A3502">
        <v>3501</v>
      </c>
      <c r="B3502" s="1" t="s">
        <v>12</v>
      </c>
      <c r="C3502">
        <v>1973</v>
      </c>
      <c r="D3502" s="1" t="s">
        <v>271</v>
      </c>
      <c r="E3502" s="1" t="s">
        <v>58</v>
      </c>
      <c r="F3502">
        <v>54</v>
      </c>
      <c r="G3502" s="1" t="s">
        <v>150</v>
      </c>
      <c r="H3502">
        <v>54014</v>
      </c>
      <c r="I3502">
        <v>27</v>
      </c>
      <c r="J3502">
        <v>20</v>
      </c>
      <c r="K3502">
        <v>13</v>
      </c>
      <c r="L3502">
        <v>650</v>
      </c>
    </row>
    <row r="3503" spans="1:12" hidden="1" x14ac:dyDescent="0.25">
      <c r="A3503">
        <v>3502</v>
      </c>
      <c r="B3503" s="1" t="s">
        <v>12</v>
      </c>
      <c r="C3503">
        <v>1973</v>
      </c>
      <c r="D3503" s="1" t="s">
        <v>271</v>
      </c>
      <c r="E3503" s="1" t="s">
        <v>58</v>
      </c>
      <c r="F3503">
        <v>54</v>
      </c>
      <c r="G3503" s="1" t="s">
        <v>60</v>
      </c>
      <c r="H3503">
        <v>54021</v>
      </c>
      <c r="I3503">
        <v>24</v>
      </c>
      <c r="J3503">
        <v>20</v>
      </c>
      <c r="K3503">
        <v>11</v>
      </c>
      <c r="L3503">
        <v>550</v>
      </c>
    </row>
    <row r="3504" spans="1:12" hidden="1" x14ac:dyDescent="0.25">
      <c r="A3504">
        <v>3503</v>
      </c>
      <c r="B3504" s="1" t="s">
        <v>12</v>
      </c>
      <c r="C3504">
        <v>1973</v>
      </c>
      <c r="D3504" s="1" t="s">
        <v>271</v>
      </c>
      <c r="E3504" s="1" t="s">
        <v>58</v>
      </c>
      <c r="F3504">
        <v>54</v>
      </c>
      <c r="G3504" s="1" t="s">
        <v>63</v>
      </c>
      <c r="H3504">
        <v>54035</v>
      </c>
      <c r="I3504">
        <v>27</v>
      </c>
      <c r="J3504">
        <v>22</v>
      </c>
      <c r="K3504">
        <v>12</v>
      </c>
      <c r="L3504">
        <v>545</v>
      </c>
    </row>
    <row r="3505" spans="1:12" hidden="1" x14ac:dyDescent="0.25">
      <c r="A3505">
        <v>3504</v>
      </c>
      <c r="B3505" s="1" t="s">
        <v>12</v>
      </c>
      <c r="C3505">
        <v>1973</v>
      </c>
      <c r="D3505" s="1" t="s">
        <v>271</v>
      </c>
      <c r="E3505" s="1" t="s">
        <v>58</v>
      </c>
      <c r="F3505">
        <v>54</v>
      </c>
      <c r="G3505" s="1" t="s">
        <v>266</v>
      </c>
      <c r="H3505">
        <v>54042</v>
      </c>
      <c r="I3505">
        <v>26</v>
      </c>
      <c r="J3505">
        <v>20</v>
      </c>
      <c r="K3505">
        <v>13</v>
      </c>
      <c r="L3505">
        <v>650</v>
      </c>
    </row>
    <row r="3506" spans="1:12" hidden="1" x14ac:dyDescent="0.25">
      <c r="A3506">
        <v>3505</v>
      </c>
      <c r="B3506" s="1" t="s">
        <v>12</v>
      </c>
      <c r="C3506">
        <v>1973</v>
      </c>
      <c r="D3506" s="1" t="s">
        <v>271</v>
      </c>
      <c r="E3506" s="1" t="s">
        <v>58</v>
      </c>
      <c r="F3506">
        <v>54</v>
      </c>
      <c r="G3506" s="1" t="s">
        <v>151</v>
      </c>
      <c r="H3506">
        <v>54056</v>
      </c>
      <c r="I3506">
        <v>8</v>
      </c>
      <c r="J3506">
        <v>5</v>
      </c>
      <c r="K3506">
        <v>3</v>
      </c>
      <c r="L3506">
        <v>600</v>
      </c>
    </row>
    <row r="3507" spans="1:12" hidden="1" x14ac:dyDescent="0.25">
      <c r="A3507">
        <v>3506</v>
      </c>
      <c r="B3507" s="1" t="s">
        <v>12</v>
      </c>
      <c r="C3507">
        <v>1973</v>
      </c>
      <c r="D3507" s="1" t="s">
        <v>271</v>
      </c>
      <c r="E3507" s="1" t="s">
        <v>58</v>
      </c>
      <c r="F3507">
        <v>54</v>
      </c>
      <c r="G3507" s="1" t="s">
        <v>152</v>
      </c>
      <c r="H3507">
        <v>54063</v>
      </c>
      <c r="I3507">
        <v>10</v>
      </c>
      <c r="J3507">
        <v>8</v>
      </c>
      <c r="K3507">
        <v>6</v>
      </c>
      <c r="L3507">
        <v>750</v>
      </c>
    </row>
    <row r="3508" spans="1:12" hidden="1" x14ac:dyDescent="0.25">
      <c r="A3508">
        <v>3507</v>
      </c>
      <c r="B3508" s="1" t="s">
        <v>12</v>
      </c>
      <c r="C3508">
        <v>1973</v>
      </c>
      <c r="D3508" s="1" t="s">
        <v>271</v>
      </c>
      <c r="E3508" s="1" t="s">
        <v>58</v>
      </c>
      <c r="F3508">
        <v>54</v>
      </c>
      <c r="G3508" s="1" t="s">
        <v>243</v>
      </c>
      <c r="H3508">
        <v>54070</v>
      </c>
      <c r="I3508">
        <v>35</v>
      </c>
      <c r="J3508">
        <v>30</v>
      </c>
      <c r="K3508">
        <v>21</v>
      </c>
      <c r="L3508">
        <v>700</v>
      </c>
    </row>
    <row r="3509" spans="1:12" hidden="1" x14ac:dyDescent="0.25">
      <c r="A3509">
        <v>3508</v>
      </c>
      <c r="B3509" s="1" t="s">
        <v>12</v>
      </c>
      <c r="C3509">
        <v>1973</v>
      </c>
      <c r="D3509" s="1" t="s">
        <v>271</v>
      </c>
      <c r="E3509" s="1" t="s">
        <v>58</v>
      </c>
      <c r="F3509">
        <v>54</v>
      </c>
      <c r="G3509" s="1" t="s">
        <v>119</v>
      </c>
      <c r="H3509">
        <v>54077</v>
      </c>
      <c r="I3509">
        <v>22</v>
      </c>
      <c r="J3509">
        <v>15</v>
      </c>
      <c r="K3509">
        <v>10</v>
      </c>
      <c r="L3509">
        <v>667</v>
      </c>
    </row>
    <row r="3510" spans="1:12" hidden="1" x14ac:dyDescent="0.25">
      <c r="A3510">
        <v>3509</v>
      </c>
      <c r="B3510" s="1" t="s">
        <v>12</v>
      </c>
      <c r="C3510">
        <v>1973</v>
      </c>
      <c r="D3510" s="1" t="s">
        <v>271</v>
      </c>
      <c r="E3510" s="1" t="s">
        <v>58</v>
      </c>
      <c r="F3510">
        <v>54</v>
      </c>
      <c r="G3510" s="1" t="s">
        <v>242</v>
      </c>
      <c r="H3510">
        <v>54091</v>
      </c>
      <c r="I3510">
        <v>25</v>
      </c>
      <c r="J3510">
        <v>20</v>
      </c>
      <c r="K3510">
        <v>15</v>
      </c>
      <c r="L3510">
        <v>750</v>
      </c>
    </row>
    <row r="3511" spans="1:12" hidden="1" x14ac:dyDescent="0.25">
      <c r="A3511">
        <v>3510</v>
      </c>
      <c r="B3511" s="1" t="s">
        <v>12</v>
      </c>
      <c r="C3511">
        <v>1973</v>
      </c>
      <c r="D3511" s="1" t="s">
        <v>271</v>
      </c>
      <c r="E3511" s="1" t="s">
        <v>58</v>
      </c>
      <c r="F3511">
        <v>54</v>
      </c>
      <c r="G3511" s="1" t="s">
        <v>61</v>
      </c>
      <c r="H3511">
        <v>54098</v>
      </c>
      <c r="I3511">
        <v>40</v>
      </c>
      <c r="J3511">
        <v>35</v>
      </c>
      <c r="K3511">
        <v>25</v>
      </c>
      <c r="L3511">
        <v>714</v>
      </c>
    </row>
    <row r="3512" spans="1:12" hidden="1" x14ac:dyDescent="0.25">
      <c r="A3512">
        <v>3511</v>
      </c>
      <c r="B3512" s="1" t="s">
        <v>12</v>
      </c>
      <c r="C3512">
        <v>1973</v>
      </c>
      <c r="D3512" s="1" t="s">
        <v>271</v>
      </c>
      <c r="E3512" s="1" t="s">
        <v>58</v>
      </c>
      <c r="F3512">
        <v>54</v>
      </c>
      <c r="G3512" s="1" t="s">
        <v>62</v>
      </c>
      <c r="H3512">
        <v>54105</v>
      </c>
      <c r="I3512">
        <v>15</v>
      </c>
      <c r="J3512">
        <v>12</v>
      </c>
      <c r="K3512">
        <v>8</v>
      </c>
      <c r="L3512">
        <v>667</v>
      </c>
    </row>
    <row r="3513" spans="1:12" hidden="1" x14ac:dyDescent="0.25">
      <c r="A3513">
        <v>3512</v>
      </c>
      <c r="B3513" s="1" t="s">
        <v>12</v>
      </c>
      <c r="C3513">
        <v>1973</v>
      </c>
      <c r="D3513" s="1" t="s">
        <v>271</v>
      </c>
      <c r="E3513" s="1" t="s">
        <v>87</v>
      </c>
      <c r="F3513">
        <v>66</v>
      </c>
      <c r="G3513" s="1" t="s">
        <v>236</v>
      </c>
      <c r="H3513">
        <v>66049</v>
      </c>
      <c r="I3513">
        <v>60</v>
      </c>
      <c r="J3513">
        <v>60</v>
      </c>
      <c r="K3513">
        <v>86</v>
      </c>
      <c r="L3513">
        <v>1433</v>
      </c>
    </row>
    <row r="3514" spans="1:12" hidden="1" x14ac:dyDescent="0.25">
      <c r="A3514">
        <v>3513</v>
      </c>
      <c r="B3514" s="1" t="s">
        <v>12</v>
      </c>
      <c r="C3514">
        <v>1973</v>
      </c>
      <c r="D3514" s="1" t="s">
        <v>271</v>
      </c>
      <c r="E3514" s="1" t="s">
        <v>87</v>
      </c>
      <c r="F3514">
        <v>66</v>
      </c>
      <c r="G3514" s="1" t="s">
        <v>179</v>
      </c>
      <c r="H3514">
        <v>66126</v>
      </c>
      <c r="I3514">
        <v>10</v>
      </c>
      <c r="J3514">
        <v>10</v>
      </c>
      <c r="K3514">
        <v>14</v>
      </c>
      <c r="L3514">
        <v>1400</v>
      </c>
    </row>
    <row r="3515" spans="1:12" hidden="1" x14ac:dyDescent="0.25">
      <c r="A3515">
        <v>3514</v>
      </c>
      <c r="B3515" s="1" t="s">
        <v>12</v>
      </c>
      <c r="C3515">
        <v>1973</v>
      </c>
      <c r="D3515" s="1" t="s">
        <v>271</v>
      </c>
      <c r="E3515" s="1" t="s">
        <v>64</v>
      </c>
      <c r="F3515">
        <v>82</v>
      </c>
      <c r="G3515" s="1" t="s">
        <v>66</v>
      </c>
      <c r="H3515">
        <v>82035</v>
      </c>
      <c r="I3515">
        <v>350</v>
      </c>
      <c r="J3515">
        <v>150</v>
      </c>
      <c r="K3515">
        <v>290</v>
      </c>
      <c r="L3515">
        <v>1933</v>
      </c>
    </row>
    <row r="3516" spans="1:12" hidden="1" x14ac:dyDescent="0.25">
      <c r="A3516">
        <v>3515</v>
      </c>
      <c r="B3516" s="1" t="s">
        <v>12</v>
      </c>
      <c r="C3516">
        <v>1973</v>
      </c>
      <c r="D3516" s="1" t="s">
        <v>271</v>
      </c>
      <c r="E3516" s="1" t="s">
        <v>64</v>
      </c>
      <c r="F3516">
        <v>82</v>
      </c>
      <c r="G3516" s="1" t="s">
        <v>272</v>
      </c>
      <c r="H3516">
        <v>82042</v>
      </c>
      <c r="I3516">
        <v>350</v>
      </c>
      <c r="J3516">
        <v>350</v>
      </c>
      <c r="K3516">
        <v>520</v>
      </c>
      <c r="L3516">
        <v>1486</v>
      </c>
    </row>
    <row r="3517" spans="1:12" hidden="1" x14ac:dyDescent="0.25">
      <c r="A3517">
        <v>3516</v>
      </c>
      <c r="B3517" s="1" t="s">
        <v>12</v>
      </c>
      <c r="C3517">
        <v>1973</v>
      </c>
      <c r="D3517" s="1" t="s">
        <v>271</v>
      </c>
      <c r="E3517" s="1" t="s">
        <v>64</v>
      </c>
      <c r="F3517">
        <v>82</v>
      </c>
      <c r="G3517" s="1" t="s">
        <v>65</v>
      </c>
      <c r="H3517">
        <v>82049</v>
      </c>
      <c r="I3517">
        <v>1300</v>
      </c>
      <c r="J3517">
        <v>1200</v>
      </c>
      <c r="K3517">
        <v>1440</v>
      </c>
      <c r="L3517">
        <v>1200</v>
      </c>
    </row>
    <row r="3518" spans="1:12" hidden="1" x14ac:dyDescent="0.25">
      <c r="A3518">
        <v>3517</v>
      </c>
      <c r="B3518" s="1" t="s">
        <v>12</v>
      </c>
      <c r="C3518">
        <v>1974</v>
      </c>
      <c r="D3518" s="1" t="s">
        <v>273</v>
      </c>
      <c r="E3518" s="1" t="s">
        <v>22</v>
      </c>
      <c r="F3518">
        <v>14</v>
      </c>
      <c r="G3518" s="1" t="s">
        <v>97</v>
      </c>
      <c r="H3518">
        <v>14007</v>
      </c>
      <c r="I3518">
        <v>13000</v>
      </c>
      <c r="J3518">
        <v>12000</v>
      </c>
      <c r="K3518">
        <v>12200</v>
      </c>
      <c r="L3518">
        <v>1017</v>
      </c>
    </row>
    <row r="3519" spans="1:12" hidden="1" x14ac:dyDescent="0.25">
      <c r="A3519">
        <v>3518</v>
      </c>
      <c r="B3519" s="1" t="s">
        <v>12</v>
      </c>
      <c r="C3519">
        <v>1974</v>
      </c>
      <c r="D3519" s="1" t="s">
        <v>273</v>
      </c>
      <c r="E3519" s="1" t="s">
        <v>22</v>
      </c>
      <c r="F3519">
        <v>14</v>
      </c>
      <c r="G3519" s="1" t="s">
        <v>184</v>
      </c>
      <c r="H3519">
        <v>14042</v>
      </c>
      <c r="I3519">
        <v>22000</v>
      </c>
      <c r="J3519">
        <v>20000</v>
      </c>
      <c r="K3519">
        <v>20580</v>
      </c>
      <c r="L3519">
        <v>1029</v>
      </c>
    </row>
    <row r="3520" spans="1:12" hidden="1" x14ac:dyDescent="0.25">
      <c r="A3520">
        <v>3519</v>
      </c>
      <c r="B3520" s="1" t="s">
        <v>12</v>
      </c>
      <c r="C3520">
        <v>1974</v>
      </c>
      <c r="D3520" s="1" t="s">
        <v>273</v>
      </c>
      <c r="E3520" s="1" t="s">
        <v>22</v>
      </c>
      <c r="F3520">
        <v>14</v>
      </c>
      <c r="G3520" s="1" t="s">
        <v>143</v>
      </c>
      <c r="H3520">
        <v>14056</v>
      </c>
      <c r="I3520">
        <v>50000</v>
      </c>
      <c r="J3520">
        <v>49000</v>
      </c>
      <c r="K3520">
        <v>54730</v>
      </c>
      <c r="L3520">
        <v>1117</v>
      </c>
    </row>
    <row r="3521" spans="1:12" hidden="1" x14ac:dyDescent="0.25">
      <c r="A3521">
        <v>3520</v>
      </c>
      <c r="B3521" s="1" t="s">
        <v>12</v>
      </c>
      <c r="C3521">
        <v>1974</v>
      </c>
      <c r="D3521" s="1" t="s">
        <v>273</v>
      </c>
      <c r="E3521" s="1" t="s">
        <v>22</v>
      </c>
      <c r="F3521">
        <v>14</v>
      </c>
      <c r="G3521" s="1" t="s">
        <v>29</v>
      </c>
      <c r="H3521">
        <v>14098</v>
      </c>
      <c r="I3521">
        <v>6500</v>
      </c>
      <c r="J3521">
        <v>6000</v>
      </c>
      <c r="K3521">
        <v>6700</v>
      </c>
      <c r="L3521">
        <v>1117</v>
      </c>
    </row>
    <row r="3522" spans="1:12" hidden="1" x14ac:dyDescent="0.25">
      <c r="A3522">
        <v>3521</v>
      </c>
      <c r="B3522" s="1" t="s">
        <v>12</v>
      </c>
      <c r="C3522">
        <v>1974</v>
      </c>
      <c r="D3522" s="1" t="s">
        <v>273</v>
      </c>
      <c r="E3522" s="1" t="s">
        <v>22</v>
      </c>
      <c r="F3522">
        <v>14</v>
      </c>
      <c r="G3522" s="1" t="s">
        <v>25</v>
      </c>
      <c r="H3522">
        <v>14105</v>
      </c>
      <c r="I3522">
        <v>4000</v>
      </c>
      <c r="J3522">
        <v>4000</v>
      </c>
      <c r="K3522">
        <v>4070</v>
      </c>
      <c r="L3522">
        <v>1018</v>
      </c>
    </row>
    <row r="3523" spans="1:12" hidden="1" x14ac:dyDescent="0.25">
      <c r="A3523">
        <v>3522</v>
      </c>
      <c r="B3523" s="1" t="s">
        <v>12</v>
      </c>
      <c r="C3523">
        <v>1974</v>
      </c>
      <c r="D3523" s="1" t="s">
        <v>273</v>
      </c>
      <c r="E3523" s="1" t="s">
        <v>22</v>
      </c>
      <c r="F3523">
        <v>14</v>
      </c>
      <c r="G3523" s="1" t="s">
        <v>24</v>
      </c>
      <c r="H3523">
        <v>14119</v>
      </c>
      <c r="I3523">
        <v>97000</v>
      </c>
      <c r="J3523">
        <v>87000</v>
      </c>
      <c r="K3523">
        <v>88630</v>
      </c>
      <c r="L3523">
        <v>1019</v>
      </c>
    </row>
    <row r="3524" spans="1:12" hidden="1" x14ac:dyDescent="0.25">
      <c r="A3524">
        <v>3523</v>
      </c>
      <c r="B3524" s="1" t="s">
        <v>12</v>
      </c>
      <c r="C3524">
        <v>1974</v>
      </c>
      <c r="D3524" s="1" t="s">
        <v>273</v>
      </c>
      <c r="E3524" s="1" t="s">
        <v>22</v>
      </c>
      <c r="F3524">
        <v>14</v>
      </c>
      <c r="G3524" s="1" t="s">
        <v>23</v>
      </c>
      <c r="H3524">
        <v>14147</v>
      </c>
      <c r="I3524">
        <v>12500</v>
      </c>
      <c r="J3524">
        <v>11000</v>
      </c>
      <c r="K3524">
        <v>11190</v>
      </c>
      <c r="L3524">
        <v>1017</v>
      </c>
    </row>
    <row r="3525" spans="1:12" hidden="1" x14ac:dyDescent="0.25">
      <c r="A3525">
        <v>3524</v>
      </c>
      <c r="B3525" s="1" t="s">
        <v>12</v>
      </c>
      <c r="C3525">
        <v>1974</v>
      </c>
      <c r="D3525" s="1" t="s">
        <v>273</v>
      </c>
      <c r="E3525" s="1" t="s">
        <v>22</v>
      </c>
      <c r="F3525">
        <v>14</v>
      </c>
      <c r="G3525" s="1" t="s">
        <v>26</v>
      </c>
      <c r="H3525">
        <v>14161</v>
      </c>
      <c r="I3525">
        <v>172000</v>
      </c>
      <c r="J3525">
        <v>162000</v>
      </c>
      <c r="K3525">
        <v>170700</v>
      </c>
      <c r="L3525">
        <v>1054</v>
      </c>
    </row>
    <row r="3526" spans="1:12" hidden="1" x14ac:dyDescent="0.25">
      <c r="A3526">
        <v>3525</v>
      </c>
      <c r="B3526" s="1" t="s">
        <v>12</v>
      </c>
      <c r="C3526">
        <v>1974</v>
      </c>
      <c r="D3526" s="1" t="s">
        <v>273</v>
      </c>
      <c r="E3526" s="1" t="s">
        <v>22</v>
      </c>
      <c r="F3526">
        <v>14</v>
      </c>
      <c r="G3526" s="1" t="s">
        <v>122</v>
      </c>
      <c r="H3526">
        <v>14182</v>
      </c>
      <c r="I3526">
        <v>3000</v>
      </c>
      <c r="J3526">
        <v>3000</v>
      </c>
      <c r="K3526">
        <v>3200</v>
      </c>
      <c r="L3526">
        <v>1067</v>
      </c>
    </row>
    <row r="3527" spans="1:12" hidden="1" x14ac:dyDescent="0.25">
      <c r="A3527">
        <v>3526</v>
      </c>
      <c r="B3527" s="1" t="s">
        <v>12</v>
      </c>
      <c r="C3527">
        <v>1974</v>
      </c>
      <c r="D3527" s="1" t="s">
        <v>273</v>
      </c>
      <c r="E3527" s="1" t="s">
        <v>30</v>
      </c>
      <c r="F3527">
        <v>18</v>
      </c>
      <c r="G3527" s="1" t="s">
        <v>38</v>
      </c>
      <c r="H3527">
        <v>18007</v>
      </c>
      <c r="I3527">
        <v>6</v>
      </c>
      <c r="J3527">
        <v>6</v>
      </c>
      <c r="K3527">
        <v>6</v>
      </c>
      <c r="L3527">
        <v>1000</v>
      </c>
    </row>
    <row r="3528" spans="1:12" hidden="1" x14ac:dyDescent="0.25">
      <c r="A3528">
        <v>3527</v>
      </c>
      <c r="B3528" s="1" t="s">
        <v>12</v>
      </c>
      <c r="C3528">
        <v>1974</v>
      </c>
      <c r="D3528" s="1" t="s">
        <v>273</v>
      </c>
      <c r="E3528" s="1" t="s">
        <v>30</v>
      </c>
      <c r="F3528">
        <v>18</v>
      </c>
      <c r="G3528" s="1" t="s">
        <v>28</v>
      </c>
      <c r="H3528">
        <v>18021</v>
      </c>
      <c r="I3528">
        <v>8</v>
      </c>
      <c r="J3528">
        <v>7</v>
      </c>
      <c r="K3528">
        <v>6</v>
      </c>
      <c r="L3528">
        <v>857</v>
      </c>
    </row>
    <row r="3529" spans="1:12" hidden="1" x14ac:dyDescent="0.25">
      <c r="A3529">
        <v>3528</v>
      </c>
      <c r="B3529" s="1" t="s">
        <v>12</v>
      </c>
      <c r="C3529">
        <v>1974</v>
      </c>
      <c r="D3529" s="1" t="s">
        <v>273</v>
      </c>
      <c r="E3529" s="1" t="s">
        <v>30</v>
      </c>
      <c r="F3529">
        <v>18</v>
      </c>
      <c r="G3529" s="1" t="s">
        <v>42</v>
      </c>
      <c r="H3529">
        <v>18035</v>
      </c>
      <c r="I3529">
        <v>5</v>
      </c>
      <c r="J3529">
        <v>5</v>
      </c>
      <c r="K3529">
        <v>4</v>
      </c>
      <c r="L3529">
        <v>800</v>
      </c>
    </row>
    <row r="3530" spans="1:12" hidden="1" x14ac:dyDescent="0.25">
      <c r="A3530">
        <v>3529</v>
      </c>
      <c r="B3530" s="1" t="s">
        <v>12</v>
      </c>
      <c r="C3530">
        <v>1974</v>
      </c>
      <c r="D3530" s="1" t="s">
        <v>273</v>
      </c>
      <c r="E3530" s="1" t="s">
        <v>30</v>
      </c>
      <c r="F3530">
        <v>18</v>
      </c>
      <c r="G3530" s="1" t="s">
        <v>34</v>
      </c>
      <c r="H3530">
        <v>18042</v>
      </c>
      <c r="I3530">
        <v>12</v>
      </c>
      <c r="J3530">
        <v>11</v>
      </c>
      <c r="K3530">
        <v>9</v>
      </c>
      <c r="L3530">
        <v>818</v>
      </c>
    </row>
    <row r="3531" spans="1:12" hidden="1" x14ac:dyDescent="0.25">
      <c r="A3531">
        <v>3530</v>
      </c>
      <c r="B3531" s="1" t="s">
        <v>12</v>
      </c>
      <c r="C3531">
        <v>1974</v>
      </c>
      <c r="D3531" s="1" t="s">
        <v>273</v>
      </c>
      <c r="E3531" s="1" t="s">
        <v>30</v>
      </c>
      <c r="F3531">
        <v>18</v>
      </c>
      <c r="G3531" s="1" t="s">
        <v>35</v>
      </c>
      <c r="H3531">
        <v>18049</v>
      </c>
      <c r="I3531">
        <v>5</v>
      </c>
      <c r="J3531">
        <v>5</v>
      </c>
      <c r="K3531">
        <v>4</v>
      </c>
      <c r="L3531">
        <v>800</v>
      </c>
    </row>
    <row r="3532" spans="1:12" hidden="1" x14ac:dyDescent="0.25">
      <c r="A3532">
        <v>3531</v>
      </c>
      <c r="B3532" s="1" t="s">
        <v>12</v>
      </c>
      <c r="C3532">
        <v>1974</v>
      </c>
      <c r="D3532" s="1" t="s">
        <v>273</v>
      </c>
      <c r="E3532" s="1" t="s">
        <v>30</v>
      </c>
      <c r="F3532">
        <v>18</v>
      </c>
      <c r="G3532" s="1" t="s">
        <v>99</v>
      </c>
      <c r="H3532">
        <v>18063</v>
      </c>
      <c r="I3532">
        <v>75</v>
      </c>
      <c r="J3532">
        <v>70</v>
      </c>
      <c r="K3532">
        <v>63</v>
      </c>
      <c r="L3532">
        <v>900</v>
      </c>
    </row>
    <row r="3533" spans="1:12" hidden="1" x14ac:dyDescent="0.25">
      <c r="A3533">
        <v>3532</v>
      </c>
      <c r="B3533" s="1" t="s">
        <v>12</v>
      </c>
      <c r="C3533">
        <v>1974</v>
      </c>
      <c r="D3533" s="1" t="s">
        <v>273</v>
      </c>
      <c r="E3533" s="1" t="s">
        <v>30</v>
      </c>
      <c r="F3533">
        <v>18</v>
      </c>
      <c r="G3533" s="1" t="s">
        <v>43</v>
      </c>
      <c r="H3533">
        <v>18070</v>
      </c>
      <c r="I3533">
        <v>3</v>
      </c>
      <c r="J3533">
        <v>3</v>
      </c>
      <c r="K3533">
        <v>2</v>
      </c>
      <c r="L3533">
        <v>667</v>
      </c>
    </row>
    <row r="3534" spans="1:12" hidden="1" x14ac:dyDescent="0.25">
      <c r="A3534">
        <v>3533</v>
      </c>
      <c r="B3534" s="1" t="s">
        <v>12</v>
      </c>
      <c r="C3534">
        <v>1974</v>
      </c>
      <c r="D3534" s="1" t="s">
        <v>273</v>
      </c>
      <c r="E3534" s="1" t="s">
        <v>30</v>
      </c>
      <c r="F3534">
        <v>18</v>
      </c>
      <c r="G3534" s="1" t="s">
        <v>39</v>
      </c>
      <c r="H3534">
        <v>18084</v>
      </c>
      <c r="I3534">
        <v>48</v>
      </c>
      <c r="J3534">
        <v>45</v>
      </c>
      <c r="K3534">
        <v>45</v>
      </c>
      <c r="L3534">
        <v>1000</v>
      </c>
    </row>
    <row r="3535" spans="1:12" hidden="1" x14ac:dyDescent="0.25">
      <c r="A3535">
        <v>3534</v>
      </c>
      <c r="B3535" s="1" t="s">
        <v>12</v>
      </c>
      <c r="C3535">
        <v>1974</v>
      </c>
      <c r="D3535" s="1" t="s">
        <v>273</v>
      </c>
      <c r="E3535" s="1" t="s">
        <v>30</v>
      </c>
      <c r="F3535">
        <v>18</v>
      </c>
      <c r="G3535" s="1" t="s">
        <v>33</v>
      </c>
      <c r="H3535">
        <v>18091</v>
      </c>
      <c r="I3535">
        <v>6</v>
      </c>
      <c r="J3535">
        <v>6</v>
      </c>
      <c r="K3535">
        <v>5</v>
      </c>
      <c r="L3535">
        <v>833</v>
      </c>
    </row>
    <row r="3536" spans="1:12" hidden="1" x14ac:dyDescent="0.25">
      <c r="A3536">
        <v>3535</v>
      </c>
      <c r="B3536" s="1" t="s">
        <v>12</v>
      </c>
      <c r="C3536">
        <v>1974</v>
      </c>
      <c r="D3536" s="1" t="s">
        <v>273</v>
      </c>
      <c r="E3536" s="1" t="s">
        <v>30</v>
      </c>
      <c r="F3536">
        <v>18</v>
      </c>
      <c r="G3536" s="1" t="s">
        <v>98</v>
      </c>
      <c r="H3536">
        <v>18098</v>
      </c>
      <c r="I3536">
        <v>6</v>
      </c>
      <c r="J3536">
        <v>6</v>
      </c>
      <c r="K3536">
        <v>5</v>
      </c>
      <c r="L3536">
        <v>833</v>
      </c>
    </row>
    <row r="3537" spans="1:12" hidden="1" x14ac:dyDescent="0.25">
      <c r="A3537">
        <v>3536</v>
      </c>
      <c r="B3537" s="1" t="s">
        <v>12</v>
      </c>
      <c r="C3537">
        <v>1974</v>
      </c>
      <c r="D3537" s="1" t="s">
        <v>273</v>
      </c>
      <c r="E3537" s="1" t="s">
        <v>30</v>
      </c>
      <c r="F3537">
        <v>18</v>
      </c>
      <c r="G3537" s="1" t="s">
        <v>105</v>
      </c>
      <c r="H3537">
        <v>18105</v>
      </c>
      <c r="I3537">
        <v>4</v>
      </c>
      <c r="J3537">
        <v>4</v>
      </c>
      <c r="K3537">
        <v>3</v>
      </c>
      <c r="L3537">
        <v>750</v>
      </c>
    </row>
    <row r="3538" spans="1:12" hidden="1" x14ac:dyDescent="0.25">
      <c r="A3538">
        <v>3537</v>
      </c>
      <c r="B3538" s="1" t="s">
        <v>12</v>
      </c>
      <c r="C3538">
        <v>1974</v>
      </c>
      <c r="D3538" s="1" t="s">
        <v>273</v>
      </c>
      <c r="E3538" s="1" t="s">
        <v>30</v>
      </c>
      <c r="F3538">
        <v>18</v>
      </c>
      <c r="G3538" s="1" t="s">
        <v>32</v>
      </c>
      <c r="H3538">
        <v>18112</v>
      </c>
      <c r="I3538">
        <v>160</v>
      </c>
      <c r="J3538">
        <v>150</v>
      </c>
      <c r="K3538">
        <v>150</v>
      </c>
      <c r="L3538">
        <v>1000</v>
      </c>
    </row>
    <row r="3539" spans="1:12" hidden="1" x14ac:dyDescent="0.25">
      <c r="A3539">
        <v>3538</v>
      </c>
      <c r="B3539" s="1" t="s">
        <v>12</v>
      </c>
      <c r="C3539">
        <v>1974</v>
      </c>
      <c r="D3539" s="1" t="s">
        <v>273</v>
      </c>
      <c r="E3539" s="1" t="s">
        <v>30</v>
      </c>
      <c r="F3539">
        <v>18</v>
      </c>
      <c r="G3539" s="1" t="s">
        <v>104</v>
      </c>
      <c r="H3539">
        <v>18119</v>
      </c>
      <c r="I3539">
        <v>14</v>
      </c>
      <c r="J3539">
        <v>13</v>
      </c>
      <c r="K3539">
        <v>13</v>
      </c>
      <c r="L3539">
        <v>1000</v>
      </c>
    </row>
    <row r="3540" spans="1:12" hidden="1" x14ac:dyDescent="0.25">
      <c r="A3540">
        <v>3539</v>
      </c>
      <c r="B3540" s="1" t="s">
        <v>12</v>
      </c>
      <c r="C3540">
        <v>1974</v>
      </c>
      <c r="D3540" s="1" t="s">
        <v>273</v>
      </c>
      <c r="E3540" s="1" t="s">
        <v>30</v>
      </c>
      <c r="F3540">
        <v>18</v>
      </c>
      <c r="G3540" s="1" t="s">
        <v>41</v>
      </c>
      <c r="H3540">
        <v>18140</v>
      </c>
      <c r="I3540">
        <v>59</v>
      </c>
      <c r="J3540">
        <v>53</v>
      </c>
      <c r="K3540">
        <v>50</v>
      </c>
      <c r="L3540">
        <v>943</v>
      </c>
    </row>
    <row r="3541" spans="1:12" hidden="1" x14ac:dyDescent="0.25">
      <c r="A3541">
        <v>3540</v>
      </c>
      <c r="B3541" s="1" t="s">
        <v>12</v>
      </c>
      <c r="C3541">
        <v>1974</v>
      </c>
      <c r="D3541" s="1" t="s">
        <v>273</v>
      </c>
      <c r="E3541" s="1" t="s">
        <v>30</v>
      </c>
      <c r="F3541">
        <v>18</v>
      </c>
      <c r="G3541" s="1" t="s">
        <v>37</v>
      </c>
      <c r="H3541">
        <v>18147</v>
      </c>
      <c r="I3541">
        <v>41</v>
      </c>
      <c r="J3541">
        <v>38</v>
      </c>
      <c r="K3541">
        <v>36</v>
      </c>
      <c r="L3541">
        <v>947</v>
      </c>
    </row>
    <row r="3542" spans="1:12" hidden="1" x14ac:dyDescent="0.25">
      <c r="A3542">
        <v>3541</v>
      </c>
      <c r="B3542" s="1" t="s">
        <v>12</v>
      </c>
      <c r="C3542">
        <v>1974</v>
      </c>
      <c r="D3542" s="1" t="s">
        <v>273</v>
      </c>
      <c r="E3542" s="1" t="s">
        <v>30</v>
      </c>
      <c r="F3542">
        <v>18</v>
      </c>
      <c r="G3542" s="1" t="s">
        <v>101</v>
      </c>
      <c r="H3542">
        <v>18161</v>
      </c>
      <c r="I3542">
        <v>18</v>
      </c>
      <c r="J3542">
        <v>17</v>
      </c>
      <c r="K3542">
        <v>14</v>
      </c>
      <c r="L3542">
        <v>824</v>
      </c>
    </row>
    <row r="3543" spans="1:12" hidden="1" x14ac:dyDescent="0.25">
      <c r="A3543">
        <v>3542</v>
      </c>
      <c r="B3543" s="1" t="s">
        <v>12</v>
      </c>
      <c r="C3543">
        <v>1974</v>
      </c>
      <c r="D3543" s="1" t="s">
        <v>273</v>
      </c>
      <c r="E3543" s="1" t="s">
        <v>30</v>
      </c>
      <c r="F3543">
        <v>18</v>
      </c>
      <c r="G3543" s="1" t="s">
        <v>44</v>
      </c>
      <c r="H3543">
        <v>18168</v>
      </c>
      <c r="I3543">
        <v>300</v>
      </c>
      <c r="J3543">
        <v>281</v>
      </c>
      <c r="K3543">
        <v>285</v>
      </c>
      <c r="L3543">
        <v>1014</v>
      </c>
    </row>
    <row r="3544" spans="1:12" hidden="1" x14ac:dyDescent="0.25">
      <c r="A3544">
        <v>3543</v>
      </c>
      <c r="B3544" s="1" t="s">
        <v>12</v>
      </c>
      <c r="C3544">
        <v>1974</v>
      </c>
      <c r="D3544" s="1" t="s">
        <v>273</v>
      </c>
      <c r="E3544" s="1" t="s">
        <v>45</v>
      </c>
      <c r="F3544">
        <v>30</v>
      </c>
      <c r="G3544" s="1" t="s">
        <v>27</v>
      </c>
      <c r="H3544">
        <v>30008</v>
      </c>
      <c r="I3544">
        <v>20</v>
      </c>
      <c r="J3544">
        <v>18</v>
      </c>
      <c r="K3544">
        <v>12</v>
      </c>
      <c r="L3544">
        <v>667</v>
      </c>
    </row>
    <row r="3545" spans="1:12" hidden="1" x14ac:dyDescent="0.25">
      <c r="A3545">
        <v>3544</v>
      </c>
      <c r="B3545" s="1" t="s">
        <v>12</v>
      </c>
      <c r="C3545">
        <v>1974</v>
      </c>
      <c r="D3545" s="1" t="s">
        <v>273</v>
      </c>
      <c r="E3545" s="1" t="s">
        <v>45</v>
      </c>
      <c r="F3545">
        <v>30</v>
      </c>
      <c r="G3545" s="1" t="s">
        <v>47</v>
      </c>
      <c r="H3545">
        <v>30015</v>
      </c>
      <c r="I3545">
        <v>60</v>
      </c>
      <c r="J3545">
        <v>55</v>
      </c>
      <c r="K3545">
        <v>39</v>
      </c>
      <c r="L3545">
        <v>709</v>
      </c>
    </row>
    <row r="3546" spans="1:12" hidden="1" x14ac:dyDescent="0.25">
      <c r="A3546">
        <v>3545</v>
      </c>
      <c r="B3546" s="1" t="s">
        <v>12</v>
      </c>
      <c r="C3546">
        <v>1974</v>
      </c>
      <c r="D3546" s="1" t="s">
        <v>273</v>
      </c>
      <c r="E3546" s="1" t="s">
        <v>45</v>
      </c>
      <c r="F3546">
        <v>30</v>
      </c>
      <c r="G3546" s="1" t="s">
        <v>46</v>
      </c>
      <c r="H3546">
        <v>30028</v>
      </c>
      <c r="I3546">
        <v>50</v>
      </c>
      <c r="J3546">
        <v>45</v>
      </c>
      <c r="K3546">
        <v>32</v>
      </c>
      <c r="L3546">
        <v>711</v>
      </c>
    </row>
    <row r="3547" spans="1:12" hidden="1" x14ac:dyDescent="0.25">
      <c r="A3547">
        <v>3546</v>
      </c>
      <c r="B3547" s="1" t="s">
        <v>12</v>
      </c>
      <c r="C3547">
        <v>1974</v>
      </c>
      <c r="D3547" s="1" t="s">
        <v>273</v>
      </c>
      <c r="E3547" s="1" t="s">
        <v>45</v>
      </c>
      <c r="F3547">
        <v>30</v>
      </c>
      <c r="G3547" s="1" t="s">
        <v>274</v>
      </c>
      <c r="H3547">
        <v>30035</v>
      </c>
      <c r="I3547">
        <v>10</v>
      </c>
      <c r="J3547">
        <v>10</v>
      </c>
      <c r="K3547">
        <v>7</v>
      </c>
      <c r="L3547">
        <v>700</v>
      </c>
    </row>
    <row r="3548" spans="1:12" hidden="1" x14ac:dyDescent="0.25">
      <c r="A3548">
        <v>3547</v>
      </c>
      <c r="B3548" s="1" t="s">
        <v>12</v>
      </c>
      <c r="C3548">
        <v>1974</v>
      </c>
      <c r="D3548" s="1" t="s">
        <v>273</v>
      </c>
      <c r="E3548" s="1" t="s">
        <v>48</v>
      </c>
      <c r="F3548">
        <v>34</v>
      </c>
      <c r="G3548" s="1" t="s">
        <v>50</v>
      </c>
      <c r="H3548">
        <v>34021</v>
      </c>
      <c r="I3548">
        <v>5</v>
      </c>
      <c r="J3548">
        <v>5</v>
      </c>
      <c r="K3548">
        <v>5</v>
      </c>
      <c r="L3548">
        <v>1000</v>
      </c>
    </row>
    <row r="3549" spans="1:12" hidden="1" x14ac:dyDescent="0.25">
      <c r="A3549">
        <v>3548</v>
      </c>
      <c r="B3549" s="1" t="s">
        <v>12</v>
      </c>
      <c r="C3549">
        <v>1974</v>
      </c>
      <c r="D3549" s="1" t="s">
        <v>273</v>
      </c>
      <c r="E3549" s="1" t="s">
        <v>48</v>
      </c>
      <c r="F3549">
        <v>34</v>
      </c>
      <c r="G3549" s="1" t="s">
        <v>52</v>
      </c>
      <c r="H3549">
        <v>34035</v>
      </c>
      <c r="I3549">
        <v>200</v>
      </c>
      <c r="J3549">
        <v>200</v>
      </c>
      <c r="K3549">
        <v>170</v>
      </c>
      <c r="L3549">
        <v>850</v>
      </c>
    </row>
    <row r="3550" spans="1:12" hidden="1" x14ac:dyDescent="0.25">
      <c r="A3550">
        <v>3549</v>
      </c>
      <c r="B3550" s="1" t="s">
        <v>12</v>
      </c>
      <c r="C3550">
        <v>1974</v>
      </c>
      <c r="D3550" s="1" t="s">
        <v>273</v>
      </c>
      <c r="E3550" s="1" t="s">
        <v>48</v>
      </c>
      <c r="F3550">
        <v>34</v>
      </c>
      <c r="G3550" s="1" t="s">
        <v>49</v>
      </c>
      <c r="H3550">
        <v>34049</v>
      </c>
      <c r="I3550">
        <v>15</v>
      </c>
      <c r="J3550">
        <v>15</v>
      </c>
      <c r="K3550">
        <v>15</v>
      </c>
      <c r="L3550">
        <v>1000</v>
      </c>
    </row>
    <row r="3551" spans="1:12" hidden="1" x14ac:dyDescent="0.25">
      <c r="A3551">
        <v>3550</v>
      </c>
      <c r="B3551" s="1" t="s">
        <v>12</v>
      </c>
      <c r="C3551">
        <v>1974</v>
      </c>
      <c r="D3551" s="1" t="s">
        <v>273</v>
      </c>
      <c r="E3551" s="1" t="s">
        <v>48</v>
      </c>
      <c r="F3551">
        <v>34</v>
      </c>
      <c r="G3551" s="1" t="s">
        <v>51</v>
      </c>
      <c r="H3551">
        <v>34056</v>
      </c>
      <c r="I3551">
        <v>10</v>
      </c>
      <c r="J3551">
        <v>10</v>
      </c>
      <c r="K3551">
        <v>10</v>
      </c>
      <c r="L3551">
        <v>1000</v>
      </c>
    </row>
    <row r="3552" spans="1:12" hidden="1" x14ac:dyDescent="0.25">
      <c r="A3552">
        <v>3551</v>
      </c>
      <c r="B3552" s="1" t="s">
        <v>12</v>
      </c>
      <c r="C3552">
        <v>1974</v>
      </c>
      <c r="D3552" s="1" t="s">
        <v>273</v>
      </c>
      <c r="E3552" s="1" t="s">
        <v>58</v>
      </c>
      <c r="F3552">
        <v>54</v>
      </c>
      <c r="G3552" s="1" t="s">
        <v>234</v>
      </c>
      <c r="H3552">
        <v>54119</v>
      </c>
      <c r="I3552">
        <v>5</v>
      </c>
      <c r="J3552">
        <v>5</v>
      </c>
      <c r="K3552">
        <v>6</v>
      </c>
      <c r="L3552">
        <v>1200</v>
      </c>
    </row>
    <row r="3553" spans="1:12" hidden="1" x14ac:dyDescent="0.25">
      <c r="A3553">
        <v>3552</v>
      </c>
      <c r="B3553" s="1" t="s">
        <v>12</v>
      </c>
      <c r="C3553">
        <v>1974</v>
      </c>
      <c r="D3553" s="1" t="s">
        <v>273</v>
      </c>
      <c r="E3553" s="1" t="s">
        <v>58</v>
      </c>
      <c r="F3553">
        <v>54</v>
      </c>
      <c r="G3553" s="1" t="s">
        <v>59</v>
      </c>
      <c r="H3553">
        <v>54007</v>
      </c>
      <c r="I3553">
        <v>25</v>
      </c>
      <c r="J3553">
        <v>23</v>
      </c>
      <c r="K3553">
        <v>27</v>
      </c>
      <c r="L3553">
        <v>1174</v>
      </c>
    </row>
    <row r="3554" spans="1:12" hidden="1" x14ac:dyDescent="0.25">
      <c r="A3554">
        <v>3553</v>
      </c>
      <c r="B3554" s="1" t="s">
        <v>12</v>
      </c>
      <c r="C3554">
        <v>1974</v>
      </c>
      <c r="D3554" s="1" t="s">
        <v>273</v>
      </c>
      <c r="E3554" s="1" t="s">
        <v>58</v>
      </c>
      <c r="F3554">
        <v>54</v>
      </c>
      <c r="G3554" s="1" t="s">
        <v>150</v>
      </c>
      <c r="H3554">
        <v>54014</v>
      </c>
      <c r="I3554">
        <v>27</v>
      </c>
      <c r="J3554">
        <v>25</v>
      </c>
      <c r="K3554">
        <v>25</v>
      </c>
      <c r="L3554">
        <v>1000</v>
      </c>
    </row>
    <row r="3555" spans="1:12" hidden="1" x14ac:dyDescent="0.25">
      <c r="A3555">
        <v>3554</v>
      </c>
      <c r="B3555" s="1" t="s">
        <v>12</v>
      </c>
      <c r="C3555">
        <v>1974</v>
      </c>
      <c r="D3555" s="1" t="s">
        <v>273</v>
      </c>
      <c r="E3555" s="1" t="s">
        <v>58</v>
      </c>
      <c r="F3555">
        <v>54</v>
      </c>
      <c r="G3555" s="1" t="s">
        <v>60</v>
      </c>
      <c r="H3555">
        <v>54021</v>
      </c>
      <c r="I3555">
        <v>24</v>
      </c>
      <c r="J3555">
        <v>20</v>
      </c>
      <c r="K3555">
        <v>24</v>
      </c>
      <c r="L3555">
        <v>1200</v>
      </c>
    </row>
    <row r="3556" spans="1:12" hidden="1" x14ac:dyDescent="0.25">
      <c r="A3556">
        <v>3555</v>
      </c>
      <c r="B3556" s="1" t="s">
        <v>12</v>
      </c>
      <c r="C3556">
        <v>1974</v>
      </c>
      <c r="D3556" s="1" t="s">
        <v>273</v>
      </c>
      <c r="E3556" s="1" t="s">
        <v>58</v>
      </c>
      <c r="F3556">
        <v>54</v>
      </c>
      <c r="G3556" s="1" t="s">
        <v>63</v>
      </c>
      <c r="H3556">
        <v>54035</v>
      </c>
      <c r="I3556">
        <v>27</v>
      </c>
      <c r="J3556">
        <v>24</v>
      </c>
      <c r="K3556">
        <v>24</v>
      </c>
      <c r="L3556">
        <v>1000</v>
      </c>
    </row>
    <row r="3557" spans="1:12" hidden="1" x14ac:dyDescent="0.25">
      <c r="A3557">
        <v>3556</v>
      </c>
      <c r="B3557" s="1" t="s">
        <v>12</v>
      </c>
      <c r="C3557">
        <v>1974</v>
      </c>
      <c r="D3557" s="1" t="s">
        <v>273</v>
      </c>
      <c r="E3557" s="1" t="s">
        <v>58</v>
      </c>
      <c r="F3557">
        <v>54</v>
      </c>
      <c r="G3557" s="1" t="s">
        <v>266</v>
      </c>
      <c r="H3557">
        <v>54042</v>
      </c>
      <c r="I3557">
        <v>25</v>
      </c>
      <c r="J3557">
        <v>24</v>
      </c>
      <c r="K3557">
        <v>24</v>
      </c>
      <c r="L3557">
        <v>1000</v>
      </c>
    </row>
    <row r="3558" spans="1:12" hidden="1" x14ac:dyDescent="0.25">
      <c r="A3558">
        <v>3557</v>
      </c>
      <c r="B3558" s="1" t="s">
        <v>12</v>
      </c>
      <c r="C3558">
        <v>1974</v>
      </c>
      <c r="D3558" s="1" t="s">
        <v>273</v>
      </c>
      <c r="E3558" s="1" t="s">
        <v>58</v>
      </c>
      <c r="F3558">
        <v>54</v>
      </c>
      <c r="G3558" s="1" t="s">
        <v>151</v>
      </c>
      <c r="H3558">
        <v>54056</v>
      </c>
      <c r="I3558">
        <v>8</v>
      </c>
      <c r="J3558">
        <v>8</v>
      </c>
      <c r="K3558">
        <v>8</v>
      </c>
      <c r="L3558">
        <v>1000</v>
      </c>
    </row>
    <row r="3559" spans="1:12" hidden="1" x14ac:dyDescent="0.25">
      <c r="A3559">
        <v>3558</v>
      </c>
      <c r="B3559" s="1" t="s">
        <v>12</v>
      </c>
      <c r="C3559">
        <v>1974</v>
      </c>
      <c r="D3559" s="1" t="s">
        <v>273</v>
      </c>
      <c r="E3559" s="1" t="s">
        <v>58</v>
      </c>
      <c r="F3559">
        <v>54</v>
      </c>
      <c r="G3559" s="1" t="s">
        <v>152</v>
      </c>
      <c r="H3559">
        <v>54063</v>
      </c>
      <c r="I3559">
        <v>10</v>
      </c>
      <c r="J3559">
        <v>10</v>
      </c>
      <c r="K3559">
        <v>12</v>
      </c>
      <c r="L3559">
        <v>1200</v>
      </c>
    </row>
    <row r="3560" spans="1:12" hidden="1" x14ac:dyDescent="0.25">
      <c r="A3560">
        <v>3559</v>
      </c>
      <c r="B3560" s="1" t="s">
        <v>12</v>
      </c>
      <c r="C3560">
        <v>1974</v>
      </c>
      <c r="D3560" s="1" t="s">
        <v>273</v>
      </c>
      <c r="E3560" s="1" t="s">
        <v>58</v>
      </c>
      <c r="F3560">
        <v>54</v>
      </c>
      <c r="G3560" s="1" t="s">
        <v>243</v>
      </c>
      <c r="H3560">
        <v>54070</v>
      </c>
      <c r="I3560">
        <v>32</v>
      </c>
      <c r="J3560">
        <v>27</v>
      </c>
      <c r="K3560">
        <v>31</v>
      </c>
      <c r="L3560">
        <v>1148</v>
      </c>
    </row>
    <row r="3561" spans="1:12" hidden="1" x14ac:dyDescent="0.25">
      <c r="A3561">
        <v>3560</v>
      </c>
      <c r="B3561" s="1" t="s">
        <v>12</v>
      </c>
      <c r="C3561">
        <v>1974</v>
      </c>
      <c r="D3561" s="1" t="s">
        <v>273</v>
      </c>
      <c r="E3561" s="1" t="s">
        <v>58</v>
      </c>
      <c r="F3561">
        <v>54</v>
      </c>
      <c r="G3561" s="1" t="s">
        <v>119</v>
      </c>
      <c r="H3561">
        <v>54077</v>
      </c>
      <c r="I3561">
        <v>22</v>
      </c>
      <c r="J3561">
        <v>20</v>
      </c>
      <c r="K3561">
        <v>24</v>
      </c>
      <c r="L3561">
        <v>1200</v>
      </c>
    </row>
    <row r="3562" spans="1:12" hidden="1" x14ac:dyDescent="0.25">
      <c r="A3562">
        <v>3561</v>
      </c>
      <c r="B3562" s="1" t="s">
        <v>12</v>
      </c>
      <c r="C3562">
        <v>1974</v>
      </c>
      <c r="D3562" s="1" t="s">
        <v>273</v>
      </c>
      <c r="E3562" s="1" t="s">
        <v>58</v>
      </c>
      <c r="F3562">
        <v>54</v>
      </c>
      <c r="G3562" s="1" t="s">
        <v>242</v>
      </c>
      <c r="H3562">
        <v>54091</v>
      </c>
      <c r="I3562">
        <v>25</v>
      </c>
      <c r="J3562">
        <v>23</v>
      </c>
      <c r="K3562">
        <v>27</v>
      </c>
      <c r="L3562">
        <v>1174</v>
      </c>
    </row>
    <row r="3563" spans="1:12" hidden="1" x14ac:dyDescent="0.25">
      <c r="A3563">
        <v>3562</v>
      </c>
      <c r="B3563" s="1" t="s">
        <v>12</v>
      </c>
      <c r="C3563">
        <v>1974</v>
      </c>
      <c r="D3563" s="1" t="s">
        <v>273</v>
      </c>
      <c r="E3563" s="1" t="s">
        <v>58</v>
      </c>
      <c r="F3563">
        <v>54</v>
      </c>
      <c r="G3563" s="1" t="s">
        <v>61</v>
      </c>
      <c r="H3563">
        <v>54098</v>
      </c>
      <c r="I3563">
        <v>35</v>
      </c>
      <c r="J3563">
        <v>30</v>
      </c>
      <c r="K3563">
        <v>35</v>
      </c>
      <c r="L3563">
        <v>1167</v>
      </c>
    </row>
    <row r="3564" spans="1:12" hidden="1" x14ac:dyDescent="0.25">
      <c r="A3564">
        <v>3563</v>
      </c>
      <c r="B3564" s="1" t="s">
        <v>12</v>
      </c>
      <c r="C3564">
        <v>1974</v>
      </c>
      <c r="D3564" s="1" t="s">
        <v>273</v>
      </c>
      <c r="E3564" s="1" t="s">
        <v>58</v>
      </c>
      <c r="F3564">
        <v>54</v>
      </c>
      <c r="G3564" s="1" t="s">
        <v>62</v>
      </c>
      <c r="H3564">
        <v>54105</v>
      </c>
      <c r="I3564">
        <v>15</v>
      </c>
      <c r="J3564">
        <v>13</v>
      </c>
      <c r="K3564">
        <v>13</v>
      </c>
      <c r="L3564">
        <v>1000</v>
      </c>
    </row>
    <row r="3565" spans="1:12" hidden="1" x14ac:dyDescent="0.25">
      <c r="A3565">
        <v>3564</v>
      </c>
      <c r="B3565" s="1" t="s">
        <v>12</v>
      </c>
      <c r="C3565">
        <v>1974</v>
      </c>
      <c r="D3565" s="1" t="s">
        <v>273</v>
      </c>
      <c r="E3565" s="1" t="s">
        <v>87</v>
      </c>
      <c r="F3565">
        <v>66</v>
      </c>
      <c r="G3565" s="1" t="s">
        <v>230</v>
      </c>
      <c r="H3565">
        <v>66056</v>
      </c>
      <c r="I3565">
        <v>65</v>
      </c>
      <c r="J3565">
        <v>65</v>
      </c>
      <c r="K3565">
        <v>108</v>
      </c>
      <c r="L3565">
        <v>1662</v>
      </c>
    </row>
    <row r="3566" spans="1:12" hidden="1" x14ac:dyDescent="0.25">
      <c r="A3566">
        <v>3565</v>
      </c>
      <c r="B3566" s="1" t="s">
        <v>12</v>
      </c>
      <c r="C3566">
        <v>1974</v>
      </c>
      <c r="D3566" s="1" t="s">
        <v>273</v>
      </c>
      <c r="E3566" s="1" t="s">
        <v>87</v>
      </c>
      <c r="F3566">
        <v>66</v>
      </c>
      <c r="G3566" s="1" t="s">
        <v>179</v>
      </c>
      <c r="H3566">
        <v>66126</v>
      </c>
      <c r="I3566">
        <v>15</v>
      </c>
      <c r="J3566">
        <v>15</v>
      </c>
      <c r="K3566">
        <v>22</v>
      </c>
      <c r="L3566">
        <v>1467</v>
      </c>
    </row>
    <row r="3567" spans="1:12" hidden="1" x14ac:dyDescent="0.25">
      <c r="A3567">
        <v>3566</v>
      </c>
      <c r="B3567" s="1" t="s">
        <v>12</v>
      </c>
      <c r="C3567">
        <v>1974</v>
      </c>
      <c r="D3567" s="1" t="s">
        <v>273</v>
      </c>
      <c r="E3567" s="1" t="s">
        <v>64</v>
      </c>
      <c r="F3567">
        <v>82</v>
      </c>
      <c r="G3567" s="1" t="s">
        <v>66</v>
      </c>
      <c r="H3567">
        <v>82035</v>
      </c>
      <c r="I3567">
        <v>350</v>
      </c>
      <c r="J3567">
        <v>290</v>
      </c>
      <c r="K3567">
        <v>550</v>
      </c>
      <c r="L3567">
        <v>1897</v>
      </c>
    </row>
    <row r="3568" spans="1:12" hidden="1" x14ac:dyDescent="0.25">
      <c r="A3568">
        <v>3567</v>
      </c>
      <c r="B3568" s="1" t="s">
        <v>12</v>
      </c>
      <c r="C3568">
        <v>1974</v>
      </c>
      <c r="D3568" s="1" t="s">
        <v>273</v>
      </c>
      <c r="E3568" s="1" t="s">
        <v>64</v>
      </c>
      <c r="F3568">
        <v>82</v>
      </c>
      <c r="G3568" s="1" t="s">
        <v>272</v>
      </c>
      <c r="H3568">
        <v>82042</v>
      </c>
      <c r="I3568">
        <v>350</v>
      </c>
      <c r="J3568">
        <v>300</v>
      </c>
      <c r="K3568">
        <v>450</v>
      </c>
      <c r="L3568">
        <v>1500</v>
      </c>
    </row>
    <row r="3569" spans="1:12" hidden="1" x14ac:dyDescent="0.25">
      <c r="A3569">
        <v>3568</v>
      </c>
      <c r="B3569" s="1" t="s">
        <v>12</v>
      </c>
      <c r="C3569">
        <v>1974</v>
      </c>
      <c r="D3569" s="1" t="s">
        <v>273</v>
      </c>
      <c r="E3569" s="1" t="s">
        <v>64</v>
      </c>
      <c r="F3569">
        <v>82</v>
      </c>
      <c r="G3569" s="1" t="s">
        <v>65</v>
      </c>
      <c r="H3569">
        <v>82049</v>
      </c>
      <c r="I3569">
        <v>1000</v>
      </c>
      <c r="J3569">
        <v>800</v>
      </c>
      <c r="K3569">
        <v>800</v>
      </c>
      <c r="L3569">
        <v>1000</v>
      </c>
    </row>
    <row r="3570" spans="1:12" hidden="1" x14ac:dyDescent="0.25">
      <c r="A3570">
        <v>3569</v>
      </c>
      <c r="B3570" s="1" t="s">
        <v>12</v>
      </c>
      <c r="C3570">
        <v>1975</v>
      </c>
      <c r="D3570" s="1" t="s">
        <v>275</v>
      </c>
      <c r="E3570" s="1" t="s">
        <v>22</v>
      </c>
      <c r="F3570">
        <v>14</v>
      </c>
      <c r="G3570" s="1" t="s">
        <v>97</v>
      </c>
      <c r="H3570">
        <v>14007</v>
      </c>
      <c r="I3570">
        <v>12000</v>
      </c>
      <c r="J3570">
        <v>11500</v>
      </c>
      <c r="K3570">
        <v>12320</v>
      </c>
      <c r="L3570">
        <v>1071</v>
      </c>
    </row>
    <row r="3571" spans="1:12" hidden="1" x14ac:dyDescent="0.25">
      <c r="A3571">
        <v>3570</v>
      </c>
      <c r="B3571" s="1" t="s">
        <v>12</v>
      </c>
      <c r="C3571">
        <v>1975</v>
      </c>
      <c r="D3571" s="1" t="s">
        <v>275</v>
      </c>
      <c r="E3571" s="1" t="s">
        <v>22</v>
      </c>
      <c r="F3571">
        <v>14</v>
      </c>
      <c r="G3571" s="1" t="s">
        <v>184</v>
      </c>
      <c r="H3571">
        <v>14042</v>
      </c>
      <c r="I3571">
        <v>21000</v>
      </c>
      <c r="J3571">
        <v>20000</v>
      </c>
      <c r="K3571">
        <v>21430</v>
      </c>
      <c r="L3571">
        <v>1072</v>
      </c>
    </row>
    <row r="3572" spans="1:12" hidden="1" x14ac:dyDescent="0.25">
      <c r="A3572">
        <v>3571</v>
      </c>
      <c r="B3572" s="1" t="s">
        <v>12</v>
      </c>
      <c r="C3572">
        <v>1975</v>
      </c>
      <c r="D3572" s="1" t="s">
        <v>275</v>
      </c>
      <c r="E3572" s="1" t="s">
        <v>22</v>
      </c>
      <c r="F3572">
        <v>14</v>
      </c>
      <c r="G3572" s="1" t="s">
        <v>143</v>
      </c>
      <c r="H3572">
        <v>14056</v>
      </c>
      <c r="I3572">
        <v>46000</v>
      </c>
      <c r="J3572">
        <v>41000</v>
      </c>
      <c r="K3572">
        <v>43920</v>
      </c>
      <c r="L3572">
        <v>1071</v>
      </c>
    </row>
    <row r="3573" spans="1:12" hidden="1" x14ac:dyDescent="0.25">
      <c r="A3573">
        <v>3572</v>
      </c>
      <c r="B3573" s="1" t="s">
        <v>12</v>
      </c>
      <c r="C3573">
        <v>1975</v>
      </c>
      <c r="D3573" s="1" t="s">
        <v>275</v>
      </c>
      <c r="E3573" s="1" t="s">
        <v>22</v>
      </c>
      <c r="F3573">
        <v>14</v>
      </c>
      <c r="G3573" s="1" t="s">
        <v>29</v>
      </c>
      <c r="H3573">
        <v>14098</v>
      </c>
      <c r="I3573">
        <v>5500</v>
      </c>
      <c r="J3573">
        <v>5300</v>
      </c>
      <c r="K3573">
        <v>5680</v>
      </c>
      <c r="L3573">
        <v>1072</v>
      </c>
    </row>
    <row r="3574" spans="1:12" hidden="1" x14ac:dyDescent="0.25">
      <c r="A3574">
        <v>3573</v>
      </c>
      <c r="B3574" s="1" t="s">
        <v>12</v>
      </c>
      <c r="C3574">
        <v>1975</v>
      </c>
      <c r="D3574" s="1" t="s">
        <v>275</v>
      </c>
      <c r="E3574" s="1" t="s">
        <v>22</v>
      </c>
      <c r="F3574">
        <v>14</v>
      </c>
      <c r="G3574" s="1" t="s">
        <v>25</v>
      </c>
      <c r="H3574">
        <v>14105</v>
      </c>
      <c r="I3574">
        <v>3600</v>
      </c>
      <c r="J3574">
        <v>3400</v>
      </c>
      <c r="K3574">
        <v>3640</v>
      </c>
      <c r="L3574">
        <v>1071</v>
      </c>
    </row>
    <row r="3575" spans="1:12" hidden="1" x14ac:dyDescent="0.25">
      <c r="A3575">
        <v>3574</v>
      </c>
      <c r="B3575" s="1" t="s">
        <v>12</v>
      </c>
      <c r="C3575">
        <v>1975</v>
      </c>
      <c r="D3575" s="1" t="s">
        <v>275</v>
      </c>
      <c r="E3575" s="1" t="s">
        <v>22</v>
      </c>
      <c r="F3575">
        <v>14</v>
      </c>
      <c r="G3575" s="1" t="s">
        <v>24</v>
      </c>
      <c r="H3575">
        <v>14119</v>
      </c>
      <c r="I3575">
        <v>85000</v>
      </c>
      <c r="J3575">
        <v>77000</v>
      </c>
      <c r="K3575">
        <v>88000</v>
      </c>
      <c r="L3575">
        <v>1143</v>
      </c>
    </row>
    <row r="3576" spans="1:12" hidden="1" x14ac:dyDescent="0.25">
      <c r="A3576">
        <v>3575</v>
      </c>
      <c r="B3576" s="1" t="s">
        <v>12</v>
      </c>
      <c r="C3576">
        <v>1975</v>
      </c>
      <c r="D3576" s="1" t="s">
        <v>275</v>
      </c>
      <c r="E3576" s="1" t="s">
        <v>22</v>
      </c>
      <c r="F3576">
        <v>14</v>
      </c>
      <c r="G3576" s="1" t="s">
        <v>23</v>
      </c>
      <c r="H3576">
        <v>14147</v>
      </c>
      <c r="I3576">
        <v>12000</v>
      </c>
      <c r="J3576">
        <v>11000</v>
      </c>
      <c r="K3576">
        <v>12570</v>
      </c>
      <c r="L3576">
        <v>1143</v>
      </c>
    </row>
    <row r="3577" spans="1:12" hidden="1" x14ac:dyDescent="0.25">
      <c r="A3577">
        <v>3576</v>
      </c>
      <c r="B3577" s="1" t="s">
        <v>12</v>
      </c>
      <c r="C3577">
        <v>1975</v>
      </c>
      <c r="D3577" s="1" t="s">
        <v>275</v>
      </c>
      <c r="E3577" s="1" t="s">
        <v>22</v>
      </c>
      <c r="F3577">
        <v>14</v>
      </c>
      <c r="G3577" s="1" t="s">
        <v>26</v>
      </c>
      <c r="H3577">
        <v>14161</v>
      </c>
      <c r="I3577">
        <v>145000</v>
      </c>
      <c r="J3577">
        <v>135000</v>
      </c>
      <c r="K3577">
        <v>145170</v>
      </c>
      <c r="L3577">
        <v>1075</v>
      </c>
    </row>
    <row r="3578" spans="1:12" hidden="1" x14ac:dyDescent="0.25">
      <c r="A3578">
        <v>3577</v>
      </c>
      <c r="B3578" s="1" t="s">
        <v>12</v>
      </c>
      <c r="C3578">
        <v>1975</v>
      </c>
      <c r="D3578" s="1" t="s">
        <v>275</v>
      </c>
      <c r="E3578" s="1" t="s">
        <v>22</v>
      </c>
      <c r="F3578">
        <v>14</v>
      </c>
      <c r="G3578" s="1" t="s">
        <v>122</v>
      </c>
      <c r="H3578">
        <v>14182</v>
      </c>
      <c r="I3578">
        <v>2900</v>
      </c>
      <c r="J3578">
        <v>2700</v>
      </c>
      <c r="K3578">
        <v>2970</v>
      </c>
      <c r="L3578">
        <v>1100</v>
      </c>
    </row>
    <row r="3579" spans="1:12" hidden="1" x14ac:dyDescent="0.25">
      <c r="A3579">
        <v>3578</v>
      </c>
      <c r="B3579" s="1" t="s">
        <v>12</v>
      </c>
      <c r="C3579">
        <v>1975</v>
      </c>
      <c r="D3579" s="1" t="s">
        <v>275</v>
      </c>
      <c r="E3579" s="1" t="s">
        <v>30</v>
      </c>
      <c r="F3579">
        <v>18</v>
      </c>
      <c r="G3579" s="1" t="s">
        <v>38</v>
      </c>
      <c r="H3579">
        <v>18007</v>
      </c>
      <c r="I3579">
        <v>5</v>
      </c>
      <c r="J3579">
        <v>4</v>
      </c>
      <c r="K3579">
        <v>4</v>
      </c>
      <c r="L3579">
        <v>1000</v>
      </c>
    </row>
    <row r="3580" spans="1:12" hidden="1" x14ac:dyDescent="0.25">
      <c r="A3580">
        <v>3579</v>
      </c>
      <c r="B3580" s="1" t="s">
        <v>12</v>
      </c>
      <c r="C3580">
        <v>1975</v>
      </c>
      <c r="D3580" s="1" t="s">
        <v>275</v>
      </c>
      <c r="E3580" s="1" t="s">
        <v>30</v>
      </c>
      <c r="F3580">
        <v>18</v>
      </c>
      <c r="G3580" s="1" t="s">
        <v>28</v>
      </c>
      <c r="H3580">
        <v>18021</v>
      </c>
      <c r="I3580">
        <v>7</v>
      </c>
      <c r="J3580">
        <v>6</v>
      </c>
      <c r="K3580">
        <v>6</v>
      </c>
      <c r="L3580">
        <v>1000</v>
      </c>
    </row>
    <row r="3581" spans="1:12" hidden="1" x14ac:dyDescent="0.25">
      <c r="A3581">
        <v>3580</v>
      </c>
      <c r="B3581" s="1" t="s">
        <v>12</v>
      </c>
      <c r="C3581">
        <v>1975</v>
      </c>
      <c r="D3581" s="1" t="s">
        <v>275</v>
      </c>
      <c r="E3581" s="1" t="s">
        <v>30</v>
      </c>
      <c r="F3581">
        <v>18</v>
      </c>
      <c r="G3581" s="1" t="s">
        <v>42</v>
      </c>
      <c r="H3581">
        <v>18035</v>
      </c>
      <c r="I3581">
        <v>5</v>
      </c>
      <c r="J3581">
        <v>5</v>
      </c>
      <c r="K3581">
        <v>6</v>
      </c>
      <c r="L3581">
        <v>1200</v>
      </c>
    </row>
    <row r="3582" spans="1:12" hidden="1" x14ac:dyDescent="0.25">
      <c r="A3582">
        <v>3581</v>
      </c>
      <c r="B3582" s="1" t="s">
        <v>12</v>
      </c>
      <c r="C3582">
        <v>1975</v>
      </c>
      <c r="D3582" s="1" t="s">
        <v>275</v>
      </c>
      <c r="E3582" s="1" t="s">
        <v>30</v>
      </c>
      <c r="F3582">
        <v>18</v>
      </c>
      <c r="G3582" s="1" t="s">
        <v>34</v>
      </c>
      <c r="H3582">
        <v>18042</v>
      </c>
      <c r="I3582">
        <v>10</v>
      </c>
      <c r="J3582">
        <v>8</v>
      </c>
      <c r="K3582">
        <v>8</v>
      </c>
      <c r="L3582">
        <v>1000</v>
      </c>
    </row>
    <row r="3583" spans="1:12" hidden="1" x14ac:dyDescent="0.25">
      <c r="A3583">
        <v>3582</v>
      </c>
      <c r="B3583" s="1" t="s">
        <v>12</v>
      </c>
      <c r="C3583">
        <v>1975</v>
      </c>
      <c r="D3583" s="1" t="s">
        <v>275</v>
      </c>
      <c r="E3583" s="1" t="s">
        <v>30</v>
      </c>
      <c r="F3583">
        <v>18</v>
      </c>
      <c r="G3583" s="1" t="s">
        <v>35</v>
      </c>
      <c r="H3583">
        <v>18049</v>
      </c>
      <c r="I3583">
        <v>6</v>
      </c>
      <c r="J3583">
        <v>5</v>
      </c>
      <c r="K3583">
        <v>4</v>
      </c>
      <c r="L3583">
        <v>800</v>
      </c>
    </row>
    <row r="3584" spans="1:12" hidden="1" x14ac:dyDescent="0.25">
      <c r="A3584">
        <v>3583</v>
      </c>
      <c r="B3584" s="1" t="s">
        <v>12</v>
      </c>
      <c r="C3584">
        <v>1975</v>
      </c>
      <c r="D3584" s="1" t="s">
        <v>275</v>
      </c>
      <c r="E3584" s="1" t="s">
        <v>30</v>
      </c>
      <c r="F3584">
        <v>18</v>
      </c>
      <c r="G3584" s="1" t="s">
        <v>99</v>
      </c>
      <c r="H3584">
        <v>18063</v>
      </c>
      <c r="I3584">
        <v>70</v>
      </c>
      <c r="J3584">
        <v>65</v>
      </c>
      <c r="K3584">
        <v>70</v>
      </c>
      <c r="L3584">
        <v>1077</v>
      </c>
    </row>
    <row r="3585" spans="1:12" hidden="1" x14ac:dyDescent="0.25">
      <c r="A3585">
        <v>3584</v>
      </c>
      <c r="B3585" s="1" t="s">
        <v>12</v>
      </c>
      <c r="C3585">
        <v>1975</v>
      </c>
      <c r="D3585" s="1" t="s">
        <v>275</v>
      </c>
      <c r="E3585" s="1" t="s">
        <v>30</v>
      </c>
      <c r="F3585">
        <v>18</v>
      </c>
      <c r="G3585" s="1" t="s">
        <v>43</v>
      </c>
      <c r="H3585">
        <v>18070</v>
      </c>
      <c r="I3585">
        <v>5</v>
      </c>
      <c r="J3585">
        <v>5</v>
      </c>
      <c r="K3585">
        <v>6</v>
      </c>
      <c r="L3585">
        <v>1200</v>
      </c>
    </row>
    <row r="3586" spans="1:12" hidden="1" x14ac:dyDescent="0.25">
      <c r="A3586">
        <v>3585</v>
      </c>
      <c r="B3586" s="1" t="s">
        <v>12</v>
      </c>
      <c r="C3586">
        <v>1975</v>
      </c>
      <c r="D3586" s="1" t="s">
        <v>275</v>
      </c>
      <c r="E3586" s="1" t="s">
        <v>30</v>
      </c>
      <c r="F3586">
        <v>18</v>
      </c>
      <c r="G3586" s="1" t="s">
        <v>39</v>
      </c>
      <c r="H3586">
        <v>18084</v>
      </c>
      <c r="I3586">
        <v>45</v>
      </c>
      <c r="J3586">
        <v>40</v>
      </c>
      <c r="K3586">
        <v>44</v>
      </c>
      <c r="L3586">
        <v>1100</v>
      </c>
    </row>
    <row r="3587" spans="1:12" hidden="1" x14ac:dyDescent="0.25">
      <c r="A3587">
        <v>3586</v>
      </c>
      <c r="B3587" s="1" t="s">
        <v>12</v>
      </c>
      <c r="C3587">
        <v>1975</v>
      </c>
      <c r="D3587" s="1" t="s">
        <v>275</v>
      </c>
      <c r="E3587" s="1" t="s">
        <v>30</v>
      </c>
      <c r="F3587">
        <v>18</v>
      </c>
      <c r="G3587" s="1" t="s">
        <v>33</v>
      </c>
      <c r="H3587">
        <v>18091</v>
      </c>
      <c r="I3587">
        <v>7</v>
      </c>
      <c r="J3587">
        <v>6</v>
      </c>
      <c r="K3587">
        <v>6</v>
      </c>
      <c r="L3587">
        <v>1000</v>
      </c>
    </row>
    <row r="3588" spans="1:12" hidden="1" x14ac:dyDescent="0.25">
      <c r="A3588">
        <v>3587</v>
      </c>
      <c r="B3588" s="1" t="s">
        <v>12</v>
      </c>
      <c r="C3588">
        <v>1975</v>
      </c>
      <c r="D3588" s="1" t="s">
        <v>275</v>
      </c>
      <c r="E3588" s="1" t="s">
        <v>30</v>
      </c>
      <c r="F3588">
        <v>18</v>
      </c>
      <c r="G3588" s="1" t="s">
        <v>98</v>
      </c>
      <c r="H3588">
        <v>18098</v>
      </c>
      <c r="I3588">
        <v>7</v>
      </c>
      <c r="J3588">
        <v>7</v>
      </c>
      <c r="K3588">
        <v>7</v>
      </c>
      <c r="L3588">
        <v>1000</v>
      </c>
    </row>
    <row r="3589" spans="1:12" hidden="1" x14ac:dyDescent="0.25">
      <c r="A3589">
        <v>3588</v>
      </c>
      <c r="B3589" s="1" t="s">
        <v>12</v>
      </c>
      <c r="C3589">
        <v>1975</v>
      </c>
      <c r="D3589" s="1" t="s">
        <v>275</v>
      </c>
      <c r="E3589" s="1" t="s">
        <v>30</v>
      </c>
      <c r="F3589">
        <v>18</v>
      </c>
      <c r="G3589" s="1" t="s">
        <v>105</v>
      </c>
      <c r="H3589">
        <v>18105</v>
      </c>
      <c r="I3589">
        <v>5</v>
      </c>
      <c r="J3589">
        <v>5</v>
      </c>
      <c r="K3589">
        <v>6</v>
      </c>
      <c r="L3589">
        <v>1200</v>
      </c>
    </row>
    <row r="3590" spans="1:12" hidden="1" x14ac:dyDescent="0.25">
      <c r="A3590">
        <v>3589</v>
      </c>
      <c r="B3590" s="1" t="s">
        <v>12</v>
      </c>
      <c r="C3590">
        <v>1975</v>
      </c>
      <c r="D3590" s="1" t="s">
        <v>275</v>
      </c>
      <c r="E3590" s="1" t="s">
        <v>30</v>
      </c>
      <c r="F3590">
        <v>18</v>
      </c>
      <c r="G3590" s="1" t="s">
        <v>32</v>
      </c>
      <c r="H3590">
        <v>18112</v>
      </c>
      <c r="I3590">
        <v>133</v>
      </c>
      <c r="J3590">
        <v>124</v>
      </c>
      <c r="K3590">
        <v>130</v>
      </c>
      <c r="L3590">
        <v>1048</v>
      </c>
    </row>
    <row r="3591" spans="1:12" hidden="1" x14ac:dyDescent="0.25">
      <c r="A3591">
        <v>3590</v>
      </c>
      <c r="B3591" s="1" t="s">
        <v>12</v>
      </c>
      <c r="C3591">
        <v>1975</v>
      </c>
      <c r="D3591" s="1" t="s">
        <v>275</v>
      </c>
      <c r="E3591" s="1" t="s">
        <v>30</v>
      </c>
      <c r="F3591">
        <v>18</v>
      </c>
      <c r="G3591" s="1" t="s">
        <v>104</v>
      </c>
      <c r="H3591">
        <v>18119</v>
      </c>
      <c r="I3591">
        <v>15</v>
      </c>
      <c r="J3591">
        <v>14</v>
      </c>
      <c r="K3591">
        <v>14</v>
      </c>
      <c r="L3591">
        <v>1000</v>
      </c>
    </row>
    <row r="3592" spans="1:12" hidden="1" x14ac:dyDescent="0.25">
      <c r="A3592">
        <v>3591</v>
      </c>
      <c r="B3592" s="1" t="s">
        <v>12</v>
      </c>
      <c r="C3592">
        <v>1975</v>
      </c>
      <c r="D3592" s="1" t="s">
        <v>275</v>
      </c>
      <c r="E3592" s="1" t="s">
        <v>30</v>
      </c>
      <c r="F3592">
        <v>18</v>
      </c>
      <c r="G3592" s="1" t="s">
        <v>41</v>
      </c>
      <c r="H3592">
        <v>18140</v>
      </c>
      <c r="I3592">
        <v>55</v>
      </c>
      <c r="J3592">
        <v>50</v>
      </c>
      <c r="K3592">
        <v>54</v>
      </c>
      <c r="L3592">
        <v>1080</v>
      </c>
    </row>
    <row r="3593" spans="1:12" hidden="1" x14ac:dyDescent="0.25">
      <c r="A3593">
        <v>3592</v>
      </c>
      <c r="B3593" s="1" t="s">
        <v>12</v>
      </c>
      <c r="C3593">
        <v>1975</v>
      </c>
      <c r="D3593" s="1" t="s">
        <v>275</v>
      </c>
      <c r="E3593" s="1" t="s">
        <v>30</v>
      </c>
      <c r="F3593">
        <v>18</v>
      </c>
      <c r="G3593" s="1" t="s">
        <v>37</v>
      </c>
      <c r="H3593">
        <v>18147</v>
      </c>
      <c r="I3593">
        <v>40</v>
      </c>
      <c r="J3593">
        <v>37</v>
      </c>
      <c r="K3593">
        <v>40</v>
      </c>
      <c r="L3593">
        <v>1081</v>
      </c>
    </row>
    <row r="3594" spans="1:12" hidden="1" x14ac:dyDescent="0.25">
      <c r="A3594">
        <v>3593</v>
      </c>
      <c r="B3594" s="1" t="s">
        <v>12</v>
      </c>
      <c r="C3594">
        <v>1975</v>
      </c>
      <c r="D3594" s="1" t="s">
        <v>275</v>
      </c>
      <c r="E3594" s="1" t="s">
        <v>30</v>
      </c>
      <c r="F3594">
        <v>18</v>
      </c>
      <c r="G3594" s="1" t="s">
        <v>101</v>
      </c>
      <c r="H3594">
        <v>18161</v>
      </c>
      <c r="I3594">
        <v>15</v>
      </c>
      <c r="J3594">
        <v>13</v>
      </c>
      <c r="K3594">
        <v>14</v>
      </c>
      <c r="L3594">
        <v>1077</v>
      </c>
    </row>
    <row r="3595" spans="1:12" hidden="1" x14ac:dyDescent="0.25">
      <c r="A3595">
        <v>3594</v>
      </c>
      <c r="B3595" s="1" t="s">
        <v>12</v>
      </c>
      <c r="C3595">
        <v>1975</v>
      </c>
      <c r="D3595" s="1" t="s">
        <v>275</v>
      </c>
      <c r="E3595" s="1" t="s">
        <v>30</v>
      </c>
      <c r="F3595">
        <v>18</v>
      </c>
      <c r="G3595" s="1" t="s">
        <v>44</v>
      </c>
      <c r="H3595">
        <v>18168</v>
      </c>
      <c r="I3595">
        <v>50</v>
      </c>
      <c r="J3595">
        <v>46</v>
      </c>
      <c r="K3595">
        <v>51</v>
      </c>
      <c r="L3595">
        <v>1109</v>
      </c>
    </row>
    <row r="3596" spans="1:12" hidden="1" x14ac:dyDescent="0.25">
      <c r="A3596">
        <v>3595</v>
      </c>
      <c r="B3596" s="1" t="s">
        <v>12</v>
      </c>
      <c r="C3596">
        <v>1975</v>
      </c>
      <c r="D3596" s="1" t="s">
        <v>275</v>
      </c>
      <c r="E3596" s="1" t="s">
        <v>45</v>
      </c>
      <c r="F3596">
        <v>30</v>
      </c>
      <c r="G3596" s="1" t="s">
        <v>27</v>
      </c>
      <c r="H3596">
        <v>30008</v>
      </c>
      <c r="I3596">
        <v>20</v>
      </c>
      <c r="J3596">
        <v>18</v>
      </c>
      <c r="K3596">
        <v>13</v>
      </c>
      <c r="L3596">
        <v>722</v>
      </c>
    </row>
    <row r="3597" spans="1:12" hidden="1" x14ac:dyDescent="0.25">
      <c r="A3597">
        <v>3596</v>
      </c>
      <c r="B3597" s="1" t="s">
        <v>12</v>
      </c>
      <c r="C3597">
        <v>1975</v>
      </c>
      <c r="D3597" s="1" t="s">
        <v>275</v>
      </c>
      <c r="E3597" s="1" t="s">
        <v>45</v>
      </c>
      <c r="F3597">
        <v>30</v>
      </c>
      <c r="G3597" s="1" t="s">
        <v>47</v>
      </c>
      <c r="H3597">
        <v>30015</v>
      </c>
      <c r="I3597">
        <v>50</v>
      </c>
      <c r="J3597">
        <v>45</v>
      </c>
      <c r="K3597">
        <v>34</v>
      </c>
      <c r="L3597">
        <v>756</v>
      </c>
    </row>
    <row r="3598" spans="1:12" hidden="1" x14ac:dyDescent="0.25">
      <c r="A3598">
        <v>3597</v>
      </c>
      <c r="B3598" s="1" t="s">
        <v>12</v>
      </c>
      <c r="C3598">
        <v>1975</v>
      </c>
      <c r="D3598" s="1" t="s">
        <v>275</v>
      </c>
      <c r="E3598" s="1" t="s">
        <v>45</v>
      </c>
      <c r="F3598">
        <v>30</v>
      </c>
      <c r="G3598" s="1" t="s">
        <v>46</v>
      </c>
      <c r="H3598">
        <v>30028</v>
      </c>
      <c r="I3598">
        <v>40</v>
      </c>
      <c r="J3598">
        <v>37</v>
      </c>
      <c r="K3598">
        <v>28</v>
      </c>
      <c r="L3598">
        <v>757</v>
      </c>
    </row>
    <row r="3599" spans="1:12" hidden="1" x14ac:dyDescent="0.25">
      <c r="A3599">
        <v>3598</v>
      </c>
      <c r="B3599" s="1" t="s">
        <v>12</v>
      </c>
      <c r="C3599">
        <v>1975</v>
      </c>
      <c r="D3599" s="1" t="s">
        <v>275</v>
      </c>
      <c r="E3599" s="1" t="s">
        <v>48</v>
      </c>
      <c r="F3599">
        <v>34</v>
      </c>
      <c r="G3599" s="1" t="s">
        <v>50</v>
      </c>
      <c r="H3599">
        <v>34021</v>
      </c>
      <c r="I3599">
        <v>4</v>
      </c>
      <c r="J3599">
        <v>4</v>
      </c>
      <c r="K3599">
        <v>6</v>
      </c>
      <c r="L3599">
        <v>1500</v>
      </c>
    </row>
    <row r="3600" spans="1:12" hidden="1" x14ac:dyDescent="0.25">
      <c r="A3600">
        <v>3599</v>
      </c>
      <c r="B3600" s="1" t="s">
        <v>12</v>
      </c>
      <c r="C3600">
        <v>1975</v>
      </c>
      <c r="D3600" s="1" t="s">
        <v>275</v>
      </c>
      <c r="E3600" s="1" t="s">
        <v>48</v>
      </c>
      <c r="F3600">
        <v>34</v>
      </c>
      <c r="G3600" s="1" t="s">
        <v>51</v>
      </c>
      <c r="H3600">
        <v>34056</v>
      </c>
      <c r="I3600">
        <v>10</v>
      </c>
      <c r="J3600">
        <v>10</v>
      </c>
      <c r="K3600">
        <v>16</v>
      </c>
      <c r="L3600">
        <v>1600</v>
      </c>
    </row>
    <row r="3601" spans="1:12" hidden="1" x14ac:dyDescent="0.25">
      <c r="A3601">
        <v>3600</v>
      </c>
      <c r="B3601" s="1" t="s">
        <v>12</v>
      </c>
      <c r="C3601">
        <v>1975</v>
      </c>
      <c r="D3601" s="1" t="s">
        <v>275</v>
      </c>
      <c r="E3601" s="1" t="s">
        <v>58</v>
      </c>
      <c r="F3601">
        <v>54</v>
      </c>
      <c r="G3601" s="1" t="s">
        <v>234</v>
      </c>
      <c r="H3601">
        <v>54119</v>
      </c>
      <c r="I3601">
        <v>5</v>
      </c>
      <c r="J3601">
        <v>5</v>
      </c>
      <c r="K3601">
        <v>6</v>
      </c>
      <c r="L3601">
        <v>1200</v>
      </c>
    </row>
    <row r="3602" spans="1:12" hidden="1" x14ac:dyDescent="0.25">
      <c r="A3602">
        <v>3601</v>
      </c>
      <c r="B3602" s="1" t="s">
        <v>12</v>
      </c>
      <c r="C3602">
        <v>1975</v>
      </c>
      <c r="D3602" s="1" t="s">
        <v>275</v>
      </c>
      <c r="E3602" s="1" t="s">
        <v>58</v>
      </c>
      <c r="F3602">
        <v>54</v>
      </c>
      <c r="G3602" s="1" t="s">
        <v>59</v>
      </c>
      <c r="H3602">
        <v>54007</v>
      </c>
      <c r="I3602">
        <v>20</v>
      </c>
      <c r="J3602">
        <v>20</v>
      </c>
      <c r="K3602">
        <v>19</v>
      </c>
      <c r="L3602">
        <v>950</v>
      </c>
    </row>
    <row r="3603" spans="1:12" hidden="1" x14ac:dyDescent="0.25">
      <c r="A3603">
        <v>3602</v>
      </c>
      <c r="B3603" s="1" t="s">
        <v>12</v>
      </c>
      <c r="C3603">
        <v>1975</v>
      </c>
      <c r="D3603" s="1" t="s">
        <v>275</v>
      </c>
      <c r="E3603" s="1" t="s">
        <v>58</v>
      </c>
      <c r="F3603">
        <v>54</v>
      </c>
      <c r="G3603" s="1" t="s">
        <v>150</v>
      </c>
      <c r="H3603">
        <v>54014</v>
      </c>
      <c r="I3603">
        <v>22</v>
      </c>
      <c r="J3603">
        <v>20</v>
      </c>
      <c r="K3603">
        <v>23</v>
      </c>
      <c r="L3603">
        <v>1150</v>
      </c>
    </row>
    <row r="3604" spans="1:12" hidden="1" x14ac:dyDescent="0.25">
      <c r="A3604">
        <v>3603</v>
      </c>
      <c r="B3604" s="1" t="s">
        <v>12</v>
      </c>
      <c r="C3604">
        <v>1975</v>
      </c>
      <c r="D3604" s="1" t="s">
        <v>275</v>
      </c>
      <c r="E3604" s="1" t="s">
        <v>58</v>
      </c>
      <c r="F3604">
        <v>54</v>
      </c>
      <c r="G3604" s="1" t="s">
        <v>60</v>
      </c>
      <c r="H3604">
        <v>54021</v>
      </c>
      <c r="I3604">
        <v>26</v>
      </c>
      <c r="J3604">
        <v>25</v>
      </c>
      <c r="K3604">
        <v>24</v>
      </c>
      <c r="L3604">
        <v>960</v>
      </c>
    </row>
    <row r="3605" spans="1:12" hidden="1" x14ac:dyDescent="0.25">
      <c r="A3605">
        <v>3604</v>
      </c>
      <c r="B3605" s="1" t="s">
        <v>12</v>
      </c>
      <c r="C3605">
        <v>1975</v>
      </c>
      <c r="D3605" s="1" t="s">
        <v>275</v>
      </c>
      <c r="E3605" s="1" t="s">
        <v>58</v>
      </c>
      <c r="F3605">
        <v>54</v>
      </c>
      <c r="G3605" s="1" t="s">
        <v>28</v>
      </c>
      <c r="H3605">
        <v>54028</v>
      </c>
      <c r="I3605">
        <v>4</v>
      </c>
      <c r="J3605">
        <v>4</v>
      </c>
      <c r="K3605">
        <v>4</v>
      </c>
      <c r="L3605">
        <v>1000</v>
      </c>
    </row>
    <row r="3606" spans="1:12" hidden="1" x14ac:dyDescent="0.25">
      <c r="A3606">
        <v>3605</v>
      </c>
      <c r="B3606" s="1" t="s">
        <v>12</v>
      </c>
      <c r="C3606">
        <v>1975</v>
      </c>
      <c r="D3606" s="1" t="s">
        <v>275</v>
      </c>
      <c r="E3606" s="1" t="s">
        <v>58</v>
      </c>
      <c r="F3606">
        <v>54</v>
      </c>
      <c r="G3606" s="1" t="s">
        <v>63</v>
      </c>
      <c r="H3606">
        <v>54035</v>
      </c>
      <c r="I3606">
        <v>20</v>
      </c>
      <c r="J3606">
        <v>19</v>
      </c>
      <c r="K3606">
        <v>21</v>
      </c>
      <c r="L3606">
        <v>1105</v>
      </c>
    </row>
    <row r="3607" spans="1:12" hidden="1" x14ac:dyDescent="0.25">
      <c r="A3607">
        <v>3606</v>
      </c>
      <c r="B3607" s="1" t="s">
        <v>12</v>
      </c>
      <c r="C3607">
        <v>1975</v>
      </c>
      <c r="D3607" s="1" t="s">
        <v>275</v>
      </c>
      <c r="E3607" s="1" t="s">
        <v>58</v>
      </c>
      <c r="F3607">
        <v>54</v>
      </c>
      <c r="G3607" s="1" t="s">
        <v>266</v>
      </c>
      <c r="H3607">
        <v>54042</v>
      </c>
      <c r="I3607">
        <v>15</v>
      </c>
      <c r="J3607">
        <v>14</v>
      </c>
      <c r="K3607">
        <v>16</v>
      </c>
      <c r="L3607">
        <v>1143</v>
      </c>
    </row>
    <row r="3608" spans="1:12" hidden="1" x14ac:dyDescent="0.25">
      <c r="A3608">
        <v>3607</v>
      </c>
      <c r="B3608" s="1" t="s">
        <v>12</v>
      </c>
      <c r="C3608">
        <v>1975</v>
      </c>
      <c r="D3608" s="1" t="s">
        <v>275</v>
      </c>
      <c r="E3608" s="1" t="s">
        <v>58</v>
      </c>
      <c r="F3608">
        <v>54</v>
      </c>
      <c r="G3608" s="1" t="s">
        <v>258</v>
      </c>
      <c r="H3608">
        <v>54049</v>
      </c>
      <c r="I3608">
        <v>2</v>
      </c>
      <c r="J3608">
        <v>2</v>
      </c>
      <c r="K3608">
        <v>3</v>
      </c>
      <c r="L3608">
        <v>1500</v>
      </c>
    </row>
    <row r="3609" spans="1:12" hidden="1" x14ac:dyDescent="0.25">
      <c r="A3609">
        <v>3608</v>
      </c>
      <c r="B3609" s="1" t="s">
        <v>12</v>
      </c>
      <c r="C3609">
        <v>1975</v>
      </c>
      <c r="D3609" s="1" t="s">
        <v>275</v>
      </c>
      <c r="E3609" s="1" t="s">
        <v>58</v>
      </c>
      <c r="F3609">
        <v>54</v>
      </c>
      <c r="G3609" s="1" t="s">
        <v>151</v>
      </c>
      <c r="H3609">
        <v>54056</v>
      </c>
      <c r="I3609">
        <v>5</v>
      </c>
      <c r="J3609">
        <v>5</v>
      </c>
      <c r="K3609">
        <v>6</v>
      </c>
      <c r="L3609">
        <v>1200</v>
      </c>
    </row>
    <row r="3610" spans="1:12" hidden="1" x14ac:dyDescent="0.25">
      <c r="A3610">
        <v>3609</v>
      </c>
      <c r="B3610" s="1" t="s">
        <v>12</v>
      </c>
      <c r="C3610">
        <v>1975</v>
      </c>
      <c r="D3610" s="1" t="s">
        <v>275</v>
      </c>
      <c r="E3610" s="1" t="s">
        <v>58</v>
      </c>
      <c r="F3610">
        <v>54</v>
      </c>
      <c r="G3610" s="1" t="s">
        <v>152</v>
      </c>
      <c r="H3610">
        <v>54063</v>
      </c>
      <c r="I3610">
        <v>5</v>
      </c>
      <c r="J3610">
        <v>5</v>
      </c>
      <c r="K3610">
        <v>6</v>
      </c>
      <c r="L3610">
        <v>1200</v>
      </c>
    </row>
    <row r="3611" spans="1:12" hidden="1" x14ac:dyDescent="0.25">
      <c r="A3611">
        <v>3610</v>
      </c>
      <c r="B3611" s="1" t="s">
        <v>12</v>
      </c>
      <c r="C3611">
        <v>1975</v>
      </c>
      <c r="D3611" s="1" t="s">
        <v>275</v>
      </c>
      <c r="E3611" s="1" t="s">
        <v>58</v>
      </c>
      <c r="F3611">
        <v>54</v>
      </c>
      <c r="G3611" s="1" t="s">
        <v>243</v>
      </c>
      <c r="H3611">
        <v>54070</v>
      </c>
      <c r="I3611">
        <v>26</v>
      </c>
      <c r="J3611">
        <v>25</v>
      </c>
      <c r="K3611">
        <v>24</v>
      </c>
      <c r="L3611">
        <v>960</v>
      </c>
    </row>
    <row r="3612" spans="1:12" hidden="1" x14ac:dyDescent="0.25">
      <c r="A3612">
        <v>3611</v>
      </c>
      <c r="B3612" s="1" t="s">
        <v>12</v>
      </c>
      <c r="C3612">
        <v>1975</v>
      </c>
      <c r="D3612" s="1" t="s">
        <v>275</v>
      </c>
      <c r="E3612" s="1" t="s">
        <v>58</v>
      </c>
      <c r="F3612">
        <v>54</v>
      </c>
      <c r="G3612" s="1" t="s">
        <v>119</v>
      </c>
      <c r="H3612">
        <v>54077</v>
      </c>
      <c r="I3612">
        <v>15</v>
      </c>
      <c r="J3612">
        <v>14</v>
      </c>
      <c r="K3612">
        <v>16</v>
      </c>
      <c r="L3612">
        <v>1143</v>
      </c>
    </row>
    <row r="3613" spans="1:12" hidden="1" x14ac:dyDescent="0.25">
      <c r="A3613">
        <v>3612</v>
      </c>
      <c r="B3613" s="1" t="s">
        <v>12</v>
      </c>
      <c r="C3613">
        <v>1975</v>
      </c>
      <c r="D3613" s="1" t="s">
        <v>275</v>
      </c>
      <c r="E3613" s="1" t="s">
        <v>58</v>
      </c>
      <c r="F3613">
        <v>54</v>
      </c>
      <c r="G3613" s="1" t="s">
        <v>242</v>
      </c>
      <c r="H3613">
        <v>54091</v>
      </c>
      <c r="I3613">
        <v>20</v>
      </c>
      <c r="J3613">
        <v>19</v>
      </c>
      <c r="K3613">
        <v>20</v>
      </c>
      <c r="L3613">
        <v>1053</v>
      </c>
    </row>
    <row r="3614" spans="1:12" hidden="1" x14ac:dyDescent="0.25">
      <c r="A3614">
        <v>3613</v>
      </c>
      <c r="B3614" s="1" t="s">
        <v>12</v>
      </c>
      <c r="C3614">
        <v>1975</v>
      </c>
      <c r="D3614" s="1" t="s">
        <v>275</v>
      </c>
      <c r="E3614" s="1" t="s">
        <v>58</v>
      </c>
      <c r="F3614">
        <v>54</v>
      </c>
      <c r="G3614" s="1" t="s">
        <v>61</v>
      </c>
      <c r="H3614">
        <v>54098</v>
      </c>
      <c r="I3614">
        <v>15</v>
      </c>
      <c r="J3614">
        <v>14</v>
      </c>
      <c r="K3614">
        <v>16</v>
      </c>
      <c r="L3614">
        <v>1143</v>
      </c>
    </row>
    <row r="3615" spans="1:12" hidden="1" x14ac:dyDescent="0.25">
      <c r="A3615">
        <v>3614</v>
      </c>
      <c r="B3615" s="1" t="s">
        <v>12</v>
      </c>
      <c r="C3615">
        <v>1975</v>
      </c>
      <c r="D3615" s="1" t="s">
        <v>275</v>
      </c>
      <c r="E3615" s="1" t="s">
        <v>58</v>
      </c>
      <c r="F3615">
        <v>54</v>
      </c>
      <c r="G3615" s="1" t="s">
        <v>62</v>
      </c>
      <c r="H3615">
        <v>54105</v>
      </c>
      <c r="I3615">
        <v>10</v>
      </c>
      <c r="J3615">
        <v>9</v>
      </c>
      <c r="K3615">
        <v>9</v>
      </c>
      <c r="L3615">
        <v>1000</v>
      </c>
    </row>
    <row r="3616" spans="1:12" hidden="1" x14ac:dyDescent="0.25">
      <c r="A3616">
        <v>3615</v>
      </c>
      <c r="B3616" s="1" t="s">
        <v>12</v>
      </c>
      <c r="C3616">
        <v>1975</v>
      </c>
      <c r="D3616" s="1" t="s">
        <v>275</v>
      </c>
      <c r="E3616" s="1" t="s">
        <v>87</v>
      </c>
      <c r="F3616">
        <v>66</v>
      </c>
      <c r="G3616" s="1" t="s">
        <v>230</v>
      </c>
      <c r="H3616">
        <v>66056</v>
      </c>
      <c r="I3616">
        <v>71</v>
      </c>
      <c r="J3616">
        <v>71</v>
      </c>
      <c r="K3616">
        <v>116</v>
      </c>
      <c r="L3616">
        <v>1634</v>
      </c>
    </row>
    <row r="3617" spans="1:12" hidden="1" x14ac:dyDescent="0.25">
      <c r="A3617">
        <v>3616</v>
      </c>
      <c r="B3617" s="1" t="s">
        <v>12</v>
      </c>
      <c r="C3617">
        <v>1975</v>
      </c>
      <c r="D3617" s="1" t="s">
        <v>275</v>
      </c>
      <c r="E3617" s="1" t="s">
        <v>87</v>
      </c>
      <c r="F3617">
        <v>66</v>
      </c>
      <c r="G3617" s="1" t="s">
        <v>179</v>
      </c>
      <c r="H3617">
        <v>66126</v>
      </c>
      <c r="I3617">
        <v>15</v>
      </c>
      <c r="J3617">
        <v>15</v>
      </c>
      <c r="K3617">
        <v>24</v>
      </c>
      <c r="L3617">
        <v>1600</v>
      </c>
    </row>
    <row r="3618" spans="1:12" hidden="1" x14ac:dyDescent="0.25">
      <c r="A3618">
        <v>3617</v>
      </c>
      <c r="B3618" s="1" t="s">
        <v>12</v>
      </c>
      <c r="C3618">
        <v>1975</v>
      </c>
      <c r="D3618" s="1" t="s">
        <v>275</v>
      </c>
      <c r="E3618" s="1" t="s">
        <v>64</v>
      </c>
      <c r="F3618">
        <v>82</v>
      </c>
      <c r="G3618" s="1" t="s">
        <v>156</v>
      </c>
      <c r="H3618">
        <v>82007</v>
      </c>
      <c r="I3618">
        <v>14</v>
      </c>
      <c r="J3618">
        <v>14</v>
      </c>
      <c r="K3618">
        <v>20</v>
      </c>
      <c r="L3618">
        <v>1429</v>
      </c>
    </row>
    <row r="3619" spans="1:12" hidden="1" x14ac:dyDescent="0.25">
      <c r="A3619">
        <v>3618</v>
      </c>
      <c r="B3619" s="1" t="s">
        <v>12</v>
      </c>
      <c r="C3619">
        <v>1975</v>
      </c>
      <c r="D3619" s="1" t="s">
        <v>275</v>
      </c>
      <c r="E3619" s="1" t="s">
        <v>64</v>
      </c>
      <c r="F3619">
        <v>82</v>
      </c>
      <c r="G3619" s="1" t="s">
        <v>66</v>
      </c>
      <c r="H3619">
        <v>82035</v>
      </c>
      <c r="I3619">
        <v>86</v>
      </c>
      <c r="J3619">
        <v>81</v>
      </c>
      <c r="K3619">
        <v>160</v>
      </c>
      <c r="L3619">
        <v>1975</v>
      </c>
    </row>
    <row r="3620" spans="1:12" hidden="1" x14ac:dyDescent="0.25">
      <c r="A3620">
        <v>3619</v>
      </c>
      <c r="B3620" s="1" t="s">
        <v>12</v>
      </c>
      <c r="C3620">
        <v>1975</v>
      </c>
      <c r="D3620" s="1" t="s">
        <v>275</v>
      </c>
      <c r="E3620" s="1" t="s">
        <v>64</v>
      </c>
      <c r="F3620">
        <v>82</v>
      </c>
      <c r="G3620" s="1" t="s">
        <v>65</v>
      </c>
      <c r="H3620">
        <v>82049</v>
      </c>
      <c r="I3620">
        <v>1000</v>
      </c>
      <c r="J3620">
        <v>995</v>
      </c>
      <c r="K3620">
        <v>1100</v>
      </c>
      <c r="L3620">
        <v>1106</v>
      </c>
    </row>
    <row r="3621" spans="1:12" hidden="1" x14ac:dyDescent="0.25">
      <c r="A3621">
        <v>3620</v>
      </c>
      <c r="B3621" s="1" t="s">
        <v>12</v>
      </c>
      <c r="C3621">
        <v>1976</v>
      </c>
      <c r="D3621" s="1" t="s">
        <v>276</v>
      </c>
      <c r="E3621" s="1" t="s">
        <v>22</v>
      </c>
      <c r="F3621">
        <v>14</v>
      </c>
      <c r="G3621" s="1" t="s">
        <v>97</v>
      </c>
      <c r="H3621">
        <v>14007</v>
      </c>
      <c r="I3621">
        <v>11500</v>
      </c>
      <c r="J3621">
        <v>11000</v>
      </c>
      <c r="K3621">
        <v>17600</v>
      </c>
      <c r="L3621">
        <v>1600</v>
      </c>
    </row>
    <row r="3622" spans="1:12" hidden="1" x14ac:dyDescent="0.25">
      <c r="A3622">
        <v>3621</v>
      </c>
      <c r="B3622" s="1" t="s">
        <v>12</v>
      </c>
      <c r="C3622">
        <v>1976</v>
      </c>
      <c r="D3622" s="1" t="s">
        <v>276</v>
      </c>
      <c r="E3622" s="1" t="s">
        <v>22</v>
      </c>
      <c r="F3622">
        <v>14</v>
      </c>
      <c r="G3622" s="1" t="s">
        <v>184</v>
      </c>
      <c r="H3622">
        <v>14042</v>
      </c>
      <c r="I3622">
        <v>23300</v>
      </c>
      <c r="J3622">
        <v>23000</v>
      </c>
      <c r="K3622">
        <v>36100</v>
      </c>
      <c r="L3622">
        <v>1570</v>
      </c>
    </row>
    <row r="3623" spans="1:12" hidden="1" x14ac:dyDescent="0.25">
      <c r="A3623">
        <v>3622</v>
      </c>
      <c r="B3623" s="1" t="s">
        <v>12</v>
      </c>
      <c r="C3623">
        <v>1976</v>
      </c>
      <c r="D3623" s="1" t="s">
        <v>276</v>
      </c>
      <c r="E3623" s="1" t="s">
        <v>22</v>
      </c>
      <c r="F3623">
        <v>14</v>
      </c>
      <c r="G3623" s="1" t="s">
        <v>143</v>
      </c>
      <c r="H3623">
        <v>14056</v>
      </c>
      <c r="I3623">
        <v>54200</v>
      </c>
      <c r="J3623">
        <v>54000</v>
      </c>
      <c r="K3623">
        <v>104200</v>
      </c>
      <c r="L3623">
        <v>1930</v>
      </c>
    </row>
    <row r="3624" spans="1:12" hidden="1" x14ac:dyDescent="0.25">
      <c r="A3624">
        <v>3623</v>
      </c>
      <c r="B3624" s="1" t="s">
        <v>12</v>
      </c>
      <c r="C3624">
        <v>1976</v>
      </c>
      <c r="D3624" s="1" t="s">
        <v>276</v>
      </c>
      <c r="E3624" s="1" t="s">
        <v>22</v>
      </c>
      <c r="F3624">
        <v>14</v>
      </c>
      <c r="G3624" s="1" t="s">
        <v>29</v>
      </c>
      <c r="H3624">
        <v>14098</v>
      </c>
      <c r="I3624">
        <v>7600</v>
      </c>
      <c r="J3624">
        <v>7500</v>
      </c>
      <c r="K3624">
        <v>13300</v>
      </c>
      <c r="L3624">
        <v>1773</v>
      </c>
    </row>
    <row r="3625" spans="1:12" hidden="1" x14ac:dyDescent="0.25">
      <c r="A3625">
        <v>3624</v>
      </c>
      <c r="B3625" s="1" t="s">
        <v>12</v>
      </c>
      <c r="C3625">
        <v>1976</v>
      </c>
      <c r="D3625" s="1" t="s">
        <v>276</v>
      </c>
      <c r="E3625" s="1" t="s">
        <v>22</v>
      </c>
      <c r="F3625">
        <v>14</v>
      </c>
      <c r="G3625" s="1" t="s">
        <v>25</v>
      </c>
      <c r="H3625">
        <v>14105</v>
      </c>
      <c r="I3625">
        <v>4100</v>
      </c>
      <c r="J3625">
        <v>4000</v>
      </c>
      <c r="K3625">
        <v>5700</v>
      </c>
      <c r="L3625">
        <v>1425</v>
      </c>
    </row>
    <row r="3626" spans="1:12" hidden="1" x14ac:dyDescent="0.25">
      <c r="A3626">
        <v>3625</v>
      </c>
      <c r="B3626" s="1" t="s">
        <v>12</v>
      </c>
      <c r="C3626">
        <v>1976</v>
      </c>
      <c r="D3626" s="1" t="s">
        <v>276</v>
      </c>
      <c r="E3626" s="1" t="s">
        <v>22</v>
      </c>
      <c r="F3626">
        <v>14</v>
      </c>
      <c r="G3626" s="1" t="s">
        <v>24</v>
      </c>
      <c r="H3626">
        <v>14119</v>
      </c>
      <c r="I3626">
        <v>95700</v>
      </c>
      <c r="J3626">
        <v>95500</v>
      </c>
      <c r="K3626">
        <v>160000</v>
      </c>
      <c r="L3626">
        <v>1675</v>
      </c>
    </row>
    <row r="3627" spans="1:12" hidden="1" x14ac:dyDescent="0.25">
      <c r="A3627">
        <v>3626</v>
      </c>
      <c r="B3627" s="1" t="s">
        <v>12</v>
      </c>
      <c r="C3627">
        <v>1976</v>
      </c>
      <c r="D3627" s="1" t="s">
        <v>276</v>
      </c>
      <c r="E3627" s="1" t="s">
        <v>22</v>
      </c>
      <c r="F3627">
        <v>14</v>
      </c>
      <c r="G3627" s="1" t="s">
        <v>23</v>
      </c>
      <c r="H3627">
        <v>14147</v>
      </c>
      <c r="I3627">
        <v>13300</v>
      </c>
      <c r="J3627">
        <v>13200</v>
      </c>
      <c r="K3627">
        <v>20700</v>
      </c>
      <c r="L3627">
        <v>1568</v>
      </c>
    </row>
    <row r="3628" spans="1:12" hidden="1" x14ac:dyDescent="0.25">
      <c r="A3628">
        <v>3627</v>
      </c>
      <c r="B3628" s="1" t="s">
        <v>12</v>
      </c>
      <c r="C3628">
        <v>1976</v>
      </c>
      <c r="D3628" s="1" t="s">
        <v>276</v>
      </c>
      <c r="E3628" s="1" t="s">
        <v>22</v>
      </c>
      <c r="F3628">
        <v>14</v>
      </c>
      <c r="G3628" s="1" t="s">
        <v>26</v>
      </c>
      <c r="H3628">
        <v>14161</v>
      </c>
      <c r="I3628">
        <v>154600</v>
      </c>
      <c r="J3628">
        <v>154000</v>
      </c>
      <c r="K3628">
        <v>235100</v>
      </c>
      <c r="L3628">
        <v>1527</v>
      </c>
    </row>
    <row r="3629" spans="1:12" hidden="1" x14ac:dyDescent="0.25">
      <c r="A3629">
        <v>3628</v>
      </c>
      <c r="B3629" s="1" t="s">
        <v>12</v>
      </c>
      <c r="C3629">
        <v>1976</v>
      </c>
      <c r="D3629" s="1" t="s">
        <v>276</v>
      </c>
      <c r="E3629" s="1" t="s">
        <v>22</v>
      </c>
      <c r="F3629">
        <v>14</v>
      </c>
      <c r="G3629" s="1" t="s">
        <v>122</v>
      </c>
      <c r="H3629">
        <v>14182</v>
      </c>
      <c r="I3629">
        <v>3200</v>
      </c>
      <c r="J3629">
        <v>3100</v>
      </c>
      <c r="K3629">
        <v>5300</v>
      </c>
      <c r="L3629">
        <v>1710</v>
      </c>
    </row>
    <row r="3630" spans="1:12" hidden="1" x14ac:dyDescent="0.25">
      <c r="A3630">
        <v>3629</v>
      </c>
      <c r="B3630" s="1" t="s">
        <v>12</v>
      </c>
      <c r="C3630">
        <v>1976</v>
      </c>
      <c r="D3630" s="1" t="s">
        <v>276</v>
      </c>
      <c r="E3630" s="1" t="s">
        <v>30</v>
      </c>
      <c r="F3630">
        <v>18</v>
      </c>
      <c r="G3630" s="1" t="s">
        <v>38</v>
      </c>
      <c r="H3630">
        <v>18007</v>
      </c>
      <c r="I3630">
        <v>4</v>
      </c>
      <c r="J3630">
        <v>4</v>
      </c>
      <c r="K3630">
        <v>4</v>
      </c>
      <c r="L3630">
        <v>1000</v>
      </c>
    </row>
    <row r="3631" spans="1:12" hidden="1" x14ac:dyDescent="0.25">
      <c r="A3631">
        <v>3630</v>
      </c>
      <c r="B3631" s="1" t="s">
        <v>12</v>
      </c>
      <c r="C3631">
        <v>1976</v>
      </c>
      <c r="D3631" s="1" t="s">
        <v>276</v>
      </c>
      <c r="E3631" s="1" t="s">
        <v>30</v>
      </c>
      <c r="F3631">
        <v>18</v>
      </c>
      <c r="G3631" s="1" t="s">
        <v>28</v>
      </c>
      <c r="H3631">
        <v>18021</v>
      </c>
      <c r="I3631">
        <v>7</v>
      </c>
      <c r="J3631">
        <v>6</v>
      </c>
      <c r="K3631">
        <v>5</v>
      </c>
      <c r="L3631">
        <v>833</v>
      </c>
    </row>
    <row r="3632" spans="1:12" hidden="1" x14ac:dyDescent="0.25">
      <c r="A3632">
        <v>3631</v>
      </c>
      <c r="B3632" s="1" t="s">
        <v>12</v>
      </c>
      <c r="C3632">
        <v>1976</v>
      </c>
      <c r="D3632" s="1" t="s">
        <v>276</v>
      </c>
      <c r="E3632" s="1" t="s">
        <v>30</v>
      </c>
      <c r="F3632">
        <v>18</v>
      </c>
      <c r="G3632" s="1" t="s">
        <v>42</v>
      </c>
      <c r="H3632">
        <v>18035</v>
      </c>
      <c r="I3632">
        <v>4</v>
      </c>
      <c r="J3632">
        <v>4</v>
      </c>
      <c r="K3632">
        <v>4</v>
      </c>
      <c r="L3632">
        <v>1000</v>
      </c>
    </row>
    <row r="3633" spans="1:12" hidden="1" x14ac:dyDescent="0.25">
      <c r="A3633">
        <v>3632</v>
      </c>
      <c r="B3633" s="1" t="s">
        <v>12</v>
      </c>
      <c r="C3633">
        <v>1976</v>
      </c>
      <c r="D3633" s="1" t="s">
        <v>276</v>
      </c>
      <c r="E3633" s="1" t="s">
        <v>30</v>
      </c>
      <c r="F3633">
        <v>18</v>
      </c>
      <c r="G3633" s="1" t="s">
        <v>34</v>
      </c>
      <c r="H3633">
        <v>18042</v>
      </c>
      <c r="I3633">
        <v>11</v>
      </c>
      <c r="J3633">
        <v>9</v>
      </c>
      <c r="K3633">
        <v>8</v>
      </c>
      <c r="L3633">
        <v>889</v>
      </c>
    </row>
    <row r="3634" spans="1:12" hidden="1" x14ac:dyDescent="0.25">
      <c r="A3634">
        <v>3633</v>
      </c>
      <c r="B3634" s="1" t="s">
        <v>12</v>
      </c>
      <c r="C3634">
        <v>1976</v>
      </c>
      <c r="D3634" s="1" t="s">
        <v>276</v>
      </c>
      <c r="E3634" s="1" t="s">
        <v>30</v>
      </c>
      <c r="F3634">
        <v>18</v>
      </c>
      <c r="G3634" s="1" t="s">
        <v>35</v>
      </c>
      <c r="H3634">
        <v>18049</v>
      </c>
      <c r="I3634">
        <v>6</v>
      </c>
      <c r="J3634">
        <v>5</v>
      </c>
      <c r="K3634">
        <v>4</v>
      </c>
      <c r="L3634">
        <v>800</v>
      </c>
    </row>
    <row r="3635" spans="1:12" hidden="1" x14ac:dyDescent="0.25">
      <c r="A3635">
        <v>3634</v>
      </c>
      <c r="B3635" s="1" t="s">
        <v>12</v>
      </c>
      <c r="C3635">
        <v>1976</v>
      </c>
      <c r="D3635" s="1" t="s">
        <v>276</v>
      </c>
      <c r="E3635" s="1" t="s">
        <v>30</v>
      </c>
      <c r="F3635">
        <v>18</v>
      </c>
      <c r="G3635" s="1" t="s">
        <v>99</v>
      </c>
      <c r="H3635">
        <v>18063</v>
      </c>
      <c r="I3635">
        <v>72</v>
      </c>
      <c r="J3635">
        <v>67</v>
      </c>
      <c r="K3635">
        <v>76</v>
      </c>
      <c r="L3635">
        <v>1134</v>
      </c>
    </row>
    <row r="3636" spans="1:12" hidden="1" x14ac:dyDescent="0.25">
      <c r="A3636">
        <v>3635</v>
      </c>
      <c r="B3636" s="1" t="s">
        <v>12</v>
      </c>
      <c r="C3636">
        <v>1976</v>
      </c>
      <c r="D3636" s="1" t="s">
        <v>276</v>
      </c>
      <c r="E3636" s="1" t="s">
        <v>30</v>
      </c>
      <c r="F3636">
        <v>18</v>
      </c>
      <c r="G3636" s="1" t="s">
        <v>43</v>
      </c>
      <c r="H3636">
        <v>18070</v>
      </c>
      <c r="I3636">
        <v>6</v>
      </c>
      <c r="J3636">
        <v>5</v>
      </c>
      <c r="K3636">
        <v>5</v>
      </c>
      <c r="L3636">
        <v>1000</v>
      </c>
    </row>
    <row r="3637" spans="1:12" hidden="1" x14ac:dyDescent="0.25">
      <c r="A3637">
        <v>3636</v>
      </c>
      <c r="B3637" s="1" t="s">
        <v>12</v>
      </c>
      <c r="C3637">
        <v>1976</v>
      </c>
      <c r="D3637" s="1" t="s">
        <v>276</v>
      </c>
      <c r="E3637" s="1" t="s">
        <v>30</v>
      </c>
      <c r="F3637">
        <v>18</v>
      </c>
      <c r="G3637" s="1" t="s">
        <v>39</v>
      </c>
      <c r="H3637">
        <v>18084</v>
      </c>
      <c r="I3637">
        <v>47</v>
      </c>
      <c r="J3637">
        <v>40</v>
      </c>
      <c r="K3637">
        <v>40</v>
      </c>
      <c r="L3637">
        <v>1000</v>
      </c>
    </row>
    <row r="3638" spans="1:12" hidden="1" x14ac:dyDescent="0.25">
      <c r="A3638">
        <v>3637</v>
      </c>
      <c r="B3638" s="1" t="s">
        <v>12</v>
      </c>
      <c r="C3638">
        <v>1976</v>
      </c>
      <c r="D3638" s="1" t="s">
        <v>276</v>
      </c>
      <c r="E3638" s="1" t="s">
        <v>30</v>
      </c>
      <c r="F3638">
        <v>18</v>
      </c>
      <c r="G3638" s="1" t="s">
        <v>33</v>
      </c>
      <c r="H3638">
        <v>18091</v>
      </c>
      <c r="I3638">
        <v>8</v>
      </c>
      <c r="J3638">
        <v>7</v>
      </c>
      <c r="K3638">
        <v>8</v>
      </c>
      <c r="L3638">
        <v>1143</v>
      </c>
    </row>
    <row r="3639" spans="1:12" hidden="1" x14ac:dyDescent="0.25">
      <c r="A3639">
        <v>3638</v>
      </c>
      <c r="B3639" s="1" t="s">
        <v>12</v>
      </c>
      <c r="C3639">
        <v>1976</v>
      </c>
      <c r="D3639" s="1" t="s">
        <v>276</v>
      </c>
      <c r="E3639" s="1" t="s">
        <v>30</v>
      </c>
      <c r="F3639">
        <v>18</v>
      </c>
      <c r="G3639" s="1" t="s">
        <v>98</v>
      </c>
      <c r="H3639">
        <v>18098</v>
      </c>
      <c r="I3639">
        <v>7</v>
      </c>
      <c r="J3639">
        <v>7</v>
      </c>
      <c r="K3639">
        <v>9</v>
      </c>
      <c r="L3639">
        <v>1286</v>
      </c>
    </row>
    <row r="3640" spans="1:12" hidden="1" x14ac:dyDescent="0.25">
      <c r="A3640">
        <v>3639</v>
      </c>
      <c r="B3640" s="1" t="s">
        <v>12</v>
      </c>
      <c r="C3640">
        <v>1976</v>
      </c>
      <c r="D3640" s="1" t="s">
        <v>276</v>
      </c>
      <c r="E3640" s="1" t="s">
        <v>30</v>
      </c>
      <c r="F3640">
        <v>18</v>
      </c>
      <c r="G3640" s="1" t="s">
        <v>105</v>
      </c>
      <c r="H3640">
        <v>18105</v>
      </c>
      <c r="I3640">
        <v>5</v>
      </c>
      <c r="J3640">
        <v>5</v>
      </c>
      <c r="K3640">
        <v>5</v>
      </c>
      <c r="L3640">
        <v>1000</v>
      </c>
    </row>
    <row r="3641" spans="1:12" hidden="1" x14ac:dyDescent="0.25">
      <c r="A3641">
        <v>3640</v>
      </c>
      <c r="B3641" s="1" t="s">
        <v>12</v>
      </c>
      <c r="C3641">
        <v>1976</v>
      </c>
      <c r="D3641" s="1" t="s">
        <v>276</v>
      </c>
      <c r="E3641" s="1" t="s">
        <v>30</v>
      </c>
      <c r="F3641">
        <v>18</v>
      </c>
      <c r="G3641" s="1" t="s">
        <v>32</v>
      </c>
      <c r="H3641">
        <v>18112</v>
      </c>
      <c r="I3641">
        <v>146</v>
      </c>
      <c r="J3641">
        <v>118</v>
      </c>
      <c r="K3641">
        <v>100</v>
      </c>
      <c r="L3641">
        <v>847</v>
      </c>
    </row>
    <row r="3642" spans="1:12" hidden="1" x14ac:dyDescent="0.25">
      <c r="A3642">
        <v>3641</v>
      </c>
      <c r="B3642" s="1" t="s">
        <v>12</v>
      </c>
      <c r="C3642">
        <v>1976</v>
      </c>
      <c r="D3642" s="1" t="s">
        <v>276</v>
      </c>
      <c r="E3642" s="1" t="s">
        <v>30</v>
      </c>
      <c r="F3642">
        <v>18</v>
      </c>
      <c r="G3642" s="1" t="s">
        <v>104</v>
      </c>
      <c r="H3642">
        <v>18119</v>
      </c>
      <c r="I3642">
        <v>13</v>
      </c>
      <c r="J3642">
        <v>12</v>
      </c>
      <c r="K3642">
        <v>14</v>
      </c>
      <c r="L3642">
        <v>1167</v>
      </c>
    </row>
    <row r="3643" spans="1:12" hidden="1" x14ac:dyDescent="0.25">
      <c r="A3643">
        <v>3642</v>
      </c>
      <c r="B3643" s="1" t="s">
        <v>12</v>
      </c>
      <c r="C3643">
        <v>1976</v>
      </c>
      <c r="D3643" s="1" t="s">
        <v>276</v>
      </c>
      <c r="E3643" s="1" t="s">
        <v>30</v>
      </c>
      <c r="F3643">
        <v>18</v>
      </c>
      <c r="G3643" s="1" t="s">
        <v>41</v>
      </c>
      <c r="H3643">
        <v>18140</v>
      </c>
      <c r="I3643">
        <v>56</v>
      </c>
      <c r="J3643">
        <v>50</v>
      </c>
      <c r="K3643">
        <v>65</v>
      </c>
      <c r="L3643">
        <v>1300</v>
      </c>
    </row>
    <row r="3644" spans="1:12" hidden="1" x14ac:dyDescent="0.25">
      <c r="A3644">
        <v>3643</v>
      </c>
      <c r="B3644" s="1" t="s">
        <v>12</v>
      </c>
      <c r="C3644">
        <v>1976</v>
      </c>
      <c r="D3644" s="1" t="s">
        <v>276</v>
      </c>
      <c r="E3644" s="1" t="s">
        <v>30</v>
      </c>
      <c r="F3644">
        <v>18</v>
      </c>
      <c r="G3644" s="1" t="s">
        <v>37</v>
      </c>
      <c r="H3644">
        <v>18147</v>
      </c>
      <c r="I3644">
        <v>42</v>
      </c>
      <c r="J3644">
        <v>35</v>
      </c>
      <c r="K3644">
        <v>45</v>
      </c>
      <c r="L3644">
        <v>1286</v>
      </c>
    </row>
    <row r="3645" spans="1:12" hidden="1" x14ac:dyDescent="0.25">
      <c r="A3645">
        <v>3644</v>
      </c>
      <c r="B3645" s="1" t="s">
        <v>12</v>
      </c>
      <c r="C3645">
        <v>1976</v>
      </c>
      <c r="D3645" s="1" t="s">
        <v>276</v>
      </c>
      <c r="E3645" s="1" t="s">
        <v>30</v>
      </c>
      <c r="F3645">
        <v>18</v>
      </c>
      <c r="G3645" s="1" t="s">
        <v>103</v>
      </c>
      <c r="H3645">
        <v>18154</v>
      </c>
      <c r="I3645">
        <v>2</v>
      </c>
      <c r="J3645">
        <v>2</v>
      </c>
      <c r="K3645">
        <v>3</v>
      </c>
      <c r="L3645">
        <v>1500</v>
      </c>
    </row>
    <row r="3646" spans="1:12" hidden="1" x14ac:dyDescent="0.25">
      <c r="A3646">
        <v>3645</v>
      </c>
      <c r="B3646" s="1" t="s">
        <v>12</v>
      </c>
      <c r="C3646">
        <v>1976</v>
      </c>
      <c r="D3646" s="1" t="s">
        <v>276</v>
      </c>
      <c r="E3646" s="1" t="s">
        <v>30</v>
      </c>
      <c r="F3646">
        <v>18</v>
      </c>
      <c r="G3646" s="1" t="s">
        <v>101</v>
      </c>
      <c r="H3646">
        <v>18161</v>
      </c>
      <c r="I3646">
        <v>17</v>
      </c>
      <c r="J3646">
        <v>14</v>
      </c>
      <c r="K3646">
        <v>15</v>
      </c>
      <c r="L3646">
        <v>1071</v>
      </c>
    </row>
    <row r="3647" spans="1:12" hidden="1" x14ac:dyDescent="0.25">
      <c r="A3647">
        <v>3646</v>
      </c>
      <c r="B3647" s="1" t="s">
        <v>12</v>
      </c>
      <c r="C3647">
        <v>1976</v>
      </c>
      <c r="D3647" s="1" t="s">
        <v>276</v>
      </c>
      <c r="E3647" s="1" t="s">
        <v>30</v>
      </c>
      <c r="F3647">
        <v>18</v>
      </c>
      <c r="G3647" s="1" t="s">
        <v>44</v>
      </c>
      <c r="H3647">
        <v>18168</v>
      </c>
      <c r="I3647">
        <v>47</v>
      </c>
      <c r="J3647">
        <v>40</v>
      </c>
      <c r="K3647">
        <v>40</v>
      </c>
      <c r="L3647">
        <v>1000</v>
      </c>
    </row>
    <row r="3648" spans="1:12" hidden="1" x14ac:dyDescent="0.25">
      <c r="A3648">
        <v>3647</v>
      </c>
      <c r="B3648" s="1" t="s">
        <v>12</v>
      </c>
      <c r="C3648">
        <v>1976</v>
      </c>
      <c r="D3648" s="1" t="s">
        <v>276</v>
      </c>
      <c r="E3648" s="1" t="s">
        <v>45</v>
      </c>
      <c r="F3648">
        <v>30</v>
      </c>
      <c r="G3648" s="1" t="s">
        <v>27</v>
      </c>
      <c r="H3648">
        <v>30008</v>
      </c>
      <c r="I3648">
        <v>25</v>
      </c>
      <c r="J3648">
        <v>22</v>
      </c>
      <c r="K3648">
        <v>20</v>
      </c>
      <c r="L3648">
        <v>909</v>
      </c>
    </row>
    <row r="3649" spans="1:12" hidden="1" x14ac:dyDescent="0.25">
      <c r="A3649">
        <v>3648</v>
      </c>
      <c r="B3649" s="1" t="s">
        <v>12</v>
      </c>
      <c r="C3649">
        <v>1976</v>
      </c>
      <c r="D3649" s="1" t="s">
        <v>276</v>
      </c>
      <c r="E3649" s="1" t="s">
        <v>45</v>
      </c>
      <c r="F3649">
        <v>30</v>
      </c>
      <c r="G3649" s="1" t="s">
        <v>47</v>
      </c>
      <c r="H3649">
        <v>30015</v>
      </c>
      <c r="I3649">
        <v>60</v>
      </c>
      <c r="J3649">
        <v>56</v>
      </c>
      <c r="K3649">
        <v>50</v>
      </c>
      <c r="L3649">
        <v>893</v>
      </c>
    </row>
    <row r="3650" spans="1:12" hidden="1" x14ac:dyDescent="0.25">
      <c r="A3650">
        <v>3649</v>
      </c>
      <c r="B3650" s="1" t="s">
        <v>12</v>
      </c>
      <c r="C3650">
        <v>1976</v>
      </c>
      <c r="D3650" s="1" t="s">
        <v>276</v>
      </c>
      <c r="E3650" s="1" t="s">
        <v>45</v>
      </c>
      <c r="F3650">
        <v>30</v>
      </c>
      <c r="G3650" s="1" t="s">
        <v>46</v>
      </c>
      <c r="H3650">
        <v>30028</v>
      </c>
      <c r="I3650">
        <v>35</v>
      </c>
      <c r="J3650">
        <v>32</v>
      </c>
      <c r="K3650">
        <v>30</v>
      </c>
      <c r="L3650">
        <v>938</v>
      </c>
    </row>
    <row r="3651" spans="1:12" hidden="1" x14ac:dyDescent="0.25">
      <c r="A3651">
        <v>3650</v>
      </c>
      <c r="B3651" s="1" t="s">
        <v>12</v>
      </c>
      <c r="C3651">
        <v>1976</v>
      </c>
      <c r="D3651" s="1" t="s">
        <v>276</v>
      </c>
      <c r="E3651" s="1" t="s">
        <v>48</v>
      </c>
      <c r="F3651">
        <v>34</v>
      </c>
      <c r="G3651" s="1" t="s">
        <v>50</v>
      </c>
      <c r="H3651">
        <v>34021</v>
      </c>
      <c r="I3651">
        <v>2</v>
      </c>
      <c r="J3651">
        <v>0</v>
      </c>
      <c r="K3651">
        <v>0</v>
      </c>
      <c r="L3651">
        <v>0</v>
      </c>
    </row>
    <row r="3652" spans="1:12" hidden="1" x14ac:dyDescent="0.25">
      <c r="A3652">
        <v>3651</v>
      </c>
      <c r="B3652" s="1" t="s">
        <v>12</v>
      </c>
      <c r="C3652">
        <v>1976</v>
      </c>
      <c r="D3652" s="1" t="s">
        <v>276</v>
      </c>
      <c r="E3652" s="1" t="s">
        <v>48</v>
      </c>
      <c r="F3652">
        <v>34</v>
      </c>
      <c r="G3652" s="1" t="s">
        <v>51</v>
      </c>
      <c r="H3652">
        <v>34056</v>
      </c>
      <c r="I3652">
        <v>8</v>
      </c>
      <c r="J3652">
        <v>0</v>
      </c>
      <c r="K3652">
        <v>0</v>
      </c>
      <c r="L3652">
        <v>0</v>
      </c>
    </row>
    <row r="3653" spans="1:12" hidden="1" x14ac:dyDescent="0.25">
      <c r="A3653">
        <v>3652</v>
      </c>
      <c r="B3653" s="1" t="s">
        <v>12</v>
      </c>
      <c r="C3653">
        <v>1976</v>
      </c>
      <c r="D3653" s="1" t="s">
        <v>276</v>
      </c>
      <c r="E3653" s="1" t="s">
        <v>138</v>
      </c>
      <c r="F3653">
        <v>50</v>
      </c>
      <c r="G3653" s="1" t="s">
        <v>127</v>
      </c>
      <c r="H3653">
        <v>50035</v>
      </c>
      <c r="I3653">
        <v>37</v>
      </c>
      <c r="J3653">
        <v>30</v>
      </c>
      <c r="K3653">
        <v>30</v>
      </c>
      <c r="L3653">
        <v>1000</v>
      </c>
    </row>
    <row r="3654" spans="1:12" hidden="1" x14ac:dyDescent="0.25">
      <c r="A3654">
        <v>3653</v>
      </c>
      <c r="B3654" s="1" t="s">
        <v>12</v>
      </c>
      <c r="C3654">
        <v>1976</v>
      </c>
      <c r="D3654" s="1" t="s">
        <v>276</v>
      </c>
      <c r="E3654" s="1" t="s">
        <v>138</v>
      </c>
      <c r="F3654">
        <v>50</v>
      </c>
      <c r="G3654" s="1" t="s">
        <v>124</v>
      </c>
      <c r="H3654">
        <v>50042</v>
      </c>
      <c r="I3654">
        <v>8</v>
      </c>
      <c r="J3654">
        <v>4</v>
      </c>
      <c r="K3654">
        <v>4</v>
      </c>
      <c r="L3654">
        <v>1000</v>
      </c>
    </row>
    <row r="3655" spans="1:12" hidden="1" x14ac:dyDescent="0.25">
      <c r="A3655">
        <v>3654</v>
      </c>
      <c r="B3655" s="1" t="s">
        <v>12</v>
      </c>
      <c r="C3655">
        <v>1976</v>
      </c>
      <c r="D3655" s="1" t="s">
        <v>276</v>
      </c>
      <c r="E3655" s="1" t="s">
        <v>138</v>
      </c>
      <c r="F3655">
        <v>50</v>
      </c>
      <c r="G3655" s="1" t="s">
        <v>33</v>
      </c>
      <c r="H3655">
        <v>50056</v>
      </c>
      <c r="I3655">
        <v>36</v>
      </c>
      <c r="J3655">
        <v>10</v>
      </c>
      <c r="K3655">
        <v>10</v>
      </c>
      <c r="L3655">
        <v>1000</v>
      </c>
    </row>
    <row r="3656" spans="1:12" hidden="1" x14ac:dyDescent="0.25">
      <c r="A3656">
        <v>3655</v>
      </c>
      <c r="B3656" s="1" t="s">
        <v>12</v>
      </c>
      <c r="C3656">
        <v>1976</v>
      </c>
      <c r="D3656" s="1" t="s">
        <v>276</v>
      </c>
      <c r="E3656" s="1" t="s">
        <v>138</v>
      </c>
      <c r="F3656">
        <v>50</v>
      </c>
      <c r="G3656" s="1" t="s">
        <v>161</v>
      </c>
      <c r="H3656">
        <v>50084</v>
      </c>
      <c r="I3656">
        <v>7</v>
      </c>
      <c r="J3656">
        <v>5</v>
      </c>
      <c r="K3656">
        <v>5</v>
      </c>
      <c r="L3656">
        <v>1000</v>
      </c>
    </row>
    <row r="3657" spans="1:12" hidden="1" x14ac:dyDescent="0.25">
      <c r="A3657">
        <v>3656</v>
      </c>
      <c r="B3657" s="1" t="s">
        <v>12</v>
      </c>
      <c r="C3657">
        <v>1976</v>
      </c>
      <c r="D3657" s="1" t="s">
        <v>276</v>
      </c>
      <c r="E3657" s="1" t="s">
        <v>138</v>
      </c>
      <c r="F3657">
        <v>50</v>
      </c>
      <c r="G3657" s="1" t="s">
        <v>37</v>
      </c>
      <c r="H3657">
        <v>50098</v>
      </c>
      <c r="I3657">
        <v>36</v>
      </c>
      <c r="J3657">
        <v>6</v>
      </c>
      <c r="K3657">
        <v>9</v>
      </c>
      <c r="L3657">
        <v>1500</v>
      </c>
    </row>
    <row r="3658" spans="1:12" hidden="1" x14ac:dyDescent="0.25">
      <c r="A3658">
        <v>3657</v>
      </c>
      <c r="B3658" s="1" t="s">
        <v>12</v>
      </c>
      <c r="C3658">
        <v>1976</v>
      </c>
      <c r="D3658" s="1" t="s">
        <v>276</v>
      </c>
      <c r="E3658" s="1" t="s">
        <v>138</v>
      </c>
      <c r="F3658">
        <v>50</v>
      </c>
      <c r="G3658" s="1" t="s">
        <v>83</v>
      </c>
      <c r="H3658">
        <v>50112</v>
      </c>
      <c r="I3658">
        <v>186</v>
      </c>
      <c r="J3658">
        <v>95</v>
      </c>
      <c r="K3658">
        <v>112</v>
      </c>
      <c r="L3658">
        <v>1179</v>
      </c>
    </row>
    <row r="3659" spans="1:12" hidden="1" x14ac:dyDescent="0.25">
      <c r="A3659">
        <v>3658</v>
      </c>
      <c r="B3659" s="1" t="s">
        <v>12</v>
      </c>
      <c r="C3659">
        <v>1976</v>
      </c>
      <c r="D3659" s="1" t="s">
        <v>276</v>
      </c>
      <c r="E3659" s="1" t="s">
        <v>58</v>
      </c>
      <c r="F3659">
        <v>54</v>
      </c>
      <c r="G3659" s="1" t="s">
        <v>234</v>
      </c>
      <c r="H3659">
        <v>54119</v>
      </c>
      <c r="I3659">
        <v>4</v>
      </c>
      <c r="J3659">
        <v>4</v>
      </c>
      <c r="K3659">
        <v>5</v>
      </c>
      <c r="L3659">
        <v>1250</v>
      </c>
    </row>
    <row r="3660" spans="1:12" hidden="1" x14ac:dyDescent="0.25">
      <c r="A3660">
        <v>3659</v>
      </c>
      <c r="B3660" s="1" t="s">
        <v>12</v>
      </c>
      <c r="C3660">
        <v>1976</v>
      </c>
      <c r="D3660" s="1" t="s">
        <v>276</v>
      </c>
      <c r="E3660" s="1" t="s">
        <v>58</v>
      </c>
      <c r="F3660">
        <v>54</v>
      </c>
      <c r="G3660" s="1" t="s">
        <v>59</v>
      </c>
      <c r="H3660">
        <v>54007</v>
      </c>
      <c r="I3660">
        <v>18</v>
      </c>
      <c r="J3660">
        <v>16</v>
      </c>
      <c r="K3660">
        <v>19</v>
      </c>
      <c r="L3660">
        <v>1188</v>
      </c>
    </row>
    <row r="3661" spans="1:12" hidden="1" x14ac:dyDescent="0.25">
      <c r="A3661">
        <v>3660</v>
      </c>
      <c r="B3661" s="1" t="s">
        <v>12</v>
      </c>
      <c r="C3661">
        <v>1976</v>
      </c>
      <c r="D3661" s="1" t="s">
        <v>276</v>
      </c>
      <c r="E3661" s="1" t="s">
        <v>58</v>
      </c>
      <c r="F3661">
        <v>54</v>
      </c>
      <c r="G3661" s="1" t="s">
        <v>150</v>
      </c>
      <c r="H3661">
        <v>54014</v>
      </c>
      <c r="I3661">
        <v>20</v>
      </c>
      <c r="J3661">
        <v>17</v>
      </c>
      <c r="K3661">
        <v>21</v>
      </c>
      <c r="L3661">
        <v>1235</v>
      </c>
    </row>
    <row r="3662" spans="1:12" hidden="1" x14ac:dyDescent="0.25">
      <c r="A3662">
        <v>3661</v>
      </c>
      <c r="B3662" s="1" t="s">
        <v>12</v>
      </c>
      <c r="C3662">
        <v>1976</v>
      </c>
      <c r="D3662" s="1" t="s">
        <v>276</v>
      </c>
      <c r="E3662" s="1" t="s">
        <v>58</v>
      </c>
      <c r="F3662">
        <v>54</v>
      </c>
      <c r="G3662" s="1" t="s">
        <v>60</v>
      </c>
      <c r="H3662">
        <v>54021</v>
      </c>
      <c r="I3662">
        <v>23</v>
      </c>
      <c r="J3662">
        <v>20</v>
      </c>
      <c r="K3662">
        <v>23</v>
      </c>
      <c r="L3662">
        <v>1150</v>
      </c>
    </row>
    <row r="3663" spans="1:12" hidden="1" x14ac:dyDescent="0.25">
      <c r="A3663">
        <v>3662</v>
      </c>
      <c r="B3663" s="1" t="s">
        <v>12</v>
      </c>
      <c r="C3663">
        <v>1976</v>
      </c>
      <c r="D3663" s="1" t="s">
        <v>276</v>
      </c>
      <c r="E3663" s="1" t="s">
        <v>58</v>
      </c>
      <c r="F3663">
        <v>54</v>
      </c>
      <c r="G3663" s="1" t="s">
        <v>28</v>
      </c>
      <c r="H3663">
        <v>54028</v>
      </c>
      <c r="I3663">
        <v>4</v>
      </c>
      <c r="J3663">
        <v>4</v>
      </c>
      <c r="K3663">
        <v>5</v>
      </c>
      <c r="L3663">
        <v>1250</v>
      </c>
    </row>
    <row r="3664" spans="1:12" hidden="1" x14ac:dyDescent="0.25">
      <c r="A3664">
        <v>3663</v>
      </c>
      <c r="B3664" s="1" t="s">
        <v>12</v>
      </c>
      <c r="C3664">
        <v>1976</v>
      </c>
      <c r="D3664" s="1" t="s">
        <v>276</v>
      </c>
      <c r="E3664" s="1" t="s">
        <v>58</v>
      </c>
      <c r="F3664">
        <v>54</v>
      </c>
      <c r="G3664" s="1" t="s">
        <v>63</v>
      </c>
      <c r="H3664">
        <v>54035</v>
      </c>
      <c r="I3664">
        <v>17</v>
      </c>
      <c r="J3664">
        <v>15</v>
      </c>
      <c r="K3664">
        <v>18</v>
      </c>
      <c r="L3664">
        <v>1200</v>
      </c>
    </row>
    <row r="3665" spans="1:12" hidden="1" x14ac:dyDescent="0.25">
      <c r="A3665">
        <v>3664</v>
      </c>
      <c r="B3665" s="1" t="s">
        <v>12</v>
      </c>
      <c r="C3665">
        <v>1976</v>
      </c>
      <c r="D3665" s="1" t="s">
        <v>276</v>
      </c>
      <c r="E3665" s="1" t="s">
        <v>58</v>
      </c>
      <c r="F3665">
        <v>54</v>
      </c>
      <c r="G3665" s="1" t="s">
        <v>266</v>
      </c>
      <c r="H3665">
        <v>54042</v>
      </c>
      <c r="I3665">
        <v>14</v>
      </c>
      <c r="J3665">
        <v>12</v>
      </c>
      <c r="K3665">
        <v>14</v>
      </c>
      <c r="L3665">
        <v>1167</v>
      </c>
    </row>
    <row r="3666" spans="1:12" hidden="1" x14ac:dyDescent="0.25">
      <c r="A3666">
        <v>3665</v>
      </c>
      <c r="B3666" s="1" t="s">
        <v>12</v>
      </c>
      <c r="C3666">
        <v>1976</v>
      </c>
      <c r="D3666" s="1" t="s">
        <v>276</v>
      </c>
      <c r="E3666" s="1" t="s">
        <v>58</v>
      </c>
      <c r="F3666">
        <v>54</v>
      </c>
      <c r="G3666" s="1" t="s">
        <v>258</v>
      </c>
      <c r="H3666">
        <v>54049</v>
      </c>
      <c r="I3666">
        <v>2</v>
      </c>
      <c r="J3666">
        <v>2</v>
      </c>
      <c r="K3666">
        <v>3</v>
      </c>
      <c r="L3666">
        <v>1500</v>
      </c>
    </row>
    <row r="3667" spans="1:12" hidden="1" x14ac:dyDescent="0.25">
      <c r="A3667">
        <v>3666</v>
      </c>
      <c r="B3667" s="1" t="s">
        <v>12</v>
      </c>
      <c r="C3667">
        <v>1976</v>
      </c>
      <c r="D3667" s="1" t="s">
        <v>276</v>
      </c>
      <c r="E3667" s="1" t="s">
        <v>58</v>
      </c>
      <c r="F3667">
        <v>54</v>
      </c>
      <c r="G3667" s="1" t="s">
        <v>151</v>
      </c>
      <c r="H3667">
        <v>54056</v>
      </c>
      <c r="I3667">
        <v>5</v>
      </c>
      <c r="J3667">
        <v>5</v>
      </c>
      <c r="K3667">
        <v>6</v>
      </c>
      <c r="L3667">
        <v>1200</v>
      </c>
    </row>
    <row r="3668" spans="1:12" hidden="1" x14ac:dyDescent="0.25">
      <c r="A3668">
        <v>3667</v>
      </c>
      <c r="B3668" s="1" t="s">
        <v>12</v>
      </c>
      <c r="C3668">
        <v>1976</v>
      </c>
      <c r="D3668" s="1" t="s">
        <v>276</v>
      </c>
      <c r="E3668" s="1" t="s">
        <v>58</v>
      </c>
      <c r="F3668">
        <v>54</v>
      </c>
      <c r="G3668" s="1" t="s">
        <v>152</v>
      </c>
      <c r="H3668">
        <v>54063</v>
      </c>
      <c r="I3668">
        <v>5</v>
      </c>
      <c r="J3668">
        <v>5</v>
      </c>
      <c r="K3668">
        <v>6</v>
      </c>
      <c r="L3668">
        <v>1200</v>
      </c>
    </row>
    <row r="3669" spans="1:12" hidden="1" x14ac:dyDescent="0.25">
      <c r="A3669">
        <v>3668</v>
      </c>
      <c r="B3669" s="1" t="s">
        <v>12</v>
      </c>
      <c r="C3669">
        <v>1976</v>
      </c>
      <c r="D3669" s="1" t="s">
        <v>276</v>
      </c>
      <c r="E3669" s="1" t="s">
        <v>58</v>
      </c>
      <c r="F3669">
        <v>54</v>
      </c>
      <c r="G3669" s="1" t="s">
        <v>243</v>
      </c>
      <c r="H3669">
        <v>54070</v>
      </c>
      <c r="I3669">
        <v>24</v>
      </c>
      <c r="J3669">
        <v>21</v>
      </c>
      <c r="K3669">
        <v>28</v>
      </c>
      <c r="L3669">
        <v>1333</v>
      </c>
    </row>
    <row r="3670" spans="1:12" hidden="1" x14ac:dyDescent="0.25">
      <c r="A3670">
        <v>3669</v>
      </c>
      <c r="B3670" s="1" t="s">
        <v>12</v>
      </c>
      <c r="C3670">
        <v>1976</v>
      </c>
      <c r="D3670" s="1" t="s">
        <v>276</v>
      </c>
      <c r="E3670" s="1" t="s">
        <v>58</v>
      </c>
      <c r="F3670">
        <v>54</v>
      </c>
      <c r="G3670" s="1" t="s">
        <v>119</v>
      </c>
      <c r="H3670">
        <v>54077</v>
      </c>
      <c r="I3670">
        <v>13</v>
      </c>
      <c r="J3670">
        <v>12</v>
      </c>
      <c r="K3670">
        <v>14</v>
      </c>
      <c r="L3670">
        <v>1167</v>
      </c>
    </row>
    <row r="3671" spans="1:12" hidden="1" x14ac:dyDescent="0.25">
      <c r="A3671">
        <v>3670</v>
      </c>
      <c r="B3671" s="1" t="s">
        <v>12</v>
      </c>
      <c r="C3671">
        <v>1976</v>
      </c>
      <c r="D3671" s="1" t="s">
        <v>276</v>
      </c>
      <c r="E3671" s="1" t="s">
        <v>58</v>
      </c>
      <c r="F3671">
        <v>54</v>
      </c>
      <c r="G3671" s="1" t="s">
        <v>242</v>
      </c>
      <c r="H3671">
        <v>54091</v>
      </c>
      <c r="I3671">
        <v>18</v>
      </c>
      <c r="J3671">
        <v>16</v>
      </c>
      <c r="K3671">
        <v>22</v>
      </c>
      <c r="L3671">
        <v>1375</v>
      </c>
    </row>
    <row r="3672" spans="1:12" hidden="1" x14ac:dyDescent="0.25">
      <c r="A3672">
        <v>3671</v>
      </c>
      <c r="B3672" s="1" t="s">
        <v>12</v>
      </c>
      <c r="C3672">
        <v>1976</v>
      </c>
      <c r="D3672" s="1" t="s">
        <v>276</v>
      </c>
      <c r="E3672" s="1" t="s">
        <v>58</v>
      </c>
      <c r="F3672">
        <v>54</v>
      </c>
      <c r="G3672" s="1" t="s">
        <v>61</v>
      </c>
      <c r="H3672">
        <v>54098</v>
      </c>
      <c r="I3672">
        <v>14</v>
      </c>
      <c r="J3672">
        <v>13</v>
      </c>
      <c r="K3672">
        <v>16</v>
      </c>
      <c r="L3672">
        <v>1231</v>
      </c>
    </row>
    <row r="3673" spans="1:12" hidden="1" x14ac:dyDescent="0.25">
      <c r="A3673">
        <v>3672</v>
      </c>
      <c r="B3673" s="1" t="s">
        <v>12</v>
      </c>
      <c r="C3673">
        <v>1976</v>
      </c>
      <c r="D3673" s="1" t="s">
        <v>276</v>
      </c>
      <c r="E3673" s="1" t="s">
        <v>58</v>
      </c>
      <c r="F3673">
        <v>54</v>
      </c>
      <c r="G3673" s="1" t="s">
        <v>62</v>
      </c>
      <c r="H3673">
        <v>54105</v>
      </c>
      <c r="I3673">
        <v>9</v>
      </c>
      <c r="J3673">
        <v>8</v>
      </c>
      <c r="K3673">
        <v>10</v>
      </c>
      <c r="L3673">
        <v>1250</v>
      </c>
    </row>
    <row r="3674" spans="1:12" hidden="1" x14ac:dyDescent="0.25">
      <c r="A3674">
        <v>3673</v>
      </c>
      <c r="B3674" s="1" t="s">
        <v>12</v>
      </c>
      <c r="C3674">
        <v>1976</v>
      </c>
      <c r="D3674" s="1" t="s">
        <v>276</v>
      </c>
      <c r="E3674" s="1" t="s">
        <v>87</v>
      </c>
      <c r="F3674">
        <v>66</v>
      </c>
      <c r="G3674" s="1" t="s">
        <v>230</v>
      </c>
      <c r="H3674">
        <v>66056</v>
      </c>
      <c r="I3674">
        <v>155</v>
      </c>
      <c r="J3674">
        <v>155</v>
      </c>
      <c r="K3674">
        <v>238</v>
      </c>
      <c r="L3674">
        <v>1535</v>
      </c>
    </row>
    <row r="3675" spans="1:12" hidden="1" x14ac:dyDescent="0.25">
      <c r="A3675">
        <v>3674</v>
      </c>
      <c r="B3675" s="1" t="s">
        <v>12</v>
      </c>
      <c r="C3675">
        <v>1976</v>
      </c>
      <c r="D3675" s="1" t="s">
        <v>276</v>
      </c>
      <c r="E3675" s="1" t="s">
        <v>87</v>
      </c>
      <c r="F3675">
        <v>66</v>
      </c>
      <c r="G3675" s="1" t="s">
        <v>179</v>
      </c>
      <c r="H3675">
        <v>66126</v>
      </c>
      <c r="I3675">
        <v>15</v>
      </c>
      <c r="J3675">
        <v>15</v>
      </c>
      <c r="K3675">
        <v>22</v>
      </c>
      <c r="L3675">
        <v>1467</v>
      </c>
    </row>
    <row r="3676" spans="1:12" hidden="1" x14ac:dyDescent="0.25">
      <c r="A3676">
        <v>3675</v>
      </c>
      <c r="B3676" s="1" t="s">
        <v>12</v>
      </c>
      <c r="C3676">
        <v>1976</v>
      </c>
      <c r="D3676" s="1" t="s">
        <v>276</v>
      </c>
      <c r="E3676" s="1" t="s">
        <v>64</v>
      </c>
      <c r="F3676">
        <v>82</v>
      </c>
      <c r="G3676" s="1" t="s">
        <v>156</v>
      </c>
      <c r="H3676">
        <v>82007</v>
      </c>
      <c r="I3676">
        <v>3</v>
      </c>
      <c r="J3676">
        <v>3</v>
      </c>
      <c r="K3676">
        <v>3</v>
      </c>
      <c r="L3676">
        <v>1000</v>
      </c>
    </row>
    <row r="3677" spans="1:12" hidden="1" x14ac:dyDescent="0.25">
      <c r="A3677">
        <v>3676</v>
      </c>
      <c r="B3677" s="1" t="s">
        <v>12</v>
      </c>
      <c r="C3677">
        <v>1976</v>
      </c>
      <c r="D3677" s="1" t="s">
        <v>276</v>
      </c>
      <c r="E3677" s="1" t="s">
        <v>64</v>
      </c>
      <c r="F3677">
        <v>82</v>
      </c>
      <c r="G3677" s="1" t="s">
        <v>66</v>
      </c>
      <c r="H3677">
        <v>82035</v>
      </c>
      <c r="I3677">
        <v>80</v>
      </c>
      <c r="J3677">
        <v>60</v>
      </c>
      <c r="K3677">
        <v>117</v>
      </c>
      <c r="L3677">
        <v>1950</v>
      </c>
    </row>
    <row r="3678" spans="1:12" hidden="1" x14ac:dyDescent="0.25">
      <c r="A3678">
        <v>3677</v>
      </c>
      <c r="B3678" s="1" t="s">
        <v>12</v>
      </c>
      <c r="C3678">
        <v>1976</v>
      </c>
      <c r="D3678" s="1" t="s">
        <v>276</v>
      </c>
      <c r="E3678" s="1" t="s">
        <v>64</v>
      </c>
      <c r="F3678">
        <v>82</v>
      </c>
      <c r="G3678" s="1" t="s">
        <v>272</v>
      </c>
      <c r="H3678">
        <v>82042</v>
      </c>
      <c r="I3678">
        <v>200</v>
      </c>
      <c r="J3678">
        <v>200</v>
      </c>
      <c r="K3678">
        <v>250</v>
      </c>
      <c r="L3678">
        <v>1250</v>
      </c>
    </row>
    <row r="3679" spans="1:12" hidden="1" x14ac:dyDescent="0.25">
      <c r="A3679">
        <v>3678</v>
      </c>
      <c r="B3679" s="1" t="s">
        <v>12</v>
      </c>
      <c r="C3679">
        <v>1976</v>
      </c>
      <c r="D3679" s="1" t="s">
        <v>276</v>
      </c>
      <c r="E3679" s="1" t="s">
        <v>64</v>
      </c>
      <c r="F3679">
        <v>82</v>
      </c>
      <c r="G3679" s="1" t="s">
        <v>65</v>
      </c>
      <c r="H3679">
        <v>82049</v>
      </c>
      <c r="I3679">
        <v>810</v>
      </c>
      <c r="J3679">
        <v>300</v>
      </c>
      <c r="K3679">
        <v>320</v>
      </c>
      <c r="L3679">
        <v>1067</v>
      </c>
    </row>
    <row r="3680" spans="1:12" hidden="1" x14ac:dyDescent="0.25">
      <c r="A3680">
        <v>3679</v>
      </c>
      <c r="B3680" s="1" t="s">
        <v>12</v>
      </c>
      <c r="C3680">
        <v>1976</v>
      </c>
      <c r="D3680" s="1" t="s">
        <v>276</v>
      </c>
      <c r="E3680" s="1" t="s">
        <v>64</v>
      </c>
      <c r="F3680">
        <v>82</v>
      </c>
      <c r="G3680" s="1" t="s">
        <v>277</v>
      </c>
      <c r="H3680">
        <v>82056</v>
      </c>
      <c r="I3680">
        <v>7</v>
      </c>
      <c r="J3680">
        <v>7</v>
      </c>
      <c r="K3680">
        <v>10</v>
      </c>
      <c r="L3680">
        <v>1429</v>
      </c>
    </row>
    <row r="3681" spans="1:12" hidden="1" x14ac:dyDescent="0.25">
      <c r="A3681">
        <v>3680</v>
      </c>
      <c r="B3681" s="1" t="s">
        <v>12</v>
      </c>
      <c r="C3681">
        <v>1976</v>
      </c>
      <c r="D3681" s="1" t="s">
        <v>276</v>
      </c>
      <c r="E3681" s="1" t="s">
        <v>77</v>
      </c>
      <c r="F3681">
        <v>90</v>
      </c>
      <c r="G3681" s="1" t="s">
        <v>95</v>
      </c>
      <c r="H3681">
        <v>90035</v>
      </c>
      <c r="I3681">
        <v>100</v>
      </c>
      <c r="J3681">
        <v>100</v>
      </c>
      <c r="K3681">
        <v>110</v>
      </c>
      <c r="L3681">
        <v>1100</v>
      </c>
    </row>
    <row r="3682" spans="1:12" hidden="1" x14ac:dyDescent="0.25">
      <c r="A3682">
        <v>3681</v>
      </c>
      <c r="B3682" s="1" t="s">
        <v>12</v>
      </c>
      <c r="C3682">
        <v>1977</v>
      </c>
      <c r="D3682" s="1" t="s">
        <v>278</v>
      </c>
      <c r="E3682" s="1" t="s">
        <v>22</v>
      </c>
      <c r="F3682">
        <v>14</v>
      </c>
      <c r="G3682" s="1" t="s">
        <v>97</v>
      </c>
      <c r="H3682">
        <v>14007</v>
      </c>
      <c r="I3682">
        <v>4000</v>
      </c>
      <c r="J3682">
        <v>4000</v>
      </c>
      <c r="K3682">
        <v>2400</v>
      </c>
      <c r="L3682">
        <v>600</v>
      </c>
    </row>
    <row r="3683" spans="1:12" hidden="1" x14ac:dyDescent="0.25">
      <c r="A3683">
        <v>3682</v>
      </c>
      <c r="B3683" s="1" t="s">
        <v>12</v>
      </c>
      <c r="C3683">
        <v>1977</v>
      </c>
      <c r="D3683" s="1" t="s">
        <v>278</v>
      </c>
      <c r="E3683" s="1" t="s">
        <v>22</v>
      </c>
      <c r="F3683">
        <v>14</v>
      </c>
      <c r="G3683" s="1" t="s">
        <v>184</v>
      </c>
      <c r="H3683">
        <v>14042</v>
      </c>
      <c r="I3683">
        <v>35000</v>
      </c>
      <c r="J3683">
        <v>35000</v>
      </c>
      <c r="K3683">
        <v>21000</v>
      </c>
      <c r="L3683">
        <v>600</v>
      </c>
    </row>
    <row r="3684" spans="1:12" hidden="1" x14ac:dyDescent="0.25">
      <c r="A3684">
        <v>3683</v>
      </c>
      <c r="B3684" s="1" t="s">
        <v>12</v>
      </c>
      <c r="C3684">
        <v>1977</v>
      </c>
      <c r="D3684" s="1" t="s">
        <v>278</v>
      </c>
      <c r="E3684" s="1" t="s">
        <v>22</v>
      </c>
      <c r="F3684">
        <v>14</v>
      </c>
      <c r="G3684" s="1" t="s">
        <v>143</v>
      </c>
      <c r="H3684">
        <v>14056</v>
      </c>
      <c r="I3684">
        <v>70000</v>
      </c>
      <c r="J3684">
        <v>66000</v>
      </c>
      <c r="K3684">
        <v>42900</v>
      </c>
      <c r="L3684">
        <v>650</v>
      </c>
    </row>
    <row r="3685" spans="1:12" hidden="1" x14ac:dyDescent="0.25">
      <c r="A3685">
        <v>3684</v>
      </c>
      <c r="B3685" s="1" t="s">
        <v>12</v>
      </c>
      <c r="C3685">
        <v>1977</v>
      </c>
      <c r="D3685" s="1" t="s">
        <v>278</v>
      </c>
      <c r="E3685" s="1" t="s">
        <v>22</v>
      </c>
      <c r="F3685">
        <v>14</v>
      </c>
      <c r="G3685" s="1" t="s">
        <v>29</v>
      </c>
      <c r="H3685">
        <v>14098</v>
      </c>
      <c r="I3685">
        <v>9000</v>
      </c>
      <c r="J3685">
        <v>9000</v>
      </c>
      <c r="K3685">
        <v>5400</v>
      </c>
      <c r="L3685">
        <v>600</v>
      </c>
    </row>
    <row r="3686" spans="1:12" hidden="1" x14ac:dyDescent="0.25">
      <c r="A3686">
        <v>3685</v>
      </c>
      <c r="B3686" s="1" t="s">
        <v>12</v>
      </c>
      <c r="C3686">
        <v>1977</v>
      </c>
      <c r="D3686" s="1" t="s">
        <v>278</v>
      </c>
      <c r="E3686" s="1" t="s">
        <v>22</v>
      </c>
      <c r="F3686">
        <v>14</v>
      </c>
      <c r="G3686" s="1" t="s">
        <v>25</v>
      </c>
      <c r="H3686">
        <v>14105</v>
      </c>
      <c r="I3686">
        <v>700</v>
      </c>
      <c r="J3686">
        <v>700</v>
      </c>
      <c r="K3686">
        <v>410</v>
      </c>
      <c r="L3686">
        <v>586</v>
      </c>
    </row>
    <row r="3687" spans="1:12" hidden="1" x14ac:dyDescent="0.25">
      <c r="A3687">
        <v>3686</v>
      </c>
      <c r="B3687" s="1" t="s">
        <v>12</v>
      </c>
      <c r="C3687">
        <v>1977</v>
      </c>
      <c r="D3687" s="1" t="s">
        <v>278</v>
      </c>
      <c r="E3687" s="1" t="s">
        <v>22</v>
      </c>
      <c r="F3687">
        <v>14</v>
      </c>
      <c r="G3687" s="1" t="s">
        <v>24</v>
      </c>
      <c r="H3687">
        <v>14119</v>
      </c>
      <c r="I3687">
        <v>115300</v>
      </c>
      <c r="J3687">
        <v>105400</v>
      </c>
      <c r="K3687">
        <v>63240</v>
      </c>
      <c r="L3687">
        <v>600</v>
      </c>
    </row>
    <row r="3688" spans="1:12" hidden="1" x14ac:dyDescent="0.25">
      <c r="A3688">
        <v>3687</v>
      </c>
      <c r="B3688" s="1" t="s">
        <v>12</v>
      </c>
      <c r="C3688">
        <v>1977</v>
      </c>
      <c r="D3688" s="1" t="s">
        <v>278</v>
      </c>
      <c r="E3688" s="1" t="s">
        <v>22</v>
      </c>
      <c r="F3688">
        <v>14</v>
      </c>
      <c r="G3688" s="1" t="s">
        <v>23</v>
      </c>
      <c r="H3688">
        <v>14147</v>
      </c>
      <c r="I3688">
        <v>22000</v>
      </c>
      <c r="J3688">
        <v>22000</v>
      </c>
      <c r="K3688">
        <v>13200</v>
      </c>
      <c r="L3688">
        <v>600</v>
      </c>
    </row>
    <row r="3689" spans="1:12" hidden="1" x14ac:dyDescent="0.25">
      <c r="A3689">
        <v>3688</v>
      </c>
      <c r="B3689" s="1" t="s">
        <v>12</v>
      </c>
      <c r="C3689">
        <v>1977</v>
      </c>
      <c r="D3689" s="1" t="s">
        <v>278</v>
      </c>
      <c r="E3689" s="1" t="s">
        <v>22</v>
      </c>
      <c r="F3689">
        <v>14</v>
      </c>
      <c r="G3689" s="1" t="s">
        <v>26</v>
      </c>
      <c r="H3689">
        <v>14161</v>
      </c>
      <c r="I3689">
        <v>190000</v>
      </c>
      <c r="J3689">
        <v>180000</v>
      </c>
      <c r="K3689">
        <v>107000</v>
      </c>
      <c r="L3689">
        <v>594</v>
      </c>
    </row>
    <row r="3690" spans="1:12" hidden="1" x14ac:dyDescent="0.25">
      <c r="A3690">
        <v>3689</v>
      </c>
      <c r="B3690" s="1" t="s">
        <v>12</v>
      </c>
      <c r="C3690">
        <v>1977</v>
      </c>
      <c r="D3690" s="1" t="s">
        <v>278</v>
      </c>
      <c r="E3690" s="1" t="s">
        <v>22</v>
      </c>
      <c r="F3690">
        <v>14</v>
      </c>
      <c r="G3690" s="1" t="s">
        <v>122</v>
      </c>
      <c r="H3690">
        <v>14182</v>
      </c>
      <c r="I3690">
        <v>3500</v>
      </c>
      <c r="J3690">
        <v>3500</v>
      </c>
      <c r="K3690">
        <v>2450</v>
      </c>
      <c r="L3690">
        <v>700</v>
      </c>
    </row>
    <row r="3691" spans="1:12" hidden="1" x14ac:dyDescent="0.25">
      <c r="A3691">
        <v>3690</v>
      </c>
      <c r="B3691" s="1" t="s">
        <v>12</v>
      </c>
      <c r="C3691">
        <v>1977</v>
      </c>
      <c r="D3691" s="1" t="s">
        <v>278</v>
      </c>
      <c r="E3691" s="1" t="s">
        <v>30</v>
      </c>
      <c r="F3691">
        <v>18</v>
      </c>
      <c r="G3691" s="1" t="s">
        <v>38</v>
      </c>
      <c r="H3691">
        <v>18007</v>
      </c>
      <c r="I3691">
        <v>5</v>
      </c>
      <c r="J3691">
        <v>4</v>
      </c>
      <c r="K3691">
        <v>2</v>
      </c>
      <c r="L3691">
        <v>500</v>
      </c>
    </row>
    <row r="3692" spans="1:12" hidden="1" x14ac:dyDescent="0.25">
      <c r="A3692">
        <v>3691</v>
      </c>
      <c r="B3692" s="1" t="s">
        <v>12</v>
      </c>
      <c r="C3692">
        <v>1977</v>
      </c>
      <c r="D3692" s="1" t="s">
        <v>278</v>
      </c>
      <c r="E3692" s="1" t="s">
        <v>30</v>
      </c>
      <c r="F3692">
        <v>18</v>
      </c>
      <c r="G3692" s="1" t="s">
        <v>28</v>
      </c>
      <c r="H3692">
        <v>18021</v>
      </c>
      <c r="I3692">
        <v>8</v>
      </c>
      <c r="J3692">
        <v>8</v>
      </c>
      <c r="K3692">
        <v>6</v>
      </c>
      <c r="L3692">
        <v>750</v>
      </c>
    </row>
    <row r="3693" spans="1:12" hidden="1" x14ac:dyDescent="0.25">
      <c r="A3693">
        <v>3692</v>
      </c>
      <c r="B3693" s="1" t="s">
        <v>12</v>
      </c>
      <c r="C3693">
        <v>1977</v>
      </c>
      <c r="D3693" s="1" t="s">
        <v>278</v>
      </c>
      <c r="E3693" s="1" t="s">
        <v>30</v>
      </c>
      <c r="F3693">
        <v>18</v>
      </c>
      <c r="G3693" s="1" t="s">
        <v>42</v>
      </c>
      <c r="H3693">
        <v>18035</v>
      </c>
      <c r="I3693">
        <v>5</v>
      </c>
      <c r="J3693">
        <v>5</v>
      </c>
      <c r="K3693">
        <v>4</v>
      </c>
      <c r="L3693">
        <v>800</v>
      </c>
    </row>
    <row r="3694" spans="1:12" hidden="1" x14ac:dyDescent="0.25">
      <c r="A3694">
        <v>3693</v>
      </c>
      <c r="B3694" s="1" t="s">
        <v>12</v>
      </c>
      <c r="C3694">
        <v>1977</v>
      </c>
      <c r="D3694" s="1" t="s">
        <v>278</v>
      </c>
      <c r="E3694" s="1" t="s">
        <v>30</v>
      </c>
      <c r="F3694">
        <v>18</v>
      </c>
      <c r="G3694" s="1" t="s">
        <v>34</v>
      </c>
      <c r="H3694">
        <v>18042</v>
      </c>
      <c r="I3694">
        <v>12</v>
      </c>
      <c r="J3694">
        <v>12</v>
      </c>
      <c r="K3694">
        <v>9</v>
      </c>
      <c r="L3694">
        <v>750</v>
      </c>
    </row>
    <row r="3695" spans="1:12" hidden="1" x14ac:dyDescent="0.25">
      <c r="A3695">
        <v>3694</v>
      </c>
      <c r="B3695" s="1" t="s">
        <v>12</v>
      </c>
      <c r="C3695">
        <v>1977</v>
      </c>
      <c r="D3695" s="1" t="s">
        <v>278</v>
      </c>
      <c r="E3695" s="1" t="s">
        <v>30</v>
      </c>
      <c r="F3695">
        <v>18</v>
      </c>
      <c r="G3695" s="1" t="s">
        <v>35</v>
      </c>
      <c r="H3695">
        <v>18049</v>
      </c>
      <c r="I3695">
        <v>6</v>
      </c>
      <c r="J3695">
        <v>4</v>
      </c>
      <c r="K3695">
        <v>2</v>
      </c>
      <c r="L3695">
        <v>500</v>
      </c>
    </row>
    <row r="3696" spans="1:12" hidden="1" x14ac:dyDescent="0.25">
      <c r="A3696">
        <v>3695</v>
      </c>
      <c r="B3696" s="1" t="s">
        <v>12</v>
      </c>
      <c r="C3696">
        <v>1977</v>
      </c>
      <c r="D3696" s="1" t="s">
        <v>278</v>
      </c>
      <c r="E3696" s="1" t="s">
        <v>30</v>
      </c>
      <c r="F3696">
        <v>18</v>
      </c>
      <c r="G3696" s="1" t="s">
        <v>99</v>
      </c>
      <c r="H3696">
        <v>18063</v>
      </c>
      <c r="I3696">
        <v>80</v>
      </c>
      <c r="J3696">
        <v>80</v>
      </c>
      <c r="K3696">
        <v>60</v>
      </c>
      <c r="L3696">
        <v>750</v>
      </c>
    </row>
    <row r="3697" spans="1:12" hidden="1" x14ac:dyDescent="0.25">
      <c r="A3697">
        <v>3696</v>
      </c>
      <c r="B3697" s="1" t="s">
        <v>12</v>
      </c>
      <c r="C3697">
        <v>1977</v>
      </c>
      <c r="D3697" s="1" t="s">
        <v>278</v>
      </c>
      <c r="E3697" s="1" t="s">
        <v>30</v>
      </c>
      <c r="F3697">
        <v>18</v>
      </c>
      <c r="G3697" s="1" t="s">
        <v>43</v>
      </c>
      <c r="H3697">
        <v>18070</v>
      </c>
      <c r="I3697">
        <v>130</v>
      </c>
      <c r="J3697">
        <v>110</v>
      </c>
      <c r="K3697">
        <v>49</v>
      </c>
      <c r="L3697">
        <v>445</v>
      </c>
    </row>
    <row r="3698" spans="1:12" hidden="1" x14ac:dyDescent="0.25">
      <c r="A3698">
        <v>3697</v>
      </c>
      <c r="B3698" s="1" t="s">
        <v>12</v>
      </c>
      <c r="C3698">
        <v>1977</v>
      </c>
      <c r="D3698" s="1" t="s">
        <v>278</v>
      </c>
      <c r="E3698" s="1" t="s">
        <v>30</v>
      </c>
      <c r="F3698">
        <v>18</v>
      </c>
      <c r="G3698" s="1" t="s">
        <v>39</v>
      </c>
      <c r="H3698">
        <v>18084</v>
      </c>
      <c r="I3698">
        <v>50</v>
      </c>
      <c r="J3698">
        <v>50</v>
      </c>
      <c r="K3698">
        <v>38</v>
      </c>
      <c r="L3698">
        <v>760</v>
      </c>
    </row>
    <row r="3699" spans="1:12" hidden="1" x14ac:dyDescent="0.25">
      <c r="A3699">
        <v>3698</v>
      </c>
      <c r="B3699" s="1" t="s">
        <v>12</v>
      </c>
      <c r="C3699">
        <v>1977</v>
      </c>
      <c r="D3699" s="1" t="s">
        <v>278</v>
      </c>
      <c r="E3699" s="1" t="s">
        <v>30</v>
      </c>
      <c r="F3699">
        <v>18</v>
      </c>
      <c r="G3699" s="1" t="s">
        <v>33</v>
      </c>
      <c r="H3699">
        <v>18091</v>
      </c>
      <c r="I3699">
        <v>260</v>
      </c>
      <c r="J3699">
        <v>243</v>
      </c>
      <c r="K3699">
        <v>137</v>
      </c>
      <c r="L3699">
        <v>564</v>
      </c>
    </row>
    <row r="3700" spans="1:12" hidden="1" x14ac:dyDescent="0.25">
      <c r="A3700">
        <v>3699</v>
      </c>
      <c r="B3700" s="1" t="s">
        <v>12</v>
      </c>
      <c r="C3700">
        <v>1977</v>
      </c>
      <c r="D3700" s="1" t="s">
        <v>278</v>
      </c>
      <c r="E3700" s="1" t="s">
        <v>30</v>
      </c>
      <c r="F3700">
        <v>18</v>
      </c>
      <c r="G3700" s="1" t="s">
        <v>98</v>
      </c>
      <c r="H3700">
        <v>18098</v>
      </c>
      <c r="I3700">
        <v>8</v>
      </c>
      <c r="J3700">
        <v>8</v>
      </c>
      <c r="K3700">
        <v>6</v>
      </c>
      <c r="L3700">
        <v>750</v>
      </c>
    </row>
    <row r="3701" spans="1:12" hidden="1" x14ac:dyDescent="0.25">
      <c r="A3701">
        <v>3700</v>
      </c>
      <c r="B3701" s="1" t="s">
        <v>12</v>
      </c>
      <c r="C3701">
        <v>1977</v>
      </c>
      <c r="D3701" s="1" t="s">
        <v>278</v>
      </c>
      <c r="E3701" s="1" t="s">
        <v>30</v>
      </c>
      <c r="F3701">
        <v>18</v>
      </c>
      <c r="G3701" s="1" t="s">
        <v>105</v>
      </c>
      <c r="H3701">
        <v>18105</v>
      </c>
      <c r="I3701">
        <v>6</v>
      </c>
      <c r="J3701">
        <v>6</v>
      </c>
      <c r="K3701">
        <v>4</v>
      </c>
      <c r="L3701">
        <v>667</v>
      </c>
    </row>
    <row r="3702" spans="1:12" hidden="1" x14ac:dyDescent="0.25">
      <c r="A3702">
        <v>3701</v>
      </c>
      <c r="B3702" s="1" t="s">
        <v>12</v>
      </c>
      <c r="C3702">
        <v>1977</v>
      </c>
      <c r="D3702" s="1" t="s">
        <v>278</v>
      </c>
      <c r="E3702" s="1" t="s">
        <v>30</v>
      </c>
      <c r="F3702">
        <v>18</v>
      </c>
      <c r="G3702" s="1" t="s">
        <v>32</v>
      </c>
      <c r="H3702">
        <v>18112</v>
      </c>
      <c r="I3702">
        <v>140</v>
      </c>
      <c r="J3702">
        <v>140</v>
      </c>
      <c r="K3702">
        <v>102</v>
      </c>
      <c r="L3702">
        <v>729</v>
      </c>
    </row>
    <row r="3703" spans="1:12" hidden="1" x14ac:dyDescent="0.25">
      <c r="A3703">
        <v>3702</v>
      </c>
      <c r="B3703" s="1" t="s">
        <v>12</v>
      </c>
      <c r="C3703">
        <v>1977</v>
      </c>
      <c r="D3703" s="1" t="s">
        <v>278</v>
      </c>
      <c r="E3703" s="1" t="s">
        <v>30</v>
      </c>
      <c r="F3703">
        <v>18</v>
      </c>
      <c r="G3703" s="1" t="s">
        <v>104</v>
      </c>
      <c r="H3703">
        <v>18119</v>
      </c>
      <c r="I3703">
        <v>15</v>
      </c>
      <c r="J3703">
        <v>15</v>
      </c>
      <c r="K3703">
        <v>11</v>
      </c>
      <c r="L3703">
        <v>733</v>
      </c>
    </row>
    <row r="3704" spans="1:12" hidden="1" x14ac:dyDescent="0.25">
      <c r="A3704">
        <v>3703</v>
      </c>
      <c r="B3704" s="1" t="s">
        <v>12</v>
      </c>
      <c r="C3704">
        <v>1977</v>
      </c>
      <c r="D3704" s="1" t="s">
        <v>278</v>
      </c>
      <c r="E3704" s="1" t="s">
        <v>30</v>
      </c>
      <c r="F3704">
        <v>18</v>
      </c>
      <c r="G3704" s="1" t="s">
        <v>40</v>
      </c>
      <c r="H3704">
        <v>18126</v>
      </c>
      <c r="I3704">
        <v>5</v>
      </c>
      <c r="J3704">
        <v>5</v>
      </c>
      <c r="K3704">
        <v>4</v>
      </c>
      <c r="L3704">
        <v>800</v>
      </c>
    </row>
    <row r="3705" spans="1:12" hidden="1" x14ac:dyDescent="0.25">
      <c r="A3705">
        <v>3704</v>
      </c>
      <c r="B3705" s="1" t="s">
        <v>12</v>
      </c>
      <c r="C3705">
        <v>1977</v>
      </c>
      <c r="D3705" s="1" t="s">
        <v>278</v>
      </c>
      <c r="E3705" s="1" t="s">
        <v>30</v>
      </c>
      <c r="F3705">
        <v>18</v>
      </c>
      <c r="G3705" s="1" t="s">
        <v>41</v>
      </c>
      <c r="H3705">
        <v>18140</v>
      </c>
      <c r="I3705">
        <v>60</v>
      </c>
      <c r="J3705">
        <v>60</v>
      </c>
      <c r="K3705">
        <v>45</v>
      </c>
      <c r="L3705">
        <v>750</v>
      </c>
    </row>
    <row r="3706" spans="1:12" hidden="1" x14ac:dyDescent="0.25">
      <c r="A3706">
        <v>3705</v>
      </c>
      <c r="B3706" s="1" t="s">
        <v>12</v>
      </c>
      <c r="C3706">
        <v>1977</v>
      </c>
      <c r="D3706" s="1" t="s">
        <v>278</v>
      </c>
      <c r="E3706" s="1" t="s">
        <v>30</v>
      </c>
      <c r="F3706">
        <v>18</v>
      </c>
      <c r="G3706" s="1" t="s">
        <v>37</v>
      </c>
      <c r="H3706">
        <v>18147</v>
      </c>
      <c r="I3706">
        <v>40</v>
      </c>
      <c r="J3706">
        <v>40</v>
      </c>
      <c r="K3706">
        <v>28</v>
      </c>
      <c r="L3706">
        <v>700</v>
      </c>
    </row>
    <row r="3707" spans="1:12" hidden="1" x14ac:dyDescent="0.25">
      <c r="A3707">
        <v>3706</v>
      </c>
      <c r="B3707" s="1" t="s">
        <v>12</v>
      </c>
      <c r="C3707">
        <v>1977</v>
      </c>
      <c r="D3707" s="1" t="s">
        <v>278</v>
      </c>
      <c r="E3707" s="1" t="s">
        <v>30</v>
      </c>
      <c r="F3707">
        <v>18</v>
      </c>
      <c r="G3707" s="1" t="s">
        <v>103</v>
      </c>
      <c r="H3707">
        <v>18154</v>
      </c>
      <c r="I3707">
        <v>5</v>
      </c>
      <c r="J3707">
        <v>5</v>
      </c>
      <c r="K3707">
        <v>4</v>
      </c>
      <c r="L3707">
        <v>800</v>
      </c>
    </row>
    <row r="3708" spans="1:12" hidden="1" x14ac:dyDescent="0.25">
      <c r="A3708">
        <v>3707</v>
      </c>
      <c r="B3708" s="1" t="s">
        <v>12</v>
      </c>
      <c r="C3708">
        <v>1977</v>
      </c>
      <c r="D3708" s="1" t="s">
        <v>278</v>
      </c>
      <c r="E3708" s="1" t="s">
        <v>30</v>
      </c>
      <c r="F3708">
        <v>18</v>
      </c>
      <c r="G3708" s="1" t="s">
        <v>101</v>
      </c>
      <c r="H3708">
        <v>18161</v>
      </c>
      <c r="I3708">
        <v>20</v>
      </c>
      <c r="J3708">
        <v>20</v>
      </c>
      <c r="K3708">
        <v>15</v>
      </c>
      <c r="L3708">
        <v>750</v>
      </c>
    </row>
    <row r="3709" spans="1:12" hidden="1" x14ac:dyDescent="0.25">
      <c r="A3709">
        <v>3708</v>
      </c>
      <c r="B3709" s="1" t="s">
        <v>12</v>
      </c>
      <c r="C3709">
        <v>1977</v>
      </c>
      <c r="D3709" s="1" t="s">
        <v>278</v>
      </c>
      <c r="E3709" s="1" t="s">
        <v>30</v>
      </c>
      <c r="F3709">
        <v>18</v>
      </c>
      <c r="G3709" s="1" t="s">
        <v>44</v>
      </c>
      <c r="H3709">
        <v>18168</v>
      </c>
      <c r="I3709">
        <v>45</v>
      </c>
      <c r="J3709">
        <v>45</v>
      </c>
      <c r="K3709">
        <v>34</v>
      </c>
      <c r="L3709">
        <v>756</v>
      </c>
    </row>
    <row r="3710" spans="1:12" hidden="1" x14ac:dyDescent="0.25">
      <c r="A3710">
        <v>3709</v>
      </c>
      <c r="B3710" s="1" t="s">
        <v>12</v>
      </c>
      <c r="C3710">
        <v>1977</v>
      </c>
      <c r="D3710" s="1" t="s">
        <v>278</v>
      </c>
      <c r="E3710" s="1" t="s">
        <v>45</v>
      </c>
      <c r="F3710">
        <v>30</v>
      </c>
      <c r="G3710" s="1" t="s">
        <v>27</v>
      </c>
      <c r="H3710">
        <v>30008</v>
      </c>
      <c r="I3710">
        <v>20</v>
      </c>
      <c r="J3710">
        <v>20</v>
      </c>
      <c r="K3710">
        <v>10</v>
      </c>
      <c r="L3710">
        <v>500</v>
      </c>
    </row>
    <row r="3711" spans="1:12" hidden="1" x14ac:dyDescent="0.25">
      <c r="A3711">
        <v>3710</v>
      </c>
      <c r="B3711" s="1" t="s">
        <v>12</v>
      </c>
      <c r="C3711">
        <v>1977</v>
      </c>
      <c r="D3711" s="1" t="s">
        <v>278</v>
      </c>
      <c r="E3711" s="1" t="s">
        <v>45</v>
      </c>
      <c r="F3711">
        <v>30</v>
      </c>
      <c r="G3711" s="1" t="s">
        <v>47</v>
      </c>
      <c r="H3711">
        <v>30015</v>
      </c>
      <c r="I3711">
        <v>50</v>
      </c>
      <c r="J3711">
        <v>50</v>
      </c>
      <c r="K3711">
        <v>25</v>
      </c>
      <c r="L3711">
        <v>500</v>
      </c>
    </row>
    <row r="3712" spans="1:12" hidden="1" x14ac:dyDescent="0.25">
      <c r="A3712">
        <v>3711</v>
      </c>
      <c r="B3712" s="1" t="s">
        <v>12</v>
      </c>
      <c r="C3712">
        <v>1977</v>
      </c>
      <c r="D3712" s="1" t="s">
        <v>278</v>
      </c>
      <c r="E3712" s="1" t="s">
        <v>45</v>
      </c>
      <c r="F3712">
        <v>30</v>
      </c>
      <c r="G3712" s="1" t="s">
        <v>46</v>
      </c>
      <c r="H3712">
        <v>30028</v>
      </c>
      <c r="I3712">
        <v>50</v>
      </c>
      <c r="J3712">
        <v>50</v>
      </c>
      <c r="K3712">
        <v>25</v>
      </c>
      <c r="L3712">
        <v>500</v>
      </c>
    </row>
    <row r="3713" spans="1:12" hidden="1" x14ac:dyDescent="0.25">
      <c r="A3713">
        <v>3712</v>
      </c>
      <c r="B3713" s="1" t="s">
        <v>12</v>
      </c>
      <c r="C3713">
        <v>1977</v>
      </c>
      <c r="D3713" s="1" t="s">
        <v>278</v>
      </c>
      <c r="E3713" s="1" t="s">
        <v>138</v>
      </c>
      <c r="F3713">
        <v>50</v>
      </c>
      <c r="G3713" s="1" t="s">
        <v>124</v>
      </c>
      <c r="H3713">
        <v>50042</v>
      </c>
      <c r="I3713">
        <v>20</v>
      </c>
      <c r="J3713">
        <v>20</v>
      </c>
      <c r="K3713">
        <v>12</v>
      </c>
      <c r="L3713">
        <v>600</v>
      </c>
    </row>
    <row r="3714" spans="1:12" hidden="1" x14ac:dyDescent="0.25">
      <c r="A3714">
        <v>3713</v>
      </c>
      <c r="B3714" s="1" t="s">
        <v>12</v>
      </c>
      <c r="C3714">
        <v>1977</v>
      </c>
      <c r="D3714" s="1" t="s">
        <v>278</v>
      </c>
      <c r="E3714" s="1" t="s">
        <v>138</v>
      </c>
      <c r="F3714">
        <v>50</v>
      </c>
      <c r="G3714" s="1" t="s">
        <v>33</v>
      </c>
      <c r="H3714">
        <v>50056</v>
      </c>
      <c r="I3714">
        <v>10</v>
      </c>
      <c r="J3714">
        <v>10</v>
      </c>
      <c r="K3714">
        <v>6</v>
      </c>
      <c r="L3714">
        <v>600</v>
      </c>
    </row>
    <row r="3715" spans="1:12" hidden="1" x14ac:dyDescent="0.25">
      <c r="A3715">
        <v>3714</v>
      </c>
      <c r="B3715" s="1" t="s">
        <v>12</v>
      </c>
      <c r="C3715">
        <v>1977</v>
      </c>
      <c r="D3715" s="1" t="s">
        <v>278</v>
      </c>
      <c r="E3715" s="1" t="s">
        <v>138</v>
      </c>
      <c r="F3715">
        <v>50</v>
      </c>
      <c r="G3715" s="1" t="s">
        <v>161</v>
      </c>
      <c r="H3715">
        <v>50084</v>
      </c>
      <c r="I3715">
        <v>40</v>
      </c>
      <c r="J3715">
        <v>40</v>
      </c>
      <c r="K3715">
        <v>24</v>
      </c>
      <c r="L3715">
        <v>600</v>
      </c>
    </row>
    <row r="3716" spans="1:12" hidden="1" x14ac:dyDescent="0.25">
      <c r="A3716">
        <v>3715</v>
      </c>
      <c r="B3716" s="1" t="s">
        <v>12</v>
      </c>
      <c r="C3716">
        <v>1977</v>
      </c>
      <c r="D3716" s="1" t="s">
        <v>278</v>
      </c>
      <c r="E3716" s="1" t="s">
        <v>138</v>
      </c>
      <c r="F3716">
        <v>50</v>
      </c>
      <c r="G3716" s="1" t="s">
        <v>37</v>
      </c>
      <c r="H3716">
        <v>50098</v>
      </c>
      <c r="I3716">
        <v>60</v>
      </c>
      <c r="J3716">
        <v>60</v>
      </c>
      <c r="K3716">
        <v>36</v>
      </c>
      <c r="L3716">
        <v>600</v>
      </c>
    </row>
    <row r="3717" spans="1:12" hidden="1" x14ac:dyDescent="0.25">
      <c r="A3717">
        <v>3716</v>
      </c>
      <c r="B3717" s="1" t="s">
        <v>12</v>
      </c>
      <c r="C3717">
        <v>1977</v>
      </c>
      <c r="D3717" s="1" t="s">
        <v>278</v>
      </c>
      <c r="E3717" s="1" t="s">
        <v>138</v>
      </c>
      <c r="F3717">
        <v>50</v>
      </c>
      <c r="G3717" s="1" t="s">
        <v>83</v>
      </c>
      <c r="H3717">
        <v>50112</v>
      </c>
      <c r="I3717">
        <v>150</v>
      </c>
      <c r="J3717">
        <v>150</v>
      </c>
      <c r="K3717">
        <v>92</v>
      </c>
      <c r="L3717">
        <v>613</v>
      </c>
    </row>
    <row r="3718" spans="1:12" hidden="1" x14ac:dyDescent="0.25">
      <c r="A3718">
        <v>3717</v>
      </c>
      <c r="B3718" s="1" t="s">
        <v>12</v>
      </c>
      <c r="C3718">
        <v>1977</v>
      </c>
      <c r="D3718" s="1" t="s">
        <v>278</v>
      </c>
      <c r="E3718" s="1" t="s">
        <v>58</v>
      </c>
      <c r="F3718">
        <v>54</v>
      </c>
      <c r="G3718" s="1" t="s">
        <v>234</v>
      </c>
      <c r="H3718">
        <v>54119</v>
      </c>
      <c r="I3718">
        <v>1</v>
      </c>
      <c r="J3718">
        <v>1</v>
      </c>
      <c r="K3718">
        <v>1</v>
      </c>
      <c r="L3718">
        <v>1000</v>
      </c>
    </row>
    <row r="3719" spans="1:12" hidden="1" x14ac:dyDescent="0.25">
      <c r="A3719">
        <v>3718</v>
      </c>
      <c r="B3719" s="1" t="s">
        <v>12</v>
      </c>
      <c r="C3719">
        <v>1977</v>
      </c>
      <c r="D3719" s="1" t="s">
        <v>278</v>
      </c>
      <c r="E3719" s="1" t="s">
        <v>58</v>
      </c>
      <c r="F3719">
        <v>54</v>
      </c>
      <c r="G3719" s="1" t="s">
        <v>59</v>
      </c>
      <c r="H3719">
        <v>54007</v>
      </c>
      <c r="I3719">
        <v>10</v>
      </c>
      <c r="J3719">
        <v>5</v>
      </c>
      <c r="K3719">
        <v>4</v>
      </c>
      <c r="L3719">
        <v>800</v>
      </c>
    </row>
    <row r="3720" spans="1:12" hidden="1" x14ac:dyDescent="0.25">
      <c r="A3720">
        <v>3719</v>
      </c>
      <c r="B3720" s="1" t="s">
        <v>12</v>
      </c>
      <c r="C3720">
        <v>1977</v>
      </c>
      <c r="D3720" s="1" t="s">
        <v>278</v>
      </c>
      <c r="E3720" s="1" t="s">
        <v>58</v>
      </c>
      <c r="F3720">
        <v>54</v>
      </c>
      <c r="G3720" s="1" t="s">
        <v>150</v>
      </c>
      <c r="H3720">
        <v>54014</v>
      </c>
      <c r="I3720">
        <v>5</v>
      </c>
      <c r="J3720">
        <v>3</v>
      </c>
      <c r="K3720">
        <v>2</v>
      </c>
      <c r="L3720">
        <v>667</v>
      </c>
    </row>
    <row r="3721" spans="1:12" hidden="1" x14ac:dyDescent="0.25">
      <c r="A3721">
        <v>3720</v>
      </c>
      <c r="B3721" s="1" t="s">
        <v>12</v>
      </c>
      <c r="C3721">
        <v>1977</v>
      </c>
      <c r="D3721" s="1" t="s">
        <v>278</v>
      </c>
      <c r="E3721" s="1" t="s">
        <v>58</v>
      </c>
      <c r="F3721">
        <v>54</v>
      </c>
      <c r="G3721" s="1" t="s">
        <v>60</v>
      </c>
      <c r="H3721">
        <v>54021</v>
      </c>
      <c r="I3721">
        <v>10</v>
      </c>
      <c r="J3721">
        <v>6</v>
      </c>
      <c r="K3721">
        <v>4</v>
      </c>
      <c r="L3721">
        <v>667</v>
      </c>
    </row>
    <row r="3722" spans="1:12" hidden="1" x14ac:dyDescent="0.25">
      <c r="A3722">
        <v>3721</v>
      </c>
      <c r="B3722" s="1" t="s">
        <v>12</v>
      </c>
      <c r="C3722">
        <v>1977</v>
      </c>
      <c r="D3722" s="1" t="s">
        <v>278</v>
      </c>
      <c r="E3722" s="1" t="s">
        <v>58</v>
      </c>
      <c r="F3722">
        <v>54</v>
      </c>
      <c r="G3722" s="1" t="s">
        <v>63</v>
      </c>
      <c r="H3722">
        <v>54035</v>
      </c>
      <c r="I3722">
        <v>5</v>
      </c>
      <c r="J3722">
        <v>3</v>
      </c>
      <c r="K3722">
        <v>2</v>
      </c>
      <c r="L3722">
        <v>667</v>
      </c>
    </row>
    <row r="3723" spans="1:12" hidden="1" x14ac:dyDescent="0.25">
      <c r="A3723">
        <v>3722</v>
      </c>
      <c r="B3723" s="1" t="s">
        <v>12</v>
      </c>
      <c r="C3723">
        <v>1977</v>
      </c>
      <c r="D3723" s="1" t="s">
        <v>278</v>
      </c>
      <c r="E3723" s="1" t="s">
        <v>58</v>
      </c>
      <c r="F3723">
        <v>54</v>
      </c>
      <c r="G3723" s="1" t="s">
        <v>266</v>
      </c>
      <c r="H3723">
        <v>54042</v>
      </c>
      <c r="I3723">
        <v>7</v>
      </c>
      <c r="J3723">
        <v>5</v>
      </c>
      <c r="K3723">
        <v>4</v>
      </c>
      <c r="L3723">
        <v>800</v>
      </c>
    </row>
    <row r="3724" spans="1:12" hidden="1" x14ac:dyDescent="0.25">
      <c r="A3724">
        <v>3723</v>
      </c>
      <c r="B3724" s="1" t="s">
        <v>12</v>
      </c>
      <c r="C3724">
        <v>1977</v>
      </c>
      <c r="D3724" s="1" t="s">
        <v>278</v>
      </c>
      <c r="E3724" s="1" t="s">
        <v>58</v>
      </c>
      <c r="F3724">
        <v>54</v>
      </c>
      <c r="G3724" s="1" t="s">
        <v>151</v>
      </c>
      <c r="H3724">
        <v>54056</v>
      </c>
      <c r="I3724">
        <v>2</v>
      </c>
      <c r="J3724">
        <v>2</v>
      </c>
      <c r="K3724">
        <v>2</v>
      </c>
      <c r="L3724">
        <v>1000</v>
      </c>
    </row>
    <row r="3725" spans="1:12" hidden="1" x14ac:dyDescent="0.25">
      <c r="A3725">
        <v>3724</v>
      </c>
      <c r="B3725" s="1" t="s">
        <v>12</v>
      </c>
      <c r="C3725">
        <v>1977</v>
      </c>
      <c r="D3725" s="1" t="s">
        <v>278</v>
      </c>
      <c r="E3725" s="1" t="s">
        <v>58</v>
      </c>
      <c r="F3725">
        <v>54</v>
      </c>
      <c r="G3725" s="1" t="s">
        <v>243</v>
      </c>
      <c r="H3725">
        <v>54070</v>
      </c>
      <c r="I3725">
        <v>7</v>
      </c>
      <c r="J3725">
        <v>5</v>
      </c>
      <c r="K3725">
        <v>4</v>
      </c>
      <c r="L3725">
        <v>800</v>
      </c>
    </row>
    <row r="3726" spans="1:12" hidden="1" x14ac:dyDescent="0.25">
      <c r="A3726">
        <v>3725</v>
      </c>
      <c r="B3726" s="1" t="s">
        <v>12</v>
      </c>
      <c r="C3726">
        <v>1977</v>
      </c>
      <c r="D3726" s="1" t="s">
        <v>278</v>
      </c>
      <c r="E3726" s="1" t="s">
        <v>58</v>
      </c>
      <c r="F3726">
        <v>54</v>
      </c>
      <c r="G3726" s="1" t="s">
        <v>119</v>
      </c>
      <c r="H3726">
        <v>54077</v>
      </c>
      <c r="I3726">
        <v>5</v>
      </c>
      <c r="J3726">
        <v>4</v>
      </c>
      <c r="K3726">
        <v>3</v>
      </c>
      <c r="L3726">
        <v>750</v>
      </c>
    </row>
    <row r="3727" spans="1:12" hidden="1" x14ac:dyDescent="0.25">
      <c r="A3727">
        <v>3726</v>
      </c>
      <c r="B3727" s="1" t="s">
        <v>12</v>
      </c>
      <c r="C3727">
        <v>1977</v>
      </c>
      <c r="D3727" s="1" t="s">
        <v>278</v>
      </c>
      <c r="E3727" s="1" t="s">
        <v>58</v>
      </c>
      <c r="F3727">
        <v>54</v>
      </c>
      <c r="G3727" s="1" t="s">
        <v>242</v>
      </c>
      <c r="H3727">
        <v>54091</v>
      </c>
      <c r="I3727">
        <v>6</v>
      </c>
      <c r="J3727">
        <v>4</v>
      </c>
      <c r="K3727">
        <v>3</v>
      </c>
      <c r="L3727">
        <v>750</v>
      </c>
    </row>
    <row r="3728" spans="1:12" hidden="1" x14ac:dyDescent="0.25">
      <c r="A3728">
        <v>3727</v>
      </c>
      <c r="B3728" s="1" t="s">
        <v>12</v>
      </c>
      <c r="C3728">
        <v>1977</v>
      </c>
      <c r="D3728" s="1" t="s">
        <v>278</v>
      </c>
      <c r="E3728" s="1" t="s">
        <v>58</v>
      </c>
      <c r="F3728">
        <v>54</v>
      </c>
      <c r="G3728" s="1" t="s">
        <v>62</v>
      </c>
      <c r="H3728">
        <v>54105</v>
      </c>
      <c r="I3728">
        <v>2</v>
      </c>
      <c r="J3728">
        <v>2</v>
      </c>
      <c r="K3728">
        <v>1</v>
      </c>
      <c r="L3728">
        <v>500</v>
      </c>
    </row>
    <row r="3729" spans="1:12" hidden="1" x14ac:dyDescent="0.25">
      <c r="A3729">
        <v>3728</v>
      </c>
      <c r="B3729" s="1" t="s">
        <v>12</v>
      </c>
      <c r="C3729">
        <v>1977</v>
      </c>
      <c r="D3729" s="1" t="s">
        <v>278</v>
      </c>
      <c r="E3729" s="1" t="s">
        <v>87</v>
      </c>
      <c r="F3729">
        <v>66</v>
      </c>
      <c r="G3729" s="1" t="s">
        <v>230</v>
      </c>
      <c r="H3729">
        <v>66056</v>
      </c>
      <c r="I3729">
        <v>170</v>
      </c>
      <c r="J3729">
        <v>170</v>
      </c>
      <c r="K3729">
        <v>170</v>
      </c>
      <c r="L3729">
        <v>1000</v>
      </c>
    </row>
    <row r="3730" spans="1:12" hidden="1" x14ac:dyDescent="0.25">
      <c r="A3730">
        <v>3729</v>
      </c>
      <c r="B3730" s="1" t="s">
        <v>12</v>
      </c>
      <c r="C3730">
        <v>1977</v>
      </c>
      <c r="D3730" s="1" t="s">
        <v>278</v>
      </c>
      <c r="E3730" s="1" t="s">
        <v>87</v>
      </c>
      <c r="F3730">
        <v>66</v>
      </c>
      <c r="G3730" s="1" t="s">
        <v>179</v>
      </c>
      <c r="H3730">
        <v>66126</v>
      </c>
      <c r="I3730">
        <v>30</v>
      </c>
      <c r="J3730">
        <v>30</v>
      </c>
      <c r="K3730">
        <v>30</v>
      </c>
      <c r="L3730">
        <v>1000</v>
      </c>
    </row>
    <row r="3731" spans="1:12" hidden="1" x14ac:dyDescent="0.25">
      <c r="A3731">
        <v>3730</v>
      </c>
      <c r="B3731" s="1" t="s">
        <v>12</v>
      </c>
      <c r="C3731">
        <v>1977</v>
      </c>
      <c r="D3731" s="1" t="s">
        <v>278</v>
      </c>
      <c r="E3731" s="1" t="s">
        <v>116</v>
      </c>
      <c r="F3731">
        <v>74</v>
      </c>
      <c r="G3731" s="1" t="s">
        <v>118</v>
      </c>
      <c r="H3731">
        <v>74028</v>
      </c>
      <c r="I3731">
        <v>640</v>
      </c>
      <c r="J3731">
        <v>640</v>
      </c>
      <c r="K3731">
        <v>700</v>
      </c>
      <c r="L3731">
        <v>1094</v>
      </c>
    </row>
    <row r="3732" spans="1:12" hidden="1" x14ac:dyDescent="0.25">
      <c r="A3732">
        <v>3731</v>
      </c>
      <c r="B3732" s="1" t="s">
        <v>12</v>
      </c>
      <c r="C3732">
        <v>1977</v>
      </c>
      <c r="D3732" s="1" t="s">
        <v>278</v>
      </c>
      <c r="E3732" s="1" t="s">
        <v>64</v>
      </c>
      <c r="F3732">
        <v>82</v>
      </c>
      <c r="G3732" s="1" t="s">
        <v>155</v>
      </c>
      <c r="H3732">
        <v>82021</v>
      </c>
      <c r="I3732">
        <v>20</v>
      </c>
      <c r="J3732">
        <v>20</v>
      </c>
      <c r="K3732">
        <v>20</v>
      </c>
      <c r="L3732">
        <v>1000</v>
      </c>
    </row>
    <row r="3733" spans="1:12" hidden="1" x14ac:dyDescent="0.25">
      <c r="A3733">
        <v>3732</v>
      </c>
      <c r="B3733" s="1" t="s">
        <v>12</v>
      </c>
      <c r="C3733">
        <v>1977</v>
      </c>
      <c r="D3733" s="1" t="s">
        <v>278</v>
      </c>
      <c r="E3733" s="1" t="s">
        <v>64</v>
      </c>
      <c r="F3733">
        <v>82</v>
      </c>
      <c r="G3733" s="1" t="s">
        <v>66</v>
      </c>
      <c r="H3733">
        <v>82035</v>
      </c>
      <c r="I3733">
        <v>43</v>
      </c>
      <c r="J3733">
        <v>33</v>
      </c>
      <c r="K3733">
        <v>40</v>
      </c>
      <c r="L3733">
        <v>1212</v>
      </c>
    </row>
    <row r="3734" spans="1:12" hidden="1" x14ac:dyDescent="0.25">
      <c r="A3734">
        <v>3733</v>
      </c>
      <c r="B3734" s="1" t="s">
        <v>12</v>
      </c>
      <c r="C3734">
        <v>1977</v>
      </c>
      <c r="D3734" s="1" t="s">
        <v>278</v>
      </c>
      <c r="E3734" s="1" t="s">
        <v>64</v>
      </c>
      <c r="F3734">
        <v>82</v>
      </c>
      <c r="G3734" s="1" t="s">
        <v>272</v>
      </c>
      <c r="H3734">
        <v>82042</v>
      </c>
      <c r="I3734">
        <v>110</v>
      </c>
      <c r="J3734">
        <v>90</v>
      </c>
      <c r="K3734">
        <v>80</v>
      </c>
      <c r="L3734">
        <v>889</v>
      </c>
    </row>
    <row r="3735" spans="1:12" hidden="1" x14ac:dyDescent="0.25">
      <c r="A3735">
        <v>3734</v>
      </c>
      <c r="B3735" s="1" t="s">
        <v>12</v>
      </c>
      <c r="C3735">
        <v>1977</v>
      </c>
      <c r="D3735" s="1" t="s">
        <v>278</v>
      </c>
      <c r="E3735" s="1" t="s">
        <v>64</v>
      </c>
      <c r="F3735">
        <v>82</v>
      </c>
      <c r="G3735" s="1" t="s">
        <v>65</v>
      </c>
      <c r="H3735">
        <v>82049</v>
      </c>
      <c r="I3735">
        <v>100</v>
      </c>
      <c r="J3735">
        <v>100</v>
      </c>
      <c r="K3735">
        <v>120</v>
      </c>
      <c r="L3735">
        <v>1200</v>
      </c>
    </row>
    <row r="3736" spans="1:12" hidden="1" x14ac:dyDescent="0.25">
      <c r="A3736">
        <v>3735</v>
      </c>
      <c r="B3736" s="1" t="s">
        <v>12</v>
      </c>
      <c r="C3736">
        <v>1977</v>
      </c>
      <c r="D3736" s="1" t="s">
        <v>278</v>
      </c>
      <c r="E3736" s="1" t="s">
        <v>64</v>
      </c>
      <c r="F3736">
        <v>82</v>
      </c>
      <c r="G3736" s="1" t="s">
        <v>277</v>
      </c>
      <c r="H3736">
        <v>82056</v>
      </c>
      <c r="I3736">
        <v>15</v>
      </c>
      <c r="J3736">
        <v>10</v>
      </c>
      <c r="K3736">
        <v>10</v>
      </c>
      <c r="L3736">
        <v>1000</v>
      </c>
    </row>
    <row r="3737" spans="1:12" hidden="1" x14ac:dyDescent="0.25">
      <c r="A3737">
        <v>3736</v>
      </c>
      <c r="B3737" s="1" t="s">
        <v>12</v>
      </c>
      <c r="C3737">
        <v>1977</v>
      </c>
      <c r="D3737" s="1" t="s">
        <v>278</v>
      </c>
      <c r="E3737" s="1" t="s">
        <v>64</v>
      </c>
      <c r="F3737">
        <v>82</v>
      </c>
      <c r="G3737" s="1" t="s">
        <v>37</v>
      </c>
      <c r="H3737">
        <v>82126</v>
      </c>
      <c r="I3737">
        <v>12</v>
      </c>
      <c r="J3737">
        <v>7</v>
      </c>
      <c r="K3737">
        <v>10</v>
      </c>
      <c r="L3737">
        <v>1429</v>
      </c>
    </row>
    <row r="3738" spans="1:12" hidden="1" x14ac:dyDescent="0.25">
      <c r="A3738">
        <v>3737</v>
      </c>
      <c r="B3738" s="1" t="s">
        <v>12</v>
      </c>
      <c r="C3738">
        <v>1978</v>
      </c>
      <c r="D3738" s="1" t="s">
        <v>279</v>
      </c>
      <c r="E3738" s="1" t="s">
        <v>14</v>
      </c>
      <c r="F3738">
        <v>22</v>
      </c>
      <c r="G3738" s="1" t="s">
        <v>238</v>
      </c>
      <c r="H3738">
        <v>22036</v>
      </c>
      <c r="I3738">
        <v>335</v>
      </c>
      <c r="J3738">
        <v>335</v>
      </c>
      <c r="K3738">
        <v>172</v>
      </c>
      <c r="L3738">
        <v>513</v>
      </c>
    </row>
    <row r="3739" spans="1:12" hidden="1" x14ac:dyDescent="0.25">
      <c r="A3739">
        <v>3738</v>
      </c>
      <c r="B3739" s="1" t="s">
        <v>12</v>
      </c>
      <c r="C3739">
        <v>1978</v>
      </c>
      <c r="D3739" s="1" t="s">
        <v>279</v>
      </c>
      <c r="E3739" s="1" t="s">
        <v>14</v>
      </c>
      <c r="F3739">
        <v>22</v>
      </c>
      <c r="G3739" s="1" t="s">
        <v>234</v>
      </c>
      <c r="H3739">
        <v>22168</v>
      </c>
      <c r="I3739">
        <v>15</v>
      </c>
      <c r="J3739">
        <v>15</v>
      </c>
      <c r="K3739">
        <v>7</v>
      </c>
      <c r="L3739">
        <v>467</v>
      </c>
    </row>
    <row r="3740" spans="1:12" hidden="1" x14ac:dyDescent="0.25">
      <c r="A3740">
        <v>3739</v>
      </c>
      <c r="B3740" s="1" t="s">
        <v>12</v>
      </c>
      <c r="C3740">
        <v>1978</v>
      </c>
      <c r="D3740" s="1" t="s">
        <v>279</v>
      </c>
      <c r="E3740" s="1" t="s">
        <v>14</v>
      </c>
      <c r="F3740">
        <v>22</v>
      </c>
      <c r="G3740" s="1" t="s">
        <v>240</v>
      </c>
      <c r="H3740">
        <v>22021</v>
      </c>
      <c r="I3740">
        <v>30</v>
      </c>
      <c r="J3740">
        <v>30</v>
      </c>
      <c r="K3740">
        <v>15</v>
      </c>
      <c r="L3740">
        <v>500</v>
      </c>
    </row>
    <row r="3741" spans="1:12" hidden="1" x14ac:dyDescent="0.25">
      <c r="A3741">
        <v>3740</v>
      </c>
      <c r="B3741" s="1" t="s">
        <v>12</v>
      </c>
      <c r="C3741">
        <v>1978</v>
      </c>
      <c r="D3741" s="1" t="s">
        <v>279</v>
      </c>
      <c r="E3741" s="1" t="s">
        <v>14</v>
      </c>
      <c r="F3741">
        <v>22</v>
      </c>
      <c r="G3741" s="1" t="s">
        <v>239</v>
      </c>
      <c r="H3741">
        <v>22043</v>
      </c>
      <c r="I3741">
        <v>50</v>
      </c>
      <c r="J3741">
        <v>50</v>
      </c>
      <c r="K3741">
        <v>27</v>
      </c>
      <c r="L3741">
        <v>540</v>
      </c>
    </row>
    <row r="3742" spans="1:12" hidden="1" x14ac:dyDescent="0.25">
      <c r="A3742">
        <v>3741</v>
      </c>
      <c r="B3742" s="1" t="s">
        <v>12</v>
      </c>
      <c r="C3742">
        <v>1978</v>
      </c>
      <c r="D3742" s="1" t="s">
        <v>279</v>
      </c>
      <c r="E3742" s="1" t="s">
        <v>14</v>
      </c>
      <c r="F3742">
        <v>22</v>
      </c>
      <c r="G3742" s="1" t="s">
        <v>183</v>
      </c>
      <c r="H3742">
        <v>22049</v>
      </c>
      <c r="I3742">
        <v>30</v>
      </c>
      <c r="J3742">
        <v>30</v>
      </c>
      <c r="K3742">
        <v>15</v>
      </c>
      <c r="L3742">
        <v>500</v>
      </c>
    </row>
    <row r="3743" spans="1:12" hidden="1" x14ac:dyDescent="0.25">
      <c r="A3743">
        <v>3742</v>
      </c>
      <c r="B3743" s="1" t="s">
        <v>12</v>
      </c>
      <c r="C3743">
        <v>1978</v>
      </c>
      <c r="D3743" s="1" t="s">
        <v>279</v>
      </c>
      <c r="E3743" s="1" t="s">
        <v>14</v>
      </c>
      <c r="F3743">
        <v>22</v>
      </c>
      <c r="G3743" s="1" t="s">
        <v>255</v>
      </c>
      <c r="H3743">
        <v>22070</v>
      </c>
      <c r="I3743">
        <v>20</v>
      </c>
      <c r="J3743">
        <v>20</v>
      </c>
      <c r="K3743">
        <v>10</v>
      </c>
      <c r="L3743">
        <v>500</v>
      </c>
    </row>
    <row r="3744" spans="1:12" hidden="1" x14ac:dyDescent="0.25">
      <c r="A3744">
        <v>3743</v>
      </c>
      <c r="B3744" s="1" t="s">
        <v>12</v>
      </c>
      <c r="C3744">
        <v>1978</v>
      </c>
      <c r="D3744" s="1" t="s">
        <v>279</v>
      </c>
      <c r="E3744" s="1" t="s">
        <v>14</v>
      </c>
      <c r="F3744">
        <v>22</v>
      </c>
      <c r="G3744" s="1" t="s">
        <v>119</v>
      </c>
      <c r="H3744">
        <v>22084</v>
      </c>
      <c r="I3744">
        <v>300</v>
      </c>
      <c r="J3744">
        <v>300</v>
      </c>
      <c r="K3744">
        <v>144</v>
      </c>
      <c r="L3744">
        <v>480</v>
      </c>
    </row>
    <row r="3745" spans="1:12" hidden="1" x14ac:dyDescent="0.25">
      <c r="A3745">
        <v>3744</v>
      </c>
      <c r="B3745" s="1" t="s">
        <v>12</v>
      </c>
      <c r="C3745">
        <v>1978</v>
      </c>
      <c r="D3745" s="1" t="s">
        <v>279</v>
      </c>
      <c r="E3745" s="1" t="s">
        <v>14</v>
      </c>
      <c r="F3745">
        <v>22</v>
      </c>
      <c r="G3745" s="1" t="s">
        <v>233</v>
      </c>
      <c r="H3745">
        <v>22133</v>
      </c>
      <c r="I3745">
        <v>20</v>
      </c>
      <c r="J3745">
        <v>20</v>
      </c>
      <c r="K3745">
        <v>10</v>
      </c>
      <c r="L3745">
        <v>500</v>
      </c>
    </row>
    <row r="3746" spans="1:12" hidden="1" x14ac:dyDescent="0.25">
      <c r="A3746">
        <v>3745</v>
      </c>
      <c r="B3746" s="1" t="s">
        <v>12</v>
      </c>
      <c r="C3746">
        <v>1978</v>
      </c>
      <c r="D3746" s="1" t="s">
        <v>279</v>
      </c>
      <c r="E3746" s="1" t="s">
        <v>22</v>
      </c>
      <c r="F3746">
        <v>14</v>
      </c>
      <c r="G3746" s="1" t="s">
        <v>97</v>
      </c>
      <c r="H3746">
        <v>14007</v>
      </c>
      <c r="I3746">
        <v>10000</v>
      </c>
      <c r="J3746">
        <v>10000</v>
      </c>
      <c r="K3746">
        <v>12000</v>
      </c>
      <c r="L3746">
        <v>1200</v>
      </c>
    </row>
    <row r="3747" spans="1:12" hidden="1" x14ac:dyDescent="0.25">
      <c r="A3747">
        <v>3746</v>
      </c>
      <c r="B3747" s="1" t="s">
        <v>12</v>
      </c>
      <c r="C3747">
        <v>1978</v>
      </c>
      <c r="D3747" s="1" t="s">
        <v>279</v>
      </c>
      <c r="E3747" s="1" t="s">
        <v>22</v>
      </c>
      <c r="F3747">
        <v>14</v>
      </c>
      <c r="G3747" s="1" t="s">
        <v>173</v>
      </c>
      <c r="H3747">
        <v>14028</v>
      </c>
      <c r="I3747">
        <v>500</v>
      </c>
      <c r="J3747">
        <v>500</v>
      </c>
      <c r="K3747">
        <v>600</v>
      </c>
      <c r="L3747">
        <v>1200</v>
      </c>
    </row>
    <row r="3748" spans="1:12" hidden="1" x14ac:dyDescent="0.25">
      <c r="A3748">
        <v>3747</v>
      </c>
      <c r="B3748" s="1" t="s">
        <v>12</v>
      </c>
      <c r="C3748">
        <v>1978</v>
      </c>
      <c r="D3748" s="1" t="s">
        <v>279</v>
      </c>
      <c r="E3748" s="1" t="s">
        <v>22</v>
      </c>
      <c r="F3748">
        <v>14</v>
      </c>
      <c r="G3748" s="1" t="s">
        <v>184</v>
      </c>
      <c r="H3748">
        <v>14042</v>
      </c>
      <c r="I3748">
        <v>32000</v>
      </c>
      <c r="J3748">
        <v>32000</v>
      </c>
      <c r="K3748">
        <v>38000</v>
      </c>
      <c r="L3748">
        <v>1188</v>
      </c>
    </row>
    <row r="3749" spans="1:12" hidden="1" x14ac:dyDescent="0.25">
      <c r="A3749">
        <v>3748</v>
      </c>
      <c r="B3749" s="1" t="s">
        <v>12</v>
      </c>
      <c r="C3749">
        <v>1978</v>
      </c>
      <c r="D3749" s="1" t="s">
        <v>279</v>
      </c>
      <c r="E3749" s="1" t="s">
        <v>22</v>
      </c>
      <c r="F3749">
        <v>14</v>
      </c>
      <c r="G3749" s="1" t="s">
        <v>143</v>
      </c>
      <c r="H3749">
        <v>14056</v>
      </c>
      <c r="I3749">
        <v>83000</v>
      </c>
      <c r="J3749">
        <v>81000</v>
      </c>
      <c r="K3749">
        <v>98000</v>
      </c>
      <c r="L3749">
        <v>1210</v>
      </c>
    </row>
    <row r="3750" spans="1:12" hidden="1" x14ac:dyDescent="0.25">
      <c r="A3750">
        <v>3749</v>
      </c>
      <c r="B3750" s="1" t="s">
        <v>12</v>
      </c>
      <c r="C3750">
        <v>1978</v>
      </c>
      <c r="D3750" s="1" t="s">
        <v>279</v>
      </c>
      <c r="E3750" s="1" t="s">
        <v>22</v>
      </c>
      <c r="F3750">
        <v>14</v>
      </c>
      <c r="G3750" s="1" t="s">
        <v>29</v>
      </c>
      <c r="H3750">
        <v>14098</v>
      </c>
      <c r="I3750">
        <v>28000</v>
      </c>
      <c r="J3750">
        <v>28000</v>
      </c>
      <c r="K3750">
        <v>34000</v>
      </c>
      <c r="L3750">
        <v>1214</v>
      </c>
    </row>
    <row r="3751" spans="1:12" hidden="1" x14ac:dyDescent="0.25">
      <c r="A3751">
        <v>3750</v>
      </c>
      <c r="B3751" s="1" t="s">
        <v>12</v>
      </c>
      <c r="C3751">
        <v>1978</v>
      </c>
      <c r="D3751" s="1" t="s">
        <v>279</v>
      </c>
      <c r="E3751" s="1" t="s">
        <v>22</v>
      </c>
      <c r="F3751">
        <v>14</v>
      </c>
      <c r="G3751" s="1" t="s">
        <v>25</v>
      </c>
      <c r="H3751">
        <v>14105</v>
      </c>
      <c r="I3751">
        <v>2000</v>
      </c>
      <c r="J3751">
        <v>2000</v>
      </c>
      <c r="K3751">
        <v>2400</v>
      </c>
      <c r="L3751">
        <v>1200</v>
      </c>
    </row>
    <row r="3752" spans="1:12" hidden="1" x14ac:dyDescent="0.25">
      <c r="A3752">
        <v>3751</v>
      </c>
      <c r="B3752" s="1" t="s">
        <v>12</v>
      </c>
      <c r="C3752">
        <v>1978</v>
      </c>
      <c r="D3752" s="1" t="s">
        <v>279</v>
      </c>
      <c r="E3752" s="1" t="s">
        <v>22</v>
      </c>
      <c r="F3752">
        <v>14</v>
      </c>
      <c r="G3752" s="1" t="s">
        <v>24</v>
      </c>
      <c r="H3752">
        <v>14119</v>
      </c>
      <c r="I3752">
        <v>84000</v>
      </c>
      <c r="J3752">
        <v>82000</v>
      </c>
      <c r="K3752">
        <v>95900</v>
      </c>
      <c r="L3752">
        <v>1170</v>
      </c>
    </row>
    <row r="3753" spans="1:12" hidden="1" x14ac:dyDescent="0.25">
      <c r="A3753">
        <v>3752</v>
      </c>
      <c r="B3753" s="1" t="s">
        <v>12</v>
      </c>
      <c r="C3753">
        <v>1978</v>
      </c>
      <c r="D3753" s="1" t="s">
        <v>279</v>
      </c>
      <c r="E3753" s="1" t="s">
        <v>22</v>
      </c>
      <c r="F3753">
        <v>14</v>
      </c>
      <c r="G3753" s="1" t="s">
        <v>67</v>
      </c>
      <c r="H3753">
        <v>14140</v>
      </c>
      <c r="I3753">
        <v>500</v>
      </c>
      <c r="J3753">
        <v>500</v>
      </c>
      <c r="K3753">
        <v>600</v>
      </c>
      <c r="L3753">
        <v>1200</v>
      </c>
    </row>
    <row r="3754" spans="1:12" hidden="1" x14ac:dyDescent="0.25">
      <c r="A3754">
        <v>3753</v>
      </c>
      <c r="B3754" s="1" t="s">
        <v>12</v>
      </c>
      <c r="C3754">
        <v>1978</v>
      </c>
      <c r="D3754" s="1" t="s">
        <v>279</v>
      </c>
      <c r="E3754" s="1" t="s">
        <v>22</v>
      </c>
      <c r="F3754">
        <v>14</v>
      </c>
      <c r="G3754" s="1" t="s">
        <v>23</v>
      </c>
      <c r="H3754">
        <v>14147</v>
      </c>
      <c r="I3754">
        <v>16000</v>
      </c>
      <c r="J3754">
        <v>16000</v>
      </c>
      <c r="K3754">
        <v>19000</v>
      </c>
      <c r="L3754">
        <v>1188</v>
      </c>
    </row>
    <row r="3755" spans="1:12" hidden="1" x14ac:dyDescent="0.25">
      <c r="A3755">
        <v>3754</v>
      </c>
      <c r="B3755" s="1" t="s">
        <v>12</v>
      </c>
      <c r="C3755">
        <v>1978</v>
      </c>
      <c r="D3755" s="1" t="s">
        <v>279</v>
      </c>
      <c r="E3755" s="1" t="s">
        <v>22</v>
      </c>
      <c r="F3755">
        <v>14</v>
      </c>
      <c r="G3755" s="1" t="s">
        <v>26</v>
      </c>
      <c r="H3755">
        <v>14161</v>
      </c>
      <c r="I3755">
        <v>126000</v>
      </c>
      <c r="J3755">
        <v>123000</v>
      </c>
      <c r="K3755">
        <v>150000</v>
      </c>
      <c r="L3755">
        <v>1220</v>
      </c>
    </row>
    <row r="3756" spans="1:12" hidden="1" x14ac:dyDescent="0.25">
      <c r="A3756">
        <v>3755</v>
      </c>
      <c r="B3756" s="1" t="s">
        <v>12</v>
      </c>
      <c r="C3756">
        <v>1978</v>
      </c>
      <c r="D3756" s="1" t="s">
        <v>279</v>
      </c>
      <c r="E3756" s="1" t="s">
        <v>22</v>
      </c>
      <c r="F3756">
        <v>14</v>
      </c>
      <c r="G3756" s="1" t="s">
        <v>122</v>
      </c>
      <c r="H3756">
        <v>14182</v>
      </c>
      <c r="I3756">
        <v>8000</v>
      </c>
      <c r="J3756">
        <v>8000</v>
      </c>
      <c r="K3756">
        <v>10000</v>
      </c>
      <c r="L3756">
        <v>1250</v>
      </c>
    </row>
    <row r="3757" spans="1:12" hidden="1" x14ac:dyDescent="0.25">
      <c r="A3757">
        <v>3756</v>
      </c>
      <c r="B3757" s="1" t="s">
        <v>12</v>
      </c>
      <c r="C3757">
        <v>1978</v>
      </c>
      <c r="D3757" s="1" t="s">
        <v>279</v>
      </c>
      <c r="E3757" s="1" t="s">
        <v>30</v>
      </c>
      <c r="F3757">
        <v>18</v>
      </c>
      <c r="G3757" s="1" t="s">
        <v>38</v>
      </c>
      <c r="H3757">
        <v>18007</v>
      </c>
      <c r="I3757">
        <v>7</v>
      </c>
      <c r="J3757">
        <v>7</v>
      </c>
      <c r="K3757">
        <v>7</v>
      </c>
      <c r="L3757">
        <v>1000</v>
      </c>
    </row>
    <row r="3758" spans="1:12" hidden="1" x14ac:dyDescent="0.25">
      <c r="A3758">
        <v>3757</v>
      </c>
      <c r="B3758" s="1" t="s">
        <v>12</v>
      </c>
      <c r="C3758">
        <v>1978</v>
      </c>
      <c r="D3758" s="1" t="s">
        <v>279</v>
      </c>
      <c r="E3758" s="1" t="s">
        <v>30</v>
      </c>
      <c r="F3758">
        <v>18</v>
      </c>
      <c r="G3758" s="1" t="s">
        <v>28</v>
      </c>
      <c r="H3758">
        <v>18021</v>
      </c>
      <c r="I3758">
        <v>8</v>
      </c>
      <c r="J3758">
        <v>7</v>
      </c>
      <c r="K3758">
        <v>4</v>
      </c>
      <c r="L3758">
        <v>571</v>
      </c>
    </row>
    <row r="3759" spans="1:12" hidden="1" x14ac:dyDescent="0.25">
      <c r="A3759">
        <v>3758</v>
      </c>
      <c r="B3759" s="1" t="s">
        <v>12</v>
      </c>
      <c r="C3759">
        <v>1978</v>
      </c>
      <c r="D3759" s="1" t="s">
        <v>279</v>
      </c>
      <c r="E3759" s="1" t="s">
        <v>30</v>
      </c>
      <c r="F3759">
        <v>18</v>
      </c>
      <c r="G3759" s="1" t="s">
        <v>42</v>
      </c>
      <c r="H3759">
        <v>18035</v>
      </c>
      <c r="I3759">
        <v>6</v>
      </c>
      <c r="J3759">
        <v>6</v>
      </c>
      <c r="K3759">
        <v>4</v>
      </c>
      <c r="L3759">
        <v>667</v>
      </c>
    </row>
    <row r="3760" spans="1:12" hidden="1" x14ac:dyDescent="0.25">
      <c r="A3760">
        <v>3759</v>
      </c>
      <c r="B3760" s="1" t="s">
        <v>12</v>
      </c>
      <c r="C3760">
        <v>1978</v>
      </c>
      <c r="D3760" s="1" t="s">
        <v>279</v>
      </c>
      <c r="E3760" s="1" t="s">
        <v>30</v>
      </c>
      <c r="F3760">
        <v>18</v>
      </c>
      <c r="G3760" s="1" t="s">
        <v>34</v>
      </c>
      <c r="H3760">
        <v>18042</v>
      </c>
      <c r="I3760">
        <v>14</v>
      </c>
      <c r="J3760">
        <v>12</v>
      </c>
      <c r="K3760">
        <v>9</v>
      </c>
      <c r="L3760">
        <v>750</v>
      </c>
    </row>
    <row r="3761" spans="1:12" hidden="1" x14ac:dyDescent="0.25">
      <c r="A3761">
        <v>3760</v>
      </c>
      <c r="B3761" s="1" t="s">
        <v>12</v>
      </c>
      <c r="C3761">
        <v>1978</v>
      </c>
      <c r="D3761" s="1" t="s">
        <v>279</v>
      </c>
      <c r="E3761" s="1" t="s">
        <v>30</v>
      </c>
      <c r="F3761">
        <v>18</v>
      </c>
      <c r="G3761" s="1" t="s">
        <v>35</v>
      </c>
      <c r="H3761">
        <v>18049</v>
      </c>
      <c r="I3761">
        <v>7</v>
      </c>
      <c r="J3761">
        <v>5</v>
      </c>
      <c r="K3761">
        <v>3</v>
      </c>
      <c r="L3761">
        <v>600</v>
      </c>
    </row>
    <row r="3762" spans="1:12" hidden="1" x14ac:dyDescent="0.25">
      <c r="A3762">
        <v>3761</v>
      </c>
      <c r="B3762" s="1" t="s">
        <v>12</v>
      </c>
      <c r="C3762">
        <v>1978</v>
      </c>
      <c r="D3762" s="1" t="s">
        <v>279</v>
      </c>
      <c r="E3762" s="1" t="s">
        <v>30</v>
      </c>
      <c r="F3762">
        <v>18</v>
      </c>
      <c r="G3762" s="1" t="s">
        <v>99</v>
      </c>
      <c r="H3762">
        <v>18063</v>
      </c>
      <c r="I3762">
        <v>80</v>
      </c>
      <c r="J3762">
        <v>55</v>
      </c>
      <c r="K3762">
        <v>36</v>
      </c>
      <c r="L3762">
        <v>655</v>
      </c>
    </row>
    <row r="3763" spans="1:12" hidden="1" x14ac:dyDescent="0.25">
      <c r="A3763">
        <v>3762</v>
      </c>
      <c r="B3763" s="1" t="s">
        <v>12</v>
      </c>
      <c r="C3763">
        <v>1978</v>
      </c>
      <c r="D3763" s="1" t="s">
        <v>279</v>
      </c>
      <c r="E3763" s="1" t="s">
        <v>30</v>
      </c>
      <c r="F3763">
        <v>18</v>
      </c>
      <c r="G3763" s="1" t="s">
        <v>43</v>
      </c>
      <c r="H3763">
        <v>18070</v>
      </c>
      <c r="I3763">
        <v>30</v>
      </c>
      <c r="J3763">
        <v>25</v>
      </c>
      <c r="K3763">
        <v>18</v>
      </c>
      <c r="L3763">
        <v>720</v>
      </c>
    </row>
    <row r="3764" spans="1:12" hidden="1" x14ac:dyDescent="0.25">
      <c r="A3764">
        <v>3763</v>
      </c>
      <c r="B3764" s="1" t="s">
        <v>12</v>
      </c>
      <c r="C3764">
        <v>1978</v>
      </c>
      <c r="D3764" s="1" t="s">
        <v>279</v>
      </c>
      <c r="E3764" s="1" t="s">
        <v>30</v>
      </c>
      <c r="F3764">
        <v>18</v>
      </c>
      <c r="G3764" s="1" t="s">
        <v>39</v>
      </c>
      <c r="H3764">
        <v>18084</v>
      </c>
      <c r="I3764">
        <v>40</v>
      </c>
      <c r="J3764">
        <v>32</v>
      </c>
      <c r="K3764">
        <v>20</v>
      </c>
      <c r="L3764">
        <v>625</v>
      </c>
    </row>
    <row r="3765" spans="1:12" hidden="1" x14ac:dyDescent="0.25">
      <c r="A3765">
        <v>3764</v>
      </c>
      <c r="B3765" s="1" t="s">
        <v>12</v>
      </c>
      <c r="C3765">
        <v>1978</v>
      </c>
      <c r="D3765" s="1" t="s">
        <v>279</v>
      </c>
      <c r="E3765" s="1" t="s">
        <v>30</v>
      </c>
      <c r="F3765">
        <v>18</v>
      </c>
      <c r="G3765" s="1" t="s">
        <v>33</v>
      </c>
      <c r="H3765">
        <v>18091</v>
      </c>
      <c r="I3765">
        <v>50</v>
      </c>
      <c r="J3765">
        <v>44</v>
      </c>
      <c r="K3765">
        <v>28</v>
      </c>
      <c r="L3765">
        <v>636</v>
      </c>
    </row>
    <row r="3766" spans="1:12" hidden="1" x14ac:dyDescent="0.25">
      <c r="A3766">
        <v>3765</v>
      </c>
      <c r="B3766" s="1" t="s">
        <v>12</v>
      </c>
      <c r="C3766">
        <v>1978</v>
      </c>
      <c r="D3766" s="1" t="s">
        <v>279</v>
      </c>
      <c r="E3766" s="1" t="s">
        <v>30</v>
      </c>
      <c r="F3766">
        <v>18</v>
      </c>
      <c r="G3766" s="1" t="s">
        <v>98</v>
      </c>
      <c r="H3766">
        <v>18098</v>
      </c>
      <c r="I3766">
        <v>7</v>
      </c>
      <c r="J3766">
        <v>6</v>
      </c>
      <c r="K3766">
        <v>3</v>
      </c>
      <c r="L3766">
        <v>500</v>
      </c>
    </row>
    <row r="3767" spans="1:12" hidden="1" x14ac:dyDescent="0.25">
      <c r="A3767">
        <v>3766</v>
      </c>
      <c r="B3767" s="1" t="s">
        <v>12</v>
      </c>
      <c r="C3767">
        <v>1978</v>
      </c>
      <c r="D3767" s="1" t="s">
        <v>279</v>
      </c>
      <c r="E3767" s="1" t="s">
        <v>30</v>
      </c>
      <c r="F3767">
        <v>18</v>
      </c>
      <c r="G3767" s="1" t="s">
        <v>105</v>
      </c>
      <c r="H3767">
        <v>18105</v>
      </c>
      <c r="I3767">
        <v>5</v>
      </c>
      <c r="J3767">
        <v>5</v>
      </c>
      <c r="K3767">
        <v>3</v>
      </c>
      <c r="L3767">
        <v>600</v>
      </c>
    </row>
    <row r="3768" spans="1:12" hidden="1" x14ac:dyDescent="0.25">
      <c r="A3768">
        <v>3767</v>
      </c>
      <c r="B3768" s="1" t="s">
        <v>12</v>
      </c>
      <c r="C3768">
        <v>1978</v>
      </c>
      <c r="D3768" s="1" t="s">
        <v>279</v>
      </c>
      <c r="E3768" s="1" t="s">
        <v>30</v>
      </c>
      <c r="F3768">
        <v>18</v>
      </c>
      <c r="G3768" s="1" t="s">
        <v>32</v>
      </c>
      <c r="H3768">
        <v>18112</v>
      </c>
      <c r="I3768">
        <v>120</v>
      </c>
      <c r="J3768">
        <v>115</v>
      </c>
      <c r="K3768">
        <v>124</v>
      </c>
      <c r="L3768">
        <v>1078</v>
      </c>
    </row>
    <row r="3769" spans="1:12" hidden="1" x14ac:dyDescent="0.25">
      <c r="A3769">
        <v>3768</v>
      </c>
      <c r="B3769" s="1" t="s">
        <v>12</v>
      </c>
      <c r="C3769">
        <v>1978</v>
      </c>
      <c r="D3769" s="1" t="s">
        <v>279</v>
      </c>
      <c r="E3769" s="1" t="s">
        <v>30</v>
      </c>
      <c r="F3769">
        <v>18</v>
      </c>
      <c r="G3769" s="1" t="s">
        <v>104</v>
      </c>
      <c r="H3769">
        <v>18119</v>
      </c>
      <c r="I3769">
        <v>12</v>
      </c>
      <c r="J3769">
        <v>10</v>
      </c>
      <c r="K3769">
        <v>9</v>
      </c>
      <c r="L3769">
        <v>900</v>
      </c>
    </row>
    <row r="3770" spans="1:12" hidden="1" x14ac:dyDescent="0.25">
      <c r="A3770">
        <v>3769</v>
      </c>
      <c r="B3770" s="1" t="s">
        <v>12</v>
      </c>
      <c r="C3770">
        <v>1978</v>
      </c>
      <c r="D3770" s="1" t="s">
        <v>279</v>
      </c>
      <c r="E3770" s="1" t="s">
        <v>30</v>
      </c>
      <c r="F3770">
        <v>18</v>
      </c>
      <c r="G3770" s="1" t="s">
        <v>40</v>
      </c>
      <c r="H3770">
        <v>18126</v>
      </c>
      <c r="I3770">
        <v>6</v>
      </c>
      <c r="J3770">
        <v>6</v>
      </c>
      <c r="K3770">
        <v>5</v>
      </c>
      <c r="L3770">
        <v>833</v>
      </c>
    </row>
    <row r="3771" spans="1:12" hidden="1" x14ac:dyDescent="0.25">
      <c r="A3771">
        <v>3770</v>
      </c>
      <c r="B3771" s="1" t="s">
        <v>12</v>
      </c>
      <c r="C3771">
        <v>1978</v>
      </c>
      <c r="D3771" s="1" t="s">
        <v>279</v>
      </c>
      <c r="E3771" s="1" t="s">
        <v>30</v>
      </c>
      <c r="F3771">
        <v>18</v>
      </c>
      <c r="G3771" s="1" t="s">
        <v>41</v>
      </c>
      <c r="H3771">
        <v>18140</v>
      </c>
      <c r="I3771">
        <v>50</v>
      </c>
      <c r="J3771">
        <v>42</v>
      </c>
      <c r="K3771">
        <v>30</v>
      </c>
      <c r="L3771">
        <v>714</v>
      </c>
    </row>
    <row r="3772" spans="1:12" hidden="1" x14ac:dyDescent="0.25">
      <c r="A3772">
        <v>3771</v>
      </c>
      <c r="B3772" s="1" t="s">
        <v>12</v>
      </c>
      <c r="C3772">
        <v>1978</v>
      </c>
      <c r="D3772" s="1" t="s">
        <v>279</v>
      </c>
      <c r="E3772" s="1" t="s">
        <v>30</v>
      </c>
      <c r="F3772">
        <v>18</v>
      </c>
      <c r="G3772" s="1" t="s">
        <v>37</v>
      </c>
      <c r="H3772">
        <v>18147</v>
      </c>
      <c r="I3772">
        <v>35</v>
      </c>
      <c r="J3772">
        <v>30</v>
      </c>
      <c r="K3772">
        <v>19</v>
      </c>
      <c r="L3772">
        <v>633</v>
      </c>
    </row>
    <row r="3773" spans="1:12" hidden="1" x14ac:dyDescent="0.25">
      <c r="A3773">
        <v>3772</v>
      </c>
      <c r="B3773" s="1" t="s">
        <v>12</v>
      </c>
      <c r="C3773">
        <v>1978</v>
      </c>
      <c r="D3773" s="1" t="s">
        <v>279</v>
      </c>
      <c r="E3773" s="1" t="s">
        <v>30</v>
      </c>
      <c r="F3773">
        <v>18</v>
      </c>
      <c r="G3773" s="1" t="s">
        <v>103</v>
      </c>
      <c r="H3773">
        <v>18154</v>
      </c>
      <c r="I3773">
        <v>6</v>
      </c>
      <c r="J3773">
        <v>6</v>
      </c>
      <c r="K3773">
        <v>6</v>
      </c>
      <c r="L3773">
        <v>1000</v>
      </c>
    </row>
    <row r="3774" spans="1:12" hidden="1" x14ac:dyDescent="0.25">
      <c r="A3774">
        <v>3773</v>
      </c>
      <c r="B3774" s="1" t="s">
        <v>12</v>
      </c>
      <c r="C3774">
        <v>1978</v>
      </c>
      <c r="D3774" s="1" t="s">
        <v>279</v>
      </c>
      <c r="E3774" s="1" t="s">
        <v>30</v>
      </c>
      <c r="F3774">
        <v>18</v>
      </c>
      <c r="G3774" s="1" t="s">
        <v>101</v>
      </c>
      <c r="H3774">
        <v>18161</v>
      </c>
      <c r="I3774">
        <v>22</v>
      </c>
      <c r="J3774">
        <v>20</v>
      </c>
      <c r="K3774">
        <v>15</v>
      </c>
      <c r="L3774">
        <v>750</v>
      </c>
    </row>
    <row r="3775" spans="1:12" hidden="1" x14ac:dyDescent="0.25">
      <c r="A3775">
        <v>3774</v>
      </c>
      <c r="B3775" s="1" t="s">
        <v>12</v>
      </c>
      <c r="C3775">
        <v>1978</v>
      </c>
      <c r="D3775" s="1" t="s">
        <v>279</v>
      </c>
      <c r="E3775" s="1" t="s">
        <v>30</v>
      </c>
      <c r="F3775">
        <v>18</v>
      </c>
      <c r="G3775" s="1" t="s">
        <v>44</v>
      </c>
      <c r="H3775">
        <v>18168</v>
      </c>
      <c r="I3775">
        <v>35</v>
      </c>
      <c r="J3775">
        <v>27</v>
      </c>
      <c r="K3775">
        <v>17</v>
      </c>
      <c r="L3775">
        <v>630</v>
      </c>
    </row>
    <row r="3776" spans="1:12" hidden="1" x14ac:dyDescent="0.25">
      <c r="A3776">
        <v>3775</v>
      </c>
      <c r="B3776" s="1" t="s">
        <v>12</v>
      </c>
      <c r="C3776">
        <v>1978</v>
      </c>
      <c r="D3776" s="1" t="s">
        <v>279</v>
      </c>
      <c r="E3776" s="1" t="s">
        <v>45</v>
      </c>
      <c r="F3776">
        <v>30</v>
      </c>
      <c r="G3776" s="1" t="s">
        <v>27</v>
      </c>
      <c r="H3776">
        <v>30008</v>
      </c>
      <c r="I3776">
        <v>10</v>
      </c>
      <c r="J3776">
        <v>10</v>
      </c>
      <c r="K3776">
        <v>5</v>
      </c>
      <c r="L3776">
        <v>500</v>
      </c>
    </row>
    <row r="3777" spans="1:12" hidden="1" x14ac:dyDescent="0.25">
      <c r="A3777">
        <v>3776</v>
      </c>
      <c r="B3777" s="1" t="s">
        <v>12</v>
      </c>
      <c r="C3777">
        <v>1978</v>
      </c>
      <c r="D3777" s="1" t="s">
        <v>279</v>
      </c>
      <c r="E3777" s="1" t="s">
        <v>45</v>
      </c>
      <c r="F3777">
        <v>30</v>
      </c>
      <c r="G3777" s="1" t="s">
        <v>47</v>
      </c>
      <c r="H3777">
        <v>30015</v>
      </c>
      <c r="I3777">
        <v>20</v>
      </c>
      <c r="J3777">
        <v>20</v>
      </c>
      <c r="K3777">
        <v>10</v>
      </c>
      <c r="L3777">
        <v>500</v>
      </c>
    </row>
    <row r="3778" spans="1:12" hidden="1" x14ac:dyDescent="0.25">
      <c r="A3778">
        <v>3777</v>
      </c>
      <c r="B3778" s="1" t="s">
        <v>12</v>
      </c>
      <c r="C3778">
        <v>1978</v>
      </c>
      <c r="D3778" s="1" t="s">
        <v>279</v>
      </c>
      <c r="E3778" s="1" t="s">
        <v>45</v>
      </c>
      <c r="F3778">
        <v>30</v>
      </c>
      <c r="G3778" s="1" t="s">
        <v>46</v>
      </c>
      <c r="H3778">
        <v>30028</v>
      </c>
      <c r="I3778">
        <v>20</v>
      </c>
      <c r="J3778">
        <v>20</v>
      </c>
      <c r="K3778">
        <v>10</v>
      </c>
      <c r="L3778">
        <v>500</v>
      </c>
    </row>
    <row r="3779" spans="1:12" hidden="1" x14ac:dyDescent="0.25">
      <c r="A3779">
        <v>3778</v>
      </c>
      <c r="B3779" s="1" t="s">
        <v>12</v>
      </c>
      <c r="C3779">
        <v>1978</v>
      </c>
      <c r="D3779" s="1" t="s">
        <v>279</v>
      </c>
      <c r="E3779" s="1" t="s">
        <v>48</v>
      </c>
      <c r="F3779">
        <v>34</v>
      </c>
      <c r="G3779" s="1" t="s">
        <v>52</v>
      </c>
      <c r="H3779">
        <v>34035</v>
      </c>
      <c r="I3779">
        <v>200</v>
      </c>
      <c r="J3779">
        <v>150</v>
      </c>
      <c r="K3779">
        <v>100</v>
      </c>
      <c r="L3779">
        <v>667</v>
      </c>
    </row>
    <row r="3780" spans="1:12" hidden="1" x14ac:dyDescent="0.25">
      <c r="A3780">
        <v>3779</v>
      </c>
      <c r="B3780" s="1" t="s">
        <v>12</v>
      </c>
      <c r="C3780">
        <v>1978</v>
      </c>
      <c r="D3780" s="1" t="s">
        <v>279</v>
      </c>
      <c r="E3780" s="1" t="s">
        <v>53</v>
      </c>
      <c r="F3780">
        <v>38</v>
      </c>
      <c r="G3780" s="1" t="s">
        <v>270</v>
      </c>
      <c r="H3780">
        <v>38070</v>
      </c>
      <c r="I3780">
        <v>120</v>
      </c>
      <c r="J3780">
        <v>120</v>
      </c>
      <c r="K3780">
        <v>120</v>
      </c>
      <c r="L3780">
        <v>1000</v>
      </c>
    </row>
    <row r="3781" spans="1:12" hidden="1" x14ac:dyDescent="0.25">
      <c r="A3781">
        <v>3780</v>
      </c>
      <c r="B3781" s="1" t="s">
        <v>12</v>
      </c>
      <c r="C3781">
        <v>1978</v>
      </c>
      <c r="D3781" s="1" t="s">
        <v>279</v>
      </c>
      <c r="E3781" s="1" t="s">
        <v>138</v>
      </c>
      <c r="F3781">
        <v>50</v>
      </c>
      <c r="G3781" s="1" t="s">
        <v>140</v>
      </c>
      <c r="H3781">
        <v>50014</v>
      </c>
      <c r="I3781">
        <v>30</v>
      </c>
      <c r="J3781">
        <v>15</v>
      </c>
      <c r="K3781">
        <v>16</v>
      </c>
      <c r="L3781">
        <v>1067</v>
      </c>
    </row>
    <row r="3782" spans="1:12" hidden="1" x14ac:dyDescent="0.25">
      <c r="A3782">
        <v>3781</v>
      </c>
      <c r="B3782" s="1" t="s">
        <v>12</v>
      </c>
      <c r="C3782">
        <v>1978</v>
      </c>
      <c r="D3782" s="1" t="s">
        <v>279</v>
      </c>
      <c r="E3782" s="1" t="s">
        <v>138</v>
      </c>
      <c r="F3782">
        <v>50</v>
      </c>
      <c r="G3782" s="1" t="s">
        <v>280</v>
      </c>
      <c r="H3782">
        <v>50028</v>
      </c>
      <c r="I3782">
        <v>10</v>
      </c>
      <c r="J3782">
        <v>10</v>
      </c>
      <c r="K3782">
        <v>10</v>
      </c>
      <c r="L3782">
        <v>1000</v>
      </c>
    </row>
    <row r="3783" spans="1:12" hidden="1" x14ac:dyDescent="0.25">
      <c r="A3783">
        <v>3782</v>
      </c>
      <c r="B3783" s="1" t="s">
        <v>12</v>
      </c>
      <c r="C3783">
        <v>1978</v>
      </c>
      <c r="D3783" s="1" t="s">
        <v>279</v>
      </c>
      <c r="E3783" s="1" t="s">
        <v>138</v>
      </c>
      <c r="F3783">
        <v>50</v>
      </c>
      <c r="G3783" s="1" t="s">
        <v>127</v>
      </c>
      <c r="H3783">
        <v>50035</v>
      </c>
      <c r="I3783">
        <v>5</v>
      </c>
      <c r="J3783">
        <v>2</v>
      </c>
      <c r="K3783">
        <v>2</v>
      </c>
      <c r="L3783">
        <v>1000</v>
      </c>
    </row>
    <row r="3784" spans="1:12" hidden="1" x14ac:dyDescent="0.25">
      <c r="A3784">
        <v>3783</v>
      </c>
      <c r="B3784" s="1" t="s">
        <v>12</v>
      </c>
      <c r="C3784">
        <v>1978</v>
      </c>
      <c r="D3784" s="1" t="s">
        <v>279</v>
      </c>
      <c r="E3784" s="1" t="s">
        <v>138</v>
      </c>
      <c r="F3784">
        <v>50</v>
      </c>
      <c r="G3784" s="1" t="s">
        <v>281</v>
      </c>
      <c r="H3784">
        <v>50091</v>
      </c>
      <c r="I3784">
        <v>70</v>
      </c>
      <c r="J3784">
        <v>30</v>
      </c>
      <c r="K3784">
        <v>31</v>
      </c>
      <c r="L3784">
        <v>1033</v>
      </c>
    </row>
    <row r="3785" spans="1:12" hidden="1" x14ac:dyDescent="0.25">
      <c r="A3785">
        <v>3784</v>
      </c>
      <c r="B3785" s="1" t="s">
        <v>12</v>
      </c>
      <c r="C3785">
        <v>1978</v>
      </c>
      <c r="D3785" s="1" t="s">
        <v>279</v>
      </c>
      <c r="E3785" s="1" t="s">
        <v>138</v>
      </c>
      <c r="F3785">
        <v>50</v>
      </c>
      <c r="G3785" s="1" t="s">
        <v>37</v>
      </c>
      <c r="H3785">
        <v>50098</v>
      </c>
      <c r="I3785">
        <v>40</v>
      </c>
      <c r="J3785">
        <v>10</v>
      </c>
      <c r="K3785">
        <v>10</v>
      </c>
      <c r="L3785">
        <v>1000</v>
      </c>
    </row>
    <row r="3786" spans="1:12" hidden="1" x14ac:dyDescent="0.25">
      <c r="A3786">
        <v>3785</v>
      </c>
      <c r="B3786" s="1" t="s">
        <v>12</v>
      </c>
      <c r="C3786">
        <v>1978</v>
      </c>
      <c r="D3786" s="1" t="s">
        <v>279</v>
      </c>
      <c r="E3786" s="1" t="s">
        <v>138</v>
      </c>
      <c r="F3786">
        <v>50</v>
      </c>
      <c r="G3786" s="1" t="s">
        <v>139</v>
      </c>
      <c r="H3786">
        <v>50105</v>
      </c>
      <c r="I3786">
        <v>50</v>
      </c>
      <c r="J3786">
        <v>25</v>
      </c>
      <c r="K3786">
        <v>29</v>
      </c>
      <c r="L3786">
        <v>1160</v>
      </c>
    </row>
    <row r="3787" spans="1:12" hidden="1" x14ac:dyDescent="0.25">
      <c r="A3787">
        <v>3786</v>
      </c>
      <c r="B3787" s="1" t="s">
        <v>12</v>
      </c>
      <c r="C3787">
        <v>1978</v>
      </c>
      <c r="D3787" s="1" t="s">
        <v>279</v>
      </c>
      <c r="E3787" s="1" t="s">
        <v>138</v>
      </c>
      <c r="F3787">
        <v>50</v>
      </c>
      <c r="G3787" s="1" t="s">
        <v>83</v>
      </c>
      <c r="H3787">
        <v>50112</v>
      </c>
      <c r="I3787">
        <v>110</v>
      </c>
      <c r="J3787">
        <v>26</v>
      </c>
      <c r="K3787">
        <v>30</v>
      </c>
      <c r="L3787">
        <v>1154</v>
      </c>
    </row>
    <row r="3788" spans="1:12" hidden="1" x14ac:dyDescent="0.25">
      <c r="A3788">
        <v>3787</v>
      </c>
      <c r="B3788" s="1" t="s">
        <v>12</v>
      </c>
      <c r="C3788">
        <v>1978</v>
      </c>
      <c r="D3788" s="1" t="s">
        <v>279</v>
      </c>
      <c r="E3788" s="1" t="s">
        <v>138</v>
      </c>
      <c r="F3788">
        <v>50</v>
      </c>
      <c r="G3788" s="1" t="s">
        <v>282</v>
      </c>
      <c r="H3788">
        <v>50126</v>
      </c>
      <c r="I3788">
        <v>5</v>
      </c>
      <c r="J3788">
        <v>2</v>
      </c>
      <c r="K3788">
        <v>2</v>
      </c>
      <c r="L3788">
        <v>1000</v>
      </c>
    </row>
    <row r="3789" spans="1:12" hidden="1" x14ac:dyDescent="0.25">
      <c r="A3789">
        <v>3788</v>
      </c>
      <c r="B3789" s="1" t="s">
        <v>12</v>
      </c>
      <c r="C3789">
        <v>1978</v>
      </c>
      <c r="D3789" s="1" t="s">
        <v>279</v>
      </c>
      <c r="E3789" s="1" t="s">
        <v>58</v>
      </c>
      <c r="F3789">
        <v>54</v>
      </c>
      <c r="G3789" s="1" t="s">
        <v>59</v>
      </c>
      <c r="H3789">
        <v>54007</v>
      </c>
      <c r="I3789">
        <v>12</v>
      </c>
      <c r="J3789">
        <v>10</v>
      </c>
      <c r="K3789">
        <v>4</v>
      </c>
      <c r="L3789">
        <v>400</v>
      </c>
    </row>
    <row r="3790" spans="1:12" hidden="1" x14ac:dyDescent="0.25">
      <c r="A3790">
        <v>3789</v>
      </c>
      <c r="B3790" s="1" t="s">
        <v>12</v>
      </c>
      <c r="C3790">
        <v>1978</v>
      </c>
      <c r="D3790" s="1" t="s">
        <v>279</v>
      </c>
      <c r="E3790" s="1" t="s">
        <v>58</v>
      </c>
      <c r="F3790">
        <v>54</v>
      </c>
      <c r="G3790" s="1" t="s">
        <v>150</v>
      </c>
      <c r="H3790">
        <v>54014</v>
      </c>
      <c r="I3790">
        <v>4</v>
      </c>
      <c r="J3790">
        <v>3</v>
      </c>
      <c r="K3790">
        <v>1</v>
      </c>
      <c r="L3790">
        <v>333</v>
      </c>
    </row>
    <row r="3791" spans="1:12" hidden="1" x14ac:dyDescent="0.25">
      <c r="A3791">
        <v>3790</v>
      </c>
      <c r="B3791" s="1" t="s">
        <v>12</v>
      </c>
      <c r="C3791">
        <v>1978</v>
      </c>
      <c r="D3791" s="1" t="s">
        <v>279</v>
      </c>
      <c r="E3791" s="1" t="s">
        <v>58</v>
      </c>
      <c r="F3791">
        <v>54</v>
      </c>
      <c r="G3791" s="1" t="s">
        <v>60</v>
      </c>
      <c r="H3791">
        <v>54021</v>
      </c>
      <c r="I3791">
        <v>9</v>
      </c>
      <c r="J3791">
        <v>8</v>
      </c>
      <c r="K3791">
        <v>3</v>
      </c>
      <c r="L3791">
        <v>375</v>
      </c>
    </row>
    <row r="3792" spans="1:12" hidden="1" x14ac:dyDescent="0.25">
      <c r="A3792">
        <v>3791</v>
      </c>
      <c r="B3792" s="1" t="s">
        <v>12</v>
      </c>
      <c r="C3792">
        <v>1978</v>
      </c>
      <c r="D3792" s="1" t="s">
        <v>279</v>
      </c>
      <c r="E3792" s="1" t="s">
        <v>58</v>
      </c>
      <c r="F3792">
        <v>54</v>
      </c>
      <c r="G3792" s="1" t="s">
        <v>63</v>
      </c>
      <c r="H3792">
        <v>54035</v>
      </c>
      <c r="I3792">
        <v>5</v>
      </c>
      <c r="J3792">
        <v>5</v>
      </c>
      <c r="K3792">
        <v>2</v>
      </c>
      <c r="L3792">
        <v>400</v>
      </c>
    </row>
    <row r="3793" spans="1:12" hidden="1" x14ac:dyDescent="0.25">
      <c r="A3793">
        <v>3792</v>
      </c>
      <c r="B3793" s="1" t="s">
        <v>12</v>
      </c>
      <c r="C3793">
        <v>1978</v>
      </c>
      <c r="D3793" s="1" t="s">
        <v>279</v>
      </c>
      <c r="E3793" s="1" t="s">
        <v>58</v>
      </c>
      <c r="F3793">
        <v>54</v>
      </c>
      <c r="G3793" s="1" t="s">
        <v>266</v>
      </c>
      <c r="H3793">
        <v>54042</v>
      </c>
      <c r="I3793">
        <v>11</v>
      </c>
      <c r="J3793">
        <v>10</v>
      </c>
      <c r="K3793">
        <v>4</v>
      </c>
      <c r="L3793">
        <v>400</v>
      </c>
    </row>
    <row r="3794" spans="1:12" hidden="1" x14ac:dyDescent="0.25">
      <c r="A3794">
        <v>3793</v>
      </c>
      <c r="B3794" s="1" t="s">
        <v>12</v>
      </c>
      <c r="C3794">
        <v>1978</v>
      </c>
      <c r="D3794" s="1" t="s">
        <v>279</v>
      </c>
      <c r="E3794" s="1" t="s">
        <v>58</v>
      </c>
      <c r="F3794">
        <v>54</v>
      </c>
      <c r="G3794" s="1" t="s">
        <v>151</v>
      </c>
      <c r="H3794">
        <v>54056</v>
      </c>
      <c r="I3794">
        <v>2</v>
      </c>
      <c r="J3794">
        <v>2</v>
      </c>
      <c r="K3794">
        <v>1</v>
      </c>
      <c r="L3794">
        <v>500</v>
      </c>
    </row>
    <row r="3795" spans="1:12" hidden="1" x14ac:dyDescent="0.25">
      <c r="A3795">
        <v>3794</v>
      </c>
      <c r="B3795" s="1" t="s">
        <v>12</v>
      </c>
      <c r="C3795">
        <v>1978</v>
      </c>
      <c r="D3795" s="1" t="s">
        <v>279</v>
      </c>
      <c r="E3795" s="1" t="s">
        <v>58</v>
      </c>
      <c r="F3795">
        <v>54</v>
      </c>
      <c r="G3795" s="1" t="s">
        <v>243</v>
      </c>
      <c r="H3795">
        <v>54070</v>
      </c>
      <c r="I3795">
        <v>8</v>
      </c>
      <c r="J3795">
        <v>7</v>
      </c>
      <c r="K3795">
        <v>3</v>
      </c>
      <c r="L3795">
        <v>429</v>
      </c>
    </row>
    <row r="3796" spans="1:12" hidden="1" x14ac:dyDescent="0.25">
      <c r="A3796">
        <v>3795</v>
      </c>
      <c r="B3796" s="1" t="s">
        <v>12</v>
      </c>
      <c r="C3796">
        <v>1978</v>
      </c>
      <c r="D3796" s="1" t="s">
        <v>279</v>
      </c>
      <c r="E3796" s="1" t="s">
        <v>58</v>
      </c>
      <c r="F3796">
        <v>54</v>
      </c>
      <c r="G3796" s="1" t="s">
        <v>119</v>
      </c>
      <c r="H3796">
        <v>54077</v>
      </c>
      <c r="I3796">
        <v>5</v>
      </c>
      <c r="J3796">
        <v>4</v>
      </c>
      <c r="K3796">
        <v>2</v>
      </c>
      <c r="L3796">
        <v>500</v>
      </c>
    </row>
    <row r="3797" spans="1:12" hidden="1" x14ac:dyDescent="0.25">
      <c r="A3797">
        <v>3796</v>
      </c>
      <c r="B3797" s="1" t="s">
        <v>12</v>
      </c>
      <c r="C3797">
        <v>1978</v>
      </c>
      <c r="D3797" s="1" t="s">
        <v>279</v>
      </c>
      <c r="E3797" s="1" t="s">
        <v>58</v>
      </c>
      <c r="F3797">
        <v>54</v>
      </c>
      <c r="G3797" s="1" t="s">
        <v>244</v>
      </c>
      <c r="H3797">
        <v>54084</v>
      </c>
      <c r="I3797">
        <v>7</v>
      </c>
      <c r="J3797">
        <v>6</v>
      </c>
      <c r="K3797">
        <v>3</v>
      </c>
      <c r="L3797">
        <v>500</v>
      </c>
    </row>
    <row r="3798" spans="1:12" hidden="1" x14ac:dyDescent="0.25">
      <c r="A3798">
        <v>3797</v>
      </c>
      <c r="B3798" s="1" t="s">
        <v>12</v>
      </c>
      <c r="C3798">
        <v>1978</v>
      </c>
      <c r="D3798" s="1" t="s">
        <v>279</v>
      </c>
      <c r="E3798" s="1" t="s">
        <v>58</v>
      </c>
      <c r="F3798">
        <v>54</v>
      </c>
      <c r="G3798" s="1" t="s">
        <v>242</v>
      </c>
      <c r="H3798">
        <v>54091</v>
      </c>
      <c r="I3798">
        <v>4</v>
      </c>
      <c r="J3798">
        <v>3</v>
      </c>
      <c r="K3798">
        <v>1</v>
      </c>
      <c r="L3798">
        <v>333</v>
      </c>
    </row>
    <row r="3799" spans="1:12" hidden="1" x14ac:dyDescent="0.25">
      <c r="A3799">
        <v>3798</v>
      </c>
      <c r="B3799" s="1" t="s">
        <v>12</v>
      </c>
      <c r="C3799">
        <v>1978</v>
      </c>
      <c r="D3799" s="1" t="s">
        <v>279</v>
      </c>
      <c r="E3799" s="1" t="s">
        <v>58</v>
      </c>
      <c r="F3799">
        <v>54</v>
      </c>
      <c r="G3799" s="1" t="s">
        <v>61</v>
      </c>
      <c r="H3799">
        <v>54098</v>
      </c>
      <c r="I3799">
        <v>2</v>
      </c>
      <c r="J3799">
        <v>2</v>
      </c>
      <c r="K3799">
        <v>1</v>
      </c>
      <c r="L3799">
        <v>500</v>
      </c>
    </row>
    <row r="3800" spans="1:12" x14ac:dyDescent="0.25">
      <c r="A3800">
        <v>3799</v>
      </c>
      <c r="B3800" s="1" t="s">
        <v>12</v>
      </c>
      <c r="C3800">
        <v>1978</v>
      </c>
      <c r="D3800" s="1" t="s">
        <v>279</v>
      </c>
      <c r="E3800" s="1" t="s">
        <v>58</v>
      </c>
      <c r="F3800">
        <v>54</v>
      </c>
      <c r="G3800" s="1" t="s">
        <v>56</v>
      </c>
      <c r="H3800">
        <v>54112</v>
      </c>
      <c r="I3800">
        <v>1</v>
      </c>
      <c r="J3800">
        <v>0</v>
      </c>
      <c r="K3800">
        <v>0</v>
      </c>
      <c r="L3800">
        <v>0</v>
      </c>
    </row>
    <row r="3801" spans="1:12" hidden="1" x14ac:dyDescent="0.25">
      <c r="A3801">
        <v>3800</v>
      </c>
      <c r="B3801" s="1" t="s">
        <v>12</v>
      </c>
      <c r="C3801">
        <v>1978</v>
      </c>
      <c r="D3801" s="1" t="s">
        <v>279</v>
      </c>
      <c r="E3801" s="1" t="s">
        <v>87</v>
      </c>
      <c r="F3801">
        <v>66</v>
      </c>
      <c r="G3801" s="1" t="s">
        <v>153</v>
      </c>
      <c r="H3801">
        <v>66007</v>
      </c>
      <c r="I3801">
        <v>1400</v>
      </c>
      <c r="J3801">
        <v>1400</v>
      </c>
      <c r="K3801">
        <v>1600</v>
      </c>
      <c r="L3801">
        <v>1143</v>
      </c>
    </row>
    <row r="3802" spans="1:12" hidden="1" x14ac:dyDescent="0.25">
      <c r="A3802">
        <v>3801</v>
      </c>
      <c r="B3802" s="1" t="s">
        <v>12</v>
      </c>
      <c r="C3802">
        <v>1978</v>
      </c>
      <c r="D3802" s="1" t="s">
        <v>279</v>
      </c>
      <c r="E3802" s="1" t="s">
        <v>87</v>
      </c>
      <c r="F3802">
        <v>66</v>
      </c>
      <c r="G3802" s="1" t="s">
        <v>230</v>
      </c>
      <c r="H3802">
        <v>66056</v>
      </c>
      <c r="I3802">
        <v>2080</v>
      </c>
      <c r="J3802">
        <v>2080</v>
      </c>
      <c r="K3802">
        <v>2530</v>
      </c>
      <c r="L3802">
        <v>1216</v>
      </c>
    </row>
    <row r="3803" spans="1:12" hidden="1" x14ac:dyDescent="0.25">
      <c r="A3803">
        <v>3802</v>
      </c>
      <c r="B3803" s="1" t="s">
        <v>12</v>
      </c>
      <c r="C3803">
        <v>1978</v>
      </c>
      <c r="D3803" s="1" t="s">
        <v>279</v>
      </c>
      <c r="E3803" s="1" t="s">
        <v>87</v>
      </c>
      <c r="F3803">
        <v>66</v>
      </c>
      <c r="G3803" s="1" t="s">
        <v>283</v>
      </c>
      <c r="H3803">
        <v>66098</v>
      </c>
      <c r="I3803">
        <v>20</v>
      </c>
      <c r="J3803">
        <v>20</v>
      </c>
      <c r="K3803">
        <v>20</v>
      </c>
      <c r="L3803">
        <v>1000</v>
      </c>
    </row>
    <row r="3804" spans="1:12" hidden="1" x14ac:dyDescent="0.25">
      <c r="A3804">
        <v>3803</v>
      </c>
      <c r="B3804" s="1" t="s">
        <v>12</v>
      </c>
      <c r="C3804">
        <v>1978</v>
      </c>
      <c r="D3804" s="1" t="s">
        <v>279</v>
      </c>
      <c r="E3804" s="1" t="s">
        <v>87</v>
      </c>
      <c r="F3804">
        <v>66</v>
      </c>
      <c r="G3804" s="1" t="s">
        <v>141</v>
      </c>
      <c r="H3804">
        <v>66112</v>
      </c>
      <c r="I3804">
        <v>200</v>
      </c>
      <c r="J3804">
        <v>200</v>
      </c>
      <c r="K3804">
        <v>230</v>
      </c>
      <c r="L3804">
        <v>1150</v>
      </c>
    </row>
    <row r="3805" spans="1:12" hidden="1" x14ac:dyDescent="0.25">
      <c r="A3805">
        <v>3804</v>
      </c>
      <c r="B3805" s="1" t="s">
        <v>12</v>
      </c>
      <c r="C3805">
        <v>1978</v>
      </c>
      <c r="D3805" s="1" t="s">
        <v>279</v>
      </c>
      <c r="E3805" s="1" t="s">
        <v>87</v>
      </c>
      <c r="F3805">
        <v>66</v>
      </c>
      <c r="G3805" s="1" t="s">
        <v>179</v>
      </c>
      <c r="H3805">
        <v>66126</v>
      </c>
      <c r="I3805">
        <v>1100</v>
      </c>
      <c r="J3805">
        <v>1100</v>
      </c>
      <c r="K3805">
        <v>1250</v>
      </c>
      <c r="L3805">
        <v>1136</v>
      </c>
    </row>
    <row r="3806" spans="1:12" hidden="1" x14ac:dyDescent="0.25">
      <c r="A3806">
        <v>3805</v>
      </c>
      <c r="B3806" s="1" t="s">
        <v>12</v>
      </c>
      <c r="C3806">
        <v>1978</v>
      </c>
      <c r="D3806" s="1" t="s">
        <v>279</v>
      </c>
      <c r="E3806" s="1" t="s">
        <v>87</v>
      </c>
      <c r="F3806">
        <v>66</v>
      </c>
      <c r="G3806" s="1" t="s">
        <v>188</v>
      </c>
      <c r="H3806">
        <v>66140</v>
      </c>
      <c r="I3806">
        <v>500</v>
      </c>
      <c r="J3806">
        <v>500</v>
      </c>
      <c r="K3806">
        <v>570</v>
      </c>
      <c r="L3806">
        <v>1140</v>
      </c>
    </row>
    <row r="3807" spans="1:12" hidden="1" x14ac:dyDescent="0.25">
      <c r="A3807">
        <v>3806</v>
      </c>
      <c r="B3807" s="1" t="s">
        <v>12</v>
      </c>
      <c r="C3807">
        <v>1978</v>
      </c>
      <c r="D3807" s="1" t="s">
        <v>279</v>
      </c>
      <c r="E3807" s="1" t="s">
        <v>116</v>
      </c>
      <c r="F3807">
        <v>74</v>
      </c>
      <c r="G3807" s="1" t="s">
        <v>118</v>
      </c>
      <c r="H3807">
        <v>74028</v>
      </c>
      <c r="I3807">
        <v>2000</v>
      </c>
      <c r="J3807">
        <v>2000</v>
      </c>
      <c r="K3807">
        <v>1700</v>
      </c>
      <c r="L3807">
        <v>850</v>
      </c>
    </row>
    <row r="3808" spans="1:12" hidden="1" x14ac:dyDescent="0.25">
      <c r="A3808">
        <v>3807</v>
      </c>
      <c r="B3808" s="1" t="s">
        <v>12</v>
      </c>
      <c r="C3808">
        <v>1978</v>
      </c>
      <c r="D3808" s="1" t="s">
        <v>279</v>
      </c>
      <c r="E3808" s="1" t="s">
        <v>64</v>
      </c>
      <c r="F3808">
        <v>82</v>
      </c>
      <c r="G3808" s="1" t="s">
        <v>155</v>
      </c>
      <c r="H3808">
        <v>82021</v>
      </c>
      <c r="I3808">
        <v>20</v>
      </c>
      <c r="J3808">
        <v>15</v>
      </c>
      <c r="K3808">
        <v>13</v>
      </c>
      <c r="L3808">
        <v>867</v>
      </c>
    </row>
    <row r="3809" spans="1:12" hidden="1" x14ac:dyDescent="0.25">
      <c r="A3809">
        <v>3808</v>
      </c>
      <c r="B3809" s="1" t="s">
        <v>12</v>
      </c>
      <c r="C3809">
        <v>1978</v>
      </c>
      <c r="D3809" s="1" t="s">
        <v>279</v>
      </c>
      <c r="E3809" s="1" t="s">
        <v>64</v>
      </c>
      <c r="F3809">
        <v>82</v>
      </c>
      <c r="G3809" s="1" t="s">
        <v>66</v>
      </c>
      <c r="H3809">
        <v>82035</v>
      </c>
      <c r="I3809">
        <v>250</v>
      </c>
      <c r="J3809">
        <v>135</v>
      </c>
      <c r="K3809">
        <v>154</v>
      </c>
      <c r="L3809">
        <v>1141</v>
      </c>
    </row>
    <row r="3810" spans="1:12" hidden="1" x14ac:dyDescent="0.25">
      <c r="A3810">
        <v>3809</v>
      </c>
      <c r="B3810" s="1" t="s">
        <v>12</v>
      </c>
      <c r="C3810">
        <v>1978</v>
      </c>
      <c r="D3810" s="1" t="s">
        <v>279</v>
      </c>
      <c r="E3810" s="1" t="s">
        <v>64</v>
      </c>
      <c r="F3810">
        <v>82</v>
      </c>
      <c r="G3810" s="1" t="s">
        <v>272</v>
      </c>
      <c r="H3810">
        <v>82042</v>
      </c>
      <c r="I3810">
        <v>150</v>
      </c>
      <c r="J3810">
        <v>120</v>
      </c>
      <c r="K3810">
        <v>140</v>
      </c>
      <c r="L3810">
        <v>1167</v>
      </c>
    </row>
    <row r="3811" spans="1:12" hidden="1" x14ac:dyDescent="0.25">
      <c r="A3811">
        <v>3810</v>
      </c>
      <c r="B3811" s="1" t="s">
        <v>12</v>
      </c>
      <c r="C3811">
        <v>1978</v>
      </c>
      <c r="D3811" s="1" t="s">
        <v>279</v>
      </c>
      <c r="E3811" s="1" t="s">
        <v>64</v>
      </c>
      <c r="F3811">
        <v>82</v>
      </c>
      <c r="G3811" s="1" t="s">
        <v>65</v>
      </c>
      <c r="H3811">
        <v>82049</v>
      </c>
      <c r="I3811">
        <v>150</v>
      </c>
      <c r="J3811">
        <v>150</v>
      </c>
      <c r="K3811">
        <v>113</v>
      </c>
      <c r="L3811">
        <v>753</v>
      </c>
    </row>
    <row r="3812" spans="1:12" hidden="1" x14ac:dyDescent="0.25">
      <c r="A3812">
        <v>3811</v>
      </c>
      <c r="B3812" s="1" t="s">
        <v>12</v>
      </c>
      <c r="C3812">
        <v>1978</v>
      </c>
      <c r="D3812" s="1" t="s">
        <v>279</v>
      </c>
      <c r="E3812" s="1" t="s">
        <v>64</v>
      </c>
      <c r="F3812">
        <v>82</v>
      </c>
      <c r="G3812" s="1" t="s">
        <v>277</v>
      </c>
      <c r="H3812">
        <v>82056</v>
      </c>
      <c r="I3812">
        <v>20</v>
      </c>
      <c r="J3812">
        <v>10</v>
      </c>
      <c r="K3812">
        <v>10</v>
      </c>
      <c r="L3812">
        <v>1000</v>
      </c>
    </row>
    <row r="3813" spans="1:12" hidden="1" x14ac:dyDescent="0.25">
      <c r="A3813">
        <v>3812</v>
      </c>
      <c r="B3813" s="1" t="s">
        <v>12</v>
      </c>
      <c r="C3813">
        <v>1978</v>
      </c>
      <c r="D3813" s="1" t="s">
        <v>279</v>
      </c>
      <c r="E3813" s="1" t="s">
        <v>64</v>
      </c>
      <c r="F3813">
        <v>82</v>
      </c>
      <c r="G3813" s="1" t="s">
        <v>37</v>
      </c>
      <c r="H3813">
        <v>82126</v>
      </c>
      <c r="I3813">
        <v>10</v>
      </c>
      <c r="J3813">
        <v>10</v>
      </c>
      <c r="K3813">
        <v>10</v>
      </c>
      <c r="L3813">
        <v>1000</v>
      </c>
    </row>
    <row r="3814" spans="1:12" hidden="1" x14ac:dyDescent="0.25">
      <c r="A3814">
        <v>3813</v>
      </c>
      <c r="B3814" s="1" t="s">
        <v>12</v>
      </c>
      <c r="C3814">
        <v>1979</v>
      </c>
      <c r="D3814" s="1" t="s">
        <v>284</v>
      </c>
      <c r="E3814" s="1" t="s">
        <v>80</v>
      </c>
      <c r="F3814">
        <v>10</v>
      </c>
      <c r="G3814" s="1" t="s">
        <v>285</v>
      </c>
      <c r="H3814">
        <v>10042</v>
      </c>
      <c r="I3814">
        <v>250</v>
      </c>
      <c r="J3814">
        <v>250</v>
      </c>
      <c r="K3814">
        <v>233</v>
      </c>
      <c r="L3814">
        <v>932</v>
      </c>
    </row>
    <row r="3815" spans="1:12" hidden="1" x14ac:dyDescent="0.25">
      <c r="A3815">
        <v>3814</v>
      </c>
      <c r="B3815" s="1" t="s">
        <v>12</v>
      </c>
      <c r="C3815">
        <v>1979</v>
      </c>
      <c r="D3815" s="1" t="s">
        <v>284</v>
      </c>
      <c r="E3815" s="1" t="s">
        <v>80</v>
      </c>
      <c r="F3815">
        <v>10</v>
      </c>
      <c r="G3815" s="1" t="s">
        <v>84</v>
      </c>
      <c r="H3815">
        <v>10063</v>
      </c>
      <c r="I3815">
        <v>20</v>
      </c>
      <c r="J3815">
        <v>20</v>
      </c>
      <c r="K3815">
        <v>19</v>
      </c>
      <c r="L3815">
        <v>950</v>
      </c>
    </row>
    <row r="3816" spans="1:12" hidden="1" x14ac:dyDescent="0.25">
      <c r="A3816">
        <v>3815</v>
      </c>
      <c r="B3816" s="1" t="s">
        <v>12</v>
      </c>
      <c r="C3816">
        <v>1979</v>
      </c>
      <c r="D3816" s="1" t="s">
        <v>284</v>
      </c>
      <c r="E3816" s="1" t="s">
        <v>80</v>
      </c>
      <c r="F3816">
        <v>10</v>
      </c>
      <c r="G3816" s="1" t="s">
        <v>83</v>
      </c>
      <c r="H3816">
        <v>10098</v>
      </c>
      <c r="I3816">
        <v>30</v>
      </c>
      <c r="J3816">
        <v>30</v>
      </c>
      <c r="K3816">
        <v>28</v>
      </c>
      <c r="L3816">
        <v>933</v>
      </c>
    </row>
    <row r="3817" spans="1:12" hidden="1" x14ac:dyDescent="0.25">
      <c r="A3817">
        <v>3816</v>
      </c>
      <c r="B3817" s="1" t="s">
        <v>12</v>
      </c>
      <c r="C3817">
        <v>1979</v>
      </c>
      <c r="D3817" s="1" t="s">
        <v>284</v>
      </c>
      <c r="E3817" s="1" t="s">
        <v>14</v>
      </c>
      <c r="F3817">
        <v>22</v>
      </c>
      <c r="G3817" s="1" t="s">
        <v>238</v>
      </c>
      <c r="H3817">
        <v>22036</v>
      </c>
      <c r="I3817">
        <v>200</v>
      </c>
      <c r="J3817">
        <v>200</v>
      </c>
      <c r="K3817">
        <v>140</v>
      </c>
      <c r="L3817">
        <v>700</v>
      </c>
    </row>
    <row r="3818" spans="1:12" hidden="1" x14ac:dyDescent="0.25">
      <c r="A3818">
        <v>3817</v>
      </c>
      <c r="B3818" s="1" t="s">
        <v>12</v>
      </c>
      <c r="C3818">
        <v>1979</v>
      </c>
      <c r="D3818" s="1" t="s">
        <v>284</v>
      </c>
      <c r="E3818" s="1" t="s">
        <v>14</v>
      </c>
      <c r="F3818">
        <v>22</v>
      </c>
      <c r="G3818" s="1" t="s">
        <v>250</v>
      </c>
      <c r="H3818">
        <v>22007</v>
      </c>
      <c r="I3818">
        <v>70</v>
      </c>
      <c r="J3818">
        <v>70</v>
      </c>
      <c r="K3818">
        <v>50</v>
      </c>
      <c r="L3818">
        <v>714</v>
      </c>
    </row>
    <row r="3819" spans="1:12" hidden="1" x14ac:dyDescent="0.25">
      <c r="A3819">
        <v>3818</v>
      </c>
      <c r="B3819" s="1" t="s">
        <v>12</v>
      </c>
      <c r="C3819">
        <v>1979</v>
      </c>
      <c r="D3819" s="1" t="s">
        <v>284</v>
      </c>
      <c r="E3819" s="1" t="s">
        <v>14</v>
      </c>
      <c r="F3819">
        <v>22</v>
      </c>
      <c r="G3819" s="1" t="s">
        <v>118</v>
      </c>
      <c r="H3819">
        <v>22028</v>
      </c>
      <c r="I3819">
        <v>50</v>
      </c>
      <c r="J3819">
        <v>50</v>
      </c>
      <c r="K3819">
        <v>40</v>
      </c>
      <c r="L3819">
        <v>800</v>
      </c>
    </row>
    <row r="3820" spans="1:12" hidden="1" x14ac:dyDescent="0.25">
      <c r="A3820">
        <v>3819</v>
      </c>
      <c r="B3820" s="1" t="s">
        <v>12</v>
      </c>
      <c r="C3820">
        <v>1979</v>
      </c>
      <c r="D3820" s="1" t="s">
        <v>284</v>
      </c>
      <c r="E3820" s="1" t="s">
        <v>14</v>
      </c>
      <c r="F3820">
        <v>22</v>
      </c>
      <c r="G3820" s="1" t="s">
        <v>239</v>
      </c>
      <c r="H3820">
        <v>22043</v>
      </c>
      <c r="I3820">
        <v>70</v>
      </c>
      <c r="J3820">
        <v>70</v>
      </c>
      <c r="K3820">
        <v>60</v>
      </c>
      <c r="L3820">
        <v>857</v>
      </c>
    </row>
    <row r="3821" spans="1:12" hidden="1" x14ac:dyDescent="0.25">
      <c r="A3821">
        <v>3820</v>
      </c>
      <c r="B3821" s="1" t="s">
        <v>12</v>
      </c>
      <c r="C3821">
        <v>1979</v>
      </c>
      <c r="D3821" s="1" t="s">
        <v>284</v>
      </c>
      <c r="E3821" s="1" t="s">
        <v>14</v>
      </c>
      <c r="F3821">
        <v>22</v>
      </c>
      <c r="G3821" s="1" t="s">
        <v>183</v>
      </c>
      <c r="H3821">
        <v>22049</v>
      </c>
      <c r="I3821">
        <v>140</v>
      </c>
      <c r="J3821">
        <v>140</v>
      </c>
      <c r="K3821">
        <v>120</v>
      </c>
      <c r="L3821">
        <v>857</v>
      </c>
    </row>
    <row r="3822" spans="1:12" hidden="1" x14ac:dyDescent="0.25">
      <c r="A3822">
        <v>3821</v>
      </c>
      <c r="B3822" s="1" t="s">
        <v>12</v>
      </c>
      <c r="C3822">
        <v>1979</v>
      </c>
      <c r="D3822" s="1" t="s">
        <v>284</v>
      </c>
      <c r="E3822" s="1" t="s">
        <v>14</v>
      </c>
      <c r="F3822">
        <v>22</v>
      </c>
      <c r="G3822" s="1" t="s">
        <v>236</v>
      </c>
      <c r="H3822">
        <v>22063</v>
      </c>
      <c r="I3822">
        <v>380</v>
      </c>
      <c r="J3822">
        <v>380</v>
      </c>
      <c r="K3822">
        <v>310</v>
      </c>
      <c r="L3822">
        <v>816</v>
      </c>
    </row>
    <row r="3823" spans="1:12" hidden="1" x14ac:dyDescent="0.25">
      <c r="A3823">
        <v>3822</v>
      </c>
      <c r="B3823" s="1" t="s">
        <v>12</v>
      </c>
      <c r="C3823">
        <v>1979</v>
      </c>
      <c r="D3823" s="1" t="s">
        <v>284</v>
      </c>
      <c r="E3823" s="1" t="s">
        <v>14</v>
      </c>
      <c r="F3823">
        <v>22</v>
      </c>
      <c r="G3823" s="1" t="s">
        <v>255</v>
      </c>
      <c r="H3823">
        <v>22070</v>
      </c>
      <c r="I3823">
        <v>30</v>
      </c>
      <c r="J3823">
        <v>30</v>
      </c>
      <c r="K3823">
        <v>30</v>
      </c>
      <c r="L3823">
        <v>1000</v>
      </c>
    </row>
    <row r="3824" spans="1:12" hidden="1" x14ac:dyDescent="0.25">
      <c r="A3824">
        <v>3823</v>
      </c>
      <c r="B3824" s="1" t="s">
        <v>12</v>
      </c>
      <c r="C3824">
        <v>1979</v>
      </c>
      <c r="D3824" s="1" t="s">
        <v>284</v>
      </c>
      <c r="E3824" s="1" t="s">
        <v>14</v>
      </c>
      <c r="F3824">
        <v>22</v>
      </c>
      <c r="G3824" s="1" t="s">
        <v>237</v>
      </c>
      <c r="H3824">
        <v>22091</v>
      </c>
      <c r="I3824">
        <v>60</v>
      </c>
      <c r="J3824">
        <v>60</v>
      </c>
      <c r="K3824">
        <v>40</v>
      </c>
      <c r="L3824">
        <v>667</v>
      </c>
    </row>
    <row r="3825" spans="1:12" hidden="1" x14ac:dyDescent="0.25">
      <c r="A3825">
        <v>3824</v>
      </c>
      <c r="B3825" s="1" t="s">
        <v>12</v>
      </c>
      <c r="C3825">
        <v>1979</v>
      </c>
      <c r="D3825" s="1" t="s">
        <v>284</v>
      </c>
      <c r="E3825" s="1" t="s">
        <v>22</v>
      </c>
      <c r="F3825">
        <v>14</v>
      </c>
      <c r="G3825" s="1" t="s">
        <v>97</v>
      </c>
      <c r="H3825">
        <v>14007</v>
      </c>
      <c r="I3825">
        <v>5000</v>
      </c>
      <c r="J3825">
        <v>5000</v>
      </c>
      <c r="K3825">
        <v>4500</v>
      </c>
      <c r="L3825">
        <v>900</v>
      </c>
    </row>
    <row r="3826" spans="1:12" hidden="1" x14ac:dyDescent="0.25">
      <c r="A3826">
        <v>3825</v>
      </c>
      <c r="B3826" s="1" t="s">
        <v>12</v>
      </c>
      <c r="C3826">
        <v>1979</v>
      </c>
      <c r="D3826" s="1" t="s">
        <v>284</v>
      </c>
      <c r="E3826" s="1" t="s">
        <v>22</v>
      </c>
      <c r="F3826">
        <v>14</v>
      </c>
      <c r="G3826" s="1" t="s">
        <v>173</v>
      </c>
      <c r="H3826">
        <v>14028</v>
      </c>
      <c r="I3826">
        <v>100</v>
      </c>
      <c r="J3826">
        <v>100</v>
      </c>
      <c r="K3826">
        <v>80</v>
      </c>
      <c r="L3826">
        <v>800</v>
      </c>
    </row>
    <row r="3827" spans="1:12" hidden="1" x14ac:dyDescent="0.25">
      <c r="A3827">
        <v>3826</v>
      </c>
      <c r="B3827" s="1" t="s">
        <v>12</v>
      </c>
      <c r="C3827">
        <v>1979</v>
      </c>
      <c r="D3827" s="1" t="s">
        <v>284</v>
      </c>
      <c r="E3827" s="1" t="s">
        <v>22</v>
      </c>
      <c r="F3827">
        <v>14</v>
      </c>
      <c r="G3827" s="1" t="s">
        <v>184</v>
      </c>
      <c r="H3827">
        <v>14042</v>
      </c>
      <c r="I3827">
        <v>20000</v>
      </c>
      <c r="J3827">
        <v>20000</v>
      </c>
      <c r="K3827">
        <v>12000</v>
      </c>
      <c r="L3827">
        <v>600</v>
      </c>
    </row>
    <row r="3828" spans="1:12" hidden="1" x14ac:dyDescent="0.25">
      <c r="A3828">
        <v>3827</v>
      </c>
      <c r="B3828" s="1" t="s">
        <v>12</v>
      </c>
      <c r="C3828">
        <v>1979</v>
      </c>
      <c r="D3828" s="1" t="s">
        <v>284</v>
      </c>
      <c r="E3828" s="1" t="s">
        <v>22</v>
      </c>
      <c r="F3828">
        <v>14</v>
      </c>
      <c r="G3828" s="1" t="s">
        <v>143</v>
      </c>
      <c r="H3828">
        <v>14056</v>
      </c>
      <c r="I3828">
        <v>60000</v>
      </c>
      <c r="J3828">
        <v>60000</v>
      </c>
      <c r="K3828">
        <v>42000</v>
      </c>
      <c r="L3828">
        <v>700</v>
      </c>
    </row>
    <row r="3829" spans="1:12" hidden="1" x14ac:dyDescent="0.25">
      <c r="A3829">
        <v>3828</v>
      </c>
      <c r="B3829" s="1" t="s">
        <v>12</v>
      </c>
      <c r="C3829">
        <v>1979</v>
      </c>
      <c r="D3829" s="1" t="s">
        <v>284</v>
      </c>
      <c r="E3829" s="1" t="s">
        <v>22</v>
      </c>
      <c r="F3829">
        <v>14</v>
      </c>
      <c r="G3829" s="1" t="s">
        <v>29</v>
      </c>
      <c r="H3829">
        <v>14098</v>
      </c>
      <c r="I3829">
        <v>24000</v>
      </c>
      <c r="J3829">
        <v>24000</v>
      </c>
      <c r="K3829">
        <v>17000</v>
      </c>
      <c r="L3829">
        <v>708</v>
      </c>
    </row>
    <row r="3830" spans="1:12" hidden="1" x14ac:dyDescent="0.25">
      <c r="A3830">
        <v>3829</v>
      </c>
      <c r="B3830" s="1" t="s">
        <v>12</v>
      </c>
      <c r="C3830">
        <v>1979</v>
      </c>
      <c r="D3830" s="1" t="s">
        <v>284</v>
      </c>
      <c r="E3830" s="1" t="s">
        <v>22</v>
      </c>
      <c r="F3830">
        <v>14</v>
      </c>
      <c r="G3830" s="1" t="s">
        <v>25</v>
      </c>
      <c r="H3830">
        <v>14105</v>
      </c>
      <c r="I3830">
        <v>1500</v>
      </c>
      <c r="J3830">
        <v>1500</v>
      </c>
      <c r="K3830">
        <v>1700</v>
      </c>
      <c r="L3830">
        <v>1133</v>
      </c>
    </row>
    <row r="3831" spans="1:12" hidden="1" x14ac:dyDescent="0.25">
      <c r="A3831">
        <v>3830</v>
      </c>
      <c r="B3831" s="1" t="s">
        <v>12</v>
      </c>
      <c r="C3831">
        <v>1979</v>
      </c>
      <c r="D3831" s="1" t="s">
        <v>284</v>
      </c>
      <c r="E3831" s="1" t="s">
        <v>22</v>
      </c>
      <c r="F3831">
        <v>14</v>
      </c>
      <c r="G3831" s="1" t="s">
        <v>24</v>
      </c>
      <c r="H3831">
        <v>14119</v>
      </c>
      <c r="I3831">
        <v>60000</v>
      </c>
      <c r="J3831">
        <v>58000</v>
      </c>
      <c r="K3831">
        <v>47000</v>
      </c>
      <c r="L3831">
        <v>810</v>
      </c>
    </row>
    <row r="3832" spans="1:12" hidden="1" x14ac:dyDescent="0.25">
      <c r="A3832">
        <v>3831</v>
      </c>
      <c r="B3832" s="1" t="s">
        <v>12</v>
      </c>
      <c r="C3832">
        <v>1979</v>
      </c>
      <c r="D3832" s="1" t="s">
        <v>284</v>
      </c>
      <c r="E3832" s="1" t="s">
        <v>22</v>
      </c>
      <c r="F3832">
        <v>14</v>
      </c>
      <c r="G3832" s="1" t="s">
        <v>67</v>
      </c>
      <c r="H3832">
        <v>14140</v>
      </c>
      <c r="I3832">
        <v>500</v>
      </c>
      <c r="J3832">
        <v>500</v>
      </c>
      <c r="K3832">
        <v>320</v>
      </c>
      <c r="L3832">
        <v>640</v>
      </c>
    </row>
    <row r="3833" spans="1:12" hidden="1" x14ac:dyDescent="0.25">
      <c r="A3833">
        <v>3832</v>
      </c>
      <c r="B3833" s="1" t="s">
        <v>12</v>
      </c>
      <c r="C3833">
        <v>1979</v>
      </c>
      <c r="D3833" s="1" t="s">
        <v>284</v>
      </c>
      <c r="E3833" s="1" t="s">
        <v>22</v>
      </c>
      <c r="F3833">
        <v>14</v>
      </c>
      <c r="G3833" s="1" t="s">
        <v>23</v>
      </c>
      <c r="H3833">
        <v>14147</v>
      </c>
      <c r="I3833">
        <v>16000</v>
      </c>
      <c r="J3833">
        <v>16000</v>
      </c>
      <c r="K3833">
        <v>16000</v>
      </c>
      <c r="L3833">
        <v>1000</v>
      </c>
    </row>
    <row r="3834" spans="1:12" hidden="1" x14ac:dyDescent="0.25">
      <c r="A3834">
        <v>3833</v>
      </c>
      <c r="B3834" s="1" t="s">
        <v>12</v>
      </c>
      <c r="C3834">
        <v>1979</v>
      </c>
      <c r="D3834" s="1" t="s">
        <v>284</v>
      </c>
      <c r="E3834" s="1" t="s">
        <v>22</v>
      </c>
      <c r="F3834">
        <v>14</v>
      </c>
      <c r="G3834" s="1" t="s">
        <v>26</v>
      </c>
      <c r="H3834">
        <v>14161</v>
      </c>
      <c r="I3834">
        <v>90100</v>
      </c>
      <c r="J3834">
        <v>87100</v>
      </c>
      <c r="K3834">
        <v>61000</v>
      </c>
      <c r="L3834">
        <v>700</v>
      </c>
    </row>
    <row r="3835" spans="1:12" hidden="1" x14ac:dyDescent="0.25">
      <c r="A3835">
        <v>3834</v>
      </c>
      <c r="B3835" s="1" t="s">
        <v>12</v>
      </c>
      <c r="C3835">
        <v>1979</v>
      </c>
      <c r="D3835" s="1" t="s">
        <v>284</v>
      </c>
      <c r="E3835" s="1" t="s">
        <v>22</v>
      </c>
      <c r="F3835">
        <v>14</v>
      </c>
      <c r="G3835" s="1" t="s">
        <v>122</v>
      </c>
      <c r="H3835">
        <v>14182</v>
      </c>
      <c r="I3835">
        <v>2800</v>
      </c>
      <c r="J3835">
        <v>2800</v>
      </c>
      <c r="K3835">
        <v>1400</v>
      </c>
      <c r="L3835">
        <v>500</v>
      </c>
    </row>
    <row r="3836" spans="1:12" hidden="1" x14ac:dyDescent="0.25">
      <c r="A3836">
        <v>3835</v>
      </c>
      <c r="B3836" s="1" t="s">
        <v>12</v>
      </c>
      <c r="C3836">
        <v>1979</v>
      </c>
      <c r="D3836" s="1" t="s">
        <v>284</v>
      </c>
      <c r="E3836" s="1" t="s">
        <v>30</v>
      </c>
      <c r="F3836">
        <v>18</v>
      </c>
      <c r="G3836" s="1" t="s">
        <v>38</v>
      </c>
      <c r="H3836">
        <v>18007</v>
      </c>
      <c r="I3836">
        <v>90</v>
      </c>
      <c r="J3836">
        <v>90</v>
      </c>
      <c r="K3836">
        <v>37</v>
      </c>
      <c r="L3836">
        <v>411</v>
      </c>
    </row>
    <row r="3837" spans="1:12" hidden="1" x14ac:dyDescent="0.25">
      <c r="A3837">
        <v>3836</v>
      </c>
      <c r="B3837" s="1" t="s">
        <v>12</v>
      </c>
      <c r="C3837">
        <v>1979</v>
      </c>
      <c r="D3837" s="1" t="s">
        <v>284</v>
      </c>
      <c r="E3837" s="1" t="s">
        <v>30</v>
      </c>
      <c r="F3837">
        <v>18</v>
      </c>
      <c r="G3837" s="1" t="s">
        <v>28</v>
      </c>
      <c r="H3837">
        <v>18021</v>
      </c>
      <c r="I3837">
        <v>10</v>
      </c>
      <c r="J3837">
        <v>10</v>
      </c>
      <c r="K3837">
        <v>4</v>
      </c>
      <c r="L3837">
        <v>400</v>
      </c>
    </row>
    <row r="3838" spans="1:12" hidden="1" x14ac:dyDescent="0.25">
      <c r="A3838">
        <v>3837</v>
      </c>
      <c r="B3838" s="1" t="s">
        <v>12</v>
      </c>
      <c r="C3838">
        <v>1979</v>
      </c>
      <c r="D3838" s="1" t="s">
        <v>284</v>
      </c>
      <c r="E3838" s="1" t="s">
        <v>30</v>
      </c>
      <c r="F3838">
        <v>18</v>
      </c>
      <c r="G3838" s="1" t="s">
        <v>42</v>
      </c>
      <c r="H3838">
        <v>18035</v>
      </c>
      <c r="I3838">
        <v>5</v>
      </c>
      <c r="J3838">
        <v>4</v>
      </c>
      <c r="K3838">
        <v>2</v>
      </c>
      <c r="L3838">
        <v>500</v>
      </c>
    </row>
    <row r="3839" spans="1:12" hidden="1" x14ac:dyDescent="0.25">
      <c r="A3839">
        <v>3838</v>
      </c>
      <c r="B3839" s="1" t="s">
        <v>12</v>
      </c>
      <c r="C3839">
        <v>1979</v>
      </c>
      <c r="D3839" s="1" t="s">
        <v>284</v>
      </c>
      <c r="E3839" s="1" t="s">
        <v>30</v>
      </c>
      <c r="F3839">
        <v>18</v>
      </c>
      <c r="G3839" s="1" t="s">
        <v>34</v>
      </c>
      <c r="H3839">
        <v>18042</v>
      </c>
      <c r="I3839">
        <v>15</v>
      </c>
      <c r="J3839">
        <v>14</v>
      </c>
      <c r="K3839">
        <v>8</v>
      </c>
      <c r="L3839">
        <v>571</v>
      </c>
    </row>
    <row r="3840" spans="1:12" hidden="1" x14ac:dyDescent="0.25">
      <c r="A3840">
        <v>3839</v>
      </c>
      <c r="B3840" s="1" t="s">
        <v>12</v>
      </c>
      <c r="C3840">
        <v>1979</v>
      </c>
      <c r="D3840" s="1" t="s">
        <v>284</v>
      </c>
      <c r="E3840" s="1" t="s">
        <v>30</v>
      </c>
      <c r="F3840">
        <v>18</v>
      </c>
      <c r="G3840" s="1" t="s">
        <v>35</v>
      </c>
      <c r="H3840">
        <v>18049</v>
      </c>
      <c r="I3840">
        <v>10</v>
      </c>
      <c r="J3840">
        <v>8</v>
      </c>
      <c r="K3840">
        <v>3</v>
      </c>
      <c r="L3840">
        <v>375</v>
      </c>
    </row>
    <row r="3841" spans="1:12" hidden="1" x14ac:dyDescent="0.25">
      <c r="A3841">
        <v>3840</v>
      </c>
      <c r="B3841" s="1" t="s">
        <v>12</v>
      </c>
      <c r="C3841">
        <v>1979</v>
      </c>
      <c r="D3841" s="1" t="s">
        <v>284</v>
      </c>
      <c r="E3841" s="1" t="s">
        <v>30</v>
      </c>
      <c r="F3841">
        <v>18</v>
      </c>
      <c r="G3841" s="1" t="s">
        <v>99</v>
      </c>
      <c r="H3841">
        <v>18063</v>
      </c>
      <c r="I3841">
        <v>70</v>
      </c>
      <c r="J3841">
        <v>65</v>
      </c>
      <c r="K3841">
        <v>23</v>
      </c>
      <c r="L3841">
        <v>354</v>
      </c>
    </row>
    <row r="3842" spans="1:12" hidden="1" x14ac:dyDescent="0.25">
      <c r="A3842">
        <v>3841</v>
      </c>
      <c r="B3842" s="1" t="s">
        <v>12</v>
      </c>
      <c r="C3842">
        <v>1979</v>
      </c>
      <c r="D3842" s="1" t="s">
        <v>284</v>
      </c>
      <c r="E3842" s="1" t="s">
        <v>30</v>
      </c>
      <c r="F3842">
        <v>18</v>
      </c>
      <c r="G3842" s="1" t="s">
        <v>43</v>
      </c>
      <c r="H3842">
        <v>18070</v>
      </c>
      <c r="I3842">
        <v>25</v>
      </c>
      <c r="J3842">
        <v>21</v>
      </c>
      <c r="K3842">
        <v>8</v>
      </c>
      <c r="L3842">
        <v>381</v>
      </c>
    </row>
    <row r="3843" spans="1:12" hidden="1" x14ac:dyDescent="0.25">
      <c r="A3843">
        <v>3842</v>
      </c>
      <c r="B3843" s="1" t="s">
        <v>12</v>
      </c>
      <c r="C3843">
        <v>1979</v>
      </c>
      <c r="D3843" s="1" t="s">
        <v>284</v>
      </c>
      <c r="E3843" s="1" t="s">
        <v>30</v>
      </c>
      <c r="F3843">
        <v>18</v>
      </c>
      <c r="G3843" s="1" t="s">
        <v>39</v>
      </c>
      <c r="H3843">
        <v>18084</v>
      </c>
      <c r="I3843">
        <v>40</v>
      </c>
      <c r="J3843">
        <v>38</v>
      </c>
      <c r="K3843">
        <v>15</v>
      </c>
      <c r="L3843">
        <v>395</v>
      </c>
    </row>
    <row r="3844" spans="1:12" hidden="1" x14ac:dyDescent="0.25">
      <c r="A3844">
        <v>3843</v>
      </c>
      <c r="B3844" s="1" t="s">
        <v>12</v>
      </c>
      <c r="C3844">
        <v>1979</v>
      </c>
      <c r="D3844" s="1" t="s">
        <v>284</v>
      </c>
      <c r="E3844" s="1" t="s">
        <v>30</v>
      </c>
      <c r="F3844">
        <v>18</v>
      </c>
      <c r="G3844" s="1" t="s">
        <v>33</v>
      </c>
      <c r="H3844">
        <v>18091</v>
      </c>
      <c r="I3844">
        <v>40</v>
      </c>
      <c r="J3844">
        <v>35</v>
      </c>
      <c r="K3844">
        <v>13</v>
      </c>
      <c r="L3844">
        <v>371</v>
      </c>
    </row>
    <row r="3845" spans="1:12" hidden="1" x14ac:dyDescent="0.25">
      <c r="A3845">
        <v>3844</v>
      </c>
      <c r="B3845" s="1" t="s">
        <v>12</v>
      </c>
      <c r="C3845">
        <v>1979</v>
      </c>
      <c r="D3845" s="1" t="s">
        <v>284</v>
      </c>
      <c r="E3845" s="1" t="s">
        <v>30</v>
      </c>
      <c r="F3845">
        <v>18</v>
      </c>
      <c r="G3845" s="1" t="s">
        <v>98</v>
      </c>
      <c r="H3845">
        <v>18098</v>
      </c>
      <c r="I3845">
        <v>10</v>
      </c>
      <c r="J3845">
        <v>10</v>
      </c>
      <c r="K3845">
        <v>4</v>
      </c>
      <c r="L3845">
        <v>400</v>
      </c>
    </row>
    <row r="3846" spans="1:12" hidden="1" x14ac:dyDescent="0.25">
      <c r="A3846">
        <v>3845</v>
      </c>
      <c r="B3846" s="1" t="s">
        <v>12</v>
      </c>
      <c r="C3846">
        <v>1979</v>
      </c>
      <c r="D3846" s="1" t="s">
        <v>284</v>
      </c>
      <c r="E3846" s="1" t="s">
        <v>30</v>
      </c>
      <c r="F3846">
        <v>18</v>
      </c>
      <c r="G3846" s="1" t="s">
        <v>105</v>
      </c>
      <c r="H3846">
        <v>18105</v>
      </c>
      <c r="I3846">
        <v>6</v>
      </c>
      <c r="J3846">
        <v>6</v>
      </c>
      <c r="K3846">
        <v>2</v>
      </c>
      <c r="L3846">
        <v>333</v>
      </c>
    </row>
    <row r="3847" spans="1:12" hidden="1" x14ac:dyDescent="0.25">
      <c r="A3847">
        <v>3846</v>
      </c>
      <c r="B3847" s="1" t="s">
        <v>12</v>
      </c>
      <c r="C3847">
        <v>1979</v>
      </c>
      <c r="D3847" s="1" t="s">
        <v>284</v>
      </c>
      <c r="E3847" s="1" t="s">
        <v>30</v>
      </c>
      <c r="F3847">
        <v>18</v>
      </c>
      <c r="G3847" s="1" t="s">
        <v>32</v>
      </c>
      <c r="H3847">
        <v>18112</v>
      </c>
      <c r="I3847">
        <v>100</v>
      </c>
      <c r="J3847">
        <v>95</v>
      </c>
      <c r="K3847">
        <v>30</v>
      </c>
      <c r="L3847">
        <v>316</v>
      </c>
    </row>
    <row r="3848" spans="1:12" hidden="1" x14ac:dyDescent="0.25">
      <c r="A3848">
        <v>3847</v>
      </c>
      <c r="B3848" s="1" t="s">
        <v>12</v>
      </c>
      <c r="C3848">
        <v>1979</v>
      </c>
      <c r="D3848" s="1" t="s">
        <v>284</v>
      </c>
      <c r="E3848" s="1" t="s">
        <v>30</v>
      </c>
      <c r="F3848">
        <v>18</v>
      </c>
      <c r="G3848" s="1" t="s">
        <v>104</v>
      </c>
      <c r="H3848">
        <v>18119</v>
      </c>
      <c r="I3848">
        <v>15</v>
      </c>
      <c r="J3848">
        <v>15</v>
      </c>
      <c r="K3848">
        <v>7</v>
      </c>
      <c r="L3848">
        <v>467</v>
      </c>
    </row>
    <row r="3849" spans="1:12" hidden="1" x14ac:dyDescent="0.25">
      <c r="A3849">
        <v>3848</v>
      </c>
      <c r="B3849" s="1" t="s">
        <v>12</v>
      </c>
      <c r="C3849">
        <v>1979</v>
      </c>
      <c r="D3849" s="1" t="s">
        <v>284</v>
      </c>
      <c r="E3849" s="1" t="s">
        <v>30</v>
      </c>
      <c r="F3849">
        <v>18</v>
      </c>
      <c r="G3849" s="1" t="s">
        <v>40</v>
      </c>
      <c r="H3849">
        <v>18126</v>
      </c>
      <c r="I3849">
        <v>7</v>
      </c>
      <c r="J3849">
        <v>7</v>
      </c>
      <c r="K3849">
        <v>4</v>
      </c>
      <c r="L3849">
        <v>571</v>
      </c>
    </row>
    <row r="3850" spans="1:12" hidden="1" x14ac:dyDescent="0.25">
      <c r="A3850">
        <v>3849</v>
      </c>
      <c r="B3850" s="1" t="s">
        <v>12</v>
      </c>
      <c r="C3850">
        <v>1979</v>
      </c>
      <c r="D3850" s="1" t="s">
        <v>284</v>
      </c>
      <c r="E3850" s="1" t="s">
        <v>30</v>
      </c>
      <c r="F3850">
        <v>18</v>
      </c>
      <c r="G3850" s="1" t="s">
        <v>41</v>
      </c>
      <c r="H3850">
        <v>18140</v>
      </c>
      <c r="I3850">
        <v>55</v>
      </c>
      <c r="J3850">
        <v>50</v>
      </c>
      <c r="K3850">
        <v>18</v>
      </c>
      <c r="L3850">
        <v>360</v>
      </c>
    </row>
    <row r="3851" spans="1:12" hidden="1" x14ac:dyDescent="0.25">
      <c r="A3851">
        <v>3850</v>
      </c>
      <c r="B3851" s="1" t="s">
        <v>12</v>
      </c>
      <c r="C3851">
        <v>1979</v>
      </c>
      <c r="D3851" s="1" t="s">
        <v>284</v>
      </c>
      <c r="E3851" s="1" t="s">
        <v>30</v>
      </c>
      <c r="F3851">
        <v>18</v>
      </c>
      <c r="G3851" s="1" t="s">
        <v>37</v>
      </c>
      <c r="H3851">
        <v>18147</v>
      </c>
      <c r="I3851">
        <v>30</v>
      </c>
      <c r="J3851">
        <v>27</v>
      </c>
      <c r="K3851">
        <v>10</v>
      </c>
      <c r="L3851">
        <v>370</v>
      </c>
    </row>
    <row r="3852" spans="1:12" hidden="1" x14ac:dyDescent="0.25">
      <c r="A3852">
        <v>3851</v>
      </c>
      <c r="B3852" s="1" t="s">
        <v>12</v>
      </c>
      <c r="C3852">
        <v>1979</v>
      </c>
      <c r="D3852" s="1" t="s">
        <v>284</v>
      </c>
      <c r="E3852" s="1" t="s">
        <v>30</v>
      </c>
      <c r="F3852">
        <v>18</v>
      </c>
      <c r="G3852" s="1" t="s">
        <v>103</v>
      </c>
      <c r="H3852">
        <v>18154</v>
      </c>
      <c r="I3852">
        <v>7</v>
      </c>
      <c r="J3852">
        <v>7</v>
      </c>
      <c r="K3852">
        <v>2</v>
      </c>
      <c r="L3852">
        <v>286</v>
      </c>
    </row>
    <row r="3853" spans="1:12" hidden="1" x14ac:dyDescent="0.25">
      <c r="A3853">
        <v>3852</v>
      </c>
      <c r="B3853" s="1" t="s">
        <v>12</v>
      </c>
      <c r="C3853">
        <v>1979</v>
      </c>
      <c r="D3853" s="1" t="s">
        <v>284</v>
      </c>
      <c r="E3853" s="1" t="s">
        <v>30</v>
      </c>
      <c r="F3853">
        <v>18</v>
      </c>
      <c r="G3853" s="1" t="s">
        <v>101</v>
      </c>
      <c r="H3853">
        <v>18161</v>
      </c>
      <c r="I3853">
        <v>25</v>
      </c>
      <c r="J3853">
        <v>23</v>
      </c>
      <c r="K3853">
        <v>8</v>
      </c>
      <c r="L3853">
        <v>348</v>
      </c>
    </row>
    <row r="3854" spans="1:12" hidden="1" x14ac:dyDescent="0.25">
      <c r="A3854">
        <v>3853</v>
      </c>
      <c r="B3854" s="1" t="s">
        <v>12</v>
      </c>
      <c r="C3854">
        <v>1979</v>
      </c>
      <c r="D3854" s="1" t="s">
        <v>284</v>
      </c>
      <c r="E3854" s="1" t="s">
        <v>30</v>
      </c>
      <c r="F3854">
        <v>18</v>
      </c>
      <c r="G3854" s="1" t="s">
        <v>44</v>
      </c>
      <c r="H3854">
        <v>18168</v>
      </c>
      <c r="I3854">
        <v>40</v>
      </c>
      <c r="J3854">
        <v>35</v>
      </c>
      <c r="K3854">
        <v>12</v>
      </c>
      <c r="L3854">
        <v>343</v>
      </c>
    </row>
    <row r="3855" spans="1:12" hidden="1" x14ac:dyDescent="0.25">
      <c r="A3855">
        <v>3854</v>
      </c>
      <c r="B3855" s="1" t="s">
        <v>12</v>
      </c>
      <c r="C3855">
        <v>1979</v>
      </c>
      <c r="D3855" s="1" t="s">
        <v>284</v>
      </c>
      <c r="E3855" s="1" t="s">
        <v>45</v>
      </c>
      <c r="F3855">
        <v>30</v>
      </c>
      <c r="G3855" s="1" t="s">
        <v>27</v>
      </c>
      <c r="H3855">
        <v>30008</v>
      </c>
      <c r="I3855">
        <v>8</v>
      </c>
      <c r="J3855">
        <v>7</v>
      </c>
      <c r="K3855">
        <v>4</v>
      </c>
      <c r="L3855">
        <v>571</v>
      </c>
    </row>
    <row r="3856" spans="1:12" hidden="1" x14ac:dyDescent="0.25">
      <c r="A3856">
        <v>3855</v>
      </c>
      <c r="B3856" s="1" t="s">
        <v>12</v>
      </c>
      <c r="C3856">
        <v>1979</v>
      </c>
      <c r="D3856" s="1" t="s">
        <v>284</v>
      </c>
      <c r="E3856" s="1" t="s">
        <v>45</v>
      </c>
      <c r="F3856">
        <v>30</v>
      </c>
      <c r="G3856" s="1" t="s">
        <v>47</v>
      </c>
      <c r="H3856">
        <v>30015</v>
      </c>
      <c r="I3856">
        <v>15</v>
      </c>
      <c r="J3856">
        <v>13</v>
      </c>
      <c r="K3856">
        <v>6</v>
      </c>
      <c r="L3856">
        <v>462</v>
      </c>
    </row>
    <row r="3857" spans="1:12" hidden="1" x14ac:dyDescent="0.25">
      <c r="A3857">
        <v>3856</v>
      </c>
      <c r="B3857" s="1" t="s">
        <v>12</v>
      </c>
      <c r="C3857">
        <v>1979</v>
      </c>
      <c r="D3857" s="1" t="s">
        <v>284</v>
      </c>
      <c r="E3857" s="1" t="s">
        <v>45</v>
      </c>
      <c r="F3857">
        <v>30</v>
      </c>
      <c r="G3857" s="1" t="s">
        <v>46</v>
      </c>
      <c r="H3857">
        <v>30028</v>
      </c>
      <c r="I3857">
        <v>12</v>
      </c>
      <c r="J3857">
        <v>10</v>
      </c>
      <c r="K3857">
        <v>5</v>
      </c>
      <c r="L3857">
        <v>500</v>
      </c>
    </row>
    <row r="3858" spans="1:12" hidden="1" x14ac:dyDescent="0.25">
      <c r="A3858">
        <v>3857</v>
      </c>
      <c r="B3858" s="1" t="s">
        <v>12</v>
      </c>
      <c r="C3858">
        <v>1979</v>
      </c>
      <c r="D3858" s="1" t="s">
        <v>284</v>
      </c>
      <c r="E3858" s="1" t="s">
        <v>48</v>
      </c>
      <c r="F3858">
        <v>34</v>
      </c>
      <c r="G3858" s="1" t="s">
        <v>52</v>
      </c>
      <c r="H3858">
        <v>34035</v>
      </c>
      <c r="I3858">
        <v>350</v>
      </c>
      <c r="J3858">
        <v>350</v>
      </c>
      <c r="K3858">
        <v>360</v>
      </c>
      <c r="L3858">
        <v>1029</v>
      </c>
    </row>
    <row r="3859" spans="1:12" hidden="1" x14ac:dyDescent="0.25">
      <c r="A3859">
        <v>3858</v>
      </c>
      <c r="B3859" s="1" t="s">
        <v>12</v>
      </c>
      <c r="C3859">
        <v>1979</v>
      </c>
      <c r="D3859" s="1" t="s">
        <v>284</v>
      </c>
      <c r="E3859" s="1" t="s">
        <v>48</v>
      </c>
      <c r="F3859">
        <v>34</v>
      </c>
      <c r="G3859" s="1" t="s">
        <v>108</v>
      </c>
      <c r="H3859">
        <v>34042</v>
      </c>
      <c r="I3859">
        <v>50</v>
      </c>
      <c r="J3859">
        <v>50</v>
      </c>
      <c r="K3859">
        <v>40</v>
      </c>
      <c r="L3859">
        <v>800</v>
      </c>
    </row>
    <row r="3860" spans="1:12" hidden="1" x14ac:dyDescent="0.25">
      <c r="A3860">
        <v>3859</v>
      </c>
      <c r="B3860" s="1" t="s">
        <v>12</v>
      </c>
      <c r="C3860">
        <v>1979</v>
      </c>
      <c r="D3860" s="1" t="s">
        <v>284</v>
      </c>
      <c r="E3860" s="1" t="s">
        <v>48</v>
      </c>
      <c r="F3860">
        <v>34</v>
      </c>
      <c r="G3860" s="1" t="s">
        <v>51</v>
      </c>
      <c r="H3860">
        <v>34056</v>
      </c>
      <c r="I3860">
        <v>50</v>
      </c>
      <c r="J3860">
        <v>50</v>
      </c>
      <c r="K3860">
        <v>50</v>
      </c>
      <c r="L3860">
        <v>1000</v>
      </c>
    </row>
    <row r="3861" spans="1:12" x14ac:dyDescent="0.25">
      <c r="A3861">
        <v>3860</v>
      </c>
      <c r="B3861" s="1" t="s">
        <v>12</v>
      </c>
      <c r="C3861">
        <v>1979</v>
      </c>
      <c r="D3861" s="1" t="s">
        <v>284</v>
      </c>
      <c r="E3861" s="1" t="s">
        <v>53</v>
      </c>
      <c r="F3861">
        <v>38</v>
      </c>
      <c r="G3861" s="1" t="s">
        <v>56</v>
      </c>
      <c r="H3861">
        <v>38063</v>
      </c>
      <c r="I3861">
        <v>20</v>
      </c>
      <c r="J3861">
        <v>20</v>
      </c>
      <c r="K3861">
        <v>15</v>
      </c>
      <c r="L3861">
        <v>750</v>
      </c>
    </row>
    <row r="3862" spans="1:12" hidden="1" x14ac:dyDescent="0.25">
      <c r="A3862">
        <v>3861</v>
      </c>
      <c r="B3862" s="1" t="s">
        <v>12</v>
      </c>
      <c r="C3862">
        <v>1979</v>
      </c>
      <c r="D3862" s="1" t="s">
        <v>284</v>
      </c>
      <c r="E3862" s="1" t="s">
        <v>138</v>
      </c>
      <c r="F3862">
        <v>50</v>
      </c>
      <c r="G3862" s="1" t="s">
        <v>140</v>
      </c>
      <c r="H3862">
        <v>50014</v>
      </c>
      <c r="I3862">
        <v>30</v>
      </c>
      <c r="J3862">
        <v>20</v>
      </c>
      <c r="K3862">
        <v>14</v>
      </c>
      <c r="L3862">
        <v>700</v>
      </c>
    </row>
    <row r="3863" spans="1:12" hidden="1" x14ac:dyDescent="0.25">
      <c r="A3863">
        <v>3862</v>
      </c>
      <c r="B3863" s="1" t="s">
        <v>12</v>
      </c>
      <c r="C3863">
        <v>1979</v>
      </c>
      <c r="D3863" s="1" t="s">
        <v>284</v>
      </c>
      <c r="E3863" s="1" t="s">
        <v>138</v>
      </c>
      <c r="F3863">
        <v>50</v>
      </c>
      <c r="G3863" s="1" t="s">
        <v>139</v>
      </c>
      <c r="H3863">
        <v>50105</v>
      </c>
      <c r="I3863">
        <v>70</v>
      </c>
      <c r="J3863">
        <v>40</v>
      </c>
      <c r="K3863">
        <v>28</v>
      </c>
      <c r="L3863">
        <v>700</v>
      </c>
    </row>
    <row r="3864" spans="1:12" hidden="1" x14ac:dyDescent="0.25">
      <c r="A3864">
        <v>3863</v>
      </c>
      <c r="B3864" s="1" t="s">
        <v>12</v>
      </c>
      <c r="C3864">
        <v>1979</v>
      </c>
      <c r="D3864" s="1" t="s">
        <v>284</v>
      </c>
      <c r="E3864" s="1" t="s">
        <v>138</v>
      </c>
      <c r="F3864">
        <v>50</v>
      </c>
      <c r="G3864" s="1" t="s">
        <v>83</v>
      </c>
      <c r="H3864">
        <v>50112</v>
      </c>
      <c r="I3864">
        <v>130</v>
      </c>
      <c r="J3864">
        <v>100</v>
      </c>
      <c r="K3864">
        <v>78</v>
      </c>
      <c r="L3864">
        <v>780</v>
      </c>
    </row>
    <row r="3865" spans="1:12" hidden="1" x14ac:dyDescent="0.25">
      <c r="A3865">
        <v>3864</v>
      </c>
      <c r="B3865" s="1" t="s">
        <v>12</v>
      </c>
      <c r="C3865">
        <v>1979</v>
      </c>
      <c r="D3865" s="1" t="s">
        <v>284</v>
      </c>
      <c r="E3865" s="1" t="s">
        <v>58</v>
      </c>
      <c r="F3865">
        <v>54</v>
      </c>
      <c r="G3865" s="1" t="s">
        <v>59</v>
      </c>
      <c r="H3865">
        <v>54007</v>
      </c>
      <c r="I3865">
        <v>11</v>
      </c>
      <c r="J3865">
        <v>11</v>
      </c>
      <c r="K3865">
        <v>7</v>
      </c>
      <c r="L3865">
        <v>636</v>
      </c>
    </row>
    <row r="3866" spans="1:12" hidden="1" x14ac:dyDescent="0.25">
      <c r="A3866">
        <v>3865</v>
      </c>
      <c r="B3866" s="1" t="s">
        <v>12</v>
      </c>
      <c r="C3866">
        <v>1979</v>
      </c>
      <c r="D3866" s="1" t="s">
        <v>284</v>
      </c>
      <c r="E3866" s="1" t="s">
        <v>58</v>
      </c>
      <c r="F3866">
        <v>54</v>
      </c>
      <c r="G3866" s="1" t="s">
        <v>150</v>
      </c>
      <c r="H3866">
        <v>54014</v>
      </c>
      <c r="I3866">
        <v>6</v>
      </c>
      <c r="J3866">
        <v>6</v>
      </c>
      <c r="K3866">
        <v>3</v>
      </c>
      <c r="L3866">
        <v>500</v>
      </c>
    </row>
    <row r="3867" spans="1:12" hidden="1" x14ac:dyDescent="0.25">
      <c r="A3867">
        <v>3866</v>
      </c>
      <c r="B3867" s="1" t="s">
        <v>12</v>
      </c>
      <c r="C3867">
        <v>1979</v>
      </c>
      <c r="D3867" s="1" t="s">
        <v>284</v>
      </c>
      <c r="E3867" s="1" t="s">
        <v>58</v>
      </c>
      <c r="F3867">
        <v>54</v>
      </c>
      <c r="G3867" s="1" t="s">
        <v>60</v>
      </c>
      <c r="H3867">
        <v>54021</v>
      </c>
      <c r="I3867">
        <v>10</v>
      </c>
      <c r="J3867">
        <v>10</v>
      </c>
      <c r="K3867">
        <v>6</v>
      </c>
      <c r="L3867">
        <v>600</v>
      </c>
    </row>
    <row r="3868" spans="1:12" hidden="1" x14ac:dyDescent="0.25">
      <c r="A3868">
        <v>3867</v>
      </c>
      <c r="B3868" s="1" t="s">
        <v>12</v>
      </c>
      <c r="C3868">
        <v>1979</v>
      </c>
      <c r="D3868" s="1" t="s">
        <v>284</v>
      </c>
      <c r="E3868" s="1" t="s">
        <v>58</v>
      </c>
      <c r="F3868">
        <v>54</v>
      </c>
      <c r="G3868" s="1" t="s">
        <v>63</v>
      </c>
      <c r="H3868">
        <v>54035</v>
      </c>
      <c r="I3868">
        <v>4</v>
      </c>
      <c r="J3868">
        <v>4</v>
      </c>
      <c r="K3868">
        <v>2</v>
      </c>
      <c r="L3868">
        <v>500</v>
      </c>
    </row>
    <row r="3869" spans="1:12" hidden="1" x14ac:dyDescent="0.25">
      <c r="A3869">
        <v>3868</v>
      </c>
      <c r="B3869" s="1" t="s">
        <v>12</v>
      </c>
      <c r="C3869">
        <v>1979</v>
      </c>
      <c r="D3869" s="1" t="s">
        <v>284</v>
      </c>
      <c r="E3869" s="1" t="s">
        <v>58</v>
      </c>
      <c r="F3869">
        <v>54</v>
      </c>
      <c r="G3869" s="1" t="s">
        <v>266</v>
      </c>
      <c r="H3869">
        <v>54042</v>
      </c>
      <c r="I3869">
        <v>10</v>
      </c>
      <c r="J3869">
        <v>10</v>
      </c>
      <c r="K3869">
        <v>6</v>
      </c>
      <c r="L3869">
        <v>600</v>
      </c>
    </row>
    <row r="3870" spans="1:12" hidden="1" x14ac:dyDescent="0.25">
      <c r="A3870">
        <v>3869</v>
      </c>
      <c r="B3870" s="1" t="s">
        <v>12</v>
      </c>
      <c r="C3870">
        <v>1979</v>
      </c>
      <c r="D3870" s="1" t="s">
        <v>284</v>
      </c>
      <c r="E3870" s="1" t="s">
        <v>58</v>
      </c>
      <c r="F3870">
        <v>54</v>
      </c>
      <c r="G3870" s="1" t="s">
        <v>151</v>
      </c>
      <c r="H3870">
        <v>54056</v>
      </c>
      <c r="I3870">
        <v>2</v>
      </c>
      <c r="J3870">
        <v>2</v>
      </c>
      <c r="K3870">
        <v>1</v>
      </c>
      <c r="L3870">
        <v>500</v>
      </c>
    </row>
    <row r="3871" spans="1:12" hidden="1" x14ac:dyDescent="0.25">
      <c r="A3871">
        <v>3870</v>
      </c>
      <c r="B3871" s="1" t="s">
        <v>12</v>
      </c>
      <c r="C3871">
        <v>1979</v>
      </c>
      <c r="D3871" s="1" t="s">
        <v>284</v>
      </c>
      <c r="E3871" s="1" t="s">
        <v>58</v>
      </c>
      <c r="F3871">
        <v>54</v>
      </c>
      <c r="G3871" s="1" t="s">
        <v>243</v>
      </c>
      <c r="H3871">
        <v>54070</v>
      </c>
      <c r="I3871">
        <v>6</v>
      </c>
      <c r="J3871">
        <v>6</v>
      </c>
      <c r="K3871">
        <v>4</v>
      </c>
      <c r="L3871">
        <v>667</v>
      </c>
    </row>
    <row r="3872" spans="1:12" hidden="1" x14ac:dyDescent="0.25">
      <c r="A3872">
        <v>3871</v>
      </c>
      <c r="B3872" s="1" t="s">
        <v>12</v>
      </c>
      <c r="C3872">
        <v>1979</v>
      </c>
      <c r="D3872" s="1" t="s">
        <v>284</v>
      </c>
      <c r="E3872" s="1" t="s">
        <v>58</v>
      </c>
      <c r="F3872">
        <v>54</v>
      </c>
      <c r="G3872" s="1" t="s">
        <v>119</v>
      </c>
      <c r="H3872">
        <v>54077</v>
      </c>
      <c r="I3872">
        <v>4</v>
      </c>
      <c r="J3872">
        <v>4</v>
      </c>
      <c r="K3872">
        <v>2</v>
      </c>
      <c r="L3872">
        <v>500</v>
      </c>
    </row>
    <row r="3873" spans="1:12" hidden="1" x14ac:dyDescent="0.25">
      <c r="A3873">
        <v>3872</v>
      </c>
      <c r="B3873" s="1" t="s">
        <v>12</v>
      </c>
      <c r="C3873">
        <v>1979</v>
      </c>
      <c r="D3873" s="1" t="s">
        <v>284</v>
      </c>
      <c r="E3873" s="1" t="s">
        <v>58</v>
      </c>
      <c r="F3873">
        <v>54</v>
      </c>
      <c r="G3873" s="1" t="s">
        <v>244</v>
      </c>
      <c r="H3873">
        <v>54084</v>
      </c>
      <c r="I3873">
        <v>8</v>
      </c>
      <c r="J3873">
        <v>8</v>
      </c>
      <c r="K3873">
        <v>4</v>
      </c>
      <c r="L3873">
        <v>500</v>
      </c>
    </row>
    <row r="3874" spans="1:12" hidden="1" x14ac:dyDescent="0.25">
      <c r="A3874">
        <v>3873</v>
      </c>
      <c r="B3874" s="1" t="s">
        <v>12</v>
      </c>
      <c r="C3874">
        <v>1979</v>
      </c>
      <c r="D3874" s="1" t="s">
        <v>284</v>
      </c>
      <c r="E3874" s="1" t="s">
        <v>58</v>
      </c>
      <c r="F3874">
        <v>54</v>
      </c>
      <c r="G3874" s="1" t="s">
        <v>242</v>
      </c>
      <c r="H3874">
        <v>54091</v>
      </c>
      <c r="I3874">
        <v>3</v>
      </c>
      <c r="J3874">
        <v>3</v>
      </c>
      <c r="K3874">
        <v>2</v>
      </c>
      <c r="L3874">
        <v>667</v>
      </c>
    </row>
    <row r="3875" spans="1:12" hidden="1" x14ac:dyDescent="0.25">
      <c r="A3875">
        <v>3874</v>
      </c>
      <c r="B3875" s="1" t="s">
        <v>12</v>
      </c>
      <c r="C3875">
        <v>1979</v>
      </c>
      <c r="D3875" s="1" t="s">
        <v>284</v>
      </c>
      <c r="E3875" s="1" t="s">
        <v>58</v>
      </c>
      <c r="F3875">
        <v>54</v>
      </c>
      <c r="G3875" s="1" t="s">
        <v>61</v>
      </c>
      <c r="H3875">
        <v>54098</v>
      </c>
      <c r="I3875">
        <v>4</v>
      </c>
      <c r="J3875">
        <v>4</v>
      </c>
      <c r="K3875">
        <v>2</v>
      </c>
      <c r="L3875">
        <v>500</v>
      </c>
    </row>
    <row r="3876" spans="1:12" x14ac:dyDescent="0.25">
      <c r="A3876">
        <v>3875</v>
      </c>
      <c r="B3876" s="1" t="s">
        <v>12</v>
      </c>
      <c r="C3876">
        <v>1979</v>
      </c>
      <c r="D3876" s="1" t="s">
        <v>284</v>
      </c>
      <c r="E3876" s="1" t="s">
        <v>58</v>
      </c>
      <c r="F3876">
        <v>54</v>
      </c>
      <c r="G3876" s="1" t="s">
        <v>56</v>
      </c>
      <c r="H3876">
        <v>54112</v>
      </c>
      <c r="I3876">
        <v>2</v>
      </c>
      <c r="J3876">
        <v>2</v>
      </c>
      <c r="K3876">
        <v>1</v>
      </c>
      <c r="L3876">
        <v>500</v>
      </c>
    </row>
    <row r="3877" spans="1:12" hidden="1" x14ac:dyDescent="0.25">
      <c r="A3877">
        <v>3876</v>
      </c>
      <c r="B3877" s="1" t="s">
        <v>12</v>
      </c>
      <c r="C3877">
        <v>1979</v>
      </c>
      <c r="D3877" s="1" t="s">
        <v>284</v>
      </c>
      <c r="E3877" s="1" t="s">
        <v>87</v>
      </c>
      <c r="F3877">
        <v>66</v>
      </c>
      <c r="G3877" s="1" t="s">
        <v>153</v>
      </c>
      <c r="H3877">
        <v>66007</v>
      </c>
      <c r="I3877">
        <v>350</v>
      </c>
      <c r="J3877">
        <v>350</v>
      </c>
      <c r="K3877">
        <v>230</v>
      </c>
      <c r="L3877">
        <v>657</v>
      </c>
    </row>
    <row r="3878" spans="1:12" hidden="1" x14ac:dyDescent="0.25">
      <c r="A3878">
        <v>3877</v>
      </c>
      <c r="B3878" s="1" t="s">
        <v>12</v>
      </c>
      <c r="C3878">
        <v>1979</v>
      </c>
      <c r="D3878" s="1" t="s">
        <v>284</v>
      </c>
      <c r="E3878" s="1" t="s">
        <v>87</v>
      </c>
      <c r="F3878">
        <v>66</v>
      </c>
      <c r="G3878" s="1" t="s">
        <v>28</v>
      </c>
      <c r="H3878">
        <v>66028</v>
      </c>
      <c r="I3878">
        <v>30</v>
      </c>
      <c r="J3878">
        <v>30</v>
      </c>
      <c r="K3878">
        <v>20</v>
      </c>
      <c r="L3878">
        <v>667</v>
      </c>
    </row>
    <row r="3879" spans="1:12" hidden="1" x14ac:dyDescent="0.25">
      <c r="A3879">
        <v>3878</v>
      </c>
      <c r="B3879" s="1" t="s">
        <v>12</v>
      </c>
      <c r="C3879">
        <v>1979</v>
      </c>
      <c r="D3879" s="1" t="s">
        <v>284</v>
      </c>
      <c r="E3879" s="1" t="s">
        <v>87</v>
      </c>
      <c r="F3879">
        <v>66</v>
      </c>
      <c r="G3879" s="1" t="s">
        <v>230</v>
      </c>
      <c r="H3879">
        <v>66056</v>
      </c>
      <c r="I3879">
        <v>200</v>
      </c>
      <c r="J3879">
        <v>200</v>
      </c>
      <c r="K3879">
        <v>140</v>
      </c>
      <c r="L3879">
        <v>700</v>
      </c>
    </row>
    <row r="3880" spans="1:12" hidden="1" x14ac:dyDescent="0.25">
      <c r="A3880">
        <v>3879</v>
      </c>
      <c r="B3880" s="1" t="s">
        <v>12</v>
      </c>
      <c r="C3880">
        <v>1979</v>
      </c>
      <c r="D3880" s="1" t="s">
        <v>284</v>
      </c>
      <c r="E3880" s="1" t="s">
        <v>87</v>
      </c>
      <c r="F3880">
        <v>66</v>
      </c>
      <c r="G3880" s="1" t="s">
        <v>141</v>
      </c>
      <c r="H3880">
        <v>66112</v>
      </c>
      <c r="I3880">
        <v>100</v>
      </c>
      <c r="J3880">
        <v>100</v>
      </c>
      <c r="K3880">
        <v>70</v>
      </c>
      <c r="L3880">
        <v>700</v>
      </c>
    </row>
    <row r="3881" spans="1:12" hidden="1" x14ac:dyDescent="0.25">
      <c r="A3881">
        <v>3880</v>
      </c>
      <c r="B3881" s="1" t="s">
        <v>12</v>
      </c>
      <c r="C3881">
        <v>1979</v>
      </c>
      <c r="D3881" s="1" t="s">
        <v>284</v>
      </c>
      <c r="E3881" s="1" t="s">
        <v>87</v>
      </c>
      <c r="F3881">
        <v>66</v>
      </c>
      <c r="G3881" s="1" t="s">
        <v>179</v>
      </c>
      <c r="H3881">
        <v>66126</v>
      </c>
      <c r="I3881">
        <v>200</v>
      </c>
      <c r="J3881">
        <v>200</v>
      </c>
      <c r="K3881">
        <v>140</v>
      </c>
      <c r="L3881">
        <v>700</v>
      </c>
    </row>
    <row r="3882" spans="1:12" hidden="1" x14ac:dyDescent="0.25">
      <c r="A3882">
        <v>3881</v>
      </c>
      <c r="B3882" s="1" t="s">
        <v>12</v>
      </c>
      <c r="C3882">
        <v>1979</v>
      </c>
      <c r="D3882" s="1" t="s">
        <v>284</v>
      </c>
      <c r="E3882" s="1" t="s">
        <v>116</v>
      </c>
      <c r="F3882">
        <v>74</v>
      </c>
      <c r="G3882" s="1" t="s">
        <v>118</v>
      </c>
      <c r="H3882">
        <v>74028</v>
      </c>
      <c r="I3882">
        <v>2500</v>
      </c>
      <c r="J3882">
        <v>160</v>
      </c>
      <c r="K3882">
        <v>80</v>
      </c>
      <c r="L3882">
        <v>500</v>
      </c>
    </row>
    <row r="3883" spans="1:12" hidden="1" x14ac:dyDescent="0.25">
      <c r="A3883">
        <v>3882</v>
      </c>
      <c r="B3883" s="1" t="s">
        <v>12</v>
      </c>
      <c r="C3883">
        <v>1979</v>
      </c>
      <c r="D3883" s="1" t="s">
        <v>284</v>
      </c>
      <c r="E3883" s="1" t="s">
        <v>64</v>
      </c>
      <c r="F3883">
        <v>82</v>
      </c>
      <c r="G3883" s="1" t="s">
        <v>232</v>
      </c>
      <c r="H3883">
        <v>82077</v>
      </c>
      <c r="I3883">
        <v>110</v>
      </c>
      <c r="J3883">
        <v>100</v>
      </c>
      <c r="K3883">
        <v>84</v>
      </c>
      <c r="L3883">
        <v>840</v>
      </c>
    </row>
    <row r="3884" spans="1:12" hidden="1" x14ac:dyDescent="0.25">
      <c r="A3884">
        <v>3883</v>
      </c>
      <c r="B3884" s="1" t="s">
        <v>12</v>
      </c>
      <c r="C3884">
        <v>1979</v>
      </c>
      <c r="D3884" s="1" t="s">
        <v>284</v>
      </c>
      <c r="E3884" s="1" t="s">
        <v>64</v>
      </c>
      <c r="F3884">
        <v>82</v>
      </c>
      <c r="G3884" s="1" t="s">
        <v>66</v>
      </c>
      <c r="H3884">
        <v>82035</v>
      </c>
      <c r="I3884">
        <v>100</v>
      </c>
      <c r="J3884">
        <v>90</v>
      </c>
      <c r="K3884">
        <v>80</v>
      </c>
      <c r="L3884">
        <v>889</v>
      </c>
    </row>
    <row r="3885" spans="1:12" hidden="1" x14ac:dyDescent="0.25">
      <c r="A3885">
        <v>3884</v>
      </c>
      <c r="B3885" s="1" t="s">
        <v>12</v>
      </c>
      <c r="C3885">
        <v>1979</v>
      </c>
      <c r="D3885" s="1" t="s">
        <v>284</v>
      </c>
      <c r="E3885" s="1" t="s">
        <v>64</v>
      </c>
      <c r="F3885">
        <v>82</v>
      </c>
      <c r="G3885" s="1" t="s">
        <v>272</v>
      </c>
      <c r="H3885">
        <v>82042</v>
      </c>
      <c r="I3885">
        <v>150</v>
      </c>
      <c r="J3885">
        <v>130</v>
      </c>
      <c r="K3885">
        <v>130</v>
      </c>
      <c r="L3885">
        <v>1000</v>
      </c>
    </row>
    <row r="3886" spans="1:12" hidden="1" x14ac:dyDescent="0.25">
      <c r="A3886">
        <v>3885</v>
      </c>
      <c r="B3886" s="1" t="s">
        <v>12</v>
      </c>
      <c r="C3886">
        <v>1979</v>
      </c>
      <c r="D3886" s="1" t="s">
        <v>284</v>
      </c>
      <c r="E3886" s="1" t="s">
        <v>64</v>
      </c>
      <c r="F3886">
        <v>82</v>
      </c>
      <c r="G3886" s="1" t="s">
        <v>65</v>
      </c>
      <c r="H3886">
        <v>82049</v>
      </c>
      <c r="I3886">
        <v>150</v>
      </c>
      <c r="J3886">
        <v>150</v>
      </c>
      <c r="K3886">
        <v>106</v>
      </c>
      <c r="L3886">
        <v>707</v>
      </c>
    </row>
    <row r="3887" spans="1:12" hidden="1" x14ac:dyDescent="0.25">
      <c r="A3887">
        <v>3886</v>
      </c>
      <c r="B3887" s="1" t="s">
        <v>12</v>
      </c>
      <c r="C3887">
        <v>1979</v>
      </c>
      <c r="D3887" s="1" t="s">
        <v>284</v>
      </c>
      <c r="E3887" s="1" t="s">
        <v>64</v>
      </c>
      <c r="F3887">
        <v>82</v>
      </c>
      <c r="G3887" s="1" t="s">
        <v>277</v>
      </c>
      <c r="H3887">
        <v>82056</v>
      </c>
      <c r="I3887">
        <v>5</v>
      </c>
      <c r="J3887">
        <v>0</v>
      </c>
      <c r="K3887">
        <v>0</v>
      </c>
      <c r="L3887">
        <v>0</v>
      </c>
    </row>
    <row r="3888" spans="1:12" hidden="1" x14ac:dyDescent="0.25">
      <c r="A3888">
        <v>3887</v>
      </c>
      <c r="B3888" s="1" t="s">
        <v>12</v>
      </c>
      <c r="C3888">
        <v>1980</v>
      </c>
      <c r="D3888" s="1" t="s">
        <v>286</v>
      </c>
      <c r="E3888" s="1" t="s">
        <v>80</v>
      </c>
      <c r="F3888">
        <v>10</v>
      </c>
      <c r="G3888" s="1" t="s">
        <v>285</v>
      </c>
      <c r="H3888">
        <v>10042</v>
      </c>
      <c r="I3888">
        <v>180</v>
      </c>
      <c r="J3888">
        <v>0</v>
      </c>
      <c r="K3888">
        <v>0</v>
      </c>
      <c r="L3888">
        <v>0</v>
      </c>
    </row>
    <row r="3889" spans="1:12" hidden="1" x14ac:dyDescent="0.25">
      <c r="A3889">
        <v>3888</v>
      </c>
      <c r="B3889" s="1" t="s">
        <v>12</v>
      </c>
      <c r="C3889">
        <v>1980</v>
      </c>
      <c r="D3889" s="1" t="s">
        <v>286</v>
      </c>
      <c r="E3889" s="1" t="s">
        <v>80</v>
      </c>
      <c r="F3889">
        <v>10</v>
      </c>
      <c r="G3889" s="1" t="s">
        <v>84</v>
      </c>
      <c r="H3889">
        <v>10063</v>
      </c>
      <c r="I3889">
        <v>20</v>
      </c>
      <c r="J3889">
        <v>0</v>
      </c>
      <c r="K3889">
        <v>0</v>
      </c>
      <c r="L3889">
        <v>0</v>
      </c>
    </row>
    <row r="3890" spans="1:12" hidden="1" x14ac:dyDescent="0.25">
      <c r="A3890">
        <v>3889</v>
      </c>
      <c r="B3890" s="1" t="s">
        <v>12</v>
      </c>
      <c r="C3890">
        <v>1980</v>
      </c>
      <c r="D3890" s="1" t="s">
        <v>286</v>
      </c>
      <c r="E3890" s="1" t="s">
        <v>80</v>
      </c>
      <c r="F3890">
        <v>10</v>
      </c>
      <c r="G3890" s="1" t="s">
        <v>83</v>
      </c>
      <c r="H3890">
        <v>10098</v>
      </c>
      <c r="I3890">
        <v>50</v>
      </c>
      <c r="J3890">
        <v>0</v>
      </c>
      <c r="K3890">
        <v>0</v>
      </c>
      <c r="L3890">
        <v>0</v>
      </c>
    </row>
    <row r="3891" spans="1:12" hidden="1" x14ac:dyDescent="0.25">
      <c r="A3891">
        <v>3890</v>
      </c>
      <c r="B3891" s="1" t="s">
        <v>12</v>
      </c>
      <c r="C3891">
        <v>1980</v>
      </c>
      <c r="D3891" s="1" t="s">
        <v>286</v>
      </c>
      <c r="E3891" s="1" t="s">
        <v>14</v>
      </c>
      <c r="F3891">
        <v>22</v>
      </c>
      <c r="G3891" s="1" t="s">
        <v>238</v>
      </c>
      <c r="H3891">
        <v>22036</v>
      </c>
      <c r="I3891">
        <v>60</v>
      </c>
      <c r="J3891">
        <v>0</v>
      </c>
      <c r="K3891">
        <v>0</v>
      </c>
      <c r="L3891">
        <v>0</v>
      </c>
    </row>
    <row r="3892" spans="1:12" hidden="1" x14ac:dyDescent="0.25">
      <c r="A3892">
        <v>3891</v>
      </c>
      <c r="B3892" s="1" t="s">
        <v>12</v>
      </c>
      <c r="C3892">
        <v>1980</v>
      </c>
      <c r="D3892" s="1" t="s">
        <v>286</v>
      </c>
      <c r="E3892" s="1" t="s">
        <v>14</v>
      </c>
      <c r="F3892">
        <v>22</v>
      </c>
      <c r="G3892" s="1" t="s">
        <v>236</v>
      </c>
      <c r="H3892">
        <v>22063</v>
      </c>
      <c r="I3892">
        <v>50</v>
      </c>
      <c r="J3892">
        <v>0</v>
      </c>
      <c r="K3892">
        <v>0</v>
      </c>
      <c r="L3892">
        <v>0</v>
      </c>
    </row>
    <row r="3893" spans="1:12" hidden="1" x14ac:dyDescent="0.25">
      <c r="A3893">
        <v>3892</v>
      </c>
      <c r="B3893" s="1" t="s">
        <v>12</v>
      </c>
      <c r="C3893">
        <v>1980</v>
      </c>
      <c r="D3893" s="1" t="s">
        <v>286</v>
      </c>
      <c r="E3893" s="1" t="s">
        <v>14</v>
      </c>
      <c r="F3893">
        <v>22</v>
      </c>
      <c r="G3893" s="1" t="s">
        <v>255</v>
      </c>
      <c r="H3893">
        <v>22070</v>
      </c>
      <c r="I3893">
        <v>20</v>
      </c>
      <c r="J3893">
        <v>0</v>
      </c>
      <c r="K3893">
        <v>0</v>
      </c>
      <c r="L3893">
        <v>0</v>
      </c>
    </row>
    <row r="3894" spans="1:12" hidden="1" x14ac:dyDescent="0.25">
      <c r="A3894">
        <v>3893</v>
      </c>
      <c r="B3894" s="1" t="s">
        <v>12</v>
      </c>
      <c r="C3894">
        <v>1980</v>
      </c>
      <c r="D3894" s="1" t="s">
        <v>286</v>
      </c>
      <c r="E3894" s="1" t="s">
        <v>22</v>
      </c>
      <c r="F3894">
        <v>14</v>
      </c>
      <c r="G3894" s="1" t="s">
        <v>97</v>
      </c>
      <c r="H3894">
        <v>14007</v>
      </c>
      <c r="I3894">
        <v>5000</v>
      </c>
      <c r="J3894">
        <v>5000</v>
      </c>
      <c r="K3894">
        <v>3385</v>
      </c>
      <c r="L3894">
        <v>677</v>
      </c>
    </row>
    <row r="3895" spans="1:12" hidden="1" x14ac:dyDescent="0.25">
      <c r="A3895">
        <v>3894</v>
      </c>
      <c r="B3895" s="1" t="s">
        <v>12</v>
      </c>
      <c r="C3895">
        <v>1980</v>
      </c>
      <c r="D3895" s="1" t="s">
        <v>286</v>
      </c>
      <c r="E3895" s="1" t="s">
        <v>22</v>
      </c>
      <c r="F3895">
        <v>14</v>
      </c>
      <c r="G3895" s="1" t="s">
        <v>173</v>
      </c>
      <c r="H3895">
        <v>14028</v>
      </c>
      <c r="I3895">
        <v>50</v>
      </c>
      <c r="J3895">
        <v>50</v>
      </c>
      <c r="K3895">
        <v>29</v>
      </c>
      <c r="L3895">
        <v>580</v>
      </c>
    </row>
    <row r="3896" spans="1:12" hidden="1" x14ac:dyDescent="0.25">
      <c r="A3896">
        <v>3895</v>
      </c>
      <c r="B3896" s="1" t="s">
        <v>12</v>
      </c>
      <c r="C3896">
        <v>1980</v>
      </c>
      <c r="D3896" s="1" t="s">
        <v>286</v>
      </c>
      <c r="E3896" s="1" t="s">
        <v>22</v>
      </c>
      <c r="F3896">
        <v>14</v>
      </c>
      <c r="G3896" s="1" t="s">
        <v>184</v>
      </c>
      <c r="H3896">
        <v>14042</v>
      </c>
      <c r="I3896">
        <v>17000</v>
      </c>
      <c r="J3896">
        <v>17000</v>
      </c>
      <c r="K3896">
        <v>14800</v>
      </c>
      <c r="L3896">
        <v>871</v>
      </c>
    </row>
    <row r="3897" spans="1:12" hidden="1" x14ac:dyDescent="0.25">
      <c r="A3897">
        <v>3896</v>
      </c>
      <c r="B3897" s="1" t="s">
        <v>12</v>
      </c>
      <c r="C3897">
        <v>1980</v>
      </c>
      <c r="D3897" s="1" t="s">
        <v>286</v>
      </c>
      <c r="E3897" s="1" t="s">
        <v>22</v>
      </c>
      <c r="F3897">
        <v>14</v>
      </c>
      <c r="G3897" s="1" t="s">
        <v>143</v>
      </c>
      <c r="H3897">
        <v>14056</v>
      </c>
      <c r="I3897">
        <v>32000</v>
      </c>
      <c r="J3897">
        <v>32000</v>
      </c>
      <c r="K3897">
        <v>30400</v>
      </c>
      <c r="L3897">
        <v>950</v>
      </c>
    </row>
    <row r="3898" spans="1:12" hidden="1" x14ac:dyDescent="0.25">
      <c r="A3898">
        <v>3897</v>
      </c>
      <c r="B3898" s="1" t="s">
        <v>12</v>
      </c>
      <c r="C3898">
        <v>1980</v>
      </c>
      <c r="D3898" s="1" t="s">
        <v>286</v>
      </c>
      <c r="E3898" s="1" t="s">
        <v>22</v>
      </c>
      <c r="F3898">
        <v>14</v>
      </c>
      <c r="G3898" s="1" t="s">
        <v>29</v>
      </c>
      <c r="H3898">
        <v>14098</v>
      </c>
      <c r="I3898">
        <v>15000</v>
      </c>
      <c r="J3898">
        <v>15000</v>
      </c>
      <c r="K3898">
        <v>12300</v>
      </c>
      <c r="L3898">
        <v>820</v>
      </c>
    </row>
    <row r="3899" spans="1:12" hidden="1" x14ac:dyDescent="0.25">
      <c r="A3899">
        <v>3898</v>
      </c>
      <c r="B3899" s="1" t="s">
        <v>12</v>
      </c>
      <c r="C3899">
        <v>1980</v>
      </c>
      <c r="D3899" s="1" t="s">
        <v>286</v>
      </c>
      <c r="E3899" s="1" t="s">
        <v>22</v>
      </c>
      <c r="F3899">
        <v>14</v>
      </c>
      <c r="G3899" s="1" t="s">
        <v>25</v>
      </c>
      <c r="H3899">
        <v>14105</v>
      </c>
      <c r="I3899">
        <v>1000</v>
      </c>
      <c r="J3899">
        <v>1000</v>
      </c>
      <c r="K3899">
        <v>920</v>
      </c>
      <c r="L3899">
        <v>920</v>
      </c>
    </row>
    <row r="3900" spans="1:12" hidden="1" x14ac:dyDescent="0.25">
      <c r="A3900">
        <v>3899</v>
      </c>
      <c r="B3900" s="1" t="s">
        <v>12</v>
      </c>
      <c r="C3900">
        <v>1980</v>
      </c>
      <c r="D3900" s="1" t="s">
        <v>286</v>
      </c>
      <c r="E3900" s="1" t="s">
        <v>22</v>
      </c>
      <c r="F3900">
        <v>14</v>
      </c>
      <c r="G3900" s="1" t="s">
        <v>24</v>
      </c>
      <c r="H3900">
        <v>14119</v>
      </c>
      <c r="I3900">
        <v>35000</v>
      </c>
      <c r="J3900">
        <v>32023</v>
      </c>
      <c r="K3900">
        <v>26300</v>
      </c>
      <c r="L3900">
        <v>821</v>
      </c>
    </row>
    <row r="3901" spans="1:12" hidden="1" x14ac:dyDescent="0.25">
      <c r="A3901">
        <v>3900</v>
      </c>
      <c r="B3901" s="1" t="s">
        <v>12</v>
      </c>
      <c r="C3901">
        <v>1980</v>
      </c>
      <c r="D3901" s="1" t="s">
        <v>286</v>
      </c>
      <c r="E3901" s="1" t="s">
        <v>22</v>
      </c>
      <c r="F3901">
        <v>14</v>
      </c>
      <c r="G3901" s="1" t="s">
        <v>67</v>
      </c>
      <c r="H3901">
        <v>14140</v>
      </c>
      <c r="I3901">
        <v>400</v>
      </c>
      <c r="J3901">
        <v>400</v>
      </c>
      <c r="K3901">
        <v>350</v>
      </c>
      <c r="L3901">
        <v>875</v>
      </c>
    </row>
    <row r="3902" spans="1:12" hidden="1" x14ac:dyDescent="0.25">
      <c r="A3902">
        <v>3901</v>
      </c>
      <c r="B3902" s="1" t="s">
        <v>12</v>
      </c>
      <c r="C3902">
        <v>1980</v>
      </c>
      <c r="D3902" s="1" t="s">
        <v>286</v>
      </c>
      <c r="E3902" s="1" t="s">
        <v>22</v>
      </c>
      <c r="F3902">
        <v>14</v>
      </c>
      <c r="G3902" s="1" t="s">
        <v>23</v>
      </c>
      <c r="H3902">
        <v>14147</v>
      </c>
      <c r="I3902">
        <v>12000</v>
      </c>
      <c r="J3902">
        <v>11997</v>
      </c>
      <c r="K3902">
        <v>9360</v>
      </c>
      <c r="L3902">
        <v>780</v>
      </c>
    </row>
    <row r="3903" spans="1:12" hidden="1" x14ac:dyDescent="0.25">
      <c r="A3903">
        <v>3902</v>
      </c>
      <c r="B3903" s="1" t="s">
        <v>12</v>
      </c>
      <c r="C3903">
        <v>1980</v>
      </c>
      <c r="D3903" s="1" t="s">
        <v>286</v>
      </c>
      <c r="E3903" s="1" t="s">
        <v>22</v>
      </c>
      <c r="F3903">
        <v>14</v>
      </c>
      <c r="G3903" s="1" t="s">
        <v>26</v>
      </c>
      <c r="H3903">
        <v>14161</v>
      </c>
      <c r="I3903">
        <v>80000</v>
      </c>
      <c r="J3903">
        <v>79980</v>
      </c>
      <c r="K3903">
        <v>70200</v>
      </c>
      <c r="L3903">
        <v>878</v>
      </c>
    </row>
    <row r="3904" spans="1:12" hidden="1" x14ac:dyDescent="0.25">
      <c r="A3904">
        <v>3903</v>
      </c>
      <c r="B3904" s="1" t="s">
        <v>12</v>
      </c>
      <c r="C3904">
        <v>1980</v>
      </c>
      <c r="D3904" s="1" t="s">
        <v>286</v>
      </c>
      <c r="E3904" s="1" t="s">
        <v>22</v>
      </c>
      <c r="F3904">
        <v>14</v>
      </c>
      <c r="G3904" s="1" t="s">
        <v>122</v>
      </c>
      <c r="H3904">
        <v>14182</v>
      </c>
      <c r="I3904">
        <v>1550</v>
      </c>
      <c r="J3904">
        <v>1550</v>
      </c>
      <c r="K3904">
        <v>1456</v>
      </c>
      <c r="L3904">
        <v>939</v>
      </c>
    </row>
    <row r="3905" spans="1:12" hidden="1" x14ac:dyDescent="0.25">
      <c r="A3905">
        <v>3904</v>
      </c>
      <c r="B3905" s="1" t="s">
        <v>12</v>
      </c>
      <c r="C3905">
        <v>1980</v>
      </c>
      <c r="D3905" s="1" t="s">
        <v>286</v>
      </c>
      <c r="E3905" s="1" t="s">
        <v>30</v>
      </c>
      <c r="F3905">
        <v>18</v>
      </c>
      <c r="G3905" s="1" t="s">
        <v>38</v>
      </c>
      <c r="H3905">
        <v>18007</v>
      </c>
      <c r="I3905">
        <v>46</v>
      </c>
      <c r="J3905">
        <v>40</v>
      </c>
      <c r="K3905">
        <v>20</v>
      </c>
      <c r="L3905">
        <v>500</v>
      </c>
    </row>
    <row r="3906" spans="1:12" hidden="1" x14ac:dyDescent="0.25">
      <c r="A3906">
        <v>3905</v>
      </c>
      <c r="B3906" s="1" t="s">
        <v>12</v>
      </c>
      <c r="C3906">
        <v>1980</v>
      </c>
      <c r="D3906" s="1" t="s">
        <v>286</v>
      </c>
      <c r="E3906" s="1" t="s">
        <v>30</v>
      </c>
      <c r="F3906">
        <v>18</v>
      </c>
      <c r="G3906" s="1" t="s">
        <v>28</v>
      </c>
      <c r="H3906">
        <v>18021</v>
      </c>
      <c r="I3906">
        <v>12</v>
      </c>
      <c r="J3906">
        <v>10</v>
      </c>
      <c r="K3906">
        <v>5</v>
      </c>
      <c r="L3906">
        <v>500</v>
      </c>
    </row>
    <row r="3907" spans="1:12" hidden="1" x14ac:dyDescent="0.25">
      <c r="A3907">
        <v>3906</v>
      </c>
      <c r="B3907" s="1" t="s">
        <v>12</v>
      </c>
      <c r="C3907">
        <v>1980</v>
      </c>
      <c r="D3907" s="1" t="s">
        <v>286</v>
      </c>
      <c r="E3907" s="1" t="s">
        <v>30</v>
      </c>
      <c r="F3907">
        <v>18</v>
      </c>
      <c r="G3907" s="1" t="s">
        <v>42</v>
      </c>
      <c r="H3907">
        <v>18035</v>
      </c>
      <c r="I3907">
        <v>5</v>
      </c>
      <c r="J3907">
        <v>5</v>
      </c>
      <c r="K3907">
        <v>3</v>
      </c>
      <c r="L3907">
        <v>600</v>
      </c>
    </row>
    <row r="3908" spans="1:12" hidden="1" x14ac:dyDescent="0.25">
      <c r="A3908">
        <v>3907</v>
      </c>
      <c r="B3908" s="1" t="s">
        <v>12</v>
      </c>
      <c r="C3908">
        <v>1980</v>
      </c>
      <c r="D3908" s="1" t="s">
        <v>286</v>
      </c>
      <c r="E3908" s="1" t="s">
        <v>30</v>
      </c>
      <c r="F3908">
        <v>18</v>
      </c>
      <c r="G3908" s="1" t="s">
        <v>34</v>
      </c>
      <c r="H3908">
        <v>18042</v>
      </c>
      <c r="I3908">
        <v>14</v>
      </c>
      <c r="J3908">
        <v>10</v>
      </c>
      <c r="K3908">
        <v>5</v>
      </c>
      <c r="L3908">
        <v>500</v>
      </c>
    </row>
    <row r="3909" spans="1:12" hidden="1" x14ac:dyDescent="0.25">
      <c r="A3909">
        <v>3908</v>
      </c>
      <c r="B3909" s="1" t="s">
        <v>12</v>
      </c>
      <c r="C3909">
        <v>1980</v>
      </c>
      <c r="D3909" s="1" t="s">
        <v>286</v>
      </c>
      <c r="E3909" s="1" t="s">
        <v>30</v>
      </c>
      <c r="F3909">
        <v>18</v>
      </c>
      <c r="G3909" s="1" t="s">
        <v>35</v>
      </c>
      <c r="H3909">
        <v>18049</v>
      </c>
      <c r="I3909">
        <v>12</v>
      </c>
      <c r="J3909">
        <v>10</v>
      </c>
      <c r="K3909">
        <v>6</v>
      </c>
      <c r="L3909">
        <v>600</v>
      </c>
    </row>
    <row r="3910" spans="1:12" hidden="1" x14ac:dyDescent="0.25">
      <c r="A3910">
        <v>3909</v>
      </c>
      <c r="B3910" s="1" t="s">
        <v>12</v>
      </c>
      <c r="C3910">
        <v>1980</v>
      </c>
      <c r="D3910" s="1" t="s">
        <v>286</v>
      </c>
      <c r="E3910" s="1" t="s">
        <v>30</v>
      </c>
      <c r="F3910">
        <v>18</v>
      </c>
      <c r="G3910" s="1" t="s">
        <v>99</v>
      </c>
      <c r="H3910">
        <v>18063</v>
      </c>
      <c r="I3910">
        <v>45</v>
      </c>
      <c r="J3910">
        <v>40</v>
      </c>
      <c r="K3910">
        <v>13</v>
      </c>
      <c r="L3910">
        <v>325</v>
      </c>
    </row>
    <row r="3911" spans="1:12" hidden="1" x14ac:dyDescent="0.25">
      <c r="A3911">
        <v>3910</v>
      </c>
      <c r="B3911" s="1" t="s">
        <v>12</v>
      </c>
      <c r="C3911">
        <v>1980</v>
      </c>
      <c r="D3911" s="1" t="s">
        <v>286</v>
      </c>
      <c r="E3911" s="1" t="s">
        <v>30</v>
      </c>
      <c r="F3911">
        <v>18</v>
      </c>
      <c r="G3911" s="1" t="s">
        <v>43</v>
      </c>
      <c r="H3911">
        <v>18070</v>
      </c>
      <c r="I3911">
        <v>20</v>
      </c>
      <c r="J3911">
        <v>20</v>
      </c>
      <c r="K3911">
        <v>10</v>
      </c>
      <c r="L3911">
        <v>500</v>
      </c>
    </row>
    <row r="3912" spans="1:12" hidden="1" x14ac:dyDescent="0.25">
      <c r="A3912">
        <v>3911</v>
      </c>
      <c r="B3912" s="1" t="s">
        <v>12</v>
      </c>
      <c r="C3912">
        <v>1980</v>
      </c>
      <c r="D3912" s="1" t="s">
        <v>286</v>
      </c>
      <c r="E3912" s="1" t="s">
        <v>30</v>
      </c>
      <c r="F3912">
        <v>18</v>
      </c>
      <c r="G3912" s="1" t="s">
        <v>39</v>
      </c>
      <c r="H3912">
        <v>18084</v>
      </c>
      <c r="I3912">
        <v>34</v>
      </c>
      <c r="J3912">
        <v>30</v>
      </c>
      <c r="K3912">
        <v>19</v>
      </c>
      <c r="L3912">
        <v>633</v>
      </c>
    </row>
    <row r="3913" spans="1:12" hidden="1" x14ac:dyDescent="0.25">
      <c r="A3913">
        <v>3912</v>
      </c>
      <c r="B3913" s="1" t="s">
        <v>12</v>
      </c>
      <c r="C3913">
        <v>1980</v>
      </c>
      <c r="D3913" s="1" t="s">
        <v>286</v>
      </c>
      <c r="E3913" s="1" t="s">
        <v>30</v>
      </c>
      <c r="F3913">
        <v>18</v>
      </c>
      <c r="G3913" s="1" t="s">
        <v>33</v>
      </c>
      <c r="H3913">
        <v>18091</v>
      </c>
      <c r="I3913">
        <v>23</v>
      </c>
      <c r="J3913">
        <v>20</v>
      </c>
      <c r="K3913">
        <v>12</v>
      </c>
      <c r="L3913">
        <v>600</v>
      </c>
    </row>
    <row r="3914" spans="1:12" hidden="1" x14ac:dyDescent="0.25">
      <c r="A3914">
        <v>3913</v>
      </c>
      <c r="B3914" s="1" t="s">
        <v>12</v>
      </c>
      <c r="C3914">
        <v>1980</v>
      </c>
      <c r="D3914" s="1" t="s">
        <v>286</v>
      </c>
      <c r="E3914" s="1" t="s">
        <v>30</v>
      </c>
      <c r="F3914">
        <v>18</v>
      </c>
      <c r="G3914" s="1" t="s">
        <v>98</v>
      </c>
      <c r="H3914">
        <v>18098</v>
      </c>
      <c r="I3914">
        <v>8</v>
      </c>
      <c r="J3914">
        <v>7</v>
      </c>
      <c r="K3914">
        <v>4</v>
      </c>
      <c r="L3914">
        <v>571</v>
      </c>
    </row>
    <row r="3915" spans="1:12" hidden="1" x14ac:dyDescent="0.25">
      <c r="A3915">
        <v>3914</v>
      </c>
      <c r="B3915" s="1" t="s">
        <v>12</v>
      </c>
      <c r="C3915">
        <v>1980</v>
      </c>
      <c r="D3915" s="1" t="s">
        <v>286</v>
      </c>
      <c r="E3915" s="1" t="s">
        <v>30</v>
      </c>
      <c r="F3915">
        <v>18</v>
      </c>
      <c r="G3915" s="1" t="s">
        <v>105</v>
      </c>
      <c r="H3915">
        <v>18105</v>
      </c>
      <c r="I3915">
        <v>7</v>
      </c>
      <c r="J3915">
        <v>7</v>
      </c>
      <c r="K3915">
        <v>5</v>
      </c>
      <c r="L3915">
        <v>714</v>
      </c>
    </row>
    <row r="3916" spans="1:12" hidden="1" x14ac:dyDescent="0.25">
      <c r="A3916">
        <v>3915</v>
      </c>
      <c r="B3916" s="1" t="s">
        <v>12</v>
      </c>
      <c r="C3916">
        <v>1980</v>
      </c>
      <c r="D3916" s="1" t="s">
        <v>286</v>
      </c>
      <c r="E3916" s="1" t="s">
        <v>30</v>
      </c>
      <c r="F3916">
        <v>18</v>
      </c>
      <c r="G3916" s="1" t="s">
        <v>32</v>
      </c>
      <c r="H3916">
        <v>18112</v>
      </c>
      <c r="I3916">
        <v>40</v>
      </c>
      <c r="J3916">
        <v>36</v>
      </c>
      <c r="K3916">
        <v>20</v>
      </c>
      <c r="L3916">
        <v>556</v>
      </c>
    </row>
    <row r="3917" spans="1:12" hidden="1" x14ac:dyDescent="0.25">
      <c r="A3917">
        <v>3916</v>
      </c>
      <c r="B3917" s="1" t="s">
        <v>12</v>
      </c>
      <c r="C3917">
        <v>1980</v>
      </c>
      <c r="D3917" s="1" t="s">
        <v>286</v>
      </c>
      <c r="E3917" s="1" t="s">
        <v>30</v>
      </c>
      <c r="F3917">
        <v>18</v>
      </c>
      <c r="G3917" s="1" t="s">
        <v>104</v>
      </c>
      <c r="H3917">
        <v>18119</v>
      </c>
      <c r="I3917">
        <v>10</v>
      </c>
      <c r="J3917">
        <v>9</v>
      </c>
      <c r="K3917">
        <v>5</v>
      </c>
      <c r="L3917">
        <v>556</v>
      </c>
    </row>
    <row r="3918" spans="1:12" hidden="1" x14ac:dyDescent="0.25">
      <c r="A3918">
        <v>3917</v>
      </c>
      <c r="B3918" s="1" t="s">
        <v>12</v>
      </c>
      <c r="C3918">
        <v>1980</v>
      </c>
      <c r="D3918" s="1" t="s">
        <v>286</v>
      </c>
      <c r="E3918" s="1" t="s">
        <v>30</v>
      </c>
      <c r="F3918">
        <v>18</v>
      </c>
      <c r="G3918" s="1" t="s">
        <v>40</v>
      </c>
      <c r="H3918">
        <v>18126</v>
      </c>
      <c r="I3918">
        <v>8</v>
      </c>
      <c r="J3918">
        <v>7</v>
      </c>
      <c r="K3918">
        <v>4</v>
      </c>
      <c r="L3918">
        <v>571</v>
      </c>
    </row>
    <row r="3919" spans="1:12" hidden="1" x14ac:dyDescent="0.25">
      <c r="A3919">
        <v>3918</v>
      </c>
      <c r="B3919" s="1" t="s">
        <v>12</v>
      </c>
      <c r="C3919">
        <v>1980</v>
      </c>
      <c r="D3919" s="1" t="s">
        <v>286</v>
      </c>
      <c r="E3919" s="1" t="s">
        <v>30</v>
      </c>
      <c r="F3919">
        <v>18</v>
      </c>
      <c r="G3919" s="1" t="s">
        <v>41</v>
      </c>
      <c r="H3919">
        <v>18140</v>
      </c>
      <c r="I3919">
        <v>30</v>
      </c>
      <c r="J3919">
        <v>30</v>
      </c>
      <c r="K3919">
        <v>20</v>
      </c>
      <c r="L3919">
        <v>667</v>
      </c>
    </row>
    <row r="3920" spans="1:12" hidden="1" x14ac:dyDescent="0.25">
      <c r="A3920">
        <v>3919</v>
      </c>
      <c r="B3920" s="1" t="s">
        <v>12</v>
      </c>
      <c r="C3920">
        <v>1980</v>
      </c>
      <c r="D3920" s="1" t="s">
        <v>286</v>
      </c>
      <c r="E3920" s="1" t="s">
        <v>30</v>
      </c>
      <c r="F3920">
        <v>18</v>
      </c>
      <c r="G3920" s="1" t="s">
        <v>37</v>
      </c>
      <c r="H3920">
        <v>18147</v>
      </c>
      <c r="I3920">
        <v>22</v>
      </c>
      <c r="J3920">
        <v>20</v>
      </c>
      <c r="K3920">
        <v>10</v>
      </c>
      <c r="L3920">
        <v>500</v>
      </c>
    </row>
    <row r="3921" spans="1:12" hidden="1" x14ac:dyDescent="0.25">
      <c r="A3921">
        <v>3920</v>
      </c>
      <c r="B3921" s="1" t="s">
        <v>12</v>
      </c>
      <c r="C3921">
        <v>1980</v>
      </c>
      <c r="D3921" s="1" t="s">
        <v>286</v>
      </c>
      <c r="E3921" s="1" t="s">
        <v>30</v>
      </c>
      <c r="F3921">
        <v>18</v>
      </c>
      <c r="G3921" s="1" t="s">
        <v>103</v>
      </c>
      <c r="H3921">
        <v>18154</v>
      </c>
      <c r="I3921">
        <v>5</v>
      </c>
      <c r="J3921">
        <v>5</v>
      </c>
      <c r="K3921">
        <v>3</v>
      </c>
      <c r="L3921">
        <v>600</v>
      </c>
    </row>
    <row r="3922" spans="1:12" hidden="1" x14ac:dyDescent="0.25">
      <c r="A3922">
        <v>3921</v>
      </c>
      <c r="B3922" s="1" t="s">
        <v>12</v>
      </c>
      <c r="C3922">
        <v>1980</v>
      </c>
      <c r="D3922" s="1" t="s">
        <v>286</v>
      </c>
      <c r="E3922" s="1" t="s">
        <v>30</v>
      </c>
      <c r="F3922">
        <v>18</v>
      </c>
      <c r="G3922" s="1" t="s">
        <v>101</v>
      </c>
      <c r="H3922">
        <v>18161</v>
      </c>
      <c r="I3922">
        <v>19</v>
      </c>
      <c r="J3922">
        <v>16</v>
      </c>
      <c r="K3922">
        <v>10</v>
      </c>
      <c r="L3922">
        <v>625</v>
      </c>
    </row>
    <row r="3923" spans="1:12" hidden="1" x14ac:dyDescent="0.25">
      <c r="A3923">
        <v>3922</v>
      </c>
      <c r="B3923" s="1" t="s">
        <v>12</v>
      </c>
      <c r="C3923">
        <v>1980</v>
      </c>
      <c r="D3923" s="1" t="s">
        <v>286</v>
      </c>
      <c r="E3923" s="1" t="s">
        <v>30</v>
      </c>
      <c r="F3923">
        <v>18</v>
      </c>
      <c r="G3923" s="1" t="s">
        <v>44</v>
      </c>
      <c r="H3923">
        <v>18168</v>
      </c>
      <c r="I3923">
        <v>30</v>
      </c>
      <c r="J3923">
        <v>28</v>
      </c>
      <c r="K3923">
        <v>14</v>
      </c>
      <c r="L3923">
        <v>500</v>
      </c>
    </row>
    <row r="3924" spans="1:12" hidden="1" x14ac:dyDescent="0.25">
      <c r="A3924">
        <v>3923</v>
      </c>
      <c r="B3924" s="1" t="s">
        <v>12</v>
      </c>
      <c r="C3924">
        <v>1980</v>
      </c>
      <c r="D3924" s="1" t="s">
        <v>286</v>
      </c>
      <c r="E3924" s="1" t="s">
        <v>45</v>
      </c>
      <c r="F3924">
        <v>30</v>
      </c>
      <c r="G3924" s="1" t="s">
        <v>27</v>
      </c>
      <c r="H3924">
        <v>30008</v>
      </c>
      <c r="I3924">
        <v>5</v>
      </c>
      <c r="J3924">
        <v>4</v>
      </c>
      <c r="K3924">
        <v>2</v>
      </c>
      <c r="L3924">
        <v>500</v>
      </c>
    </row>
    <row r="3925" spans="1:12" hidden="1" x14ac:dyDescent="0.25">
      <c r="A3925">
        <v>3924</v>
      </c>
      <c r="B3925" s="1" t="s">
        <v>12</v>
      </c>
      <c r="C3925">
        <v>1980</v>
      </c>
      <c r="D3925" s="1" t="s">
        <v>286</v>
      </c>
      <c r="E3925" s="1" t="s">
        <v>45</v>
      </c>
      <c r="F3925">
        <v>30</v>
      </c>
      <c r="G3925" s="1" t="s">
        <v>47</v>
      </c>
      <c r="H3925">
        <v>30015</v>
      </c>
      <c r="I3925">
        <v>15</v>
      </c>
      <c r="J3925">
        <v>12</v>
      </c>
      <c r="K3925">
        <v>5</v>
      </c>
      <c r="L3925">
        <v>417</v>
      </c>
    </row>
    <row r="3926" spans="1:12" hidden="1" x14ac:dyDescent="0.25">
      <c r="A3926">
        <v>3925</v>
      </c>
      <c r="B3926" s="1" t="s">
        <v>12</v>
      </c>
      <c r="C3926">
        <v>1980</v>
      </c>
      <c r="D3926" s="1" t="s">
        <v>286</v>
      </c>
      <c r="E3926" s="1" t="s">
        <v>45</v>
      </c>
      <c r="F3926">
        <v>30</v>
      </c>
      <c r="G3926" s="1" t="s">
        <v>207</v>
      </c>
      <c r="H3926">
        <v>30021</v>
      </c>
      <c r="I3926">
        <v>10</v>
      </c>
      <c r="J3926">
        <v>9</v>
      </c>
      <c r="K3926">
        <v>5</v>
      </c>
      <c r="L3926">
        <v>556</v>
      </c>
    </row>
    <row r="3927" spans="1:12" hidden="1" x14ac:dyDescent="0.25">
      <c r="A3927">
        <v>3926</v>
      </c>
      <c r="B3927" s="1" t="s">
        <v>12</v>
      </c>
      <c r="C3927">
        <v>1980</v>
      </c>
      <c r="D3927" s="1" t="s">
        <v>286</v>
      </c>
      <c r="E3927" s="1" t="s">
        <v>48</v>
      </c>
      <c r="F3927">
        <v>34</v>
      </c>
      <c r="G3927" s="1" t="s">
        <v>52</v>
      </c>
      <c r="H3927">
        <v>34035</v>
      </c>
      <c r="I3927">
        <v>100</v>
      </c>
      <c r="J3927">
        <v>0</v>
      </c>
      <c r="K3927">
        <v>0</v>
      </c>
      <c r="L3927">
        <v>0</v>
      </c>
    </row>
    <row r="3928" spans="1:12" hidden="1" x14ac:dyDescent="0.25">
      <c r="A3928">
        <v>3927</v>
      </c>
      <c r="B3928" s="1" t="s">
        <v>12</v>
      </c>
      <c r="C3928">
        <v>1980</v>
      </c>
      <c r="D3928" s="1" t="s">
        <v>286</v>
      </c>
      <c r="E3928" s="1" t="s">
        <v>48</v>
      </c>
      <c r="F3928">
        <v>34</v>
      </c>
      <c r="G3928" s="1" t="s">
        <v>108</v>
      </c>
      <c r="H3928">
        <v>34042</v>
      </c>
      <c r="I3928">
        <v>20</v>
      </c>
      <c r="J3928">
        <v>0</v>
      </c>
      <c r="K3928">
        <v>0</v>
      </c>
      <c r="L3928">
        <v>0</v>
      </c>
    </row>
    <row r="3929" spans="1:12" hidden="1" x14ac:dyDescent="0.25">
      <c r="A3929">
        <v>3928</v>
      </c>
      <c r="B3929" s="1" t="s">
        <v>12</v>
      </c>
      <c r="C3929">
        <v>1980</v>
      </c>
      <c r="D3929" s="1" t="s">
        <v>286</v>
      </c>
      <c r="E3929" s="1" t="s">
        <v>48</v>
      </c>
      <c r="F3929">
        <v>34</v>
      </c>
      <c r="G3929" s="1" t="s">
        <v>51</v>
      </c>
      <c r="H3929">
        <v>34056</v>
      </c>
      <c r="I3929">
        <v>40</v>
      </c>
      <c r="J3929">
        <v>0</v>
      </c>
      <c r="K3929">
        <v>0</v>
      </c>
      <c r="L3929">
        <v>0</v>
      </c>
    </row>
    <row r="3930" spans="1:12" hidden="1" x14ac:dyDescent="0.25">
      <c r="A3930">
        <v>3929</v>
      </c>
      <c r="B3930" s="1" t="s">
        <v>12</v>
      </c>
      <c r="C3930">
        <v>1980</v>
      </c>
      <c r="D3930" s="1" t="s">
        <v>286</v>
      </c>
      <c r="E3930" s="1" t="s">
        <v>53</v>
      </c>
      <c r="F3930">
        <v>38</v>
      </c>
      <c r="G3930" s="1" t="s">
        <v>270</v>
      </c>
      <c r="H3930">
        <v>38070</v>
      </c>
      <c r="I3930">
        <v>10</v>
      </c>
      <c r="J3930">
        <v>0</v>
      </c>
      <c r="K3930">
        <v>0</v>
      </c>
      <c r="L3930">
        <v>0</v>
      </c>
    </row>
    <row r="3931" spans="1:12" hidden="1" x14ac:dyDescent="0.25">
      <c r="A3931">
        <v>3930</v>
      </c>
      <c r="B3931" s="1" t="s">
        <v>12</v>
      </c>
      <c r="C3931">
        <v>1980</v>
      </c>
      <c r="D3931" s="1" t="s">
        <v>286</v>
      </c>
      <c r="E3931" s="1" t="s">
        <v>287</v>
      </c>
      <c r="F3931">
        <v>46</v>
      </c>
      <c r="G3931" s="1" t="s">
        <v>28</v>
      </c>
      <c r="H3931">
        <v>46014</v>
      </c>
      <c r="I3931">
        <v>270</v>
      </c>
      <c r="J3931">
        <v>0</v>
      </c>
      <c r="K3931">
        <v>0</v>
      </c>
      <c r="L3931">
        <v>0</v>
      </c>
    </row>
    <row r="3932" spans="1:12" hidden="1" x14ac:dyDescent="0.25">
      <c r="A3932">
        <v>3931</v>
      </c>
      <c r="B3932" s="1" t="s">
        <v>12</v>
      </c>
      <c r="C3932">
        <v>1980</v>
      </c>
      <c r="D3932" s="1" t="s">
        <v>286</v>
      </c>
      <c r="E3932" s="1" t="s">
        <v>58</v>
      </c>
      <c r="F3932">
        <v>54</v>
      </c>
      <c r="G3932" s="1" t="s">
        <v>59</v>
      </c>
      <c r="H3932">
        <v>54007</v>
      </c>
      <c r="I3932">
        <v>12</v>
      </c>
      <c r="J3932">
        <v>10</v>
      </c>
      <c r="K3932">
        <v>8</v>
      </c>
      <c r="L3932">
        <v>800</v>
      </c>
    </row>
    <row r="3933" spans="1:12" hidden="1" x14ac:dyDescent="0.25">
      <c r="A3933">
        <v>3932</v>
      </c>
      <c r="B3933" s="1" t="s">
        <v>12</v>
      </c>
      <c r="C3933">
        <v>1980</v>
      </c>
      <c r="D3933" s="1" t="s">
        <v>286</v>
      </c>
      <c r="E3933" s="1" t="s">
        <v>58</v>
      </c>
      <c r="F3933">
        <v>54</v>
      </c>
      <c r="G3933" s="1" t="s">
        <v>150</v>
      </c>
      <c r="H3933">
        <v>54014</v>
      </c>
      <c r="I3933">
        <v>6</v>
      </c>
      <c r="J3933">
        <v>6</v>
      </c>
      <c r="K3933">
        <v>4</v>
      </c>
      <c r="L3933">
        <v>667</v>
      </c>
    </row>
    <row r="3934" spans="1:12" hidden="1" x14ac:dyDescent="0.25">
      <c r="A3934">
        <v>3933</v>
      </c>
      <c r="B3934" s="1" t="s">
        <v>12</v>
      </c>
      <c r="C3934">
        <v>1980</v>
      </c>
      <c r="D3934" s="1" t="s">
        <v>286</v>
      </c>
      <c r="E3934" s="1" t="s">
        <v>58</v>
      </c>
      <c r="F3934">
        <v>54</v>
      </c>
      <c r="G3934" s="1" t="s">
        <v>60</v>
      </c>
      <c r="H3934">
        <v>54021</v>
      </c>
      <c r="I3934">
        <v>8</v>
      </c>
      <c r="J3934">
        <v>7</v>
      </c>
      <c r="K3934">
        <v>4</v>
      </c>
      <c r="L3934">
        <v>571</v>
      </c>
    </row>
    <row r="3935" spans="1:12" hidden="1" x14ac:dyDescent="0.25">
      <c r="A3935">
        <v>3934</v>
      </c>
      <c r="B3935" s="1" t="s">
        <v>12</v>
      </c>
      <c r="C3935">
        <v>1980</v>
      </c>
      <c r="D3935" s="1" t="s">
        <v>286</v>
      </c>
      <c r="E3935" s="1" t="s">
        <v>58</v>
      </c>
      <c r="F3935">
        <v>54</v>
      </c>
      <c r="G3935" s="1" t="s">
        <v>63</v>
      </c>
      <c r="H3935">
        <v>54035</v>
      </c>
      <c r="I3935">
        <v>5</v>
      </c>
      <c r="J3935">
        <v>5</v>
      </c>
      <c r="K3935">
        <v>3</v>
      </c>
      <c r="L3935">
        <v>600</v>
      </c>
    </row>
    <row r="3936" spans="1:12" hidden="1" x14ac:dyDescent="0.25">
      <c r="A3936">
        <v>3935</v>
      </c>
      <c r="B3936" s="1" t="s">
        <v>12</v>
      </c>
      <c r="C3936">
        <v>1980</v>
      </c>
      <c r="D3936" s="1" t="s">
        <v>286</v>
      </c>
      <c r="E3936" s="1" t="s">
        <v>58</v>
      </c>
      <c r="F3936">
        <v>54</v>
      </c>
      <c r="G3936" s="1" t="s">
        <v>266</v>
      </c>
      <c r="H3936">
        <v>54042</v>
      </c>
      <c r="I3936">
        <v>10</v>
      </c>
      <c r="J3936">
        <v>9</v>
      </c>
      <c r="K3936">
        <v>7</v>
      </c>
      <c r="L3936">
        <v>778</v>
      </c>
    </row>
    <row r="3937" spans="1:12" hidden="1" x14ac:dyDescent="0.25">
      <c r="A3937">
        <v>3936</v>
      </c>
      <c r="B3937" s="1" t="s">
        <v>12</v>
      </c>
      <c r="C3937">
        <v>1980</v>
      </c>
      <c r="D3937" s="1" t="s">
        <v>286</v>
      </c>
      <c r="E3937" s="1" t="s">
        <v>58</v>
      </c>
      <c r="F3937">
        <v>54</v>
      </c>
      <c r="G3937" s="1" t="s">
        <v>151</v>
      </c>
      <c r="H3937">
        <v>54056</v>
      </c>
      <c r="I3937">
        <v>4</v>
      </c>
      <c r="J3937">
        <v>4</v>
      </c>
      <c r="K3937">
        <v>3</v>
      </c>
      <c r="L3937">
        <v>750</v>
      </c>
    </row>
    <row r="3938" spans="1:12" hidden="1" x14ac:dyDescent="0.25">
      <c r="A3938">
        <v>3937</v>
      </c>
      <c r="B3938" s="1" t="s">
        <v>12</v>
      </c>
      <c r="C3938">
        <v>1980</v>
      </c>
      <c r="D3938" s="1" t="s">
        <v>286</v>
      </c>
      <c r="E3938" s="1" t="s">
        <v>58</v>
      </c>
      <c r="F3938">
        <v>54</v>
      </c>
      <c r="G3938" s="1" t="s">
        <v>243</v>
      </c>
      <c r="H3938">
        <v>54070</v>
      </c>
      <c r="I3938">
        <v>9</v>
      </c>
      <c r="J3938">
        <v>8</v>
      </c>
      <c r="K3938">
        <v>5</v>
      </c>
      <c r="L3938">
        <v>625</v>
      </c>
    </row>
    <row r="3939" spans="1:12" hidden="1" x14ac:dyDescent="0.25">
      <c r="A3939">
        <v>3938</v>
      </c>
      <c r="B3939" s="1" t="s">
        <v>12</v>
      </c>
      <c r="C3939">
        <v>1980</v>
      </c>
      <c r="D3939" s="1" t="s">
        <v>286</v>
      </c>
      <c r="E3939" s="1" t="s">
        <v>58</v>
      </c>
      <c r="F3939">
        <v>54</v>
      </c>
      <c r="G3939" s="1" t="s">
        <v>119</v>
      </c>
      <c r="H3939">
        <v>54077</v>
      </c>
      <c r="I3939">
        <v>5</v>
      </c>
      <c r="J3939">
        <v>5</v>
      </c>
      <c r="K3939">
        <v>3</v>
      </c>
      <c r="L3939">
        <v>600</v>
      </c>
    </row>
    <row r="3940" spans="1:12" hidden="1" x14ac:dyDescent="0.25">
      <c r="A3940">
        <v>3939</v>
      </c>
      <c r="B3940" s="1" t="s">
        <v>12</v>
      </c>
      <c r="C3940">
        <v>1980</v>
      </c>
      <c r="D3940" s="1" t="s">
        <v>286</v>
      </c>
      <c r="E3940" s="1" t="s">
        <v>58</v>
      </c>
      <c r="F3940">
        <v>54</v>
      </c>
      <c r="G3940" s="1" t="s">
        <v>244</v>
      </c>
      <c r="H3940">
        <v>54084</v>
      </c>
      <c r="I3940">
        <v>10</v>
      </c>
      <c r="J3940">
        <v>10</v>
      </c>
      <c r="K3940">
        <v>6</v>
      </c>
      <c r="L3940">
        <v>600</v>
      </c>
    </row>
    <row r="3941" spans="1:12" hidden="1" x14ac:dyDescent="0.25">
      <c r="A3941">
        <v>3940</v>
      </c>
      <c r="B3941" s="1" t="s">
        <v>12</v>
      </c>
      <c r="C3941">
        <v>1980</v>
      </c>
      <c r="D3941" s="1" t="s">
        <v>286</v>
      </c>
      <c r="E3941" s="1" t="s">
        <v>58</v>
      </c>
      <c r="F3941">
        <v>54</v>
      </c>
      <c r="G3941" s="1" t="s">
        <v>242</v>
      </c>
      <c r="H3941">
        <v>54091</v>
      </c>
      <c r="I3941">
        <v>5</v>
      </c>
      <c r="J3941">
        <v>5</v>
      </c>
      <c r="K3941">
        <v>3</v>
      </c>
      <c r="L3941">
        <v>600</v>
      </c>
    </row>
    <row r="3942" spans="1:12" hidden="1" x14ac:dyDescent="0.25">
      <c r="A3942">
        <v>3941</v>
      </c>
      <c r="B3942" s="1" t="s">
        <v>12</v>
      </c>
      <c r="C3942">
        <v>1980</v>
      </c>
      <c r="D3942" s="1" t="s">
        <v>286</v>
      </c>
      <c r="E3942" s="1" t="s">
        <v>58</v>
      </c>
      <c r="F3942">
        <v>54</v>
      </c>
      <c r="G3942" s="1" t="s">
        <v>61</v>
      </c>
      <c r="H3942">
        <v>54098</v>
      </c>
      <c r="I3942">
        <v>4</v>
      </c>
      <c r="J3942">
        <v>4</v>
      </c>
      <c r="K3942">
        <v>3</v>
      </c>
      <c r="L3942">
        <v>750</v>
      </c>
    </row>
    <row r="3943" spans="1:12" x14ac:dyDescent="0.25">
      <c r="A3943">
        <v>3942</v>
      </c>
      <c r="B3943" s="1" t="s">
        <v>12</v>
      </c>
      <c r="C3943">
        <v>1980</v>
      </c>
      <c r="D3943" s="1" t="s">
        <v>286</v>
      </c>
      <c r="E3943" s="1" t="s">
        <v>58</v>
      </c>
      <c r="F3943">
        <v>54</v>
      </c>
      <c r="G3943" s="1" t="s">
        <v>56</v>
      </c>
      <c r="H3943">
        <v>54112</v>
      </c>
      <c r="I3943">
        <v>2</v>
      </c>
      <c r="J3943">
        <v>2</v>
      </c>
      <c r="K3943">
        <v>1</v>
      </c>
      <c r="L3943">
        <v>500</v>
      </c>
    </row>
    <row r="3944" spans="1:12" hidden="1" x14ac:dyDescent="0.25">
      <c r="A3944">
        <v>3943</v>
      </c>
      <c r="B3944" s="1" t="s">
        <v>12</v>
      </c>
      <c r="C3944">
        <v>1980</v>
      </c>
      <c r="D3944" s="1" t="s">
        <v>286</v>
      </c>
      <c r="E3944" s="1" t="s">
        <v>87</v>
      </c>
      <c r="F3944">
        <v>66</v>
      </c>
      <c r="G3944" s="1" t="s">
        <v>153</v>
      </c>
      <c r="H3944">
        <v>66007</v>
      </c>
      <c r="I3944">
        <v>50</v>
      </c>
      <c r="J3944">
        <v>50</v>
      </c>
      <c r="K3944">
        <v>30</v>
      </c>
      <c r="L3944">
        <v>600</v>
      </c>
    </row>
    <row r="3945" spans="1:12" hidden="1" x14ac:dyDescent="0.25">
      <c r="A3945">
        <v>3944</v>
      </c>
      <c r="B3945" s="1" t="s">
        <v>12</v>
      </c>
      <c r="C3945">
        <v>1980</v>
      </c>
      <c r="D3945" s="1" t="s">
        <v>286</v>
      </c>
      <c r="E3945" s="1" t="s">
        <v>116</v>
      </c>
      <c r="F3945">
        <v>74</v>
      </c>
      <c r="G3945" s="1" t="s">
        <v>118</v>
      </c>
      <c r="H3945">
        <v>74028</v>
      </c>
      <c r="I3945">
        <v>600</v>
      </c>
      <c r="J3945">
        <v>0</v>
      </c>
      <c r="K3945">
        <v>0</v>
      </c>
      <c r="L3945">
        <v>0</v>
      </c>
    </row>
    <row r="3946" spans="1:12" hidden="1" x14ac:dyDescent="0.25">
      <c r="A3946">
        <v>3945</v>
      </c>
      <c r="B3946" s="1" t="s">
        <v>12</v>
      </c>
      <c r="C3946">
        <v>1980</v>
      </c>
      <c r="D3946" s="1" t="s">
        <v>286</v>
      </c>
      <c r="E3946" s="1" t="s">
        <v>64</v>
      </c>
      <c r="F3946">
        <v>82</v>
      </c>
      <c r="G3946" s="1" t="s">
        <v>66</v>
      </c>
      <c r="H3946">
        <v>82035</v>
      </c>
      <c r="I3946">
        <v>80</v>
      </c>
      <c r="J3946">
        <v>68</v>
      </c>
      <c r="K3946">
        <v>75</v>
      </c>
      <c r="L3946">
        <v>1103</v>
      </c>
    </row>
    <row r="3947" spans="1:12" hidden="1" x14ac:dyDescent="0.25">
      <c r="A3947">
        <v>3946</v>
      </c>
      <c r="B3947" s="1" t="s">
        <v>12</v>
      </c>
      <c r="C3947">
        <v>1980</v>
      </c>
      <c r="D3947" s="1" t="s">
        <v>286</v>
      </c>
      <c r="E3947" s="1" t="s">
        <v>64</v>
      </c>
      <c r="F3947">
        <v>82</v>
      </c>
      <c r="G3947" s="1" t="s">
        <v>272</v>
      </c>
      <c r="H3947">
        <v>82042</v>
      </c>
      <c r="I3947">
        <v>100</v>
      </c>
      <c r="J3947">
        <v>82</v>
      </c>
      <c r="K3947">
        <v>95</v>
      </c>
      <c r="L3947">
        <v>1159</v>
      </c>
    </row>
    <row r="3948" spans="1:12" hidden="1" x14ac:dyDescent="0.25">
      <c r="A3948">
        <v>3947</v>
      </c>
      <c r="B3948" s="1" t="s">
        <v>12</v>
      </c>
      <c r="C3948">
        <v>1980</v>
      </c>
      <c r="D3948" s="1" t="s">
        <v>286</v>
      </c>
      <c r="E3948" s="1" t="s">
        <v>64</v>
      </c>
      <c r="F3948">
        <v>82</v>
      </c>
      <c r="G3948" s="1" t="s">
        <v>65</v>
      </c>
      <c r="H3948">
        <v>82049</v>
      </c>
      <c r="I3948">
        <v>150</v>
      </c>
      <c r="J3948">
        <v>50</v>
      </c>
      <c r="K3948">
        <v>50</v>
      </c>
      <c r="L3948">
        <v>1000</v>
      </c>
    </row>
    <row r="3949" spans="1:12" hidden="1" x14ac:dyDescent="0.25">
      <c r="A3949">
        <v>3948</v>
      </c>
      <c r="B3949" s="1" t="s">
        <v>12</v>
      </c>
      <c r="C3949">
        <v>1981</v>
      </c>
      <c r="D3949" s="1" t="s">
        <v>288</v>
      </c>
      <c r="E3949" s="1" t="s">
        <v>14</v>
      </c>
      <c r="F3949">
        <v>22</v>
      </c>
      <c r="G3949" s="1" t="s">
        <v>236</v>
      </c>
      <c r="H3949">
        <v>22063</v>
      </c>
      <c r="I3949">
        <v>220</v>
      </c>
      <c r="J3949">
        <v>220</v>
      </c>
      <c r="K3949">
        <v>200</v>
      </c>
      <c r="L3949">
        <v>909</v>
      </c>
    </row>
    <row r="3950" spans="1:12" hidden="1" x14ac:dyDescent="0.25">
      <c r="A3950">
        <v>3949</v>
      </c>
      <c r="B3950" s="1" t="s">
        <v>12</v>
      </c>
      <c r="C3950">
        <v>1981</v>
      </c>
      <c r="D3950" s="1" t="s">
        <v>288</v>
      </c>
      <c r="E3950" s="1" t="s">
        <v>22</v>
      </c>
      <c r="F3950">
        <v>14</v>
      </c>
      <c r="G3950" s="1" t="s">
        <v>97</v>
      </c>
      <c r="H3950">
        <v>14007</v>
      </c>
      <c r="I3950">
        <v>1110</v>
      </c>
      <c r="J3950">
        <v>1100</v>
      </c>
      <c r="K3950">
        <v>1000</v>
      </c>
      <c r="L3950">
        <v>909</v>
      </c>
    </row>
    <row r="3951" spans="1:12" hidden="1" x14ac:dyDescent="0.25">
      <c r="A3951">
        <v>3950</v>
      </c>
      <c r="B3951" s="1" t="s">
        <v>12</v>
      </c>
      <c r="C3951">
        <v>1981</v>
      </c>
      <c r="D3951" s="1" t="s">
        <v>288</v>
      </c>
      <c r="E3951" s="1" t="s">
        <v>22</v>
      </c>
      <c r="F3951">
        <v>14</v>
      </c>
      <c r="G3951" s="1" t="s">
        <v>184</v>
      </c>
      <c r="H3951">
        <v>14042</v>
      </c>
      <c r="I3951">
        <v>15750</v>
      </c>
      <c r="J3951">
        <v>15600</v>
      </c>
      <c r="K3951">
        <v>21500</v>
      </c>
      <c r="L3951">
        <v>1378</v>
      </c>
    </row>
    <row r="3952" spans="1:12" hidden="1" x14ac:dyDescent="0.25">
      <c r="A3952">
        <v>3951</v>
      </c>
      <c r="B3952" s="1" t="s">
        <v>12</v>
      </c>
      <c r="C3952">
        <v>1981</v>
      </c>
      <c r="D3952" s="1" t="s">
        <v>288</v>
      </c>
      <c r="E3952" s="1" t="s">
        <v>22</v>
      </c>
      <c r="F3952">
        <v>14</v>
      </c>
      <c r="G3952" s="1" t="s">
        <v>143</v>
      </c>
      <c r="H3952">
        <v>14056</v>
      </c>
      <c r="I3952">
        <v>39300</v>
      </c>
      <c r="J3952">
        <v>39150</v>
      </c>
      <c r="K3952">
        <v>49300</v>
      </c>
      <c r="L3952">
        <v>1259</v>
      </c>
    </row>
    <row r="3953" spans="1:12" hidden="1" x14ac:dyDescent="0.25">
      <c r="A3953">
        <v>3952</v>
      </c>
      <c r="B3953" s="1" t="s">
        <v>12</v>
      </c>
      <c r="C3953">
        <v>1981</v>
      </c>
      <c r="D3953" s="1" t="s">
        <v>288</v>
      </c>
      <c r="E3953" s="1" t="s">
        <v>22</v>
      </c>
      <c r="F3953">
        <v>14</v>
      </c>
      <c r="G3953" s="1" t="s">
        <v>29</v>
      </c>
      <c r="H3953">
        <v>14098</v>
      </c>
      <c r="I3953">
        <v>9140</v>
      </c>
      <c r="J3953">
        <v>9000</v>
      </c>
      <c r="K3953">
        <v>8000</v>
      </c>
      <c r="L3953">
        <v>889</v>
      </c>
    </row>
    <row r="3954" spans="1:12" hidden="1" x14ac:dyDescent="0.25">
      <c r="A3954">
        <v>3953</v>
      </c>
      <c r="B3954" s="1" t="s">
        <v>12</v>
      </c>
      <c r="C3954">
        <v>1981</v>
      </c>
      <c r="D3954" s="1" t="s">
        <v>288</v>
      </c>
      <c r="E3954" s="1" t="s">
        <v>22</v>
      </c>
      <c r="F3954">
        <v>14</v>
      </c>
      <c r="G3954" s="1" t="s">
        <v>24</v>
      </c>
      <c r="H3954">
        <v>14119</v>
      </c>
      <c r="I3954">
        <v>31500</v>
      </c>
      <c r="J3954">
        <v>31400</v>
      </c>
      <c r="K3954">
        <v>32100</v>
      </c>
      <c r="L3954">
        <v>1022</v>
      </c>
    </row>
    <row r="3955" spans="1:12" hidden="1" x14ac:dyDescent="0.25">
      <c r="A3955">
        <v>3954</v>
      </c>
      <c r="B3955" s="1" t="s">
        <v>12</v>
      </c>
      <c r="C3955">
        <v>1981</v>
      </c>
      <c r="D3955" s="1" t="s">
        <v>288</v>
      </c>
      <c r="E3955" s="1" t="s">
        <v>22</v>
      </c>
      <c r="F3955">
        <v>14</v>
      </c>
      <c r="G3955" s="1" t="s">
        <v>23</v>
      </c>
      <c r="H3955">
        <v>14147</v>
      </c>
      <c r="I3955">
        <v>13500</v>
      </c>
      <c r="J3955">
        <v>13400</v>
      </c>
      <c r="K3955">
        <v>13800</v>
      </c>
      <c r="L3955">
        <v>1030</v>
      </c>
    </row>
    <row r="3956" spans="1:12" hidden="1" x14ac:dyDescent="0.25">
      <c r="A3956">
        <v>3955</v>
      </c>
      <c r="B3956" s="1" t="s">
        <v>12</v>
      </c>
      <c r="C3956">
        <v>1981</v>
      </c>
      <c r="D3956" s="1" t="s">
        <v>288</v>
      </c>
      <c r="E3956" s="1" t="s">
        <v>22</v>
      </c>
      <c r="F3956">
        <v>14</v>
      </c>
      <c r="G3956" s="1" t="s">
        <v>26</v>
      </c>
      <c r="H3956">
        <v>14161</v>
      </c>
      <c r="I3956">
        <v>67350</v>
      </c>
      <c r="J3956">
        <v>67000</v>
      </c>
      <c r="K3956">
        <v>76800</v>
      </c>
      <c r="L3956">
        <v>1146</v>
      </c>
    </row>
    <row r="3957" spans="1:12" hidden="1" x14ac:dyDescent="0.25">
      <c r="A3957">
        <v>3956</v>
      </c>
      <c r="B3957" s="1" t="s">
        <v>12</v>
      </c>
      <c r="C3957">
        <v>1981</v>
      </c>
      <c r="D3957" s="1" t="s">
        <v>288</v>
      </c>
      <c r="E3957" s="1" t="s">
        <v>22</v>
      </c>
      <c r="F3957">
        <v>14</v>
      </c>
      <c r="G3957" s="1" t="s">
        <v>122</v>
      </c>
      <c r="H3957">
        <v>14182</v>
      </c>
      <c r="I3957">
        <v>1350</v>
      </c>
      <c r="J3957">
        <v>1350</v>
      </c>
      <c r="K3957">
        <v>1700</v>
      </c>
      <c r="L3957">
        <v>1259</v>
      </c>
    </row>
    <row r="3958" spans="1:12" hidden="1" x14ac:dyDescent="0.25">
      <c r="A3958">
        <v>3957</v>
      </c>
      <c r="B3958" s="1" t="s">
        <v>12</v>
      </c>
      <c r="C3958">
        <v>1981</v>
      </c>
      <c r="D3958" s="1" t="s">
        <v>288</v>
      </c>
      <c r="E3958" s="1" t="s">
        <v>30</v>
      </c>
      <c r="F3958">
        <v>18</v>
      </c>
      <c r="G3958" s="1" t="s">
        <v>38</v>
      </c>
      <c r="H3958">
        <v>18007</v>
      </c>
      <c r="I3958">
        <v>80</v>
      </c>
      <c r="J3958">
        <v>80</v>
      </c>
      <c r="K3958">
        <v>45</v>
      </c>
      <c r="L3958">
        <v>563</v>
      </c>
    </row>
    <row r="3959" spans="1:12" hidden="1" x14ac:dyDescent="0.25">
      <c r="A3959">
        <v>3958</v>
      </c>
      <c r="B3959" s="1" t="s">
        <v>12</v>
      </c>
      <c r="C3959">
        <v>1981</v>
      </c>
      <c r="D3959" s="1" t="s">
        <v>288</v>
      </c>
      <c r="E3959" s="1" t="s">
        <v>30</v>
      </c>
      <c r="F3959">
        <v>18</v>
      </c>
      <c r="G3959" s="1" t="s">
        <v>102</v>
      </c>
      <c r="H3959">
        <v>18014</v>
      </c>
      <c r="I3959">
        <v>2</v>
      </c>
      <c r="J3959">
        <v>2</v>
      </c>
      <c r="K3959">
        <v>1</v>
      </c>
      <c r="L3959">
        <v>500</v>
      </c>
    </row>
    <row r="3960" spans="1:12" hidden="1" x14ac:dyDescent="0.25">
      <c r="A3960">
        <v>3959</v>
      </c>
      <c r="B3960" s="1" t="s">
        <v>12</v>
      </c>
      <c r="C3960">
        <v>1981</v>
      </c>
      <c r="D3960" s="1" t="s">
        <v>288</v>
      </c>
      <c r="E3960" s="1" t="s">
        <v>30</v>
      </c>
      <c r="F3960">
        <v>18</v>
      </c>
      <c r="G3960" s="1" t="s">
        <v>28</v>
      </c>
      <c r="H3960">
        <v>18021</v>
      </c>
      <c r="I3960">
        <v>15</v>
      </c>
      <c r="J3960">
        <v>15</v>
      </c>
      <c r="K3960">
        <v>10</v>
      </c>
      <c r="L3960">
        <v>667</v>
      </c>
    </row>
    <row r="3961" spans="1:12" hidden="1" x14ac:dyDescent="0.25">
      <c r="A3961">
        <v>3960</v>
      </c>
      <c r="B3961" s="1" t="s">
        <v>12</v>
      </c>
      <c r="C3961">
        <v>1981</v>
      </c>
      <c r="D3961" s="1" t="s">
        <v>288</v>
      </c>
      <c r="E3961" s="1" t="s">
        <v>30</v>
      </c>
      <c r="F3961">
        <v>18</v>
      </c>
      <c r="G3961" s="1" t="s">
        <v>63</v>
      </c>
      <c r="H3961">
        <v>18028</v>
      </c>
      <c r="I3961">
        <v>2</v>
      </c>
      <c r="J3961">
        <v>2</v>
      </c>
      <c r="K3961">
        <v>1</v>
      </c>
      <c r="L3961">
        <v>500</v>
      </c>
    </row>
    <row r="3962" spans="1:12" hidden="1" x14ac:dyDescent="0.25">
      <c r="A3962">
        <v>3961</v>
      </c>
      <c r="B3962" s="1" t="s">
        <v>12</v>
      </c>
      <c r="C3962">
        <v>1981</v>
      </c>
      <c r="D3962" s="1" t="s">
        <v>288</v>
      </c>
      <c r="E3962" s="1" t="s">
        <v>30</v>
      </c>
      <c r="F3962">
        <v>18</v>
      </c>
      <c r="G3962" s="1" t="s">
        <v>42</v>
      </c>
      <c r="H3962">
        <v>18035</v>
      </c>
      <c r="I3962">
        <v>4</v>
      </c>
      <c r="J3962">
        <v>4</v>
      </c>
      <c r="K3962">
        <v>2</v>
      </c>
      <c r="L3962">
        <v>500</v>
      </c>
    </row>
    <row r="3963" spans="1:12" hidden="1" x14ac:dyDescent="0.25">
      <c r="A3963">
        <v>3962</v>
      </c>
      <c r="B3963" s="1" t="s">
        <v>12</v>
      </c>
      <c r="C3963">
        <v>1981</v>
      </c>
      <c r="D3963" s="1" t="s">
        <v>288</v>
      </c>
      <c r="E3963" s="1" t="s">
        <v>30</v>
      </c>
      <c r="F3963">
        <v>18</v>
      </c>
      <c r="G3963" s="1" t="s">
        <v>34</v>
      </c>
      <c r="H3963">
        <v>18042</v>
      </c>
      <c r="I3963">
        <v>15</v>
      </c>
      <c r="J3963">
        <v>15</v>
      </c>
      <c r="K3963">
        <v>10</v>
      </c>
      <c r="L3963">
        <v>667</v>
      </c>
    </row>
    <row r="3964" spans="1:12" hidden="1" x14ac:dyDescent="0.25">
      <c r="A3964">
        <v>3963</v>
      </c>
      <c r="B3964" s="1" t="s">
        <v>12</v>
      </c>
      <c r="C3964">
        <v>1981</v>
      </c>
      <c r="D3964" s="1" t="s">
        <v>288</v>
      </c>
      <c r="E3964" s="1" t="s">
        <v>30</v>
      </c>
      <c r="F3964">
        <v>18</v>
      </c>
      <c r="G3964" s="1" t="s">
        <v>35</v>
      </c>
      <c r="H3964">
        <v>18049</v>
      </c>
      <c r="I3964">
        <v>10</v>
      </c>
      <c r="J3964">
        <v>10</v>
      </c>
      <c r="K3964">
        <v>7</v>
      </c>
      <c r="L3964">
        <v>700</v>
      </c>
    </row>
    <row r="3965" spans="1:12" hidden="1" x14ac:dyDescent="0.25">
      <c r="A3965">
        <v>3964</v>
      </c>
      <c r="B3965" s="1" t="s">
        <v>12</v>
      </c>
      <c r="C3965">
        <v>1981</v>
      </c>
      <c r="D3965" s="1" t="s">
        <v>288</v>
      </c>
      <c r="E3965" s="1" t="s">
        <v>30</v>
      </c>
      <c r="F3965">
        <v>18</v>
      </c>
      <c r="G3965" s="1" t="s">
        <v>99</v>
      </c>
      <c r="H3965">
        <v>18063</v>
      </c>
      <c r="I3965">
        <v>45</v>
      </c>
      <c r="J3965">
        <v>45</v>
      </c>
      <c r="K3965">
        <v>27</v>
      </c>
      <c r="L3965">
        <v>600</v>
      </c>
    </row>
    <row r="3966" spans="1:12" hidden="1" x14ac:dyDescent="0.25">
      <c r="A3966">
        <v>3965</v>
      </c>
      <c r="B3966" s="1" t="s">
        <v>12</v>
      </c>
      <c r="C3966">
        <v>1981</v>
      </c>
      <c r="D3966" s="1" t="s">
        <v>288</v>
      </c>
      <c r="E3966" s="1" t="s">
        <v>30</v>
      </c>
      <c r="F3966">
        <v>18</v>
      </c>
      <c r="G3966" s="1" t="s">
        <v>43</v>
      </c>
      <c r="H3966">
        <v>18070</v>
      </c>
      <c r="I3966">
        <v>40</v>
      </c>
      <c r="J3966">
        <v>40</v>
      </c>
      <c r="K3966">
        <v>22</v>
      </c>
      <c r="L3966">
        <v>550</v>
      </c>
    </row>
    <row r="3967" spans="1:12" hidden="1" x14ac:dyDescent="0.25">
      <c r="A3967">
        <v>3966</v>
      </c>
      <c r="B3967" s="1" t="s">
        <v>12</v>
      </c>
      <c r="C3967">
        <v>1981</v>
      </c>
      <c r="D3967" s="1" t="s">
        <v>288</v>
      </c>
      <c r="E3967" s="1" t="s">
        <v>30</v>
      </c>
      <c r="F3967">
        <v>18</v>
      </c>
      <c r="G3967" s="1" t="s">
        <v>39</v>
      </c>
      <c r="H3967">
        <v>18084</v>
      </c>
      <c r="I3967">
        <v>36</v>
      </c>
      <c r="J3967">
        <v>36</v>
      </c>
      <c r="K3967">
        <v>22</v>
      </c>
      <c r="L3967">
        <v>611</v>
      </c>
    </row>
    <row r="3968" spans="1:12" hidden="1" x14ac:dyDescent="0.25">
      <c r="A3968">
        <v>3967</v>
      </c>
      <c r="B3968" s="1" t="s">
        <v>12</v>
      </c>
      <c r="C3968">
        <v>1981</v>
      </c>
      <c r="D3968" s="1" t="s">
        <v>288</v>
      </c>
      <c r="E3968" s="1" t="s">
        <v>30</v>
      </c>
      <c r="F3968">
        <v>18</v>
      </c>
      <c r="G3968" s="1" t="s">
        <v>33</v>
      </c>
      <c r="H3968">
        <v>18091</v>
      </c>
      <c r="I3968">
        <v>20</v>
      </c>
      <c r="J3968">
        <v>20</v>
      </c>
      <c r="K3968">
        <v>13</v>
      </c>
      <c r="L3968">
        <v>650</v>
      </c>
    </row>
    <row r="3969" spans="1:12" hidden="1" x14ac:dyDescent="0.25">
      <c r="A3969">
        <v>3968</v>
      </c>
      <c r="B3969" s="1" t="s">
        <v>12</v>
      </c>
      <c r="C3969">
        <v>1981</v>
      </c>
      <c r="D3969" s="1" t="s">
        <v>288</v>
      </c>
      <c r="E3969" s="1" t="s">
        <v>30</v>
      </c>
      <c r="F3969">
        <v>18</v>
      </c>
      <c r="G3969" s="1" t="s">
        <v>98</v>
      </c>
      <c r="H3969">
        <v>18098</v>
      </c>
      <c r="I3969">
        <v>10</v>
      </c>
      <c r="J3969">
        <v>10</v>
      </c>
      <c r="K3969">
        <v>7</v>
      </c>
      <c r="L3969">
        <v>700</v>
      </c>
    </row>
    <row r="3970" spans="1:12" hidden="1" x14ac:dyDescent="0.25">
      <c r="A3970">
        <v>3969</v>
      </c>
      <c r="B3970" s="1" t="s">
        <v>12</v>
      </c>
      <c r="C3970">
        <v>1981</v>
      </c>
      <c r="D3970" s="1" t="s">
        <v>288</v>
      </c>
      <c r="E3970" s="1" t="s">
        <v>30</v>
      </c>
      <c r="F3970">
        <v>18</v>
      </c>
      <c r="G3970" s="1" t="s">
        <v>105</v>
      </c>
      <c r="H3970">
        <v>18105</v>
      </c>
      <c r="I3970">
        <v>5</v>
      </c>
      <c r="J3970">
        <v>5</v>
      </c>
      <c r="K3970">
        <v>3</v>
      </c>
      <c r="L3970">
        <v>600</v>
      </c>
    </row>
    <row r="3971" spans="1:12" hidden="1" x14ac:dyDescent="0.25">
      <c r="A3971">
        <v>3970</v>
      </c>
      <c r="B3971" s="1" t="s">
        <v>12</v>
      </c>
      <c r="C3971">
        <v>1981</v>
      </c>
      <c r="D3971" s="1" t="s">
        <v>288</v>
      </c>
      <c r="E3971" s="1" t="s">
        <v>30</v>
      </c>
      <c r="F3971">
        <v>18</v>
      </c>
      <c r="G3971" s="1" t="s">
        <v>32</v>
      </c>
      <c r="H3971">
        <v>18112</v>
      </c>
      <c r="I3971">
        <v>10</v>
      </c>
      <c r="J3971">
        <v>10</v>
      </c>
      <c r="K3971">
        <v>7</v>
      </c>
      <c r="L3971">
        <v>700</v>
      </c>
    </row>
    <row r="3972" spans="1:12" hidden="1" x14ac:dyDescent="0.25">
      <c r="A3972">
        <v>3971</v>
      </c>
      <c r="B3972" s="1" t="s">
        <v>12</v>
      </c>
      <c r="C3972">
        <v>1981</v>
      </c>
      <c r="D3972" s="1" t="s">
        <v>288</v>
      </c>
      <c r="E3972" s="1" t="s">
        <v>30</v>
      </c>
      <c r="F3972">
        <v>18</v>
      </c>
      <c r="G3972" s="1" t="s">
        <v>104</v>
      </c>
      <c r="H3972">
        <v>18119</v>
      </c>
      <c r="I3972">
        <v>10</v>
      </c>
      <c r="J3972">
        <v>10</v>
      </c>
      <c r="K3972">
        <v>7</v>
      </c>
      <c r="L3972">
        <v>700</v>
      </c>
    </row>
    <row r="3973" spans="1:12" hidden="1" x14ac:dyDescent="0.25">
      <c r="A3973">
        <v>3972</v>
      </c>
      <c r="B3973" s="1" t="s">
        <v>12</v>
      </c>
      <c r="C3973">
        <v>1981</v>
      </c>
      <c r="D3973" s="1" t="s">
        <v>288</v>
      </c>
      <c r="E3973" s="1" t="s">
        <v>30</v>
      </c>
      <c r="F3973">
        <v>18</v>
      </c>
      <c r="G3973" s="1" t="s">
        <v>40</v>
      </c>
      <c r="H3973">
        <v>18126</v>
      </c>
      <c r="I3973">
        <v>10</v>
      </c>
      <c r="J3973">
        <v>10</v>
      </c>
      <c r="K3973">
        <v>6</v>
      </c>
      <c r="L3973">
        <v>600</v>
      </c>
    </row>
    <row r="3974" spans="1:12" hidden="1" x14ac:dyDescent="0.25">
      <c r="A3974">
        <v>3973</v>
      </c>
      <c r="B3974" s="1" t="s">
        <v>12</v>
      </c>
      <c r="C3974">
        <v>1981</v>
      </c>
      <c r="D3974" s="1" t="s">
        <v>288</v>
      </c>
      <c r="E3974" s="1" t="s">
        <v>30</v>
      </c>
      <c r="F3974">
        <v>18</v>
      </c>
      <c r="G3974" s="1" t="s">
        <v>36</v>
      </c>
      <c r="H3974">
        <v>18133</v>
      </c>
      <c r="I3974">
        <v>7</v>
      </c>
      <c r="J3974">
        <v>7</v>
      </c>
      <c r="K3974">
        <v>4</v>
      </c>
      <c r="L3974">
        <v>571</v>
      </c>
    </row>
    <row r="3975" spans="1:12" hidden="1" x14ac:dyDescent="0.25">
      <c r="A3975">
        <v>3974</v>
      </c>
      <c r="B3975" s="1" t="s">
        <v>12</v>
      </c>
      <c r="C3975">
        <v>1981</v>
      </c>
      <c r="D3975" s="1" t="s">
        <v>288</v>
      </c>
      <c r="E3975" s="1" t="s">
        <v>30</v>
      </c>
      <c r="F3975">
        <v>18</v>
      </c>
      <c r="G3975" s="1" t="s">
        <v>41</v>
      </c>
      <c r="H3975">
        <v>18140</v>
      </c>
      <c r="I3975">
        <v>30</v>
      </c>
      <c r="J3975">
        <v>30</v>
      </c>
      <c r="K3975">
        <v>20</v>
      </c>
      <c r="L3975">
        <v>667</v>
      </c>
    </row>
    <row r="3976" spans="1:12" hidden="1" x14ac:dyDescent="0.25">
      <c r="A3976">
        <v>3975</v>
      </c>
      <c r="B3976" s="1" t="s">
        <v>12</v>
      </c>
      <c r="C3976">
        <v>1981</v>
      </c>
      <c r="D3976" s="1" t="s">
        <v>288</v>
      </c>
      <c r="E3976" s="1" t="s">
        <v>30</v>
      </c>
      <c r="F3976">
        <v>18</v>
      </c>
      <c r="G3976" s="1" t="s">
        <v>37</v>
      </c>
      <c r="H3976">
        <v>18147</v>
      </c>
      <c r="I3976">
        <v>20</v>
      </c>
      <c r="J3976">
        <v>20</v>
      </c>
      <c r="K3976">
        <v>14</v>
      </c>
      <c r="L3976">
        <v>700</v>
      </c>
    </row>
    <row r="3977" spans="1:12" hidden="1" x14ac:dyDescent="0.25">
      <c r="A3977">
        <v>3976</v>
      </c>
      <c r="B3977" s="1" t="s">
        <v>12</v>
      </c>
      <c r="C3977">
        <v>1981</v>
      </c>
      <c r="D3977" s="1" t="s">
        <v>288</v>
      </c>
      <c r="E3977" s="1" t="s">
        <v>30</v>
      </c>
      <c r="F3977">
        <v>18</v>
      </c>
      <c r="G3977" s="1" t="s">
        <v>103</v>
      </c>
      <c r="H3977">
        <v>18154</v>
      </c>
      <c r="I3977">
        <v>4</v>
      </c>
      <c r="J3977">
        <v>4</v>
      </c>
      <c r="K3977">
        <v>3</v>
      </c>
      <c r="L3977">
        <v>750</v>
      </c>
    </row>
    <row r="3978" spans="1:12" hidden="1" x14ac:dyDescent="0.25">
      <c r="A3978">
        <v>3977</v>
      </c>
      <c r="B3978" s="1" t="s">
        <v>12</v>
      </c>
      <c r="C3978">
        <v>1981</v>
      </c>
      <c r="D3978" s="1" t="s">
        <v>288</v>
      </c>
      <c r="E3978" s="1" t="s">
        <v>30</v>
      </c>
      <c r="F3978">
        <v>18</v>
      </c>
      <c r="G3978" s="1" t="s">
        <v>101</v>
      </c>
      <c r="H3978">
        <v>18161</v>
      </c>
      <c r="I3978">
        <v>15</v>
      </c>
      <c r="J3978">
        <v>15</v>
      </c>
      <c r="K3978">
        <v>9</v>
      </c>
      <c r="L3978">
        <v>600</v>
      </c>
    </row>
    <row r="3979" spans="1:12" hidden="1" x14ac:dyDescent="0.25">
      <c r="A3979">
        <v>3978</v>
      </c>
      <c r="B3979" s="1" t="s">
        <v>12</v>
      </c>
      <c r="C3979">
        <v>1981</v>
      </c>
      <c r="D3979" s="1" t="s">
        <v>288</v>
      </c>
      <c r="E3979" s="1" t="s">
        <v>30</v>
      </c>
      <c r="F3979">
        <v>18</v>
      </c>
      <c r="G3979" s="1" t="s">
        <v>44</v>
      </c>
      <c r="H3979">
        <v>18168</v>
      </c>
      <c r="I3979">
        <v>30</v>
      </c>
      <c r="J3979">
        <v>30</v>
      </c>
      <c r="K3979">
        <v>20</v>
      </c>
      <c r="L3979">
        <v>667</v>
      </c>
    </row>
    <row r="3980" spans="1:12" hidden="1" x14ac:dyDescent="0.25">
      <c r="A3980">
        <v>3979</v>
      </c>
      <c r="B3980" s="1" t="s">
        <v>12</v>
      </c>
      <c r="C3980">
        <v>1981</v>
      </c>
      <c r="D3980" s="1" t="s">
        <v>288</v>
      </c>
      <c r="E3980" s="1" t="s">
        <v>48</v>
      </c>
      <c r="F3980">
        <v>34</v>
      </c>
      <c r="G3980" s="1" t="s">
        <v>52</v>
      </c>
      <c r="H3980">
        <v>34035</v>
      </c>
      <c r="I3980">
        <v>100</v>
      </c>
      <c r="J3980">
        <v>100</v>
      </c>
      <c r="K3980">
        <v>100</v>
      </c>
      <c r="L3980">
        <v>1000</v>
      </c>
    </row>
    <row r="3981" spans="1:12" hidden="1" x14ac:dyDescent="0.25">
      <c r="A3981">
        <v>3980</v>
      </c>
      <c r="B3981" s="1" t="s">
        <v>12</v>
      </c>
      <c r="C3981">
        <v>1981</v>
      </c>
      <c r="D3981" s="1" t="s">
        <v>288</v>
      </c>
      <c r="E3981" s="1" t="s">
        <v>58</v>
      </c>
      <c r="F3981">
        <v>54</v>
      </c>
      <c r="G3981" s="1" t="s">
        <v>234</v>
      </c>
      <c r="H3981">
        <v>54119</v>
      </c>
      <c r="I3981">
        <v>3</v>
      </c>
      <c r="J3981">
        <v>3</v>
      </c>
      <c r="K3981">
        <v>2</v>
      </c>
      <c r="L3981">
        <v>667</v>
      </c>
    </row>
    <row r="3982" spans="1:12" hidden="1" x14ac:dyDescent="0.25">
      <c r="A3982">
        <v>3981</v>
      </c>
      <c r="B3982" s="1" t="s">
        <v>12</v>
      </c>
      <c r="C3982">
        <v>1981</v>
      </c>
      <c r="D3982" s="1" t="s">
        <v>288</v>
      </c>
      <c r="E3982" s="1" t="s">
        <v>58</v>
      </c>
      <c r="F3982">
        <v>54</v>
      </c>
      <c r="G3982" s="1" t="s">
        <v>59</v>
      </c>
      <c r="H3982">
        <v>54007</v>
      </c>
      <c r="I3982">
        <v>12</v>
      </c>
      <c r="J3982">
        <v>12</v>
      </c>
      <c r="K3982">
        <v>11</v>
      </c>
      <c r="L3982">
        <v>917</v>
      </c>
    </row>
    <row r="3983" spans="1:12" hidden="1" x14ac:dyDescent="0.25">
      <c r="A3983">
        <v>3982</v>
      </c>
      <c r="B3983" s="1" t="s">
        <v>12</v>
      </c>
      <c r="C3983">
        <v>1981</v>
      </c>
      <c r="D3983" s="1" t="s">
        <v>288</v>
      </c>
      <c r="E3983" s="1" t="s">
        <v>58</v>
      </c>
      <c r="F3983">
        <v>54</v>
      </c>
      <c r="G3983" s="1" t="s">
        <v>150</v>
      </c>
      <c r="H3983">
        <v>54014</v>
      </c>
      <c r="I3983">
        <v>8</v>
      </c>
      <c r="J3983">
        <v>8</v>
      </c>
      <c r="K3983">
        <v>7</v>
      </c>
      <c r="L3983">
        <v>875</v>
      </c>
    </row>
    <row r="3984" spans="1:12" hidden="1" x14ac:dyDescent="0.25">
      <c r="A3984">
        <v>3983</v>
      </c>
      <c r="B3984" s="1" t="s">
        <v>12</v>
      </c>
      <c r="C3984">
        <v>1981</v>
      </c>
      <c r="D3984" s="1" t="s">
        <v>288</v>
      </c>
      <c r="E3984" s="1" t="s">
        <v>58</v>
      </c>
      <c r="F3984">
        <v>54</v>
      </c>
      <c r="G3984" s="1" t="s">
        <v>60</v>
      </c>
      <c r="H3984">
        <v>54021</v>
      </c>
      <c r="I3984">
        <v>12</v>
      </c>
      <c r="J3984">
        <v>12</v>
      </c>
      <c r="K3984">
        <v>10</v>
      </c>
      <c r="L3984">
        <v>833</v>
      </c>
    </row>
    <row r="3985" spans="1:12" hidden="1" x14ac:dyDescent="0.25">
      <c r="A3985">
        <v>3984</v>
      </c>
      <c r="B3985" s="1" t="s">
        <v>12</v>
      </c>
      <c r="C3985">
        <v>1981</v>
      </c>
      <c r="D3985" s="1" t="s">
        <v>288</v>
      </c>
      <c r="E3985" s="1" t="s">
        <v>58</v>
      </c>
      <c r="F3985">
        <v>54</v>
      </c>
      <c r="G3985" s="1" t="s">
        <v>28</v>
      </c>
      <c r="H3985">
        <v>54028</v>
      </c>
      <c r="I3985">
        <v>2</v>
      </c>
      <c r="J3985">
        <v>2</v>
      </c>
      <c r="K3985">
        <v>1</v>
      </c>
      <c r="L3985">
        <v>500</v>
      </c>
    </row>
    <row r="3986" spans="1:12" hidden="1" x14ac:dyDescent="0.25">
      <c r="A3986">
        <v>3985</v>
      </c>
      <c r="B3986" s="1" t="s">
        <v>12</v>
      </c>
      <c r="C3986">
        <v>1981</v>
      </c>
      <c r="D3986" s="1" t="s">
        <v>288</v>
      </c>
      <c r="E3986" s="1" t="s">
        <v>58</v>
      </c>
      <c r="F3986">
        <v>54</v>
      </c>
      <c r="G3986" s="1" t="s">
        <v>63</v>
      </c>
      <c r="H3986">
        <v>54035</v>
      </c>
      <c r="I3986">
        <v>4</v>
      </c>
      <c r="J3986">
        <v>4</v>
      </c>
      <c r="K3986">
        <v>3</v>
      </c>
      <c r="L3986">
        <v>750</v>
      </c>
    </row>
    <row r="3987" spans="1:12" hidden="1" x14ac:dyDescent="0.25">
      <c r="A3987">
        <v>3986</v>
      </c>
      <c r="B3987" s="1" t="s">
        <v>12</v>
      </c>
      <c r="C3987">
        <v>1981</v>
      </c>
      <c r="D3987" s="1" t="s">
        <v>288</v>
      </c>
      <c r="E3987" s="1" t="s">
        <v>58</v>
      </c>
      <c r="F3987">
        <v>54</v>
      </c>
      <c r="G3987" s="1" t="s">
        <v>266</v>
      </c>
      <c r="H3987">
        <v>54042</v>
      </c>
      <c r="I3987">
        <v>7</v>
      </c>
      <c r="J3987">
        <v>7</v>
      </c>
      <c r="K3987">
        <v>5</v>
      </c>
      <c r="L3987">
        <v>714</v>
      </c>
    </row>
    <row r="3988" spans="1:12" hidden="1" x14ac:dyDescent="0.25">
      <c r="A3988">
        <v>3987</v>
      </c>
      <c r="B3988" s="1" t="s">
        <v>12</v>
      </c>
      <c r="C3988">
        <v>1981</v>
      </c>
      <c r="D3988" s="1" t="s">
        <v>288</v>
      </c>
      <c r="E3988" s="1" t="s">
        <v>58</v>
      </c>
      <c r="F3988">
        <v>54</v>
      </c>
      <c r="G3988" s="1" t="s">
        <v>258</v>
      </c>
      <c r="H3988">
        <v>54049</v>
      </c>
      <c r="I3988">
        <v>6</v>
      </c>
      <c r="J3988">
        <v>6</v>
      </c>
      <c r="K3988">
        <v>5</v>
      </c>
      <c r="L3988">
        <v>833</v>
      </c>
    </row>
    <row r="3989" spans="1:12" hidden="1" x14ac:dyDescent="0.25">
      <c r="A3989">
        <v>3988</v>
      </c>
      <c r="B3989" s="1" t="s">
        <v>12</v>
      </c>
      <c r="C3989">
        <v>1981</v>
      </c>
      <c r="D3989" s="1" t="s">
        <v>288</v>
      </c>
      <c r="E3989" s="1" t="s">
        <v>58</v>
      </c>
      <c r="F3989">
        <v>54</v>
      </c>
      <c r="G3989" s="1" t="s">
        <v>151</v>
      </c>
      <c r="H3989">
        <v>54056</v>
      </c>
      <c r="I3989">
        <v>8</v>
      </c>
      <c r="J3989">
        <v>8</v>
      </c>
      <c r="K3989">
        <v>6</v>
      </c>
      <c r="L3989">
        <v>750</v>
      </c>
    </row>
    <row r="3990" spans="1:12" hidden="1" x14ac:dyDescent="0.25">
      <c r="A3990">
        <v>3989</v>
      </c>
      <c r="B3990" s="1" t="s">
        <v>12</v>
      </c>
      <c r="C3990">
        <v>1981</v>
      </c>
      <c r="D3990" s="1" t="s">
        <v>288</v>
      </c>
      <c r="E3990" s="1" t="s">
        <v>58</v>
      </c>
      <c r="F3990">
        <v>54</v>
      </c>
      <c r="G3990" s="1" t="s">
        <v>243</v>
      </c>
      <c r="H3990">
        <v>54070</v>
      </c>
      <c r="I3990">
        <v>10</v>
      </c>
      <c r="J3990">
        <v>10</v>
      </c>
      <c r="K3990">
        <v>8</v>
      </c>
      <c r="L3990">
        <v>800</v>
      </c>
    </row>
    <row r="3991" spans="1:12" hidden="1" x14ac:dyDescent="0.25">
      <c r="A3991">
        <v>3990</v>
      </c>
      <c r="B3991" s="1" t="s">
        <v>12</v>
      </c>
      <c r="C3991">
        <v>1981</v>
      </c>
      <c r="D3991" s="1" t="s">
        <v>288</v>
      </c>
      <c r="E3991" s="1" t="s">
        <v>58</v>
      </c>
      <c r="F3991">
        <v>54</v>
      </c>
      <c r="G3991" s="1" t="s">
        <v>119</v>
      </c>
      <c r="H3991">
        <v>54077</v>
      </c>
      <c r="I3991">
        <v>4</v>
      </c>
      <c r="J3991">
        <v>4</v>
      </c>
      <c r="K3991">
        <v>3</v>
      </c>
      <c r="L3991">
        <v>750</v>
      </c>
    </row>
    <row r="3992" spans="1:12" hidden="1" x14ac:dyDescent="0.25">
      <c r="A3992">
        <v>3991</v>
      </c>
      <c r="B3992" s="1" t="s">
        <v>12</v>
      </c>
      <c r="C3992">
        <v>1981</v>
      </c>
      <c r="D3992" s="1" t="s">
        <v>288</v>
      </c>
      <c r="E3992" s="1" t="s">
        <v>58</v>
      </c>
      <c r="F3992">
        <v>54</v>
      </c>
      <c r="G3992" s="1" t="s">
        <v>244</v>
      </c>
      <c r="H3992">
        <v>54084</v>
      </c>
      <c r="I3992">
        <v>6</v>
      </c>
      <c r="J3992">
        <v>6</v>
      </c>
      <c r="K3992">
        <v>5</v>
      </c>
      <c r="L3992">
        <v>833</v>
      </c>
    </row>
    <row r="3993" spans="1:12" hidden="1" x14ac:dyDescent="0.25">
      <c r="A3993">
        <v>3992</v>
      </c>
      <c r="B3993" s="1" t="s">
        <v>12</v>
      </c>
      <c r="C3993">
        <v>1981</v>
      </c>
      <c r="D3993" s="1" t="s">
        <v>288</v>
      </c>
      <c r="E3993" s="1" t="s">
        <v>58</v>
      </c>
      <c r="F3993">
        <v>54</v>
      </c>
      <c r="G3993" s="1" t="s">
        <v>242</v>
      </c>
      <c r="H3993">
        <v>54091</v>
      </c>
      <c r="I3993">
        <v>6</v>
      </c>
      <c r="J3993">
        <v>6</v>
      </c>
      <c r="K3993">
        <v>5</v>
      </c>
      <c r="L3993">
        <v>833</v>
      </c>
    </row>
    <row r="3994" spans="1:12" hidden="1" x14ac:dyDescent="0.25">
      <c r="A3994">
        <v>3993</v>
      </c>
      <c r="B3994" s="1" t="s">
        <v>12</v>
      </c>
      <c r="C3994">
        <v>1981</v>
      </c>
      <c r="D3994" s="1" t="s">
        <v>288</v>
      </c>
      <c r="E3994" s="1" t="s">
        <v>58</v>
      </c>
      <c r="F3994">
        <v>54</v>
      </c>
      <c r="G3994" s="1" t="s">
        <v>61</v>
      </c>
      <c r="H3994">
        <v>54098</v>
      </c>
      <c r="I3994">
        <v>3</v>
      </c>
      <c r="J3994">
        <v>3</v>
      </c>
      <c r="K3994">
        <v>2</v>
      </c>
      <c r="L3994">
        <v>667</v>
      </c>
    </row>
    <row r="3995" spans="1:12" hidden="1" x14ac:dyDescent="0.25">
      <c r="A3995">
        <v>3994</v>
      </c>
      <c r="B3995" s="1" t="s">
        <v>12</v>
      </c>
      <c r="C3995">
        <v>1981</v>
      </c>
      <c r="D3995" s="1" t="s">
        <v>288</v>
      </c>
      <c r="E3995" s="1" t="s">
        <v>58</v>
      </c>
      <c r="F3995">
        <v>54</v>
      </c>
      <c r="G3995" s="1" t="s">
        <v>62</v>
      </c>
      <c r="H3995">
        <v>54105</v>
      </c>
      <c r="I3995">
        <v>4</v>
      </c>
      <c r="J3995">
        <v>4</v>
      </c>
      <c r="K3995">
        <v>3</v>
      </c>
      <c r="L3995">
        <v>750</v>
      </c>
    </row>
    <row r="3996" spans="1:12" x14ac:dyDescent="0.25">
      <c r="A3996">
        <v>3995</v>
      </c>
      <c r="B3996" s="1" t="s">
        <v>12</v>
      </c>
      <c r="C3996">
        <v>1981</v>
      </c>
      <c r="D3996" s="1" t="s">
        <v>288</v>
      </c>
      <c r="E3996" s="1" t="s">
        <v>58</v>
      </c>
      <c r="F3996">
        <v>54</v>
      </c>
      <c r="G3996" s="1" t="s">
        <v>56</v>
      </c>
      <c r="H3996">
        <v>54112</v>
      </c>
      <c r="I3996">
        <v>5</v>
      </c>
      <c r="J3996">
        <v>5</v>
      </c>
      <c r="K3996">
        <v>4</v>
      </c>
      <c r="L3996">
        <v>800</v>
      </c>
    </row>
    <row r="3997" spans="1:12" hidden="1" x14ac:dyDescent="0.25">
      <c r="A3997">
        <v>3996</v>
      </c>
      <c r="B3997" s="1" t="s">
        <v>12</v>
      </c>
      <c r="C3997">
        <v>1981</v>
      </c>
      <c r="D3997" s="1" t="s">
        <v>288</v>
      </c>
      <c r="E3997" s="1" t="s">
        <v>87</v>
      </c>
      <c r="F3997">
        <v>66</v>
      </c>
      <c r="G3997" s="1" t="s">
        <v>153</v>
      </c>
      <c r="H3997">
        <v>66007</v>
      </c>
      <c r="I3997">
        <v>50</v>
      </c>
      <c r="J3997">
        <v>50</v>
      </c>
      <c r="K3997">
        <v>30</v>
      </c>
      <c r="L3997">
        <v>600</v>
      </c>
    </row>
    <row r="3998" spans="1:12" hidden="1" x14ac:dyDescent="0.25">
      <c r="A3998">
        <v>3997</v>
      </c>
      <c r="B3998" s="1" t="s">
        <v>12</v>
      </c>
      <c r="C3998">
        <v>1981</v>
      </c>
      <c r="D3998" s="1" t="s">
        <v>288</v>
      </c>
      <c r="E3998" s="1" t="s">
        <v>64</v>
      </c>
      <c r="F3998">
        <v>82</v>
      </c>
      <c r="G3998" s="1" t="s">
        <v>66</v>
      </c>
      <c r="H3998">
        <v>82035</v>
      </c>
      <c r="I3998">
        <v>10</v>
      </c>
      <c r="J3998">
        <v>10</v>
      </c>
      <c r="K3998">
        <v>14</v>
      </c>
      <c r="L3998">
        <v>1400</v>
      </c>
    </row>
    <row r="3999" spans="1:12" hidden="1" x14ac:dyDescent="0.25">
      <c r="A3999">
        <v>3998</v>
      </c>
      <c r="B3999" s="1" t="s">
        <v>12</v>
      </c>
      <c r="C3999">
        <v>1981</v>
      </c>
      <c r="D3999" s="1" t="s">
        <v>288</v>
      </c>
      <c r="E3999" s="1" t="s">
        <v>64</v>
      </c>
      <c r="F3999">
        <v>82</v>
      </c>
      <c r="G3999" s="1" t="s">
        <v>272</v>
      </c>
      <c r="H3999">
        <v>82042</v>
      </c>
      <c r="I3999">
        <v>5</v>
      </c>
      <c r="J3999">
        <v>5</v>
      </c>
      <c r="K3999">
        <v>6</v>
      </c>
      <c r="L3999">
        <v>1200</v>
      </c>
    </row>
    <row r="4000" spans="1:12" hidden="1" x14ac:dyDescent="0.25">
      <c r="A4000">
        <v>3999</v>
      </c>
      <c r="B4000" s="1" t="s">
        <v>12</v>
      </c>
      <c r="C4000">
        <v>1981</v>
      </c>
      <c r="D4000" s="1" t="s">
        <v>288</v>
      </c>
      <c r="E4000" s="1" t="s">
        <v>64</v>
      </c>
      <c r="F4000">
        <v>82</v>
      </c>
      <c r="G4000" s="1" t="s">
        <v>65</v>
      </c>
      <c r="H4000">
        <v>82049</v>
      </c>
      <c r="I4000">
        <v>50</v>
      </c>
      <c r="J4000">
        <v>50</v>
      </c>
      <c r="K4000">
        <v>55</v>
      </c>
      <c r="L4000">
        <v>1100</v>
      </c>
    </row>
    <row r="4001" spans="1:12" hidden="1" x14ac:dyDescent="0.25">
      <c r="A4001">
        <v>4000</v>
      </c>
      <c r="B4001" s="1" t="s">
        <v>12</v>
      </c>
      <c r="C4001">
        <v>1981</v>
      </c>
      <c r="D4001" s="1" t="s">
        <v>288</v>
      </c>
      <c r="E4001" s="1" t="s">
        <v>64</v>
      </c>
      <c r="F4001">
        <v>82</v>
      </c>
      <c r="G4001" s="1" t="s">
        <v>277</v>
      </c>
      <c r="H4001">
        <v>82056</v>
      </c>
      <c r="I4001">
        <v>45</v>
      </c>
      <c r="J4001">
        <v>45</v>
      </c>
      <c r="K4001">
        <v>55</v>
      </c>
      <c r="L4001">
        <v>1222</v>
      </c>
    </row>
    <row r="4002" spans="1:12" hidden="1" x14ac:dyDescent="0.25">
      <c r="A4002">
        <v>4001</v>
      </c>
      <c r="B4002" s="1" t="s">
        <v>12</v>
      </c>
      <c r="C4002">
        <v>1982</v>
      </c>
      <c r="D4002" s="1" t="s">
        <v>289</v>
      </c>
      <c r="E4002" s="1" t="s">
        <v>22</v>
      </c>
      <c r="F4002">
        <v>14</v>
      </c>
      <c r="G4002" s="1" t="s">
        <v>97</v>
      </c>
      <c r="H4002">
        <v>14007</v>
      </c>
      <c r="I4002">
        <v>400</v>
      </c>
      <c r="J4002">
        <v>400</v>
      </c>
      <c r="K4002">
        <v>450</v>
      </c>
      <c r="L4002">
        <v>1125</v>
      </c>
    </row>
    <row r="4003" spans="1:12" hidden="1" x14ac:dyDescent="0.25">
      <c r="A4003">
        <v>4002</v>
      </c>
      <c r="B4003" s="1" t="s">
        <v>12</v>
      </c>
      <c r="C4003">
        <v>1982</v>
      </c>
      <c r="D4003" s="1" t="s">
        <v>289</v>
      </c>
      <c r="E4003" s="1" t="s">
        <v>22</v>
      </c>
      <c r="F4003">
        <v>14</v>
      </c>
      <c r="G4003" s="1" t="s">
        <v>184</v>
      </c>
      <c r="H4003">
        <v>14042</v>
      </c>
      <c r="I4003">
        <v>12000</v>
      </c>
      <c r="J4003">
        <v>12000</v>
      </c>
      <c r="K4003">
        <v>17500</v>
      </c>
      <c r="L4003">
        <v>1458</v>
      </c>
    </row>
    <row r="4004" spans="1:12" hidden="1" x14ac:dyDescent="0.25">
      <c r="A4004">
        <v>4003</v>
      </c>
      <c r="B4004" s="1" t="s">
        <v>12</v>
      </c>
      <c r="C4004">
        <v>1982</v>
      </c>
      <c r="D4004" s="1" t="s">
        <v>289</v>
      </c>
      <c r="E4004" s="1" t="s">
        <v>22</v>
      </c>
      <c r="F4004">
        <v>14</v>
      </c>
      <c r="G4004" s="1" t="s">
        <v>143</v>
      </c>
      <c r="H4004">
        <v>14056</v>
      </c>
      <c r="I4004">
        <v>28000</v>
      </c>
      <c r="J4004">
        <v>28000</v>
      </c>
      <c r="K4004">
        <v>34000</v>
      </c>
      <c r="L4004">
        <v>1214</v>
      </c>
    </row>
    <row r="4005" spans="1:12" hidden="1" x14ac:dyDescent="0.25">
      <c r="A4005">
        <v>4004</v>
      </c>
      <c r="B4005" s="1" t="s">
        <v>12</v>
      </c>
      <c r="C4005">
        <v>1982</v>
      </c>
      <c r="D4005" s="1" t="s">
        <v>289</v>
      </c>
      <c r="E4005" s="1" t="s">
        <v>22</v>
      </c>
      <c r="F4005">
        <v>14</v>
      </c>
      <c r="G4005" s="1" t="s">
        <v>29</v>
      </c>
      <c r="H4005">
        <v>14098</v>
      </c>
      <c r="I4005">
        <v>4500</v>
      </c>
      <c r="J4005">
        <v>4500</v>
      </c>
      <c r="K4005">
        <v>4500</v>
      </c>
      <c r="L4005">
        <v>1000</v>
      </c>
    </row>
    <row r="4006" spans="1:12" hidden="1" x14ac:dyDescent="0.25">
      <c r="A4006">
        <v>4005</v>
      </c>
      <c r="B4006" s="1" t="s">
        <v>12</v>
      </c>
      <c r="C4006">
        <v>1982</v>
      </c>
      <c r="D4006" s="1" t="s">
        <v>289</v>
      </c>
      <c r="E4006" s="1" t="s">
        <v>22</v>
      </c>
      <c r="F4006">
        <v>14</v>
      </c>
      <c r="G4006" s="1" t="s">
        <v>24</v>
      </c>
      <c r="H4006">
        <v>14119</v>
      </c>
      <c r="I4006">
        <v>24000</v>
      </c>
      <c r="J4006">
        <v>24000</v>
      </c>
      <c r="K4006">
        <v>27700</v>
      </c>
      <c r="L4006">
        <v>1154</v>
      </c>
    </row>
    <row r="4007" spans="1:12" hidden="1" x14ac:dyDescent="0.25">
      <c r="A4007">
        <v>4006</v>
      </c>
      <c r="B4007" s="1" t="s">
        <v>12</v>
      </c>
      <c r="C4007">
        <v>1982</v>
      </c>
      <c r="D4007" s="1" t="s">
        <v>289</v>
      </c>
      <c r="E4007" s="1" t="s">
        <v>22</v>
      </c>
      <c r="F4007">
        <v>14</v>
      </c>
      <c r="G4007" s="1" t="s">
        <v>23</v>
      </c>
      <c r="H4007">
        <v>14147</v>
      </c>
      <c r="I4007">
        <v>400</v>
      </c>
      <c r="J4007">
        <v>400</v>
      </c>
      <c r="K4007">
        <v>450</v>
      </c>
      <c r="L4007">
        <v>1125</v>
      </c>
    </row>
    <row r="4008" spans="1:12" hidden="1" x14ac:dyDescent="0.25">
      <c r="A4008">
        <v>4007</v>
      </c>
      <c r="B4008" s="1" t="s">
        <v>12</v>
      </c>
      <c r="C4008">
        <v>1982</v>
      </c>
      <c r="D4008" s="1" t="s">
        <v>289</v>
      </c>
      <c r="E4008" s="1" t="s">
        <v>22</v>
      </c>
      <c r="F4008">
        <v>14</v>
      </c>
      <c r="G4008" s="1" t="s">
        <v>26</v>
      </c>
      <c r="H4008">
        <v>14161</v>
      </c>
      <c r="I4008">
        <v>54000</v>
      </c>
      <c r="J4008">
        <v>54000</v>
      </c>
      <c r="K4008">
        <v>78500</v>
      </c>
      <c r="L4008">
        <v>1454</v>
      </c>
    </row>
    <row r="4009" spans="1:12" hidden="1" x14ac:dyDescent="0.25">
      <c r="A4009">
        <v>4008</v>
      </c>
      <c r="B4009" s="1" t="s">
        <v>12</v>
      </c>
      <c r="C4009">
        <v>1982</v>
      </c>
      <c r="D4009" s="1" t="s">
        <v>289</v>
      </c>
      <c r="E4009" s="1" t="s">
        <v>22</v>
      </c>
      <c r="F4009">
        <v>14</v>
      </c>
      <c r="G4009" s="1" t="s">
        <v>122</v>
      </c>
      <c r="H4009">
        <v>14182</v>
      </c>
      <c r="I4009">
        <v>1200</v>
      </c>
      <c r="J4009">
        <v>1200</v>
      </c>
      <c r="K4009">
        <v>1600</v>
      </c>
      <c r="L4009">
        <v>1333</v>
      </c>
    </row>
    <row r="4010" spans="1:12" hidden="1" x14ac:dyDescent="0.25">
      <c r="A4010">
        <v>4009</v>
      </c>
      <c r="B4010" s="1" t="s">
        <v>12</v>
      </c>
      <c r="C4010">
        <v>1982</v>
      </c>
      <c r="D4010" s="1" t="s">
        <v>289</v>
      </c>
      <c r="E4010" s="1" t="s">
        <v>30</v>
      </c>
      <c r="F4010">
        <v>18</v>
      </c>
      <c r="G4010" s="1" t="s">
        <v>38</v>
      </c>
      <c r="H4010">
        <v>18007</v>
      </c>
      <c r="I4010">
        <v>60</v>
      </c>
      <c r="J4010">
        <v>42</v>
      </c>
      <c r="K4010">
        <v>15</v>
      </c>
      <c r="L4010">
        <v>357</v>
      </c>
    </row>
    <row r="4011" spans="1:12" hidden="1" x14ac:dyDescent="0.25">
      <c r="A4011">
        <v>4010</v>
      </c>
      <c r="B4011" s="1" t="s">
        <v>12</v>
      </c>
      <c r="C4011">
        <v>1982</v>
      </c>
      <c r="D4011" s="1" t="s">
        <v>289</v>
      </c>
      <c r="E4011" s="1" t="s">
        <v>30</v>
      </c>
      <c r="F4011">
        <v>18</v>
      </c>
      <c r="G4011" s="1" t="s">
        <v>102</v>
      </c>
      <c r="H4011">
        <v>18014</v>
      </c>
      <c r="I4011">
        <v>2</v>
      </c>
      <c r="J4011">
        <v>0</v>
      </c>
      <c r="K4011">
        <v>0</v>
      </c>
      <c r="L4011">
        <v>0</v>
      </c>
    </row>
    <row r="4012" spans="1:12" hidden="1" x14ac:dyDescent="0.25">
      <c r="A4012">
        <v>4011</v>
      </c>
      <c r="B4012" s="1" t="s">
        <v>12</v>
      </c>
      <c r="C4012">
        <v>1982</v>
      </c>
      <c r="D4012" s="1" t="s">
        <v>289</v>
      </c>
      <c r="E4012" s="1" t="s">
        <v>30</v>
      </c>
      <c r="F4012">
        <v>18</v>
      </c>
      <c r="G4012" s="1" t="s">
        <v>28</v>
      </c>
      <c r="H4012">
        <v>18021</v>
      </c>
      <c r="I4012">
        <v>15</v>
      </c>
      <c r="J4012">
        <v>10</v>
      </c>
      <c r="K4012">
        <v>5</v>
      </c>
      <c r="L4012">
        <v>500</v>
      </c>
    </row>
    <row r="4013" spans="1:12" hidden="1" x14ac:dyDescent="0.25">
      <c r="A4013">
        <v>4012</v>
      </c>
      <c r="B4013" s="1" t="s">
        <v>12</v>
      </c>
      <c r="C4013">
        <v>1982</v>
      </c>
      <c r="D4013" s="1" t="s">
        <v>289</v>
      </c>
      <c r="E4013" s="1" t="s">
        <v>30</v>
      </c>
      <c r="F4013">
        <v>18</v>
      </c>
      <c r="G4013" s="1" t="s">
        <v>63</v>
      </c>
      <c r="H4013">
        <v>18028</v>
      </c>
      <c r="I4013">
        <v>2</v>
      </c>
      <c r="J4013">
        <v>2</v>
      </c>
      <c r="K4013">
        <v>1</v>
      </c>
      <c r="L4013">
        <v>500</v>
      </c>
    </row>
    <row r="4014" spans="1:12" hidden="1" x14ac:dyDescent="0.25">
      <c r="A4014">
        <v>4013</v>
      </c>
      <c r="B4014" s="1" t="s">
        <v>12</v>
      </c>
      <c r="C4014">
        <v>1982</v>
      </c>
      <c r="D4014" s="1" t="s">
        <v>289</v>
      </c>
      <c r="E4014" s="1" t="s">
        <v>30</v>
      </c>
      <c r="F4014">
        <v>18</v>
      </c>
      <c r="G4014" s="1" t="s">
        <v>42</v>
      </c>
      <c r="H4014">
        <v>18035</v>
      </c>
      <c r="I4014">
        <v>3</v>
      </c>
      <c r="J4014">
        <v>3</v>
      </c>
      <c r="K4014">
        <v>1</v>
      </c>
      <c r="L4014">
        <v>333</v>
      </c>
    </row>
    <row r="4015" spans="1:12" hidden="1" x14ac:dyDescent="0.25">
      <c r="A4015">
        <v>4014</v>
      </c>
      <c r="B4015" s="1" t="s">
        <v>12</v>
      </c>
      <c r="C4015">
        <v>1982</v>
      </c>
      <c r="D4015" s="1" t="s">
        <v>289</v>
      </c>
      <c r="E4015" s="1" t="s">
        <v>30</v>
      </c>
      <c r="F4015">
        <v>18</v>
      </c>
      <c r="G4015" s="1" t="s">
        <v>34</v>
      </c>
      <c r="H4015">
        <v>18042</v>
      </c>
      <c r="I4015">
        <v>15</v>
      </c>
      <c r="J4015">
        <v>12</v>
      </c>
      <c r="K4015">
        <v>6</v>
      </c>
      <c r="L4015">
        <v>500</v>
      </c>
    </row>
    <row r="4016" spans="1:12" hidden="1" x14ac:dyDescent="0.25">
      <c r="A4016">
        <v>4015</v>
      </c>
      <c r="B4016" s="1" t="s">
        <v>12</v>
      </c>
      <c r="C4016">
        <v>1982</v>
      </c>
      <c r="D4016" s="1" t="s">
        <v>289</v>
      </c>
      <c r="E4016" s="1" t="s">
        <v>30</v>
      </c>
      <c r="F4016">
        <v>18</v>
      </c>
      <c r="G4016" s="1" t="s">
        <v>35</v>
      </c>
      <c r="H4016">
        <v>18049</v>
      </c>
      <c r="I4016">
        <v>5</v>
      </c>
      <c r="J4016">
        <v>5</v>
      </c>
      <c r="K4016">
        <v>2</v>
      </c>
      <c r="L4016">
        <v>400</v>
      </c>
    </row>
    <row r="4017" spans="1:12" hidden="1" x14ac:dyDescent="0.25">
      <c r="A4017">
        <v>4016</v>
      </c>
      <c r="B4017" s="1" t="s">
        <v>12</v>
      </c>
      <c r="C4017">
        <v>1982</v>
      </c>
      <c r="D4017" s="1" t="s">
        <v>289</v>
      </c>
      <c r="E4017" s="1" t="s">
        <v>30</v>
      </c>
      <c r="F4017">
        <v>18</v>
      </c>
      <c r="G4017" s="1" t="s">
        <v>99</v>
      </c>
      <c r="H4017">
        <v>18063</v>
      </c>
      <c r="I4017">
        <v>40</v>
      </c>
      <c r="J4017">
        <v>31</v>
      </c>
      <c r="K4017">
        <v>13</v>
      </c>
      <c r="L4017">
        <v>419</v>
      </c>
    </row>
    <row r="4018" spans="1:12" hidden="1" x14ac:dyDescent="0.25">
      <c r="A4018">
        <v>4017</v>
      </c>
      <c r="B4018" s="1" t="s">
        <v>12</v>
      </c>
      <c r="C4018">
        <v>1982</v>
      </c>
      <c r="D4018" s="1" t="s">
        <v>289</v>
      </c>
      <c r="E4018" s="1" t="s">
        <v>30</v>
      </c>
      <c r="F4018">
        <v>18</v>
      </c>
      <c r="G4018" s="1" t="s">
        <v>43</v>
      </c>
      <c r="H4018">
        <v>18070</v>
      </c>
      <c r="I4018">
        <v>10</v>
      </c>
      <c r="J4018">
        <v>6</v>
      </c>
      <c r="K4018">
        <v>2</v>
      </c>
      <c r="L4018">
        <v>333</v>
      </c>
    </row>
    <row r="4019" spans="1:12" hidden="1" x14ac:dyDescent="0.25">
      <c r="A4019">
        <v>4018</v>
      </c>
      <c r="B4019" s="1" t="s">
        <v>12</v>
      </c>
      <c r="C4019">
        <v>1982</v>
      </c>
      <c r="D4019" s="1" t="s">
        <v>289</v>
      </c>
      <c r="E4019" s="1" t="s">
        <v>30</v>
      </c>
      <c r="F4019">
        <v>18</v>
      </c>
      <c r="G4019" s="1" t="s">
        <v>39</v>
      </c>
      <c r="H4019">
        <v>18084</v>
      </c>
      <c r="I4019">
        <v>30</v>
      </c>
      <c r="J4019">
        <v>30</v>
      </c>
      <c r="K4019">
        <v>13</v>
      </c>
      <c r="L4019">
        <v>433</v>
      </c>
    </row>
    <row r="4020" spans="1:12" hidden="1" x14ac:dyDescent="0.25">
      <c r="A4020">
        <v>4019</v>
      </c>
      <c r="B4020" s="1" t="s">
        <v>12</v>
      </c>
      <c r="C4020">
        <v>1982</v>
      </c>
      <c r="D4020" s="1" t="s">
        <v>289</v>
      </c>
      <c r="E4020" s="1" t="s">
        <v>30</v>
      </c>
      <c r="F4020">
        <v>18</v>
      </c>
      <c r="G4020" s="1" t="s">
        <v>33</v>
      </c>
      <c r="H4020">
        <v>18091</v>
      </c>
      <c r="I4020">
        <v>7</v>
      </c>
      <c r="J4020">
        <v>5</v>
      </c>
      <c r="K4020">
        <v>1</v>
      </c>
      <c r="L4020">
        <v>200</v>
      </c>
    </row>
    <row r="4021" spans="1:12" hidden="1" x14ac:dyDescent="0.25">
      <c r="A4021">
        <v>4020</v>
      </c>
      <c r="B4021" s="1" t="s">
        <v>12</v>
      </c>
      <c r="C4021">
        <v>1982</v>
      </c>
      <c r="D4021" s="1" t="s">
        <v>289</v>
      </c>
      <c r="E4021" s="1" t="s">
        <v>30</v>
      </c>
      <c r="F4021">
        <v>18</v>
      </c>
      <c r="G4021" s="1" t="s">
        <v>98</v>
      </c>
      <c r="H4021">
        <v>18098</v>
      </c>
      <c r="I4021">
        <v>10</v>
      </c>
      <c r="J4021">
        <v>8</v>
      </c>
      <c r="K4021">
        <v>4</v>
      </c>
      <c r="L4021">
        <v>500</v>
      </c>
    </row>
    <row r="4022" spans="1:12" hidden="1" x14ac:dyDescent="0.25">
      <c r="A4022">
        <v>4021</v>
      </c>
      <c r="B4022" s="1" t="s">
        <v>12</v>
      </c>
      <c r="C4022">
        <v>1982</v>
      </c>
      <c r="D4022" s="1" t="s">
        <v>289</v>
      </c>
      <c r="E4022" s="1" t="s">
        <v>30</v>
      </c>
      <c r="F4022">
        <v>18</v>
      </c>
      <c r="G4022" s="1" t="s">
        <v>105</v>
      </c>
      <c r="H4022">
        <v>18105</v>
      </c>
      <c r="I4022">
        <v>5</v>
      </c>
      <c r="J4022">
        <v>5</v>
      </c>
      <c r="K4022">
        <v>2</v>
      </c>
      <c r="L4022">
        <v>400</v>
      </c>
    </row>
    <row r="4023" spans="1:12" hidden="1" x14ac:dyDescent="0.25">
      <c r="A4023">
        <v>4022</v>
      </c>
      <c r="B4023" s="1" t="s">
        <v>12</v>
      </c>
      <c r="C4023">
        <v>1982</v>
      </c>
      <c r="D4023" s="1" t="s">
        <v>289</v>
      </c>
      <c r="E4023" s="1" t="s">
        <v>30</v>
      </c>
      <c r="F4023">
        <v>18</v>
      </c>
      <c r="G4023" s="1" t="s">
        <v>32</v>
      </c>
      <c r="H4023">
        <v>18112</v>
      </c>
      <c r="I4023">
        <v>3</v>
      </c>
      <c r="J4023">
        <v>3</v>
      </c>
      <c r="K4023">
        <v>1</v>
      </c>
      <c r="L4023">
        <v>333</v>
      </c>
    </row>
    <row r="4024" spans="1:12" hidden="1" x14ac:dyDescent="0.25">
      <c r="A4024">
        <v>4023</v>
      </c>
      <c r="B4024" s="1" t="s">
        <v>12</v>
      </c>
      <c r="C4024">
        <v>1982</v>
      </c>
      <c r="D4024" s="1" t="s">
        <v>289</v>
      </c>
      <c r="E4024" s="1" t="s">
        <v>30</v>
      </c>
      <c r="F4024">
        <v>18</v>
      </c>
      <c r="G4024" s="1" t="s">
        <v>104</v>
      </c>
      <c r="H4024">
        <v>18119</v>
      </c>
      <c r="I4024">
        <v>5</v>
      </c>
      <c r="J4024">
        <v>5</v>
      </c>
      <c r="K4024">
        <v>2</v>
      </c>
      <c r="L4024">
        <v>400</v>
      </c>
    </row>
    <row r="4025" spans="1:12" hidden="1" x14ac:dyDescent="0.25">
      <c r="A4025">
        <v>4024</v>
      </c>
      <c r="B4025" s="1" t="s">
        <v>12</v>
      </c>
      <c r="C4025">
        <v>1982</v>
      </c>
      <c r="D4025" s="1" t="s">
        <v>289</v>
      </c>
      <c r="E4025" s="1" t="s">
        <v>30</v>
      </c>
      <c r="F4025">
        <v>18</v>
      </c>
      <c r="G4025" s="1" t="s">
        <v>40</v>
      </c>
      <c r="H4025">
        <v>18126</v>
      </c>
      <c r="I4025">
        <v>5</v>
      </c>
      <c r="J4025">
        <v>5</v>
      </c>
      <c r="K4025">
        <v>2</v>
      </c>
      <c r="L4025">
        <v>400</v>
      </c>
    </row>
    <row r="4026" spans="1:12" hidden="1" x14ac:dyDescent="0.25">
      <c r="A4026">
        <v>4025</v>
      </c>
      <c r="B4026" s="1" t="s">
        <v>12</v>
      </c>
      <c r="C4026">
        <v>1982</v>
      </c>
      <c r="D4026" s="1" t="s">
        <v>289</v>
      </c>
      <c r="E4026" s="1" t="s">
        <v>30</v>
      </c>
      <c r="F4026">
        <v>18</v>
      </c>
      <c r="G4026" s="1" t="s">
        <v>36</v>
      </c>
      <c r="H4026">
        <v>18133</v>
      </c>
      <c r="I4026">
        <v>7</v>
      </c>
      <c r="J4026">
        <v>5</v>
      </c>
      <c r="K4026">
        <v>2</v>
      </c>
      <c r="L4026">
        <v>400</v>
      </c>
    </row>
    <row r="4027" spans="1:12" hidden="1" x14ac:dyDescent="0.25">
      <c r="A4027">
        <v>4026</v>
      </c>
      <c r="B4027" s="1" t="s">
        <v>12</v>
      </c>
      <c r="C4027">
        <v>1982</v>
      </c>
      <c r="D4027" s="1" t="s">
        <v>289</v>
      </c>
      <c r="E4027" s="1" t="s">
        <v>30</v>
      </c>
      <c r="F4027">
        <v>18</v>
      </c>
      <c r="G4027" s="1" t="s">
        <v>41</v>
      </c>
      <c r="H4027">
        <v>18140</v>
      </c>
      <c r="I4027">
        <v>30</v>
      </c>
      <c r="J4027">
        <v>21</v>
      </c>
      <c r="K4027">
        <v>9</v>
      </c>
      <c r="L4027">
        <v>429</v>
      </c>
    </row>
    <row r="4028" spans="1:12" hidden="1" x14ac:dyDescent="0.25">
      <c r="A4028">
        <v>4027</v>
      </c>
      <c r="B4028" s="1" t="s">
        <v>12</v>
      </c>
      <c r="C4028">
        <v>1982</v>
      </c>
      <c r="D4028" s="1" t="s">
        <v>289</v>
      </c>
      <c r="E4028" s="1" t="s">
        <v>30</v>
      </c>
      <c r="F4028">
        <v>18</v>
      </c>
      <c r="G4028" s="1" t="s">
        <v>37</v>
      </c>
      <c r="H4028">
        <v>18147</v>
      </c>
      <c r="I4028">
        <v>10</v>
      </c>
      <c r="J4028">
        <v>10</v>
      </c>
      <c r="K4028">
        <v>5</v>
      </c>
      <c r="L4028">
        <v>500</v>
      </c>
    </row>
    <row r="4029" spans="1:12" hidden="1" x14ac:dyDescent="0.25">
      <c r="A4029">
        <v>4028</v>
      </c>
      <c r="B4029" s="1" t="s">
        <v>12</v>
      </c>
      <c r="C4029">
        <v>1982</v>
      </c>
      <c r="D4029" s="1" t="s">
        <v>289</v>
      </c>
      <c r="E4029" s="1" t="s">
        <v>30</v>
      </c>
      <c r="F4029">
        <v>18</v>
      </c>
      <c r="G4029" s="1" t="s">
        <v>103</v>
      </c>
      <c r="H4029">
        <v>18154</v>
      </c>
      <c r="I4029">
        <v>4</v>
      </c>
      <c r="J4029">
        <v>3</v>
      </c>
      <c r="K4029">
        <v>2</v>
      </c>
      <c r="L4029">
        <v>667</v>
      </c>
    </row>
    <row r="4030" spans="1:12" hidden="1" x14ac:dyDescent="0.25">
      <c r="A4030">
        <v>4029</v>
      </c>
      <c r="B4030" s="1" t="s">
        <v>12</v>
      </c>
      <c r="C4030">
        <v>1982</v>
      </c>
      <c r="D4030" s="1" t="s">
        <v>289</v>
      </c>
      <c r="E4030" s="1" t="s">
        <v>30</v>
      </c>
      <c r="F4030">
        <v>18</v>
      </c>
      <c r="G4030" s="1" t="s">
        <v>101</v>
      </c>
      <c r="H4030">
        <v>18161</v>
      </c>
      <c r="I4030">
        <v>15</v>
      </c>
      <c r="J4030">
        <v>12</v>
      </c>
      <c r="K4030">
        <v>7</v>
      </c>
      <c r="L4030">
        <v>583</v>
      </c>
    </row>
    <row r="4031" spans="1:12" hidden="1" x14ac:dyDescent="0.25">
      <c r="A4031">
        <v>4030</v>
      </c>
      <c r="B4031" s="1" t="s">
        <v>12</v>
      </c>
      <c r="C4031">
        <v>1982</v>
      </c>
      <c r="D4031" s="1" t="s">
        <v>289</v>
      </c>
      <c r="E4031" s="1" t="s">
        <v>30</v>
      </c>
      <c r="F4031">
        <v>18</v>
      </c>
      <c r="G4031" s="1" t="s">
        <v>44</v>
      </c>
      <c r="H4031">
        <v>18168</v>
      </c>
      <c r="I4031">
        <v>17</v>
      </c>
      <c r="J4031">
        <v>17</v>
      </c>
      <c r="K4031">
        <v>8</v>
      </c>
      <c r="L4031">
        <v>471</v>
      </c>
    </row>
    <row r="4032" spans="1:12" hidden="1" x14ac:dyDescent="0.25">
      <c r="A4032">
        <v>4031</v>
      </c>
      <c r="B4032" s="1" t="s">
        <v>12</v>
      </c>
      <c r="C4032">
        <v>1982</v>
      </c>
      <c r="D4032" s="1" t="s">
        <v>289</v>
      </c>
      <c r="E4032" s="1" t="s">
        <v>48</v>
      </c>
      <c r="F4032">
        <v>34</v>
      </c>
      <c r="G4032" s="1" t="s">
        <v>50</v>
      </c>
      <c r="H4032">
        <v>34021</v>
      </c>
      <c r="I4032">
        <v>15</v>
      </c>
      <c r="J4032">
        <v>0</v>
      </c>
      <c r="K4032">
        <v>0</v>
      </c>
      <c r="L4032">
        <v>0</v>
      </c>
    </row>
    <row r="4033" spans="1:12" hidden="1" x14ac:dyDescent="0.25">
      <c r="A4033">
        <v>4032</v>
      </c>
      <c r="B4033" s="1" t="s">
        <v>12</v>
      </c>
      <c r="C4033">
        <v>1982</v>
      </c>
      <c r="D4033" s="1" t="s">
        <v>289</v>
      </c>
      <c r="E4033" s="1" t="s">
        <v>48</v>
      </c>
      <c r="F4033">
        <v>34</v>
      </c>
      <c r="G4033" s="1" t="s">
        <v>52</v>
      </c>
      <c r="H4033">
        <v>34035</v>
      </c>
      <c r="I4033">
        <v>15</v>
      </c>
      <c r="J4033">
        <v>5</v>
      </c>
      <c r="K4033">
        <v>4</v>
      </c>
      <c r="L4033">
        <v>800</v>
      </c>
    </row>
    <row r="4034" spans="1:12" hidden="1" x14ac:dyDescent="0.25">
      <c r="A4034">
        <v>4033</v>
      </c>
      <c r="B4034" s="1" t="s">
        <v>12</v>
      </c>
      <c r="C4034">
        <v>1982</v>
      </c>
      <c r="D4034" s="1" t="s">
        <v>289</v>
      </c>
      <c r="E4034" s="1" t="s">
        <v>48</v>
      </c>
      <c r="F4034">
        <v>34</v>
      </c>
      <c r="G4034" s="1" t="s">
        <v>49</v>
      </c>
      <c r="H4034">
        <v>34049</v>
      </c>
      <c r="I4034">
        <v>10</v>
      </c>
      <c r="J4034">
        <v>5</v>
      </c>
      <c r="K4034">
        <v>3</v>
      </c>
      <c r="L4034">
        <v>600</v>
      </c>
    </row>
    <row r="4035" spans="1:12" hidden="1" x14ac:dyDescent="0.25">
      <c r="A4035">
        <v>4034</v>
      </c>
      <c r="B4035" s="1" t="s">
        <v>12</v>
      </c>
      <c r="C4035">
        <v>1982</v>
      </c>
      <c r="D4035" s="1" t="s">
        <v>289</v>
      </c>
      <c r="E4035" s="1" t="s">
        <v>58</v>
      </c>
      <c r="F4035">
        <v>54</v>
      </c>
      <c r="G4035" s="1" t="s">
        <v>234</v>
      </c>
      <c r="H4035">
        <v>54119</v>
      </c>
      <c r="I4035">
        <v>8</v>
      </c>
      <c r="J4035">
        <v>8</v>
      </c>
      <c r="K4035">
        <v>4</v>
      </c>
      <c r="L4035">
        <v>500</v>
      </c>
    </row>
    <row r="4036" spans="1:12" hidden="1" x14ac:dyDescent="0.25">
      <c r="A4036">
        <v>4035</v>
      </c>
      <c r="B4036" s="1" t="s">
        <v>12</v>
      </c>
      <c r="C4036">
        <v>1982</v>
      </c>
      <c r="D4036" s="1" t="s">
        <v>289</v>
      </c>
      <c r="E4036" s="1" t="s">
        <v>58</v>
      </c>
      <c r="F4036">
        <v>54</v>
      </c>
      <c r="G4036" s="1" t="s">
        <v>59</v>
      </c>
      <c r="H4036">
        <v>54007</v>
      </c>
      <c r="I4036">
        <v>16</v>
      </c>
      <c r="J4036">
        <v>14</v>
      </c>
      <c r="K4036">
        <v>9</v>
      </c>
      <c r="L4036">
        <v>643</v>
      </c>
    </row>
    <row r="4037" spans="1:12" hidden="1" x14ac:dyDescent="0.25">
      <c r="A4037">
        <v>4036</v>
      </c>
      <c r="B4037" s="1" t="s">
        <v>12</v>
      </c>
      <c r="C4037">
        <v>1982</v>
      </c>
      <c r="D4037" s="1" t="s">
        <v>289</v>
      </c>
      <c r="E4037" s="1" t="s">
        <v>58</v>
      </c>
      <c r="F4037">
        <v>54</v>
      </c>
      <c r="G4037" s="1" t="s">
        <v>150</v>
      </c>
      <c r="H4037">
        <v>54014</v>
      </c>
      <c r="I4037">
        <v>12</v>
      </c>
      <c r="J4037">
        <v>11</v>
      </c>
      <c r="K4037">
        <v>7</v>
      </c>
      <c r="L4037">
        <v>636</v>
      </c>
    </row>
    <row r="4038" spans="1:12" hidden="1" x14ac:dyDescent="0.25">
      <c r="A4038">
        <v>4037</v>
      </c>
      <c r="B4038" s="1" t="s">
        <v>12</v>
      </c>
      <c r="C4038">
        <v>1982</v>
      </c>
      <c r="D4038" s="1" t="s">
        <v>289</v>
      </c>
      <c r="E4038" s="1" t="s">
        <v>58</v>
      </c>
      <c r="F4038">
        <v>54</v>
      </c>
      <c r="G4038" s="1" t="s">
        <v>60</v>
      </c>
      <c r="H4038">
        <v>54021</v>
      </c>
      <c r="I4038">
        <v>16</v>
      </c>
      <c r="J4038">
        <v>13</v>
      </c>
      <c r="K4038">
        <v>7</v>
      </c>
      <c r="L4038">
        <v>538</v>
      </c>
    </row>
    <row r="4039" spans="1:12" hidden="1" x14ac:dyDescent="0.25">
      <c r="A4039">
        <v>4038</v>
      </c>
      <c r="B4039" s="1" t="s">
        <v>12</v>
      </c>
      <c r="C4039">
        <v>1982</v>
      </c>
      <c r="D4039" s="1" t="s">
        <v>289</v>
      </c>
      <c r="E4039" s="1" t="s">
        <v>58</v>
      </c>
      <c r="F4039">
        <v>54</v>
      </c>
      <c r="G4039" s="1" t="s">
        <v>28</v>
      </c>
      <c r="H4039">
        <v>54028</v>
      </c>
      <c r="I4039">
        <v>2</v>
      </c>
      <c r="J4039">
        <v>2</v>
      </c>
      <c r="K4039">
        <v>1</v>
      </c>
      <c r="L4039">
        <v>500</v>
      </c>
    </row>
    <row r="4040" spans="1:12" hidden="1" x14ac:dyDescent="0.25">
      <c r="A4040">
        <v>4039</v>
      </c>
      <c r="B4040" s="1" t="s">
        <v>12</v>
      </c>
      <c r="C4040">
        <v>1982</v>
      </c>
      <c r="D4040" s="1" t="s">
        <v>289</v>
      </c>
      <c r="E4040" s="1" t="s">
        <v>58</v>
      </c>
      <c r="F4040">
        <v>54</v>
      </c>
      <c r="G4040" s="1" t="s">
        <v>63</v>
      </c>
      <c r="H4040">
        <v>54035</v>
      </c>
      <c r="I4040">
        <v>5</v>
      </c>
      <c r="J4040">
        <v>5</v>
      </c>
      <c r="K4040">
        <v>3</v>
      </c>
      <c r="L4040">
        <v>600</v>
      </c>
    </row>
    <row r="4041" spans="1:12" hidden="1" x14ac:dyDescent="0.25">
      <c r="A4041">
        <v>4040</v>
      </c>
      <c r="B4041" s="1" t="s">
        <v>12</v>
      </c>
      <c r="C4041">
        <v>1982</v>
      </c>
      <c r="D4041" s="1" t="s">
        <v>289</v>
      </c>
      <c r="E4041" s="1" t="s">
        <v>58</v>
      </c>
      <c r="F4041">
        <v>54</v>
      </c>
      <c r="G4041" s="1" t="s">
        <v>266</v>
      </c>
      <c r="H4041">
        <v>54042</v>
      </c>
      <c r="I4041">
        <v>10</v>
      </c>
      <c r="J4041">
        <v>10</v>
      </c>
      <c r="K4041">
        <v>7</v>
      </c>
      <c r="L4041">
        <v>700</v>
      </c>
    </row>
    <row r="4042" spans="1:12" hidden="1" x14ac:dyDescent="0.25">
      <c r="A4042">
        <v>4041</v>
      </c>
      <c r="B4042" s="1" t="s">
        <v>12</v>
      </c>
      <c r="C4042">
        <v>1982</v>
      </c>
      <c r="D4042" s="1" t="s">
        <v>289</v>
      </c>
      <c r="E4042" s="1" t="s">
        <v>58</v>
      </c>
      <c r="F4042">
        <v>54</v>
      </c>
      <c r="G4042" s="1" t="s">
        <v>258</v>
      </c>
      <c r="H4042">
        <v>54049</v>
      </c>
      <c r="I4042">
        <v>17</v>
      </c>
      <c r="J4042">
        <v>16</v>
      </c>
      <c r="K4042">
        <v>9</v>
      </c>
      <c r="L4042">
        <v>563</v>
      </c>
    </row>
    <row r="4043" spans="1:12" hidden="1" x14ac:dyDescent="0.25">
      <c r="A4043">
        <v>4042</v>
      </c>
      <c r="B4043" s="1" t="s">
        <v>12</v>
      </c>
      <c r="C4043">
        <v>1982</v>
      </c>
      <c r="D4043" s="1" t="s">
        <v>289</v>
      </c>
      <c r="E4043" s="1" t="s">
        <v>58</v>
      </c>
      <c r="F4043">
        <v>54</v>
      </c>
      <c r="G4043" s="1" t="s">
        <v>151</v>
      </c>
      <c r="H4043">
        <v>54056</v>
      </c>
      <c r="I4043">
        <v>12</v>
      </c>
      <c r="J4043">
        <v>11</v>
      </c>
      <c r="K4043">
        <v>7</v>
      </c>
      <c r="L4043">
        <v>636</v>
      </c>
    </row>
    <row r="4044" spans="1:12" hidden="1" x14ac:dyDescent="0.25">
      <c r="A4044">
        <v>4043</v>
      </c>
      <c r="B4044" s="1" t="s">
        <v>12</v>
      </c>
      <c r="C4044">
        <v>1982</v>
      </c>
      <c r="D4044" s="1" t="s">
        <v>289</v>
      </c>
      <c r="E4044" s="1" t="s">
        <v>58</v>
      </c>
      <c r="F4044">
        <v>54</v>
      </c>
      <c r="G4044" s="1" t="s">
        <v>152</v>
      </c>
      <c r="H4044">
        <v>54063</v>
      </c>
      <c r="I4044">
        <v>3</v>
      </c>
      <c r="J4044">
        <v>3</v>
      </c>
      <c r="K4044">
        <v>2</v>
      </c>
      <c r="L4044">
        <v>667</v>
      </c>
    </row>
    <row r="4045" spans="1:12" hidden="1" x14ac:dyDescent="0.25">
      <c r="A4045">
        <v>4044</v>
      </c>
      <c r="B4045" s="1" t="s">
        <v>12</v>
      </c>
      <c r="C4045">
        <v>1982</v>
      </c>
      <c r="D4045" s="1" t="s">
        <v>289</v>
      </c>
      <c r="E4045" s="1" t="s">
        <v>58</v>
      </c>
      <c r="F4045">
        <v>54</v>
      </c>
      <c r="G4045" s="1" t="s">
        <v>243</v>
      </c>
      <c r="H4045">
        <v>54070</v>
      </c>
      <c r="I4045">
        <v>14</v>
      </c>
      <c r="J4045">
        <v>13</v>
      </c>
      <c r="K4045">
        <v>8</v>
      </c>
      <c r="L4045">
        <v>615</v>
      </c>
    </row>
    <row r="4046" spans="1:12" hidden="1" x14ac:dyDescent="0.25">
      <c r="A4046">
        <v>4045</v>
      </c>
      <c r="B4046" s="1" t="s">
        <v>12</v>
      </c>
      <c r="C4046">
        <v>1982</v>
      </c>
      <c r="D4046" s="1" t="s">
        <v>289</v>
      </c>
      <c r="E4046" s="1" t="s">
        <v>58</v>
      </c>
      <c r="F4046">
        <v>54</v>
      </c>
      <c r="G4046" s="1" t="s">
        <v>119</v>
      </c>
      <c r="H4046">
        <v>54077</v>
      </c>
      <c r="I4046">
        <v>5</v>
      </c>
      <c r="J4046">
        <v>5</v>
      </c>
      <c r="K4046">
        <v>3</v>
      </c>
      <c r="L4046">
        <v>600</v>
      </c>
    </row>
    <row r="4047" spans="1:12" hidden="1" x14ac:dyDescent="0.25">
      <c r="A4047">
        <v>4046</v>
      </c>
      <c r="B4047" s="1" t="s">
        <v>12</v>
      </c>
      <c r="C4047">
        <v>1982</v>
      </c>
      <c r="D4047" s="1" t="s">
        <v>289</v>
      </c>
      <c r="E4047" s="1" t="s">
        <v>58</v>
      </c>
      <c r="F4047">
        <v>54</v>
      </c>
      <c r="G4047" s="1" t="s">
        <v>244</v>
      </c>
      <c r="H4047">
        <v>54084</v>
      </c>
      <c r="I4047">
        <v>10</v>
      </c>
      <c r="J4047">
        <v>10</v>
      </c>
      <c r="K4047">
        <v>6</v>
      </c>
      <c r="L4047">
        <v>600</v>
      </c>
    </row>
    <row r="4048" spans="1:12" hidden="1" x14ac:dyDescent="0.25">
      <c r="A4048">
        <v>4047</v>
      </c>
      <c r="B4048" s="1" t="s">
        <v>12</v>
      </c>
      <c r="C4048">
        <v>1982</v>
      </c>
      <c r="D4048" s="1" t="s">
        <v>289</v>
      </c>
      <c r="E4048" s="1" t="s">
        <v>58</v>
      </c>
      <c r="F4048">
        <v>54</v>
      </c>
      <c r="G4048" s="1" t="s">
        <v>242</v>
      </c>
      <c r="H4048">
        <v>54091</v>
      </c>
      <c r="I4048">
        <v>10</v>
      </c>
      <c r="J4048">
        <v>10</v>
      </c>
      <c r="K4048">
        <v>7</v>
      </c>
      <c r="L4048">
        <v>700</v>
      </c>
    </row>
    <row r="4049" spans="1:12" hidden="1" x14ac:dyDescent="0.25">
      <c r="A4049">
        <v>4048</v>
      </c>
      <c r="B4049" s="1" t="s">
        <v>12</v>
      </c>
      <c r="C4049">
        <v>1982</v>
      </c>
      <c r="D4049" s="1" t="s">
        <v>289</v>
      </c>
      <c r="E4049" s="1" t="s">
        <v>58</v>
      </c>
      <c r="F4049">
        <v>54</v>
      </c>
      <c r="G4049" s="1" t="s">
        <v>61</v>
      </c>
      <c r="H4049">
        <v>54098</v>
      </c>
      <c r="I4049">
        <v>4</v>
      </c>
      <c r="J4049">
        <v>4</v>
      </c>
      <c r="K4049">
        <v>2</v>
      </c>
      <c r="L4049">
        <v>500</v>
      </c>
    </row>
    <row r="4050" spans="1:12" hidden="1" x14ac:dyDescent="0.25">
      <c r="A4050">
        <v>4049</v>
      </c>
      <c r="B4050" s="1" t="s">
        <v>12</v>
      </c>
      <c r="C4050">
        <v>1982</v>
      </c>
      <c r="D4050" s="1" t="s">
        <v>289</v>
      </c>
      <c r="E4050" s="1" t="s">
        <v>58</v>
      </c>
      <c r="F4050">
        <v>54</v>
      </c>
      <c r="G4050" s="1" t="s">
        <v>62</v>
      </c>
      <c r="H4050">
        <v>54105</v>
      </c>
      <c r="I4050">
        <v>6</v>
      </c>
      <c r="J4050">
        <v>6</v>
      </c>
      <c r="K4050">
        <v>3</v>
      </c>
      <c r="L4050">
        <v>500</v>
      </c>
    </row>
    <row r="4051" spans="1:12" x14ac:dyDescent="0.25">
      <c r="A4051">
        <v>4050</v>
      </c>
      <c r="B4051" s="1" t="s">
        <v>12</v>
      </c>
      <c r="C4051">
        <v>1982</v>
      </c>
      <c r="D4051" s="1" t="s">
        <v>289</v>
      </c>
      <c r="E4051" s="1" t="s">
        <v>58</v>
      </c>
      <c r="F4051">
        <v>54</v>
      </c>
      <c r="G4051" s="1" t="s">
        <v>56</v>
      </c>
      <c r="H4051">
        <v>54112</v>
      </c>
      <c r="I4051">
        <v>10</v>
      </c>
      <c r="J4051">
        <v>9</v>
      </c>
      <c r="K4051">
        <v>5</v>
      </c>
      <c r="L4051">
        <v>556</v>
      </c>
    </row>
    <row r="4052" spans="1:12" hidden="1" x14ac:dyDescent="0.25">
      <c r="A4052">
        <v>4051</v>
      </c>
      <c r="B4052" s="1" t="s">
        <v>12</v>
      </c>
      <c r="C4052">
        <v>1982</v>
      </c>
      <c r="D4052" s="1" t="s">
        <v>289</v>
      </c>
      <c r="E4052" s="1" t="s">
        <v>64</v>
      </c>
      <c r="F4052">
        <v>82</v>
      </c>
      <c r="G4052" s="1" t="s">
        <v>66</v>
      </c>
      <c r="H4052">
        <v>82035</v>
      </c>
      <c r="I4052">
        <v>12</v>
      </c>
      <c r="J4052">
        <v>12</v>
      </c>
      <c r="K4052">
        <v>12</v>
      </c>
      <c r="L4052">
        <v>1000</v>
      </c>
    </row>
    <row r="4053" spans="1:12" hidden="1" x14ac:dyDescent="0.25">
      <c r="A4053">
        <v>4052</v>
      </c>
      <c r="B4053" s="1" t="s">
        <v>12</v>
      </c>
      <c r="C4053">
        <v>1982</v>
      </c>
      <c r="D4053" s="1" t="s">
        <v>289</v>
      </c>
      <c r="E4053" s="1" t="s">
        <v>64</v>
      </c>
      <c r="F4053">
        <v>82</v>
      </c>
      <c r="G4053" s="1" t="s">
        <v>272</v>
      </c>
      <c r="H4053">
        <v>82042</v>
      </c>
      <c r="I4053">
        <v>5</v>
      </c>
      <c r="J4053">
        <v>5</v>
      </c>
      <c r="K4053">
        <v>5</v>
      </c>
      <c r="L4053">
        <v>1000</v>
      </c>
    </row>
    <row r="4054" spans="1:12" hidden="1" x14ac:dyDescent="0.25">
      <c r="A4054">
        <v>4053</v>
      </c>
      <c r="B4054" s="1" t="s">
        <v>12</v>
      </c>
      <c r="C4054">
        <v>1982</v>
      </c>
      <c r="D4054" s="1" t="s">
        <v>289</v>
      </c>
      <c r="E4054" s="1" t="s">
        <v>64</v>
      </c>
      <c r="F4054">
        <v>82</v>
      </c>
      <c r="G4054" s="1" t="s">
        <v>65</v>
      </c>
      <c r="H4054">
        <v>82049</v>
      </c>
      <c r="I4054">
        <v>55</v>
      </c>
      <c r="J4054">
        <v>55</v>
      </c>
      <c r="K4054">
        <v>55</v>
      </c>
      <c r="L4054">
        <v>1000</v>
      </c>
    </row>
    <row r="4055" spans="1:12" hidden="1" x14ac:dyDescent="0.25">
      <c r="A4055">
        <v>4054</v>
      </c>
      <c r="B4055" s="1" t="s">
        <v>12</v>
      </c>
      <c r="C4055">
        <v>1982</v>
      </c>
      <c r="D4055" s="1" t="s">
        <v>289</v>
      </c>
      <c r="E4055" s="1" t="s">
        <v>64</v>
      </c>
      <c r="F4055">
        <v>82</v>
      </c>
      <c r="G4055" s="1" t="s">
        <v>277</v>
      </c>
      <c r="H4055">
        <v>82056</v>
      </c>
      <c r="I4055">
        <v>28</v>
      </c>
      <c r="J4055">
        <v>28</v>
      </c>
      <c r="K4055">
        <v>28</v>
      </c>
      <c r="L4055">
        <v>1000</v>
      </c>
    </row>
    <row r="4056" spans="1:12" hidden="1" x14ac:dyDescent="0.25">
      <c r="A4056">
        <v>4055</v>
      </c>
      <c r="B4056" s="1" t="s">
        <v>12</v>
      </c>
      <c r="C4056">
        <v>1983</v>
      </c>
      <c r="D4056" s="1" t="s">
        <v>290</v>
      </c>
      <c r="E4056" s="1" t="s">
        <v>22</v>
      </c>
      <c r="F4056">
        <v>14</v>
      </c>
      <c r="G4056" s="1" t="s">
        <v>97</v>
      </c>
      <c r="H4056">
        <v>14007</v>
      </c>
      <c r="I4056">
        <v>500</v>
      </c>
      <c r="J4056">
        <v>500</v>
      </c>
      <c r="K4056">
        <v>700</v>
      </c>
      <c r="L4056">
        <v>1400</v>
      </c>
    </row>
    <row r="4057" spans="1:12" hidden="1" x14ac:dyDescent="0.25">
      <c r="A4057">
        <v>4056</v>
      </c>
      <c r="B4057" s="1" t="s">
        <v>12</v>
      </c>
      <c r="C4057">
        <v>1983</v>
      </c>
      <c r="D4057" s="1" t="s">
        <v>290</v>
      </c>
      <c r="E4057" s="1" t="s">
        <v>22</v>
      </c>
      <c r="F4057">
        <v>14</v>
      </c>
      <c r="G4057" s="1" t="s">
        <v>184</v>
      </c>
      <c r="H4057">
        <v>14042</v>
      </c>
      <c r="I4057">
        <v>14000</v>
      </c>
      <c r="J4057">
        <v>14000</v>
      </c>
      <c r="K4057">
        <v>21000</v>
      </c>
      <c r="L4057">
        <v>1500</v>
      </c>
    </row>
    <row r="4058" spans="1:12" hidden="1" x14ac:dyDescent="0.25">
      <c r="A4058">
        <v>4057</v>
      </c>
      <c r="B4058" s="1" t="s">
        <v>12</v>
      </c>
      <c r="C4058">
        <v>1983</v>
      </c>
      <c r="D4058" s="1" t="s">
        <v>290</v>
      </c>
      <c r="E4058" s="1" t="s">
        <v>22</v>
      </c>
      <c r="F4058">
        <v>14</v>
      </c>
      <c r="G4058" s="1" t="s">
        <v>143</v>
      </c>
      <c r="H4058">
        <v>14056</v>
      </c>
      <c r="I4058">
        <v>35000</v>
      </c>
      <c r="J4058">
        <v>35000</v>
      </c>
      <c r="K4058">
        <v>70000</v>
      </c>
      <c r="L4058">
        <v>2000</v>
      </c>
    </row>
    <row r="4059" spans="1:12" hidden="1" x14ac:dyDescent="0.25">
      <c r="A4059">
        <v>4058</v>
      </c>
      <c r="B4059" s="1" t="s">
        <v>12</v>
      </c>
      <c r="C4059">
        <v>1983</v>
      </c>
      <c r="D4059" s="1" t="s">
        <v>290</v>
      </c>
      <c r="E4059" s="1" t="s">
        <v>22</v>
      </c>
      <c r="F4059">
        <v>14</v>
      </c>
      <c r="G4059" s="1" t="s">
        <v>29</v>
      </c>
      <c r="H4059">
        <v>14098</v>
      </c>
      <c r="I4059">
        <v>7000</v>
      </c>
      <c r="J4059">
        <v>7000</v>
      </c>
      <c r="K4059">
        <v>11200</v>
      </c>
      <c r="L4059">
        <v>1600</v>
      </c>
    </row>
    <row r="4060" spans="1:12" hidden="1" x14ac:dyDescent="0.25">
      <c r="A4060">
        <v>4059</v>
      </c>
      <c r="B4060" s="1" t="s">
        <v>12</v>
      </c>
      <c r="C4060">
        <v>1983</v>
      </c>
      <c r="D4060" s="1" t="s">
        <v>290</v>
      </c>
      <c r="E4060" s="1" t="s">
        <v>22</v>
      </c>
      <c r="F4060">
        <v>14</v>
      </c>
      <c r="G4060" s="1" t="s">
        <v>24</v>
      </c>
      <c r="H4060">
        <v>14119</v>
      </c>
      <c r="I4060">
        <v>25000</v>
      </c>
      <c r="J4060">
        <v>25000</v>
      </c>
      <c r="K4060">
        <v>40000</v>
      </c>
      <c r="L4060">
        <v>1600</v>
      </c>
    </row>
    <row r="4061" spans="1:12" hidden="1" x14ac:dyDescent="0.25">
      <c r="A4061">
        <v>4060</v>
      </c>
      <c r="B4061" s="1" t="s">
        <v>12</v>
      </c>
      <c r="C4061">
        <v>1983</v>
      </c>
      <c r="D4061" s="1" t="s">
        <v>290</v>
      </c>
      <c r="E4061" s="1" t="s">
        <v>22</v>
      </c>
      <c r="F4061">
        <v>14</v>
      </c>
      <c r="G4061" s="1" t="s">
        <v>23</v>
      </c>
      <c r="H4061">
        <v>14147</v>
      </c>
      <c r="I4061">
        <v>3700</v>
      </c>
      <c r="J4061">
        <v>3700</v>
      </c>
      <c r="K4061">
        <v>5180</v>
      </c>
      <c r="L4061">
        <v>1400</v>
      </c>
    </row>
    <row r="4062" spans="1:12" hidden="1" x14ac:dyDescent="0.25">
      <c r="A4062">
        <v>4061</v>
      </c>
      <c r="B4062" s="1" t="s">
        <v>12</v>
      </c>
      <c r="C4062">
        <v>1983</v>
      </c>
      <c r="D4062" s="1" t="s">
        <v>290</v>
      </c>
      <c r="E4062" s="1" t="s">
        <v>22</v>
      </c>
      <c r="F4062">
        <v>14</v>
      </c>
      <c r="G4062" s="1" t="s">
        <v>26</v>
      </c>
      <c r="H4062">
        <v>14161</v>
      </c>
      <c r="I4062">
        <v>58100</v>
      </c>
      <c r="J4062">
        <v>58100</v>
      </c>
      <c r="K4062">
        <v>83720</v>
      </c>
      <c r="L4062">
        <v>1441</v>
      </c>
    </row>
    <row r="4063" spans="1:12" hidden="1" x14ac:dyDescent="0.25">
      <c r="A4063">
        <v>4062</v>
      </c>
      <c r="B4063" s="1" t="s">
        <v>12</v>
      </c>
      <c r="C4063">
        <v>1983</v>
      </c>
      <c r="D4063" s="1" t="s">
        <v>290</v>
      </c>
      <c r="E4063" s="1" t="s">
        <v>22</v>
      </c>
      <c r="F4063">
        <v>14</v>
      </c>
      <c r="G4063" s="1" t="s">
        <v>122</v>
      </c>
      <c r="H4063">
        <v>14182</v>
      </c>
      <c r="I4063">
        <v>1800</v>
      </c>
      <c r="J4063">
        <v>1800</v>
      </c>
      <c r="K4063">
        <v>2700</v>
      </c>
      <c r="L4063">
        <v>1500</v>
      </c>
    </row>
    <row r="4064" spans="1:12" hidden="1" x14ac:dyDescent="0.25">
      <c r="A4064">
        <v>4063</v>
      </c>
      <c r="B4064" s="1" t="s">
        <v>12</v>
      </c>
      <c r="C4064">
        <v>1983</v>
      </c>
      <c r="D4064" s="1" t="s">
        <v>290</v>
      </c>
      <c r="E4064" s="1" t="s">
        <v>30</v>
      </c>
      <c r="F4064">
        <v>18</v>
      </c>
      <c r="G4064" s="1" t="s">
        <v>38</v>
      </c>
      <c r="H4064">
        <v>18007</v>
      </c>
      <c r="I4064">
        <v>41</v>
      </c>
      <c r="J4064">
        <v>41</v>
      </c>
      <c r="K4064">
        <v>32</v>
      </c>
      <c r="L4064">
        <v>780</v>
      </c>
    </row>
    <row r="4065" spans="1:12" hidden="1" x14ac:dyDescent="0.25">
      <c r="A4065">
        <v>4064</v>
      </c>
      <c r="B4065" s="1" t="s">
        <v>12</v>
      </c>
      <c r="C4065">
        <v>1983</v>
      </c>
      <c r="D4065" s="1" t="s">
        <v>290</v>
      </c>
      <c r="E4065" s="1" t="s">
        <v>30</v>
      </c>
      <c r="F4065">
        <v>18</v>
      </c>
      <c r="G4065" s="1" t="s">
        <v>102</v>
      </c>
      <c r="H4065">
        <v>18014</v>
      </c>
      <c r="I4065">
        <v>2</v>
      </c>
      <c r="J4065">
        <v>2</v>
      </c>
      <c r="K4065">
        <v>1</v>
      </c>
      <c r="L4065">
        <v>500</v>
      </c>
    </row>
    <row r="4066" spans="1:12" hidden="1" x14ac:dyDescent="0.25">
      <c r="A4066">
        <v>4065</v>
      </c>
      <c r="B4066" s="1" t="s">
        <v>12</v>
      </c>
      <c r="C4066">
        <v>1983</v>
      </c>
      <c r="D4066" s="1" t="s">
        <v>290</v>
      </c>
      <c r="E4066" s="1" t="s">
        <v>30</v>
      </c>
      <c r="F4066">
        <v>18</v>
      </c>
      <c r="G4066" s="1" t="s">
        <v>28</v>
      </c>
      <c r="H4066">
        <v>18021</v>
      </c>
      <c r="I4066">
        <v>14</v>
      </c>
      <c r="J4066">
        <v>14</v>
      </c>
      <c r="K4066">
        <v>11</v>
      </c>
      <c r="L4066">
        <v>786</v>
      </c>
    </row>
    <row r="4067" spans="1:12" hidden="1" x14ac:dyDescent="0.25">
      <c r="A4067">
        <v>4066</v>
      </c>
      <c r="B4067" s="1" t="s">
        <v>12</v>
      </c>
      <c r="C4067">
        <v>1983</v>
      </c>
      <c r="D4067" s="1" t="s">
        <v>290</v>
      </c>
      <c r="E4067" s="1" t="s">
        <v>30</v>
      </c>
      <c r="F4067">
        <v>18</v>
      </c>
      <c r="G4067" s="1" t="s">
        <v>63</v>
      </c>
      <c r="H4067">
        <v>18028</v>
      </c>
      <c r="I4067">
        <v>2</v>
      </c>
      <c r="J4067">
        <v>2</v>
      </c>
      <c r="K4067">
        <v>1</v>
      </c>
      <c r="L4067">
        <v>500</v>
      </c>
    </row>
    <row r="4068" spans="1:12" hidden="1" x14ac:dyDescent="0.25">
      <c r="A4068">
        <v>4067</v>
      </c>
      <c r="B4068" s="1" t="s">
        <v>12</v>
      </c>
      <c r="C4068">
        <v>1983</v>
      </c>
      <c r="D4068" s="1" t="s">
        <v>290</v>
      </c>
      <c r="E4068" s="1" t="s">
        <v>30</v>
      </c>
      <c r="F4068">
        <v>18</v>
      </c>
      <c r="G4068" s="1" t="s">
        <v>42</v>
      </c>
      <c r="H4068">
        <v>18035</v>
      </c>
      <c r="I4068">
        <v>3</v>
      </c>
      <c r="J4068">
        <v>3</v>
      </c>
      <c r="K4068">
        <v>2</v>
      </c>
      <c r="L4068">
        <v>667</v>
      </c>
    </row>
    <row r="4069" spans="1:12" hidden="1" x14ac:dyDescent="0.25">
      <c r="A4069">
        <v>4068</v>
      </c>
      <c r="B4069" s="1" t="s">
        <v>12</v>
      </c>
      <c r="C4069">
        <v>1983</v>
      </c>
      <c r="D4069" s="1" t="s">
        <v>290</v>
      </c>
      <c r="E4069" s="1" t="s">
        <v>30</v>
      </c>
      <c r="F4069">
        <v>18</v>
      </c>
      <c r="G4069" s="1" t="s">
        <v>34</v>
      </c>
      <c r="H4069">
        <v>18042</v>
      </c>
      <c r="I4069">
        <v>14</v>
      </c>
      <c r="J4069">
        <v>14</v>
      </c>
      <c r="K4069">
        <v>9</v>
      </c>
      <c r="L4069">
        <v>643</v>
      </c>
    </row>
    <row r="4070" spans="1:12" hidden="1" x14ac:dyDescent="0.25">
      <c r="A4070">
        <v>4069</v>
      </c>
      <c r="B4070" s="1" t="s">
        <v>12</v>
      </c>
      <c r="C4070">
        <v>1983</v>
      </c>
      <c r="D4070" s="1" t="s">
        <v>290</v>
      </c>
      <c r="E4070" s="1" t="s">
        <v>30</v>
      </c>
      <c r="F4070">
        <v>18</v>
      </c>
      <c r="G4070" s="1" t="s">
        <v>35</v>
      </c>
      <c r="H4070">
        <v>18049</v>
      </c>
      <c r="I4070">
        <v>5</v>
      </c>
      <c r="J4070">
        <v>5</v>
      </c>
      <c r="K4070">
        <v>3</v>
      </c>
      <c r="L4070">
        <v>600</v>
      </c>
    </row>
    <row r="4071" spans="1:12" hidden="1" x14ac:dyDescent="0.25">
      <c r="A4071">
        <v>4070</v>
      </c>
      <c r="B4071" s="1" t="s">
        <v>12</v>
      </c>
      <c r="C4071">
        <v>1983</v>
      </c>
      <c r="D4071" s="1" t="s">
        <v>290</v>
      </c>
      <c r="E4071" s="1" t="s">
        <v>30</v>
      </c>
      <c r="F4071">
        <v>18</v>
      </c>
      <c r="G4071" s="1" t="s">
        <v>99</v>
      </c>
      <c r="H4071">
        <v>18063</v>
      </c>
      <c r="I4071">
        <v>35</v>
      </c>
      <c r="J4071">
        <v>35</v>
      </c>
      <c r="K4071">
        <v>28</v>
      </c>
      <c r="L4071">
        <v>800</v>
      </c>
    </row>
    <row r="4072" spans="1:12" hidden="1" x14ac:dyDescent="0.25">
      <c r="A4072">
        <v>4071</v>
      </c>
      <c r="B4072" s="1" t="s">
        <v>12</v>
      </c>
      <c r="C4072">
        <v>1983</v>
      </c>
      <c r="D4072" s="1" t="s">
        <v>290</v>
      </c>
      <c r="E4072" s="1" t="s">
        <v>30</v>
      </c>
      <c r="F4072">
        <v>18</v>
      </c>
      <c r="G4072" s="1" t="s">
        <v>43</v>
      </c>
      <c r="H4072">
        <v>18070</v>
      </c>
      <c r="I4072">
        <v>9</v>
      </c>
      <c r="J4072">
        <v>9</v>
      </c>
      <c r="K4072">
        <v>5</v>
      </c>
      <c r="L4072">
        <v>556</v>
      </c>
    </row>
    <row r="4073" spans="1:12" hidden="1" x14ac:dyDescent="0.25">
      <c r="A4073">
        <v>4072</v>
      </c>
      <c r="B4073" s="1" t="s">
        <v>12</v>
      </c>
      <c r="C4073">
        <v>1983</v>
      </c>
      <c r="D4073" s="1" t="s">
        <v>290</v>
      </c>
      <c r="E4073" s="1" t="s">
        <v>30</v>
      </c>
      <c r="F4073">
        <v>18</v>
      </c>
      <c r="G4073" s="1" t="s">
        <v>39</v>
      </c>
      <c r="H4073">
        <v>18084</v>
      </c>
      <c r="I4073">
        <v>25</v>
      </c>
      <c r="J4073">
        <v>25</v>
      </c>
      <c r="K4073">
        <v>18</v>
      </c>
      <c r="L4073">
        <v>720</v>
      </c>
    </row>
    <row r="4074" spans="1:12" hidden="1" x14ac:dyDescent="0.25">
      <c r="A4074">
        <v>4073</v>
      </c>
      <c r="B4074" s="1" t="s">
        <v>12</v>
      </c>
      <c r="C4074">
        <v>1983</v>
      </c>
      <c r="D4074" s="1" t="s">
        <v>290</v>
      </c>
      <c r="E4074" s="1" t="s">
        <v>30</v>
      </c>
      <c r="F4074">
        <v>18</v>
      </c>
      <c r="G4074" s="1" t="s">
        <v>33</v>
      </c>
      <c r="H4074">
        <v>18091</v>
      </c>
      <c r="I4074">
        <v>8</v>
      </c>
      <c r="J4074">
        <v>8</v>
      </c>
      <c r="K4074">
        <v>5</v>
      </c>
      <c r="L4074">
        <v>625</v>
      </c>
    </row>
    <row r="4075" spans="1:12" hidden="1" x14ac:dyDescent="0.25">
      <c r="A4075">
        <v>4074</v>
      </c>
      <c r="B4075" s="1" t="s">
        <v>12</v>
      </c>
      <c r="C4075">
        <v>1983</v>
      </c>
      <c r="D4075" s="1" t="s">
        <v>290</v>
      </c>
      <c r="E4075" s="1" t="s">
        <v>30</v>
      </c>
      <c r="F4075">
        <v>18</v>
      </c>
      <c r="G4075" s="1" t="s">
        <v>98</v>
      </c>
      <c r="H4075">
        <v>18098</v>
      </c>
      <c r="I4075">
        <v>9</v>
      </c>
      <c r="J4075">
        <v>9</v>
      </c>
      <c r="K4075">
        <v>6</v>
      </c>
      <c r="L4075">
        <v>667</v>
      </c>
    </row>
    <row r="4076" spans="1:12" hidden="1" x14ac:dyDescent="0.25">
      <c r="A4076">
        <v>4075</v>
      </c>
      <c r="B4076" s="1" t="s">
        <v>12</v>
      </c>
      <c r="C4076">
        <v>1983</v>
      </c>
      <c r="D4076" s="1" t="s">
        <v>290</v>
      </c>
      <c r="E4076" s="1" t="s">
        <v>30</v>
      </c>
      <c r="F4076">
        <v>18</v>
      </c>
      <c r="G4076" s="1" t="s">
        <v>105</v>
      </c>
      <c r="H4076">
        <v>18105</v>
      </c>
      <c r="I4076">
        <v>5</v>
      </c>
      <c r="J4076">
        <v>5</v>
      </c>
      <c r="K4076">
        <v>3</v>
      </c>
      <c r="L4076">
        <v>600</v>
      </c>
    </row>
    <row r="4077" spans="1:12" hidden="1" x14ac:dyDescent="0.25">
      <c r="A4077">
        <v>4076</v>
      </c>
      <c r="B4077" s="1" t="s">
        <v>12</v>
      </c>
      <c r="C4077">
        <v>1983</v>
      </c>
      <c r="D4077" s="1" t="s">
        <v>290</v>
      </c>
      <c r="E4077" s="1" t="s">
        <v>30</v>
      </c>
      <c r="F4077">
        <v>18</v>
      </c>
      <c r="G4077" s="1" t="s">
        <v>32</v>
      </c>
      <c r="H4077">
        <v>18112</v>
      </c>
      <c r="I4077">
        <v>3</v>
      </c>
      <c r="J4077">
        <v>3</v>
      </c>
      <c r="K4077">
        <v>2</v>
      </c>
      <c r="L4077">
        <v>667</v>
      </c>
    </row>
    <row r="4078" spans="1:12" hidden="1" x14ac:dyDescent="0.25">
      <c r="A4078">
        <v>4077</v>
      </c>
      <c r="B4078" s="1" t="s">
        <v>12</v>
      </c>
      <c r="C4078">
        <v>1983</v>
      </c>
      <c r="D4078" s="1" t="s">
        <v>290</v>
      </c>
      <c r="E4078" s="1" t="s">
        <v>30</v>
      </c>
      <c r="F4078">
        <v>18</v>
      </c>
      <c r="G4078" s="1" t="s">
        <v>104</v>
      </c>
      <c r="H4078">
        <v>18119</v>
      </c>
      <c r="I4078">
        <v>5</v>
      </c>
      <c r="J4078">
        <v>5</v>
      </c>
      <c r="K4078">
        <v>3</v>
      </c>
      <c r="L4078">
        <v>600</v>
      </c>
    </row>
    <row r="4079" spans="1:12" hidden="1" x14ac:dyDescent="0.25">
      <c r="A4079">
        <v>4078</v>
      </c>
      <c r="B4079" s="1" t="s">
        <v>12</v>
      </c>
      <c r="C4079">
        <v>1983</v>
      </c>
      <c r="D4079" s="1" t="s">
        <v>290</v>
      </c>
      <c r="E4079" s="1" t="s">
        <v>30</v>
      </c>
      <c r="F4079">
        <v>18</v>
      </c>
      <c r="G4079" s="1" t="s">
        <v>40</v>
      </c>
      <c r="H4079">
        <v>18126</v>
      </c>
      <c r="I4079">
        <v>5</v>
      </c>
      <c r="J4079">
        <v>5</v>
      </c>
      <c r="K4079">
        <v>3</v>
      </c>
      <c r="L4079">
        <v>600</v>
      </c>
    </row>
    <row r="4080" spans="1:12" hidden="1" x14ac:dyDescent="0.25">
      <c r="A4080">
        <v>4079</v>
      </c>
      <c r="B4080" s="1" t="s">
        <v>12</v>
      </c>
      <c r="C4080">
        <v>1983</v>
      </c>
      <c r="D4080" s="1" t="s">
        <v>290</v>
      </c>
      <c r="E4080" s="1" t="s">
        <v>30</v>
      </c>
      <c r="F4080">
        <v>18</v>
      </c>
      <c r="G4080" s="1" t="s">
        <v>36</v>
      </c>
      <c r="H4080">
        <v>18133</v>
      </c>
      <c r="I4080">
        <v>7</v>
      </c>
      <c r="J4080">
        <v>7</v>
      </c>
      <c r="K4080">
        <v>4</v>
      </c>
      <c r="L4080">
        <v>571</v>
      </c>
    </row>
    <row r="4081" spans="1:12" hidden="1" x14ac:dyDescent="0.25">
      <c r="A4081">
        <v>4080</v>
      </c>
      <c r="B4081" s="1" t="s">
        <v>12</v>
      </c>
      <c r="C4081">
        <v>1983</v>
      </c>
      <c r="D4081" s="1" t="s">
        <v>290</v>
      </c>
      <c r="E4081" s="1" t="s">
        <v>30</v>
      </c>
      <c r="F4081">
        <v>18</v>
      </c>
      <c r="G4081" s="1" t="s">
        <v>41</v>
      </c>
      <c r="H4081">
        <v>18140</v>
      </c>
      <c r="I4081">
        <v>20</v>
      </c>
      <c r="J4081">
        <v>20</v>
      </c>
      <c r="K4081">
        <v>14</v>
      </c>
      <c r="L4081">
        <v>700</v>
      </c>
    </row>
    <row r="4082" spans="1:12" hidden="1" x14ac:dyDescent="0.25">
      <c r="A4082">
        <v>4081</v>
      </c>
      <c r="B4082" s="1" t="s">
        <v>12</v>
      </c>
      <c r="C4082">
        <v>1983</v>
      </c>
      <c r="D4082" s="1" t="s">
        <v>290</v>
      </c>
      <c r="E4082" s="1" t="s">
        <v>30</v>
      </c>
      <c r="F4082">
        <v>18</v>
      </c>
      <c r="G4082" s="1" t="s">
        <v>37</v>
      </c>
      <c r="H4082">
        <v>18147</v>
      </c>
      <c r="I4082">
        <v>8</v>
      </c>
      <c r="J4082">
        <v>8</v>
      </c>
      <c r="K4082">
        <v>7</v>
      </c>
      <c r="L4082">
        <v>875</v>
      </c>
    </row>
    <row r="4083" spans="1:12" hidden="1" x14ac:dyDescent="0.25">
      <c r="A4083">
        <v>4082</v>
      </c>
      <c r="B4083" s="1" t="s">
        <v>12</v>
      </c>
      <c r="C4083">
        <v>1983</v>
      </c>
      <c r="D4083" s="1" t="s">
        <v>290</v>
      </c>
      <c r="E4083" s="1" t="s">
        <v>30</v>
      </c>
      <c r="F4083">
        <v>18</v>
      </c>
      <c r="G4083" s="1" t="s">
        <v>103</v>
      </c>
      <c r="H4083">
        <v>18154</v>
      </c>
      <c r="I4083">
        <v>4</v>
      </c>
      <c r="J4083">
        <v>4</v>
      </c>
      <c r="K4083">
        <v>3</v>
      </c>
      <c r="L4083">
        <v>750</v>
      </c>
    </row>
    <row r="4084" spans="1:12" hidden="1" x14ac:dyDescent="0.25">
      <c r="A4084">
        <v>4083</v>
      </c>
      <c r="B4084" s="1" t="s">
        <v>12</v>
      </c>
      <c r="C4084">
        <v>1983</v>
      </c>
      <c r="D4084" s="1" t="s">
        <v>290</v>
      </c>
      <c r="E4084" s="1" t="s">
        <v>30</v>
      </c>
      <c r="F4084">
        <v>18</v>
      </c>
      <c r="G4084" s="1" t="s">
        <v>101</v>
      </c>
      <c r="H4084">
        <v>18161</v>
      </c>
      <c r="I4084">
        <v>13</v>
      </c>
      <c r="J4084">
        <v>13</v>
      </c>
      <c r="K4084">
        <v>10</v>
      </c>
      <c r="L4084">
        <v>769</v>
      </c>
    </row>
    <row r="4085" spans="1:12" hidden="1" x14ac:dyDescent="0.25">
      <c r="A4085">
        <v>4084</v>
      </c>
      <c r="B4085" s="1" t="s">
        <v>12</v>
      </c>
      <c r="C4085">
        <v>1983</v>
      </c>
      <c r="D4085" s="1" t="s">
        <v>290</v>
      </c>
      <c r="E4085" s="1" t="s">
        <v>30</v>
      </c>
      <c r="F4085">
        <v>18</v>
      </c>
      <c r="G4085" s="1" t="s">
        <v>44</v>
      </c>
      <c r="H4085">
        <v>18168</v>
      </c>
      <c r="I4085">
        <v>13</v>
      </c>
      <c r="J4085">
        <v>13</v>
      </c>
      <c r="K4085">
        <v>10</v>
      </c>
      <c r="L4085">
        <v>769</v>
      </c>
    </row>
    <row r="4086" spans="1:12" hidden="1" x14ac:dyDescent="0.25">
      <c r="A4086">
        <v>4085</v>
      </c>
      <c r="B4086" s="1" t="s">
        <v>12</v>
      </c>
      <c r="C4086">
        <v>1983</v>
      </c>
      <c r="D4086" s="1" t="s">
        <v>290</v>
      </c>
      <c r="E4086" s="1" t="s">
        <v>48</v>
      </c>
      <c r="F4086">
        <v>34</v>
      </c>
      <c r="G4086" s="1" t="s">
        <v>50</v>
      </c>
      <c r="H4086">
        <v>34021</v>
      </c>
      <c r="I4086">
        <v>12</v>
      </c>
      <c r="J4086">
        <v>12</v>
      </c>
      <c r="K4086">
        <v>12</v>
      </c>
      <c r="L4086">
        <v>1000</v>
      </c>
    </row>
    <row r="4087" spans="1:12" hidden="1" x14ac:dyDescent="0.25">
      <c r="A4087">
        <v>4086</v>
      </c>
      <c r="B4087" s="1" t="s">
        <v>12</v>
      </c>
      <c r="C4087">
        <v>1983</v>
      </c>
      <c r="D4087" s="1" t="s">
        <v>290</v>
      </c>
      <c r="E4087" s="1" t="s">
        <v>48</v>
      </c>
      <c r="F4087">
        <v>34</v>
      </c>
      <c r="G4087" s="1" t="s">
        <v>52</v>
      </c>
      <c r="H4087">
        <v>34035</v>
      </c>
      <c r="I4087">
        <v>12</v>
      </c>
      <c r="J4087">
        <v>12</v>
      </c>
      <c r="K4087">
        <v>10</v>
      </c>
      <c r="L4087">
        <v>833</v>
      </c>
    </row>
    <row r="4088" spans="1:12" hidden="1" x14ac:dyDescent="0.25">
      <c r="A4088">
        <v>4087</v>
      </c>
      <c r="B4088" s="1" t="s">
        <v>12</v>
      </c>
      <c r="C4088">
        <v>1983</v>
      </c>
      <c r="D4088" s="1" t="s">
        <v>290</v>
      </c>
      <c r="E4088" s="1" t="s">
        <v>48</v>
      </c>
      <c r="F4088">
        <v>34</v>
      </c>
      <c r="G4088" s="1" t="s">
        <v>49</v>
      </c>
      <c r="H4088">
        <v>34049</v>
      </c>
      <c r="I4088">
        <v>6</v>
      </c>
      <c r="J4088">
        <v>6</v>
      </c>
      <c r="K4088">
        <v>6</v>
      </c>
      <c r="L4088">
        <v>1000</v>
      </c>
    </row>
    <row r="4089" spans="1:12" hidden="1" x14ac:dyDescent="0.25">
      <c r="A4089">
        <v>4088</v>
      </c>
      <c r="B4089" s="1" t="s">
        <v>12</v>
      </c>
      <c r="C4089">
        <v>1983</v>
      </c>
      <c r="D4089" s="1" t="s">
        <v>290</v>
      </c>
      <c r="E4089" s="1" t="s">
        <v>58</v>
      </c>
      <c r="F4089">
        <v>54</v>
      </c>
      <c r="G4089" s="1" t="s">
        <v>234</v>
      </c>
      <c r="H4089">
        <v>54119</v>
      </c>
      <c r="I4089">
        <v>11</v>
      </c>
      <c r="J4089">
        <v>11</v>
      </c>
      <c r="K4089">
        <v>9</v>
      </c>
      <c r="L4089">
        <v>818</v>
      </c>
    </row>
    <row r="4090" spans="1:12" hidden="1" x14ac:dyDescent="0.25">
      <c r="A4090">
        <v>4089</v>
      </c>
      <c r="B4090" s="1" t="s">
        <v>12</v>
      </c>
      <c r="C4090">
        <v>1983</v>
      </c>
      <c r="D4090" s="1" t="s">
        <v>290</v>
      </c>
      <c r="E4090" s="1" t="s">
        <v>58</v>
      </c>
      <c r="F4090">
        <v>54</v>
      </c>
      <c r="G4090" s="1" t="s">
        <v>59</v>
      </c>
      <c r="H4090">
        <v>54007</v>
      </c>
      <c r="I4090">
        <v>10</v>
      </c>
      <c r="J4090">
        <v>10</v>
      </c>
      <c r="K4090">
        <v>9</v>
      </c>
      <c r="L4090">
        <v>900</v>
      </c>
    </row>
    <row r="4091" spans="1:12" hidden="1" x14ac:dyDescent="0.25">
      <c r="A4091">
        <v>4090</v>
      </c>
      <c r="B4091" s="1" t="s">
        <v>12</v>
      </c>
      <c r="C4091">
        <v>1983</v>
      </c>
      <c r="D4091" s="1" t="s">
        <v>290</v>
      </c>
      <c r="E4091" s="1" t="s">
        <v>58</v>
      </c>
      <c r="F4091">
        <v>54</v>
      </c>
      <c r="G4091" s="1" t="s">
        <v>150</v>
      </c>
      <c r="H4091">
        <v>54014</v>
      </c>
      <c r="I4091">
        <v>20</v>
      </c>
      <c r="J4091">
        <v>20</v>
      </c>
      <c r="K4091">
        <v>17</v>
      </c>
      <c r="L4091">
        <v>850</v>
      </c>
    </row>
    <row r="4092" spans="1:12" hidden="1" x14ac:dyDescent="0.25">
      <c r="A4092">
        <v>4091</v>
      </c>
      <c r="B4092" s="1" t="s">
        <v>12</v>
      </c>
      <c r="C4092">
        <v>1983</v>
      </c>
      <c r="D4092" s="1" t="s">
        <v>290</v>
      </c>
      <c r="E4092" s="1" t="s">
        <v>58</v>
      </c>
      <c r="F4092">
        <v>54</v>
      </c>
      <c r="G4092" s="1" t="s">
        <v>60</v>
      </c>
      <c r="H4092">
        <v>54021</v>
      </c>
      <c r="I4092">
        <v>10</v>
      </c>
      <c r="J4092">
        <v>10</v>
      </c>
      <c r="K4092">
        <v>7</v>
      </c>
      <c r="L4092">
        <v>700</v>
      </c>
    </row>
    <row r="4093" spans="1:12" hidden="1" x14ac:dyDescent="0.25">
      <c r="A4093">
        <v>4092</v>
      </c>
      <c r="B4093" s="1" t="s">
        <v>12</v>
      </c>
      <c r="C4093">
        <v>1983</v>
      </c>
      <c r="D4093" s="1" t="s">
        <v>290</v>
      </c>
      <c r="E4093" s="1" t="s">
        <v>58</v>
      </c>
      <c r="F4093">
        <v>54</v>
      </c>
      <c r="G4093" s="1" t="s">
        <v>28</v>
      </c>
      <c r="H4093">
        <v>54028</v>
      </c>
      <c r="I4093">
        <v>3</v>
      </c>
      <c r="J4093">
        <v>3</v>
      </c>
      <c r="K4093">
        <v>2</v>
      </c>
      <c r="L4093">
        <v>667</v>
      </c>
    </row>
    <row r="4094" spans="1:12" hidden="1" x14ac:dyDescent="0.25">
      <c r="A4094">
        <v>4093</v>
      </c>
      <c r="B4094" s="1" t="s">
        <v>12</v>
      </c>
      <c r="C4094">
        <v>1983</v>
      </c>
      <c r="D4094" s="1" t="s">
        <v>290</v>
      </c>
      <c r="E4094" s="1" t="s">
        <v>58</v>
      </c>
      <c r="F4094">
        <v>54</v>
      </c>
      <c r="G4094" s="1" t="s">
        <v>63</v>
      </c>
      <c r="H4094">
        <v>54035</v>
      </c>
      <c r="I4094">
        <v>2</v>
      </c>
      <c r="J4094">
        <v>2</v>
      </c>
      <c r="K4094">
        <v>1</v>
      </c>
      <c r="L4094">
        <v>500</v>
      </c>
    </row>
    <row r="4095" spans="1:12" hidden="1" x14ac:dyDescent="0.25">
      <c r="A4095">
        <v>4094</v>
      </c>
      <c r="B4095" s="1" t="s">
        <v>12</v>
      </c>
      <c r="C4095">
        <v>1983</v>
      </c>
      <c r="D4095" s="1" t="s">
        <v>290</v>
      </c>
      <c r="E4095" s="1" t="s">
        <v>58</v>
      </c>
      <c r="F4095">
        <v>54</v>
      </c>
      <c r="G4095" s="1" t="s">
        <v>266</v>
      </c>
      <c r="H4095">
        <v>54042</v>
      </c>
      <c r="I4095">
        <v>3</v>
      </c>
      <c r="J4095">
        <v>3</v>
      </c>
      <c r="K4095">
        <v>2</v>
      </c>
      <c r="L4095">
        <v>667</v>
      </c>
    </row>
    <row r="4096" spans="1:12" hidden="1" x14ac:dyDescent="0.25">
      <c r="A4096">
        <v>4095</v>
      </c>
      <c r="B4096" s="1" t="s">
        <v>12</v>
      </c>
      <c r="C4096">
        <v>1983</v>
      </c>
      <c r="D4096" s="1" t="s">
        <v>290</v>
      </c>
      <c r="E4096" s="1" t="s">
        <v>58</v>
      </c>
      <c r="F4096">
        <v>54</v>
      </c>
      <c r="G4096" s="1" t="s">
        <v>258</v>
      </c>
      <c r="H4096">
        <v>54049</v>
      </c>
      <c r="I4096">
        <v>16</v>
      </c>
      <c r="J4096">
        <v>16</v>
      </c>
      <c r="K4096">
        <v>12</v>
      </c>
      <c r="L4096">
        <v>750</v>
      </c>
    </row>
    <row r="4097" spans="1:12" hidden="1" x14ac:dyDescent="0.25">
      <c r="A4097">
        <v>4096</v>
      </c>
      <c r="B4097" s="1" t="s">
        <v>12</v>
      </c>
      <c r="C4097">
        <v>1983</v>
      </c>
      <c r="D4097" s="1" t="s">
        <v>290</v>
      </c>
      <c r="E4097" s="1" t="s">
        <v>58</v>
      </c>
      <c r="F4097">
        <v>54</v>
      </c>
      <c r="G4097" s="1" t="s">
        <v>151</v>
      </c>
      <c r="H4097">
        <v>54056</v>
      </c>
      <c r="I4097">
        <v>16</v>
      </c>
      <c r="J4097">
        <v>16</v>
      </c>
      <c r="K4097">
        <v>14</v>
      </c>
      <c r="L4097">
        <v>875</v>
      </c>
    </row>
    <row r="4098" spans="1:12" hidden="1" x14ac:dyDescent="0.25">
      <c r="A4098">
        <v>4097</v>
      </c>
      <c r="B4098" s="1" t="s">
        <v>12</v>
      </c>
      <c r="C4098">
        <v>1983</v>
      </c>
      <c r="D4098" s="1" t="s">
        <v>290</v>
      </c>
      <c r="E4098" s="1" t="s">
        <v>58</v>
      </c>
      <c r="F4098">
        <v>54</v>
      </c>
      <c r="G4098" s="1" t="s">
        <v>152</v>
      </c>
      <c r="H4098">
        <v>54063</v>
      </c>
      <c r="I4098">
        <v>5</v>
      </c>
      <c r="J4098">
        <v>5</v>
      </c>
      <c r="K4098">
        <v>4</v>
      </c>
      <c r="L4098">
        <v>800</v>
      </c>
    </row>
    <row r="4099" spans="1:12" hidden="1" x14ac:dyDescent="0.25">
      <c r="A4099">
        <v>4098</v>
      </c>
      <c r="B4099" s="1" t="s">
        <v>12</v>
      </c>
      <c r="C4099">
        <v>1983</v>
      </c>
      <c r="D4099" s="1" t="s">
        <v>290</v>
      </c>
      <c r="E4099" s="1" t="s">
        <v>58</v>
      </c>
      <c r="F4099">
        <v>54</v>
      </c>
      <c r="G4099" s="1" t="s">
        <v>243</v>
      </c>
      <c r="H4099">
        <v>54070</v>
      </c>
      <c r="I4099">
        <v>15</v>
      </c>
      <c r="J4099">
        <v>15</v>
      </c>
      <c r="K4099">
        <v>12</v>
      </c>
      <c r="L4099">
        <v>800</v>
      </c>
    </row>
    <row r="4100" spans="1:12" hidden="1" x14ac:dyDescent="0.25">
      <c r="A4100">
        <v>4099</v>
      </c>
      <c r="B4100" s="1" t="s">
        <v>12</v>
      </c>
      <c r="C4100">
        <v>1983</v>
      </c>
      <c r="D4100" s="1" t="s">
        <v>290</v>
      </c>
      <c r="E4100" s="1" t="s">
        <v>58</v>
      </c>
      <c r="F4100">
        <v>54</v>
      </c>
      <c r="G4100" s="1" t="s">
        <v>119</v>
      </c>
      <c r="H4100">
        <v>54077</v>
      </c>
      <c r="I4100">
        <v>3</v>
      </c>
      <c r="J4100">
        <v>3</v>
      </c>
      <c r="K4100">
        <v>2</v>
      </c>
      <c r="L4100">
        <v>667</v>
      </c>
    </row>
    <row r="4101" spans="1:12" hidden="1" x14ac:dyDescent="0.25">
      <c r="A4101">
        <v>4100</v>
      </c>
      <c r="B4101" s="1" t="s">
        <v>12</v>
      </c>
      <c r="C4101">
        <v>1983</v>
      </c>
      <c r="D4101" s="1" t="s">
        <v>290</v>
      </c>
      <c r="E4101" s="1" t="s">
        <v>58</v>
      </c>
      <c r="F4101">
        <v>54</v>
      </c>
      <c r="G4101" s="1" t="s">
        <v>244</v>
      </c>
      <c r="H4101">
        <v>54084</v>
      </c>
      <c r="I4101">
        <v>4</v>
      </c>
      <c r="J4101">
        <v>4</v>
      </c>
      <c r="K4101">
        <v>3</v>
      </c>
      <c r="L4101">
        <v>750</v>
      </c>
    </row>
    <row r="4102" spans="1:12" hidden="1" x14ac:dyDescent="0.25">
      <c r="A4102">
        <v>4101</v>
      </c>
      <c r="B4102" s="1" t="s">
        <v>12</v>
      </c>
      <c r="C4102">
        <v>1983</v>
      </c>
      <c r="D4102" s="1" t="s">
        <v>290</v>
      </c>
      <c r="E4102" s="1" t="s">
        <v>58</v>
      </c>
      <c r="F4102">
        <v>54</v>
      </c>
      <c r="G4102" s="1" t="s">
        <v>242</v>
      </c>
      <c r="H4102">
        <v>54091</v>
      </c>
      <c r="I4102">
        <v>13</v>
      </c>
      <c r="J4102">
        <v>13</v>
      </c>
      <c r="K4102">
        <v>12</v>
      </c>
      <c r="L4102">
        <v>923</v>
      </c>
    </row>
    <row r="4103" spans="1:12" hidden="1" x14ac:dyDescent="0.25">
      <c r="A4103">
        <v>4102</v>
      </c>
      <c r="B4103" s="1" t="s">
        <v>12</v>
      </c>
      <c r="C4103">
        <v>1983</v>
      </c>
      <c r="D4103" s="1" t="s">
        <v>290</v>
      </c>
      <c r="E4103" s="1" t="s">
        <v>58</v>
      </c>
      <c r="F4103">
        <v>54</v>
      </c>
      <c r="G4103" s="1" t="s">
        <v>61</v>
      </c>
      <c r="H4103">
        <v>54098</v>
      </c>
      <c r="I4103">
        <v>2</v>
      </c>
      <c r="J4103">
        <v>2</v>
      </c>
      <c r="K4103">
        <v>1</v>
      </c>
      <c r="L4103">
        <v>500</v>
      </c>
    </row>
    <row r="4104" spans="1:12" hidden="1" x14ac:dyDescent="0.25">
      <c r="A4104">
        <v>4103</v>
      </c>
      <c r="B4104" s="1" t="s">
        <v>12</v>
      </c>
      <c r="C4104">
        <v>1983</v>
      </c>
      <c r="D4104" s="1" t="s">
        <v>290</v>
      </c>
      <c r="E4104" s="1" t="s">
        <v>58</v>
      </c>
      <c r="F4104">
        <v>54</v>
      </c>
      <c r="G4104" s="1" t="s">
        <v>62</v>
      </c>
      <c r="H4104">
        <v>54105</v>
      </c>
      <c r="I4104">
        <v>16</v>
      </c>
      <c r="J4104">
        <v>16</v>
      </c>
      <c r="K4104">
        <v>13</v>
      </c>
      <c r="L4104">
        <v>813</v>
      </c>
    </row>
    <row r="4105" spans="1:12" x14ac:dyDescent="0.25">
      <c r="A4105">
        <v>4104</v>
      </c>
      <c r="B4105" s="1" t="s">
        <v>12</v>
      </c>
      <c r="C4105">
        <v>1983</v>
      </c>
      <c r="D4105" s="1" t="s">
        <v>290</v>
      </c>
      <c r="E4105" s="1" t="s">
        <v>58</v>
      </c>
      <c r="F4105">
        <v>54</v>
      </c>
      <c r="G4105" s="1" t="s">
        <v>56</v>
      </c>
      <c r="H4105">
        <v>54112</v>
      </c>
      <c r="I4105">
        <v>11</v>
      </c>
      <c r="J4105">
        <v>11</v>
      </c>
      <c r="K4105">
        <v>8</v>
      </c>
      <c r="L4105">
        <v>727</v>
      </c>
    </row>
    <row r="4106" spans="1:12" hidden="1" x14ac:dyDescent="0.25">
      <c r="A4106">
        <v>4105</v>
      </c>
      <c r="B4106" s="1" t="s">
        <v>12</v>
      </c>
      <c r="C4106">
        <v>1983</v>
      </c>
      <c r="D4106" s="1" t="s">
        <v>290</v>
      </c>
      <c r="E4106" s="1" t="s">
        <v>64</v>
      </c>
      <c r="F4106">
        <v>82</v>
      </c>
      <c r="G4106" s="1" t="s">
        <v>272</v>
      </c>
      <c r="H4106">
        <v>82042</v>
      </c>
      <c r="I4106">
        <v>120</v>
      </c>
      <c r="J4106">
        <v>120</v>
      </c>
      <c r="K4106">
        <v>120</v>
      </c>
      <c r="L4106">
        <v>1000</v>
      </c>
    </row>
    <row r="4107" spans="1:12" hidden="1" x14ac:dyDescent="0.25">
      <c r="A4107">
        <v>4106</v>
      </c>
      <c r="B4107" s="1" t="s">
        <v>12</v>
      </c>
      <c r="C4107">
        <v>1983</v>
      </c>
      <c r="D4107" s="1" t="s">
        <v>290</v>
      </c>
      <c r="E4107" s="1" t="s">
        <v>64</v>
      </c>
      <c r="F4107">
        <v>82</v>
      </c>
      <c r="G4107" s="1" t="s">
        <v>65</v>
      </c>
      <c r="H4107">
        <v>82049</v>
      </c>
      <c r="I4107">
        <v>40</v>
      </c>
      <c r="J4107">
        <v>40</v>
      </c>
      <c r="K4107">
        <v>44</v>
      </c>
      <c r="L4107">
        <v>1100</v>
      </c>
    </row>
    <row r="4108" spans="1:12" hidden="1" x14ac:dyDescent="0.25">
      <c r="A4108">
        <v>4107</v>
      </c>
      <c r="B4108" s="1" t="s">
        <v>12</v>
      </c>
      <c r="C4108">
        <v>1984</v>
      </c>
      <c r="D4108" s="1" t="s">
        <v>291</v>
      </c>
      <c r="E4108" s="1" t="s">
        <v>22</v>
      </c>
      <c r="F4108">
        <v>14</v>
      </c>
      <c r="G4108" s="1" t="s">
        <v>97</v>
      </c>
      <c r="H4108">
        <v>14007</v>
      </c>
      <c r="I4108">
        <v>200</v>
      </c>
      <c r="J4108">
        <v>200</v>
      </c>
      <c r="K4108">
        <v>290</v>
      </c>
      <c r="L4108">
        <v>1450</v>
      </c>
    </row>
    <row r="4109" spans="1:12" hidden="1" x14ac:dyDescent="0.25">
      <c r="A4109">
        <v>4108</v>
      </c>
      <c r="B4109" s="1" t="s">
        <v>12</v>
      </c>
      <c r="C4109">
        <v>1984</v>
      </c>
      <c r="D4109" s="1" t="s">
        <v>291</v>
      </c>
      <c r="E4109" s="1" t="s">
        <v>22</v>
      </c>
      <c r="F4109">
        <v>14</v>
      </c>
      <c r="G4109" s="1" t="s">
        <v>184</v>
      </c>
      <c r="H4109">
        <v>14042</v>
      </c>
      <c r="I4109">
        <v>12000</v>
      </c>
      <c r="J4109">
        <v>12000</v>
      </c>
      <c r="K4109">
        <v>18000</v>
      </c>
      <c r="L4109">
        <v>1500</v>
      </c>
    </row>
    <row r="4110" spans="1:12" hidden="1" x14ac:dyDescent="0.25">
      <c r="A4110">
        <v>4109</v>
      </c>
      <c r="B4110" s="1" t="s">
        <v>12</v>
      </c>
      <c r="C4110">
        <v>1984</v>
      </c>
      <c r="D4110" s="1" t="s">
        <v>291</v>
      </c>
      <c r="E4110" s="1" t="s">
        <v>22</v>
      </c>
      <c r="F4110">
        <v>14</v>
      </c>
      <c r="G4110" s="1" t="s">
        <v>143</v>
      </c>
      <c r="H4110">
        <v>14056</v>
      </c>
      <c r="I4110">
        <v>43000</v>
      </c>
      <c r="J4110">
        <v>43000</v>
      </c>
      <c r="K4110">
        <v>85700</v>
      </c>
      <c r="L4110">
        <v>1993</v>
      </c>
    </row>
    <row r="4111" spans="1:12" hidden="1" x14ac:dyDescent="0.25">
      <c r="A4111">
        <v>4110</v>
      </c>
      <c r="B4111" s="1" t="s">
        <v>12</v>
      </c>
      <c r="C4111">
        <v>1984</v>
      </c>
      <c r="D4111" s="1" t="s">
        <v>291</v>
      </c>
      <c r="E4111" s="1" t="s">
        <v>22</v>
      </c>
      <c r="F4111">
        <v>14</v>
      </c>
      <c r="G4111" s="1" t="s">
        <v>29</v>
      </c>
      <c r="H4111">
        <v>14098</v>
      </c>
      <c r="I4111">
        <v>7500</v>
      </c>
      <c r="J4111">
        <v>7500</v>
      </c>
      <c r="K4111">
        <v>12000</v>
      </c>
      <c r="L4111">
        <v>1600</v>
      </c>
    </row>
    <row r="4112" spans="1:12" hidden="1" x14ac:dyDescent="0.25">
      <c r="A4112">
        <v>4111</v>
      </c>
      <c r="B4112" s="1" t="s">
        <v>12</v>
      </c>
      <c r="C4112">
        <v>1984</v>
      </c>
      <c r="D4112" s="1" t="s">
        <v>291</v>
      </c>
      <c r="E4112" s="1" t="s">
        <v>22</v>
      </c>
      <c r="F4112">
        <v>14</v>
      </c>
      <c r="G4112" s="1" t="s">
        <v>24</v>
      </c>
      <c r="H4112">
        <v>14119</v>
      </c>
      <c r="I4112">
        <v>25000</v>
      </c>
      <c r="J4112">
        <v>25000</v>
      </c>
      <c r="K4112">
        <v>40000</v>
      </c>
      <c r="L4112">
        <v>1600</v>
      </c>
    </row>
    <row r="4113" spans="1:12" hidden="1" x14ac:dyDescent="0.25">
      <c r="A4113">
        <v>4112</v>
      </c>
      <c r="B4113" s="1" t="s">
        <v>12</v>
      </c>
      <c r="C4113">
        <v>1984</v>
      </c>
      <c r="D4113" s="1" t="s">
        <v>291</v>
      </c>
      <c r="E4113" s="1" t="s">
        <v>22</v>
      </c>
      <c r="F4113">
        <v>14</v>
      </c>
      <c r="G4113" s="1" t="s">
        <v>23</v>
      </c>
      <c r="H4113">
        <v>14147</v>
      </c>
      <c r="I4113">
        <v>1000</v>
      </c>
      <c r="J4113">
        <v>1000</v>
      </c>
      <c r="K4113">
        <v>1400</v>
      </c>
      <c r="L4113">
        <v>1400</v>
      </c>
    </row>
    <row r="4114" spans="1:12" hidden="1" x14ac:dyDescent="0.25">
      <c r="A4114">
        <v>4113</v>
      </c>
      <c r="B4114" s="1" t="s">
        <v>12</v>
      </c>
      <c r="C4114">
        <v>1984</v>
      </c>
      <c r="D4114" s="1" t="s">
        <v>291</v>
      </c>
      <c r="E4114" s="1" t="s">
        <v>22</v>
      </c>
      <c r="F4114">
        <v>14</v>
      </c>
      <c r="G4114" s="1" t="s">
        <v>26</v>
      </c>
      <c r="H4114">
        <v>14161</v>
      </c>
      <c r="I4114">
        <v>55000</v>
      </c>
      <c r="J4114">
        <v>55000</v>
      </c>
      <c r="K4114">
        <v>79560</v>
      </c>
      <c r="L4114">
        <v>1447</v>
      </c>
    </row>
    <row r="4115" spans="1:12" hidden="1" x14ac:dyDescent="0.25">
      <c r="A4115">
        <v>4114</v>
      </c>
      <c r="B4115" s="1" t="s">
        <v>12</v>
      </c>
      <c r="C4115">
        <v>1984</v>
      </c>
      <c r="D4115" s="1" t="s">
        <v>291</v>
      </c>
      <c r="E4115" s="1" t="s">
        <v>22</v>
      </c>
      <c r="F4115">
        <v>14</v>
      </c>
      <c r="G4115" s="1" t="s">
        <v>122</v>
      </c>
      <c r="H4115">
        <v>14182</v>
      </c>
      <c r="I4115">
        <v>1800</v>
      </c>
      <c r="J4115">
        <v>1800</v>
      </c>
      <c r="K4115">
        <v>2700</v>
      </c>
      <c r="L4115">
        <v>1500</v>
      </c>
    </row>
    <row r="4116" spans="1:12" hidden="1" x14ac:dyDescent="0.25">
      <c r="A4116">
        <v>4115</v>
      </c>
      <c r="B4116" s="1" t="s">
        <v>12</v>
      </c>
      <c r="C4116">
        <v>1984</v>
      </c>
      <c r="D4116" s="1" t="s">
        <v>291</v>
      </c>
      <c r="E4116" s="1" t="s">
        <v>30</v>
      </c>
      <c r="F4116">
        <v>18</v>
      </c>
      <c r="G4116" s="1" t="s">
        <v>38</v>
      </c>
      <c r="H4116">
        <v>18007</v>
      </c>
      <c r="I4116">
        <v>30</v>
      </c>
      <c r="J4116">
        <v>30</v>
      </c>
      <c r="K4116">
        <v>13</v>
      </c>
      <c r="L4116">
        <v>433</v>
      </c>
    </row>
    <row r="4117" spans="1:12" hidden="1" x14ac:dyDescent="0.25">
      <c r="A4117">
        <v>4116</v>
      </c>
      <c r="B4117" s="1" t="s">
        <v>12</v>
      </c>
      <c r="C4117">
        <v>1984</v>
      </c>
      <c r="D4117" s="1" t="s">
        <v>291</v>
      </c>
      <c r="E4117" s="1" t="s">
        <v>30</v>
      </c>
      <c r="F4117">
        <v>18</v>
      </c>
      <c r="G4117" s="1" t="s">
        <v>28</v>
      </c>
      <c r="H4117">
        <v>18021</v>
      </c>
      <c r="I4117">
        <v>8</v>
      </c>
      <c r="J4117">
        <v>8</v>
      </c>
      <c r="K4117">
        <v>3</v>
      </c>
      <c r="L4117">
        <v>375</v>
      </c>
    </row>
    <row r="4118" spans="1:12" hidden="1" x14ac:dyDescent="0.25">
      <c r="A4118">
        <v>4117</v>
      </c>
      <c r="B4118" s="1" t="s">
        <v>12</v>
      </c>
      <c r="C4118">
        <v>1984</v>
      </c>
      <c r="D4118" s="1" t="s">
        <v>291</v>
      </c>
      <c r="E4118" s="1" t="s">
        <v>30</v>
      </c>
      <c r="F4118">
        <v>18</v>
      </c>
      <c r="G4118" s="1" t="s">
        <v>63</v>
      </c>
      <c r="H4118">
        <v>18028</v>
      </c>
      <c r="I4118">
        <v>2</v>
      </c>
      <c r="J4118">
        <v>2</v>
      </c>
      <c r="K4118">
        <v>1</v>
      </c>
      <c r="L4118">
        <v>500</v>
      </c>
    </row>
    <row r="4119" spans="1:12" hidden="1" x14ac:dyDescent="0.25">
      <c r="A4119">
        <v>4118</v>
      </c>
      <c r="B4119" s="1" t="s">
        <v>12</v>
      </c>
      <c r="C4119">
        <v>1984</v>
      </c>
      <c r="D4119" s="1" t="s">
        <v>291</v>
      </c>
      <c r="E4119" s="1" t="s">
        <v>30</v>
      </c>
      <c r="F4119">
        <v>18</v>
      </c>
      <c r="G4119" s="1" t="s">
        <v>42</v>
      </c>
      <c r="H4119">
        <v>18035</v>
      </c>
      <c r="I4119">
        <v>1</v>
      </c>
      <c r="J4119">
        <v>1</v>
      </c>
      <c r="K4119">
        <v>1</v>
      </c>
      <c r="L4119">
        <v>1000</v>
      </c>
    </row>
    <row r="4120" spans="1:12" hidden="1" x14ac:dyDescent="0.25">
      <c r="A4120">
        <v>4119</v>
      </c>
      <c r="B4120" s="1" t="s">
        <v>12</v>
      </c>
      <c r="C4120">
        <v>1984</v>
      </c>
      <c r="D4120" s="1" t="s">
        <v>291</v>
      </c>
      <c r="E4120" s="1" t="s">
        <v>30</v>
      </c>
      <c r="F4120">
        <v>18</v>
      </c>
      <c r="G4120" s="1" t="s">
        <v>34</v>
      </c>
      <c r="H4120">
        <v>18042</v>
      </c>
      <c r="I4120">
        <v>18</v>
      </c>
      <c r="J4120">
        <v>18</v>
      </c>
      <c r="K4120">
        <v>8</v>
      </c>
      <c r="L4120">
        <v>444</v>
      </c>
    </row>
    <row r="4121" spans="1:12" hidden="1" x14ac:dyDescent="0.25">
      <c r="A4121">
        <v>4120</v>
      </c>
      <c r="B4121" s="1" t="s">
        <v>12</v>
      </c>
      <c r="C4121">
        <v>1984</v>
      </c>
      <c r="D4121" s="1" t="s">
        <v>291</v>
      </c>
      <c r="E4121" s="1" t="s">
        <v>30</v>
      </c>
      <c r="F4121">
        <v>18</v>
      </c>
      <c r="G4121" s="1" t="s">
        <v>99</v>
      </c>
      <c r="H4121">
        <v>18063</v>
      </c>
      <c r="I4121">
        <v>20</v>
      </c>
      <c r="J4121">
        <v>20</v>
      </c>
      <c r="K4121">
        <v>6</v>
      </c>
      <c r="L4121">
        <v>300</v>
      </c>
    </row>
    <row r="4122" spans="1:12" hidden="1" x14ac:dyDescent="0.25">
      <c r="A4122">
        <v>4121</v>
      </c>
      <c r="B4122" s="1" t="s">
        <v>12</v>
      </c>
      <c r="C4122">
        <v>1984</v>
      </c>
      <c r="D4122" s="1" t="s">
        <v>291</v>
      </c>
      <c r="E4122" s="1" t="s">
        <v>30</v>
      </c>
      <c r="F4122">
        <v>18</v>
      </c>
      <c r="G4122" s="1" t="s">
        <v>43</v>
      </c>
      <c r="H4122">
        <v>18070</v>
      </c>
      <c r="I4122">
        <v>5</v>
      </c>
      <c r="J4122">
        <v>5</v>
      </c>
      <c r="K4122">
        <v>2</v>
      </c>
      <c r="L4122">
        <v>400</v>
      </c>
    </row>
    <row r="4123" spans="1:12" hidden="1" x14ac:dyDescent="0.25">
      <c r="A4123">
        <v>4122</v>
      </c>
      <c r="B4123" s="1" t="s">
        <v>12</v>
      </c>
      <c r="C4123">
        <v>1984</v>
      </c>
      <c r="D4123" s="1" t="s">
        <v>291</v>
      </c>
      <c r="E4123" s="1" t="s">
        <v>30</v>
      </c>
      <c r="F4123">
        <v>18</v>
      </c>
      <c r="G4123" s="1" t="s">
        <v>39</v>
      </c>
      <c r="H4123">
        <v>18084</v>
      </c>
      <c r="I4123">
        <v>20</v>
      </c>
      <c r="J4123">
        <v>20</v>
      </c>
      <c r="K4123">
        <v>6</v>
      </c>
      <c r="L4123">
        <v>300</v>
      </c>
    </row>
    <row r="4124" spans="1:12" hidden="1" x14ac:dyDescent="0.25">
      <c r="A4124">
        <v>4123</v>
      </c>
      <c r="B4124" s="1" t="s">
        <v>12</v>
      </c>
      <c r="C4124">
        <v>1984</v>
      </c>
      <c r="D4124" s="1" t="s">
        <v>291</v>
      </c>
      <c r="E4124" s="1" t="s">
        <v>30</v>
      </c>
      <c r="F4124">
        <v>18</v>
      </c>
      <c r="G4124" s="1" t="s">
        <v>33</v>
      </c>
      <c r="H4124">
        <v>18091</v>
      </c>
      <c r="I4124">
        <v>3</v>
      </c>
      <c r="J4124">
        <v>3</v>
      </c>
      <c r="K4124">
        <v>2</v>
      </c>
      <c r="L4124">
        <v>667</v>
      </c>
    </row>
    <row r="4125" spans="1:12" hidden="1" x14ac:dyDescent="0.25">
      <c r="A4125">
        <v>4124</v>
      </c>
      <c r="B4125" s="1" t="s">
        <v>12</v>
      </c>
      <c r="C4125">
        <v>1984</v>
      </c>
      <c r="D4125" s="1" t="s">
        <v>291</v>
      </c>
      <c r="E4125" s="1" t="s">
        <v>30</v>
      </c>
      <c r="F4125">
        <v>18</v>
      </c>
      <c r="G4125" s="1" t="s">
        <v>98</v>
      </c>
      <c r="H4125">
        <v>18098</v>
      </c>
      <c r="I4125">
        <v>4</v>
      </c>
      <c r="J4125">
        <v>4</v>
      </c>
      <c r="K4125">
        <v>2</v>
      </c>
      <c r="L4125">
        <v>500</v>
      </c>
    </row>
    <row r="4126" spans="1:12" hidden="1" x14ac:dyDescent="0.25">
      <c r="A4126">
        <v>4125</v>
      </c>
      <c r="B4126" s="1" t="s">
        <v>12</v>
      </c>
      <c r="C4126">
        <v>1984</v>
      </c>
      <c r="D4126" s="1" t="s">
        <v>291</v>
      </c>
      <c r="E4126" s="1" t="s">
        <v>30</v>
      </c>
      <c r="F4126">
        <v>18</v>
      </c>
      <c r="G4126" s="1" t="s">
        <v>105</v>
      </c>
      <c r="H4126">
        <v>18105</v>
      </c>
      <c r="I4126">
        <v>1</v>
      </c>
      <c r="J4126">
        <v>1</v>
      </c>
      <c r="K4126">
        <v>1</v>
      </c>
      <c r="L4126">
        <v>1000</v>
      </c>
    </row>
    <row r="4127" spans="1:12" hidden="1" x14ac:dyDescent="0.25">
      <c r="A4127">
        <v>4126</v>
      </c>
      <c r="B4127" s="1" t="s">
        <v>12</v>
      </c>
      <c r="C4127">
        <v>1984</v>
      </c>
      <c r="D4127" s="1" t="s">
        <v>291</v>
      </c>
      <c r="E4127" s="1" t="s">
        <v>30</v>
      </c>
      <c r="F4127">
        <v>18</v>
      </c>
      <c r="G4127" s="1" t="s">
        <v>32</v>
      </c>
      <c r="H4127">
        <v>18112</v>
      </c>
      <c r="I4127">
        <v>5</v>
      </c>
      <c r="J4127">
        <v>5</v>
      </c>
      <c r="K4127">
        <v>2</v>
      </c>
      <c r="L4127">
        <v>400</v>
      </c>
    </row>
    <row r="4128" spans="1:12" hidden="1" x14ac:dyDescent="0.25">
      <c r="A4128">
        <v>4127</v>
      </c>
      <c r="B4128" s="1" t="s">
        <v>12</v>
      </c>
      <c r="C4128">
        <v>1984</v>
      </c>
      <c r="D4128" s="1" t="s">
        <v>291</v>
      </c>
      <c r="E4128" s="1" t="s">
        <v>30</v>
      </c>
      <c r="F4128">
        <v>18</v>
      </c>
      <c r="G4128" s="1" t="s">
        <v>104</v>
      </c>
      <c r="H4128">
        <v>18119</v>
      </c>
      <c r="I4128">
        <v>3</v>
      </c>
      <c r="J4128">
        <v>3</v>
      </c>
      <c r="K4128">
        <v>1</v>
      </c>
      <c r="L4128">
        <v>333</v>
      </c>
    </row>
    <row r="4129" spans="1:12" hidden="1" x14ac:dyDescent="0.25">
      <c r="A4129">
        <v>4128</v>
      </c>
      <c r="B4129" s="1" t="s">
        <v>12</v>
      </c>
      <c r="C4129">
        <v>1984</v>
      </c>
      <c r="D4129" s="1" t="s">
        <v>291</v>
      </c>
      <c r="E4129" s="1" t="s">
        <v>30</v>
      </c>
      <c r="F4129">
        <v>18</v>
      </c>
      <c r="G4129" s="1" t="s">
        <v>40</v>
      </c>
      <c r="H4129">
        <v>18126</v>
      </c>
      <c r="I4129">
        <v>3</v>
      </c>
      <c r="J4129">
        <v>3</v>
      </c>
      <c r="K4129">
        <v>1</v>
      </c>
      <c r="L4129">
        <v>333</v>
      </c>
    </row>
    <row r="4130" spans="1:12" hidden="1" x14ac:dyDescent="0.25">
      <c r="A4130">
        <v>4129</v>
      </c>
      <c r="B4130" s="1" t="s">
        <v>12</v>
      </c>
      <c r="C4130">
        <v>1984</v>
      </c>
      <c r="D4130" s="1" t="s">
        <v>291</v>
      </c>
      <c r="E4130" s="1" t="s">
        <v>30</v>
      </c>
      <c r="F4130">
        <v>18</v>
      </c>
      <c r="G4130" s="1" t="s">
        <v>36</v>
      </c>
      <c r="H4130">
        <v>18133</v>
      </c>
      <c r="I4130">
        <v>4</v>
      </c>
      <c r="J4130">
        <v>4</v>
      </c>
      <c r="K4130">
        <v>2</v>
      </c>
      <c r="L4130">
        <v>500</v>
      </c>
    </row>
    <row r="4131" spans="1:12" hidden="1" x14ac:dyDescent="0.25">
      <c r="A4131">
        <v>4130</v>
      </c>
      <c r="B4131" s="1" t="s">
        <v>12</v>
      </c>
      <c r="C4131">
        <v>1984</v>
      </c>
      <c r="D4131" s="1" t="s">
        <v>291</v>
      </c>
      <c r="E4131" s="1" t="s">
        <v>30</v>
      </c>
      <c r="F4131">
        <v>18</v>
      </c>
      <c r="G4131" s="1" t="s">
        <v>41</v>
      </c>
      <c r="H4131">
        <v>18140</v>
      </c>
      <c r="I4131">
        <v>20</v>
      </c>
      <c r="J4131">
        <v>20</v>
      </c>
      <c r="K4131">
        <v>10</v>
      </c>
      <c r="L4131">
        <v>500</v>
      </c>
    </row>
    <row r="4132" spans="1:12" hidden="1" x14ac:dyDescent="0.25">
      <c r="A4132">
        <v>4131</v>
      </c>
      <c r="B4132" s="1" t="s">
        <v>12</v>
      </c>
      <c r="C4132">
        <v>1984</v>
      </c>
      <c r="D4132" s="1" t="s">
        <v>291</v>
      </c>
      <c r="E4132" s="1" t="s">
        <v>30</v>
      </c>
      <c r="F4132">
        <v>18</v>
      </c>
      <c r="G4132" s="1" t="s">
        <v>37</v>
      </c>
      <c r="H4132">
        <v>18147</v>
      </c>
      <c r="I4132">
        <v>7</v>
      </c>
      <c r="J4132">
        <v>7</v>
      </c>
      <c r="K4132">
        <v>2</v>
      </c>
      <c r="L4132">
        <v>286</v>
      </c>
    </row>
    <row r="4133" spans="1:12" hidden="1" x14ac:dyDescent="0.25">
      <c r="A4133">
        <v>4132</v>
      </c>
      <c r="B4133" s="1" t="s">
        <v>12</v>
      </c>
      <c r="C4133">
        <v>1984</v>
      </c>
      <c r="D4133" s="1" t="s">
        <v>291</v>
      </c>
      <c r="E4133" s="1" t="s">
        <v>30</v>
      </c>
      <c r="F4133">
        <v>18</v>
      </c>
      <c r="G4133" s="1" t="s">
        <v>103</v>
      </c>
      <c r="H4133">
        <v>18154</v>
      </c>
      <c r="I4133">
        <v>2</v>
      </c>
      <c r="J4133">
        <v>2</v>
      </c>
      <c r="K4133">
        <v>1</v>
      </c>
      <c r="L4133">
        <v>500</v>
      </c>
    </row>
    <row r="4134" spans="1:12" hidden="1" x14ac:dyDescent="0.25">
      <c r="A4134">
        <v>4133</v>
      </c>
      <c r="B4134" s="1" t="s">
        <v>12</v>
      </c>
      <c r="C4134">
        <v>1984</v>
      </c>
      <c r="D4134" s="1" t="s">
        <v>291</v>
      </c>
      <c r="E4134" s="1" t="s">
        <v>30</v>
      </c>
      <c r="F4134">
        <v>18</v>
      </c>
      <c r="G4134" s="1" t="s">
        <v>101</v>
      </c>
      <c r="H4134">
        <v>18161</v>
      </c>
      <c r="I4134">
        <v>10</v>
      </c>
      <c r="J4134">
        <v>10</v>
      </c>
      <c r="K4134">
        <v>5</v>
      </c>
      <c r="L4134">
        <v>500</v>
      </c>
    </row>
    <row r="4135" spans="1:12" hidden="1" x14ac:dyDescent="0.25">
      <c r="A4135">
        <v>4134</v>
      </c>
      <c r="B4135" s="1" t="s">
        <v>12</v>
      </c>
      <c r="C4135">
        <v>1984</v>
      </c>
      <c r="D4135" s="1" t="s">
        <v>291</v>
      </c>
      <c r="E4135" s="1" t="s">
        <v>30</v>
      </c>
      <c r="F4135">
        <v>18</v>
      </c>
      <c r="G4135" s="1" t="s">
        <v>44</v>
      </c>
      <c r="H4135">
        <v>18168</v>
      </c>
      <c r="I4135">
        <v>4</v>
      </c>
      <c r="J4135">
        <v>4</v>
      </c>
      <c r="K4135">
        <v>1</v>
      </c>
      <c r="L4135">
        <v>250</v>
      </c>
    </row>
    <row r="4136" spans="1:12" hidden="1" x14ac:dyDescent="0.25">
      <c r="A4136">
        <v>4135</v>
      </c>
      <c r="B4136" s="1" t="s">
        <v>12</v>
      </c>
      <c r="C4136">
        <v>1984</v>
      </c>
      <c r="D4136" s="1" t="s">
        <v>291</v>
      </c>
      <c r="E4136" s="1" t="s">
        <v>48</v>
      </c>
      <c r="F4136">
        <v>34</v>
      </c>
      <c r="G4136" s="1" t="s">
        <v>50</v>
      </c>
      <c r="H4136">
        <v>34021</v>
      </c>
      <c r="I4136">
        <v>4</v>
      </c>
      <c r="J4136">
        <v>4</v>
      </c>
      <c r="K4136">
        <v>4</v>
      </c>
      <c r="L4136">
        <v>1000</v>
      </c>
    </row>
    <row r="4137" spans="1:12" hidden="1" x14ac:dyDescent="0.25">
      <c r="A4137">
        <v>4136</v>
      </c>
      <c r="B4137" s="1" t="s">
        <v>12</v>
      </c>
      <c r="C4137">
        <v>1984</v>
      </c>
      <c r="D4137" s="1" t="s">
        <v>291</v>
      </c>
      <c r="E4137" s="1" t="s">
        <v>48</v>
      </c>
      <c r="F4137">
        <v>34</v>
      </c>
      <c r="G4137" s="1" t="s">
        <v>52</v>
      </c>
      <c r="H4137">
        <v>34035</v>
      </c>
      <c r="I4137">
        <v>4</v>
      </c>
      <c r="J4137">
        <v>4</v>
      </c>
      <c r="K4137">
        <v>3</v>
      </c>
      <c r="L4137">
        <v>750</v>
      </c>
    </row>
    <row r="4138" spans="1:12" hidden="1" x14ac:dyDescent="0.25">
      <c r="A4138">
        <v>4137</v>
      </c>
      <c r="B4138" s="1" t="s">
        <v>12</v>
      </c>
      <c r="C4138">
        <v>1984</v>
      </c>
      <c r="D4138" s="1" t="s">
        <v>291</v>
      </c>
      <c r="E4138" s="1" t="s">
        <v>48</v>
      </c>
      <c r="F4138">
        <v>34</v>
      </c>
      <c r="G4138" s="1" t="s">
        <v>49</v>
      </c>
      <c r="H4138">
        <v>34049</v>
      </c>
      <c r="I4138">
        <v>6</v>
      </c>
      <c r="J4138">
        <v>6</v>
      </c>
      <c r="K4138">
        <v>7</v>
      </c>
      <c r="L4138">
        <v>1167</v>
      </c>
    </row>
    <row r="4139" spans="1:12" hidden="1" x14ac:dyDescent="0.25">
      <c r="A4139">
        <v>4138</v>
      </c>
      <c r="B4139" s="1" t="s">
        <v>12</v>
      </c>
      <c r="C4139">
        <v>1984</v>
      </c>
      <c r="D4139" s="1" t="s">
        <v>291</v>
      </c>
      <c r="E4139" s="1" t="s">
        <v>48</v>
      </c>
      <c r="F4139">
        <v>34</v>
      </c>
      <c r="G4139" s="1" t="s">
        <v>51</v>
      </c>
      <c r="H4139">
        <v>34056</v>
      </c>
      <c r="I4139">
        <v>2</v>
      </c>
      <c r="J4139">
        <v>2</v>
      </c>
      <c r="K4139">
        <v>2</v>
      </c>
      <c r="L4139">
        <v>1000</v>
      </c>
    </row>
    <row r="4140" spans="1:12" hidden="1" x14ac:dyDescent="0.25">
      <c r="A4140">
        <v>4139</v>
      </c>
      <c r="B4140" s="1" t="s">
        <v>12</v>
      </c>
      <c r="C4140">
        <v>1984</v>
      </c>
      <c r="D4140" s="1" t="s">
        <v>291</v>
      </c>
      <c r="E4140" s="1" t="s">
        <v>58</v>
      </c>
      <c r="F4140">
        <v>54</v>
      </c>
      <c r="G4140" s="1" t="s">
        <v>234</v>
      </c>
      <c r="H4140">
        <v>54119</v>
      </c>
      <c r="I4140">
        <v>20</v>
      </c>
      <c r="J4140">
        <v>20</v>
      </c>
      <c r="K4140">
        <v>17</v>
      </c>
      <c r="L4140">
        <v>850</v>
      </c>
    </row>
    <row r="4141" spans="1:12" hidden="1" x14ac:dyDescent="0.25">
      <c r="A4141">
        <v>4140</v>
      </c>
      <c r="B4141" s="1" t="s">
        <v>12</v>
      </c>
      <c r="C4141">
        <v>1984</v>
      </c>
      <c r="D4141" s="1" t="s">
        <v>291</v>
      </c>
      <c r="E4141" s="1" t="s">
        <v>58</v>
      </c>
      <c r="F4141">
        <v>54</v>
      </c>
      <c r="G4141" s="1" t="s">
        <v>59</v>
      </c>
      <c r="H4141">
        <v>54007</v>
      </c>
      <c r="I4141">
        <v>20</v>
      </c>
      <c r="J4141">
        <v>20</v>
      </c>
      <c r="K4141">
        <v>16</v>
      </c>
      <c r="L4141">
        <v>800</v>
      </c>
    </row>
    <row r="4142" spans="1:12" hidden="1" x14ac:dyDescent="0.25">
      <c r="A4142">
        <v>4141</v>
      </c>
      <c r="B4142" s="1" t="s">
        <v>12</v>
      </c>
      <c r="C4142">
        <v>1984</v>
      </c>
      <c r="D4142" s="1" t="s">
        <v>291</v>
      </c>
      <c r="E4142" s="1" t="s">
        <v>58</v>
      </c>
      <c r="F4142">
        <v>54</v>
      </c>
      <c r="G4142" s="1" t="s">
        <v>150</v>
      </c>
      <c r="H4142">
        <v>54014</v>
      </c>
      <c r="I4142">
        <v>32</v>
      </c>
      <c r="J4142">
        <v>32</v>
      </c>
      <c r="K4142">
        <v>26</v>
      </c>
      <c r="L4142">
        <v>813</v>
      </c>
    </row>
    <row r="4143" spans="1:12" hidden="1" x14ac:dyDescent="0.25">
      <c r="A4143">
        <v>4142</v>
      </c>
      <c r="B4143" s="1" t="s">
        <v>12</v>
      </c>
      <c r="C4143">
        <v>1984</v>
      </c>
      <c r="D4143" s="1" t="s">
        <v>291</v>
      </c>
      <c r="E4143" s="1" t="s">
        <v>58</v>
      </c>
      <c r="F4143">
        <v>54</v>
      </c>
      <c r="G4143" s="1" t="s">
        <v>60</v>
      </c>
      <c r="H4143">
        <v>54021</v>
      </c>
      <c r="I4143">
        <v>18</v>
      </c>
      <c r="J4143">
        <v>18</v>
      </c>
      <c r="K4143">
        <v>13</v>
      </c>
      <c r="L4143">
        <v>722</v>
      </c>
    </row>
    <row r="4144" spans="1:12" hidden="1" x14ac:dyDescent="0.25">
      <c r="A4144">
        <v>4143</v>
      </c>
      <c r="B4144" s="1" t="s">
        <v>12</v>
      </c>
      <c r="C4144">
        <v>1984</v>
      </c>
      <c r="D4144" s="1" t="s">
        <v>291</v>
      </c>
      <c r="E4144" s="1" t="s">
        <v>58</v>
      </c>
      <c r="F4144">
        <v>54</v>
      </c>
      <c r="G4144" s="1" t="s">
        <v>28</v>
      </c>
      <c r="H4144">
        <v>54028</v>
      </c>
      <c r="I4144">
        <v>7</v>
      </c>
      <c r="J4144">
        <v>7</v>
      </c>
      <c r="K4144">
        <v>6</v>
      </c>
      <c r="L4144">
        <v>857</v>
      </c>
    </row>
    <row r="4145" spans="1:12" hidden="1" x14ac:dyDescent="0.25">
      <c r="A4145">
        <v>4144</v>
      </c>
      <c r="B4145" s="1" t="s">
        <v>12</v>
      </c>
      <c r="C4145">
        <v>1984</v>
      </c>
      <c r="D4145" s="1" t="s">
        <v>291</v>
      </c>
      <c r="E4145" s="1" t="s">
        <v>58</v>
      </c>
      <c r="F4145">
        <v>54</v>
      </c>
      <c r="G4145" s="1" t="s">
        <v>63</v>
      </c>
      <c r="H4145">
        <v>54035</v>
      </c>
      <c r="I4145">
        <v>5</v>
      </c>
      <c r="J4145">
        <v>5</v>
      </c>
      <c r="K4145">
        <v>4</v>
      </c>
      <c r="L4145">
        <v>800</v>
      </c>
    </row>
    <row r="4146" spans="1:12" hidden="1" x14ac:dyDescent="0.25">
      <c r="A4146">
        <v>4145</v>
      </c>
      <c r="B4146" s="1" t="s">
        <v>12</v>
      </c>
      <c r="C4146">
        <v>1984</v>
      </c>
      <c r="D4146" s="1" t="s">
        <v>291</v>
      </c>
      <c r="E4146" s="1" t="s">
        <v>58</v>
      </c>
      <c r="F4146">
        <v>54</v>
      </c>
      <c r="G4146" s="1" t="s">
        <v>266</v>
      </c>
      <c r="H4146">
        <v>54042</v>
      </c>
      <c r="I4146">
        <v>7</v>
      </c>
      <c r="J4146">
        <v>7</v>
      </c>
      <c r="K4146">
        <v>6</v>
      </c>
      <c r="L4146">
        <v>857</v>
      </c>
    </row>
    <row r="4147" spans="1:12" hidden="1" x14ac:dyDescent="0.25">
      <c r="A4147">
        <v>4146</v>
      </c>
      <c r="B4147" s="1" t="s">
        <v>12</v>
      </c>
      <c r="C4147">
        <v>1984</v>
      </c>
      <c r="D4147" s="1" t="s">
        <v>291</v>
      </c>
      <c r="E4147" s="1" t="s">
        <v>58</v>
      </c>
      <c r="F4147">
        <v>54</v>
      </c>
      <c r="G4147" s="1" t="s">
        <v>258</v>
      </c>
      <c r="H4147">
        <v>54049</v>
      </c>
      <c r="I4147">
        <v>24</v>
      </c>
      <c r="J4147">
        <v>24</v>
      </c>
      <c r="K4147">
        <v>19</v>
      </c>
      <c r="L4147">
        <v>792</v>
      </c>
    </row>
    <row r="4148" spans="1:12" hidden="1" x14ac:dyDescent="0.25">
      <c r="A4148">
        <v>4147</v>
      </c>
      <c r="B4148" s="1" t="s">
        <v>12</v>
      </c>
      <c r="C4148">
        <v>1984</v>
      </c>
      <c r="D4148" s="1" t="s">
        <v>291</v>
      </c>
      <c r="E4148" s="1" t="s">
        <v>58</v>
      </c>
      <c r="F4148">
        <v>54</v>
      </c>
      <c r="G4148" s="1" t="s">
        <v>151</v>
      </c>
      <c r="H4148">
        <v>54056</v>
      </c>
      <c r="I4148">
        <v>28</v>
      </c>
      <c r="J4148">
        <v>28</v>
      </c>
      <c r="K4148">
        <v>22</v>
      </c>
      <c r="L4148">
        <v>786</v>
      </c>
    </row>
    <row r="4149" spans="1:12" hidden="1" x14ac:dyDescent="0.25">
      <c r="A4149">
        <v>4148</v>
      </c>
      <c r="B4149" s="1" t="s">
        <v>12</v>
      </c>
      <c r="C4149">
        <v>1984</v>
      </c>
      <c r="D4149" s="1" t="s">
        <v>291</v>
      </c>
      <c r="E4149" s="1" t="s">
        <v>58</v>
      </c>
      <c r="F4149">
        <v>54</v>
      </c>
      <c r="G4149" s="1" t="s">
        <v>152</v>
      </c>
      <c r="H4149">
        <v>54063</v>
      </c>
      <c r="I4149">
        <v>7</v>
      </c>
      <c r="J4149">
        <v>7</v>
      </c>
      <c r="K4149">
        <v>6</v>
      </c>
      <c r="L4149">
        <v>857</v>
      </c>
    </row>
    <row r="4150" spans="1:12" hidden="1" x14ac:dyDescent="0.25">
      <c r="A4150">
        <v>4149</v>
      </c>
      <c r="B4150" s="1" t="s">
        <v>12</v>
      </c>
      <c r="C4150">
        <v>1984</v>
      </c>
      <c r="D4150" s="1" t="s">
        <v>291</v>
      </c>
      <c r="E4150" s="1" t="s">
        <v>58</v>
      </c>
      <c r="F4150">
        <v>54</v>
      </c>
      <c r="G4150" s="1" t="s">
        <v>243</v>
      </c>
      <c r="H4150">
        <v>54070</v>
      </c>
      <c r="I4150">
        <v>29</v>
      </c>
      <c r="J4150">
        <v>29</v>
      </c>
      <c r="K4150">
        <v>22</v>
      </c>
      <c r="L4150">
        <v>759</v>
      </c>
    </row>
    <row r="4151" spans="1:12" hidden="1" x14ac:dyDescent="0.25">
      <c r="A4151">
        <v>4150</v>
      </c>
      <c r="B4151" s="1" t="s">
        <v>12</v>
      </c>
      <c r="C4151">
        <v>1984</v>
      </c>
      <c r="D4151" s="1" t="s">
        <v>291</v>
      </c>
      <c r="E4151" s="1" t="s">
        <v>58</v>
      </c>
      <c r="F4151">
        <v>54</v>
      </c>
      <c r="G4151" s="1" t="s">
        <v>119</v>
      </c>
      <c r="H4151">
        <v>54077</v>
      </c>
      <c r="I4151">
        <v>5</v>
      </c>
      <c r="J4151">
        <v>5</v>
      </c>
      <c r="K4151">
        <v>4</v>
      </c>
      <c r="L4151">
        <v>800</v>
      </c>
    </row>
    <row r="4152" spans="1:12" hidden="1" x14ac:dyDescent="0.25">
      <c r="A4152">
        <v>4151</v>
      </c>
      <c r="B4152" s="1" t="s">
        <v>12</v>
      </c>
      <c r="C4152">
        <v>1984</v>
      </c>
      <c r="D4152" s="1" t="s">
        <v>291</v>
      </c>
      <c r="E4152" s="1" t="s">
        <v>58</v>
      </c>
      <c r="F4152">
        <v>54</v>
      </c>
      <c r="G4152" s="1" t="s">
        <v>244</v>
      </c>
      <c r="H4152">
        <v>54084</v>
      </c>
      <c r="I4152">
        <v>8</v>
      </c>
      <c r="J4152">
        <v>8</v>
      </c>
      <c r="K4152">
        <v>7</v>
      </c>
      <c r="L4152">
        <v>875</v>
      </c>
    </row>
    <row r="4153" spans="1:12" hidden="1" x14ac:dyDescent="0.25">
      <c r="A4153">
        <v>4152</v>
      </c>
      <c r="B4153" s="1" t="s">
        <v>12</v>
      </c>
      <c r="C4153">
        <v>1984</v>
      </c>
      <c r="D4153" s="1" t="s">
        <v>291</v>
      </c>
      <c r="E4153" s="1" t="s">
        <v>58</v>
      </c>
      <c r="F4153">
        <v>54</v>
      </c>
      <c r="G4153" s="1" t="s">
        <v>242</v>
      </c>
      <c r="H4153">
        <v>54091</v>
      </c>
      <c r="I4153">
        <v>23</v>
      </c>
      <c r="J4153">
        <v>23</v>
      </c>
      <c r="K4153">
        <v>19</v>
      </c>
      <c r="L4153">
        <v>826</v>
      </c>
    </row>
    <row r="4154" spans="1:12" hidden="1" x14ac:dyDescent="0.25">
      <c r="A4154">
        <v>4153</v>
      </c>
      <c r="B4154" s="1" t="s">
        <v>12</v>
      </c>
      <c r="C4154">
        <v>1984</v>
      </c>
      <c r="D4154" s="1" t="s">
        <v>291</v>
      </c>
      <c r="E4154" s="1" t="s">
        <v>58</v>
      </c>
      <c r="F4154">
        <v>54</v>
      </c>
      <c r="G4154" s="1" t="s">
        <v>61</v>
      </c>
      <c r="H4154">
        <v>54098</v>
      </c>
      <c r="I4154">
        <v>4</v>
      </c>
      <c r="J4154">
        <v>4</v>
      </c>
      <c r="K4154">
        <v>3</v>
      </c>
      <c r="L4154">
        <v>750</v>
      </c>
    </row>
    <row r="4155" spans="1:12" hidden="1" x14ac:dyDescent="0.25">
      <c r="A4155">
        <v>4154</v>
      </c>
      <c r="B4155" s="1" t="s">
        <v>12</v>
      </c>
      <c r="C4155">
        <v>1984</v>
      </c>
      <c r="D4155" s="1" t="s">
        <v>291</v>
      </c>
      <c r="E4155" s="1" t="s">
        <v>58</v>
      </c>
      <c r="F4155">
        <v>54</v>
      </c>
      <c r="G4155" s="1" t="s">
        <v>62</v>
      </c>
      <c r="H4155">
        <v>54105</v>
      </c>
      <c r="I4155">
        <v>22</v>
      </c>
      <c r="J4155">
        <v>22</v>
      </c>
      <c r="K4155">
        <v>18</v>
      </c>
      <c r="L4155">
        <v>818</v>
      </c>
    </row>
    <row r="4156" spans="1:12" x14ac:dyDescent="0.25">
      <c r="A4156">
        <v>4155</v>
      </c>
      <c r="B4156" s="1" t="s">
        <v>12</v>
      </c>
      <c r="C4156">
        <v>1984</v>
      </c>
      <c r="D4156" s="1" t="s">
        <v>291</v>
      </c>
      <c r="E4156" s="1" t="s">
        <v>58</v>
      </c>
      <c r="F4156">
        <v>54</v>
      </c>
      <c r="G4156" s="1" t="s">
        <v>56</v>
      </c>
      <c r="H4156">
        <v>54112</v>
      </c>
      <c r="I4156">
        <v>15</v>
      </c>
      <c r="J4156">
        <v>15</v>
      </c>
      <c r="K4156">
        <v>12</v>
      </c>
      <c r="L4156">
        <v>800</v>
      </c>
    </row>
    <row r="4157" spans="1:12" hidden="1" x14ac:dyDescent="0.25">
      <c r="A4157">
        <v>4156</v>
      </c>
      <c r="B4157" s="1" t="s">
        <v>12</v>
      </c>
      <c r="C4157">
        <v>1984</v>
      </c>
      <c r="D4157" s="1" t="s">
        <v>291</v>
      </c>
      <c r="E4157" s="1" t="s">
        <v>64</v>
      </c>
      <c r="F4157">
        <v>82</v>
      </c>
      <c r="G4157" s="1" t="s">
        <v>65</v>
      </c>
      <c r="H4157">
        <v>82049</v>
      </c>
      <c r="I4157">
        <v>40</v>
      </c>
      <c r="J4157">
        <v>40</v>
      </c>
      <c r="K4157">
        <v>44</v>
      </c>
      <c r="L4157">
        <v>1100</v>
      </c>
    </row>
    <row r="4158" spans="1:12" hidden="1" x14ac:dyDescent="0.25">
      <c r="A4158">
        <v>4157</v>
      </c>
      <c r="B4158" s="1" t="s">
        <v>12</v>
      </c>
      <c r="C4158">
        <v>1985</v>
      </c>
      <c r="D4158" s="1" t="s">
        <v>292</v>
      </c>
      <c r="E4158" s="1" t="s">
        <v>22</v>
      </c>
      <c r="F4158">
        <v>14</v>
      </c>
      <c r="G4158" s="1" t="s">
        <v>97</v>
      </c>
      <c r="H4158">
        <v>14007</v>
      </c>
      <c r="I4158">
        <v>250</v>
      </c>
      <c r="J4158">
        <v>245</v>
      </c>
      <c r="K4158">
        <v>300</v>
      </c>
      <c r="L4158">
        <v>1224</v>
      </c>
    </row>
    <row r="4159" spans="1:12" hidden="1" x14ac:dyDescent="0.25">
      <c r="A4159">
        <v>4158</v>
      </c>
      <c r="B4159" s="1" t="s">
        <v>12</v>
      </c>
      <c r="C4159">
        <v>1985</v>
      </c>
      <c r="D4159" s="1" t="s">
        <v>292</v>
      </c>
      <c r="E4159" s="1" t="s">
        <v>22</v>
      </c>
      <c r="F4159">
        <v>14</v>
      </c>
      <c r="G4159" s="1" t="s">
        <v>184</v>
      </c>
      <c r="H4159">
        <v>14042</v>
      </c>
      <c r="I4159">
        <v>8300</v>
      </c>
      <c r="J4159">
        <v>8100</v>
      </c>
      <c r="K4159">
        <v>12500</v>
      </c>
      <c r="L4159">
        <v>1543</v>
      </c>
    </row>
    <row r="4160" spans="1:12" hidden="1" x14ac:dyDescent="0.25">
      <c r="A4160">
        <v>4159</v>
      </c>
      <c r="B4160" s="1" t="s">
        <v>12</v>
      </c>
      <c r="C4160">
        <v>1985</v>
      </c>
      <c r="D4160" s="1" t="s">
        <v>292</v>
      </c>
      <c r="E4160" s="1" t="s">
        <v>22</v>
      </c>
      <c r="F4160">
        <v>14</v>
      </c>
      <c r="G4160" s="1" t="s">
        <v>143</v>
      </c>
      <c r="H4160">
        <v>14056</v>
      </c>
      <c r="I4160">
        <v>61000</v>
      </c>
      <c r="J4160">
        <v>60100</v>
      </c>
      <c r="K4160">
        <v>91000</v>
      </c>
      <c r="L4160">
        <v>1514</v>
      </c>
    </row>
    <row r="4161" spans="1:12" hidden="1" x14ac:dyDescent="0.25">
      <c r="A4161">
        <v>4160</v>
      </c>
      <c r="B4161" s="1" t="s">
        <v>12</v>
      </c>
      <c r="C4161">
        <v>1985</v>
      </c>
      <c r="D4161" s="1" t="s">
        <v>292</v>
      </c>
      <c r="E4161" s="1" t="s">
        <v>22</v>
      </c>
      <c r="F4161">
        <v>14</v>
      </c>
      <c r="G4161" s="1" t="s">
        <v>29</v>
      </c>
      <c r="H4161">
        <v>14098</v>
      </c>
      <c r="I4161">
        <v>14700</v>
      </c>
      <c r="J4161">
        <v>14450</v>
      </c>
      <c r="K4161">
        <v>21500</v>
      </c>
      <c r="L4161">
        <v>1488</v>
      </c>
    </row>
    <row r="4162" spans="1:12" hidden="1" x14ac:dyDescent="0.25">
      <c r="A4162">
        <v>4161</v>
      </c>
      <c r="B4162" s="1" t="s">
        <v>12</v>
      </c>
      <c r="C4162">
        <v>1985</v>
      </c>
      <c r="D4162" s="1" t="s">
        <v>292</v>
      </c>
      <c r="E4162" s="1" t="s">
        <v>22</v>
      </c>
      <c r="F4162">
        <v>14</v>
      </c>
      <c r="G4162" s="1" t="s">
        <v>25</v>
      </c>
      <c r="H4162">
        <v>14105</v>
      </c>
      <c r="I4162">
        <v>2000</v>
      </c>
      <c r="J4162">
        <v>1960</v>
      </c>
      <c r="K4162">
        <v>2900</v>
      </c>
      <c r="L4162">
        <v>1480</v>
      </c>
    </row>
    <row r="4163" spans="1:12" hidden="1" x14ac:dyDescent="0.25">
      <c r="A4163">
        <v>4162</v>
      </c>
      <c r="B4163" s="1" t="s">
        <v>12</v>
      </c>
      <c r="C4163">
        <v>1985</v>
      </c>
      <c r="D4163" s="1" t="s">
        <v>292</v>
      </c>
      <c r="E4163" s="1" t="s">
        <v>22</v>
      </c>
      <c r="F4163">
        <v>14</v>
      </c>
      <c r="G4163" s="1" t="s">
        <v>24</v>
      </c>
      <c r="H4163">
        <v>14119</v>
      </c>
      <c r="I4163">
        <v>38500</v>
      </c>
      <c r="J4163">
        <v>37780</v>
      </c>
      <c r="K4163">
        <v>57500</v>
      </c>
      <c r="L4163">
        <v>1522</v>
      </c>
    </row>
    <row r="4164" spans="1:12" hidden="1" x14ac:dyDescent="0.25">
      <c r="A4164">
        <v>4163</v>
      </c>
      <c r="B4164" s="1" t="s">
        <v>12</v>
      </c>
      <c r="C4164">
        <v>1985</v>
      </c>
      <c r="D4164" s="1" t="s">
        <v>292</v>
      </c>
      <c r="E4164" s="1" t="s">
        <v>22</v>
      </c>
      <c r="F4164">
        <v>14</v>
      </c>
      <c r="G4164" s="1" t="s">
        <v>23</v>
      </c>
      <c r="H4164">
        <v>14147</v>
      </c>
      <c r="I4164">
        <v>750</v>
      </c>
      <c r="J4164">
        <v>735</v>
      </c>
      <c r="K4164">
        <v>1050</v>
      </c>
      <c r="L4164">
        <v>1429</v>
      </c>
    </row>
    <row r="4165" spans="1:12" hidden="1" x14ac:dyDescent="0.25">
      <c r="A4165">
        <v>4164</v>
      </c>
      <c r="B4165" s="1" t="s">
        <v>12</v>
      </c>
      <c r="C4165">
        <v>1985</v>
      </c>
      <c r="D4165" s="1" t="s">
        <v>292</v>
      </c>
      <c r="E4165" s="1" t="s">
        <v>22</v>
      </c>
      <c r="F4165">
        <v>14</v>
      </c>
      <c r="G4165" s="1" t="s">
        <v>26</v>
      </c>
      <c r="H4165">
        <v>14161</v>
      </c>
      <c r="I4165">
        <v>49000</v>
      </c>
      <c r="J4165">
        <v>48150</v>
      </c>
      <c r="K4165">
        <v>70400</v>
      </c>
      <c r="L4165">
        <v>1462</v>
      </c>
    </row>
    <row r="4166" spans="1:12" hidden="1" x14ac:dyDescent="0.25">
      <c r="A4166">
        <v>4165</v>
      </c>
      <c r="B4166" s="1" t="s">
        <v>12</v>
      </c>
      <c r="C4166">
        <v>1985</v>
      </c>
      <c r="D4166" s="1" t="s">
        <v>292</v>
      </c>
      <c r="E4166" s="1" t="s">
        <v>22</v>
      </c>
      <c r="F4166">
        <v>14</v>
      </c>
      <c r="G4166" s="1" t="s">
        <v>122</v>
      </c>
      <c r="H4166">
        <v>14182</v>
      </c>
      <c r="I4166">
        <v>1000</v>
      </c>
      <c r="J4166">
        <v>980</v>
      </c>
      <c r="K4166">
        <v>1500</v>
      </c>
      <c r="L4166">
        <v>1531</v>
      </c>
    </row>
    <row r="4167" spans="1:12" hidden="1" x14ac:dyDescent="0.25">
      <c r="A4167">
        <v>4166</v>
      </c>
      <c r="B4167" s="1" t="s">
        <v>12</v>
      </c>
      <c r="C4167">
        <v>1985</v>
      </c>
      <c r="D4167" s="1" t="s">
        <v>292</v>
      </c>
      <c r="E4167" s="1" t="s">
        <v>30</v>
      </c>
      <c r="F4167">
        <v>18</v>
      </c>
      <c r="G4167" s="1" t="s">
        <v>38</v>
      </c>
      <c r="H4167">
        <v>18007</v>
      </c>
      <c r="I4167">
        <v>25</v>
      </c>
      <c r="J4167">
        <v>25</v>
      </c>
      <c r="K4167">
        <v>10</v>
      </c>
      <c r="L4167">
        <v>400</v>
      </c>
    </row>
    <row r="4168" spans="1:12" hidden="1" x14ac:dyDescent="0.25">
      <c r="A4168">
        <v>4167</v>
      </c>
      <c r="B4168" s="1" t="s">
        <v>12</v>
      </c>
      <c r="C4168">
        <v>1985</v>
      </c>
      <c r="D4168" s="1" t="s">
        <v>292</v>
      </c>
      <c r="E4168" s="1" t="s">
        <v>30</v>
      </c>
      <c r="F4168">
        <v>18</v>
      </c>
      <c r="G4168" s="1" t="s">
        <v>28</v>
      </c>
      <c r="H4168">
        <v>18021</v>
      </c>
      <c r="I4168">
        <v>8</v>
      </c>
      <c r="J4168">
        <v>8</v>
      </c>
      <c r="K4168">
        <v>2</v>
      </c>
      <c r="L4168">
        <v>250</v>
      </c>
    </row>
    <row r="4169" spans="1:12" hidden="1" x14ac:dyDescent="0.25">
      <c r="A4169">
        <v>4168</v>
      </c>
      <c r="B4169" s="1" t="s">
        <v>12</v>
      </c>
      <c r="C4169">
        <v>1985</v>
      </c>
      <c r="D4169" s="1" t="s">
        <v>292</v>
      </c>
      <c r="E4169" s="1" t="s">
        <v>30</v>
      </c>
      <c r="F4169">
        <v>18</v>
      </c>
      <c r="G4169" s="1" t="s">
        <v>34</v>
      </c>
      <c r="H4169">
        <v>18042</v>
      </c>
      <c r="I4169">
        <v>7</v>
      </c>
      <c r="J4169">
        <v>7</v>
      </c>
      <c r="K4169">
        <v>3</v>
      </c>
      <c r="L4169">
        <v>429</v>
      </c>
    </row>
    <row r="4170" spans="1:12" hidden="1" x14ac:dyDescent="0.25">
      <c r="A4170">
        <v>4169</v>
      </c>
      <c r="B4170" s="1" t="s">
        <v>12</v>
      </c>
      <c r="C4170">
        <v>1985</v>
      </c>
      <c r="D4170" s="1" t="s">
        <v>292</v>
      </c>
      <c r="E4170" s="1" t="s">
        <v>30</v>
      </c>
      <c r="F4170">
        <v>18</v>
      </c>
      <c r="G4170" s="1" t="s">
        <v>35</v>
      </c>
      <c r="H4170">
        <v>18049</v>
      </c>
      <c r="I4170">
        <v>3</v>
      </c>
      <c r="J4170">
        <v>3</v>
      </c>
      <c r="K4170">
        <v>1</v>
      </c>
      <c r="L4170">
        <v>333</v>
      </c>
    </row>
    <row r="4171" spans="1:12" hidden="1" x14ac:dyDescent="0.25">
      <c r="A4171">
        <v>4170</v>
      </c>
      <c r="B4171" s="1" t="s">
        <v>12</v>
      </c>
      <c r="C4171">
        <v>1985</v>
      </c>
      <c r="D4171" s="1" t="s">
        <v>292</v>
      </c>
      <c r="E4171" s="1" t="s">
        <v>30</v>
      </c>
      <c r="F4171">
        <v>18</v>
      </c>
      <c r="G4171" s="1" t="s">
        <v>99</v>
      </c>
      <c r="H4171">
        <v>18063</v>
      </c>
      <c r="I4171">
        <v>20</v>
      </c>
      <c r="J4171">
        <v>20</v>
      </c>
      <c r="K4171">
        <v>5</v>
      </c>
      <c r="L4171">
        <v>250</v>
      </c>
    </row>
    <row r="4172" spans="1:12" hidden="1" x14ac:dyDescent="0.25">
      <c r="A4172">
        <v>4171</v>
      </c>
      <c r="B4172" s="1" t="s">
        <v>12</v>
      </c>
      <c r="C4172">
        <v>1985</v>
      </c>
      <c r="D4172" s="1" t="s">
        <v>292</v>
      </c>
      <c r="E4172" s="1" t="s">
        <v>30</v>
      </c>
      <c r="F4172">
        <v>18</v>
      </c>
      <c r="G4172" s="1" t="s">
        <v>43</v>
      </c>
      <c r="H4172">
        <v>18070</v>
      </c>
      <c r="I4172">
        <v>5</v>
      </c>
      <c r="J4172">
        <v>5</v>
      </c>
      <c r="K4172">
        <v>2</v>
      </c>
      <c r="L4172">
        <v>400</v>
      </c>
    </row>
    <row r="4173" spans="1:12" hidden="1" x14ac:dyDescent="0.25">
      <c r="A4173">
        <v>4172</v>
      </c>
      <c r="B4173" s="1" t="s">
        <v>12</v>
      </c>
      <c r="C4173">
        <v>1985</v>
      </c>
      <c r="D4173" s="1" t="s">
        <v>292</v>
      </c>
      <c r="E4173" s="1" t="s">
        <v>30</v>
      </c>
      <c r="F4173">
        <v>18</v>
      </c>
      <c r="G4173" s="1" t="s">
        <v>39</v>
      </c>
      <c r="H4173">
        <v>18084</v>
      </c>
      <c r="I4173">
        <v>20</v>
      </c>
      <c r="J4173">
        <v>20</v>
      </c>
      <c r="K4173">
        <v>9</v>
      </c>
      <c r="L4173">
        <v>450</v>
      </c>
    </row>
    <row r="4174" spans="1:12" hidden="1" x14ac:dyDescent="0.25">
      <c r="A4174">
        <v>4173</v>
      </c>
      <c r="B4174" s="1" t="s">
        <v>12</v>
      </c>
      <c r="C4174">
        <v>1985</v>
      </c>
      <c r="D4174" s="1" t="s">
        <v>292</v>
      </c>
      <c r="E4174" s="1" t="s">
        <v>30</v>
      </c>
      <c r="F4174">
        <v>18</v>
      </c>
      <c r="G4174" s="1" t="s">
        <v>33</v>
      </c>
      <c r="H4174">
        <v>18091</v>
      </c>
      <c r="I4174">
        <v>5</v>
      </c>
      <c r="J4174">
        <v>5</v>
      </c>
      <c r="K4174">
        <v>2</v>
      </c>
      <c r="L4174">
        <v>400</v>
      </c>
    </row>
    <row r="4175" spans="1:12" hidden="1" x14ac:dyDescent="0.25">
      <c r="A4175">
        <v>4174</v>
      </c>
      <c r="B4175" s="1" t="s">
        <v>12</v>
      </c>
      <c r="C4175">
        <v>1985</v>
      </c>
      <c r="D4175" s="1" t="s">
        <v>292</v>
      </c>
      <c r="E4175" s="1" t="s">
        <v>30</v>
      </c>
      <c r="F4175">
        <v>18</v>
      </c>
      <c r="G4175" s="1" t="s">
        <v>98</v>
      </c>
      <c r="H4175">
        <v>18098</v>
      </c>
      <c r="I4175">
        <v>6</v>
      </c>
      <c r="J4175">
        <v>6</v>
      </c>
      <c r="K4175">
        <v>3</v>
      </c>
      <c r="L4175">
        <v>500</v>
      </c>
    </row>
    <row r="4176" spans="1:12" hidden="1" x14ac:dyDescent="0.25">
      <c r="A4176">
        <v>4175</v>
      </c>
      <c r="B4176" s="1" t="s">
        <v>12</v>
      </c>
      <c r="C4176">
        <v>1985</v>
      </c>
      <c r="D4176" s="1" t="s">
        <v>292</v>
      </c>
      <c r="E4176" s="1" t="s">
        <v>30</v>
      </c>
      <c r="F4176">
        <v>18</v>
      </c>
      <c r="G4176" s="1" t="s">
        <v>105</v>
      </c>
      <c r="H4176">
        <v>18105</v>
      </c>
      <c r="I4176">
        <v>2</v>
      </c>
      <c r="J4176">
        <v>2</v>
      </c>
      <c r="K4176">
        <v>1</v>
      </c>
      <c r="L4176">
        <v>500</v>
      </c>
    </row>
    <row r="4177" spans="1:12" hidden="1" x14ac:dyDescent="0.25">
      <c r="A4177">
        <v>4176</v>
      </c>
      <c r="B4177" s="1" t="s">
        <v>12</v>
      </c>
      <c r="C4177">
        <v>1985</v>
      </c>
      <c r="D4177" s="1" t="s">
        <v>292</v>
      </c>
      <c r="E4177" s="1" t="s">
        <v>30</v>
      </c>
      <c r="F4177">
        <v>18</v>
      </c>
      <c r="G4177" s="1" t="s">
        <v>104</v>
      </c>
      <c r="H4177">
        <v>18119</v>
      </c>
      <c r="I4177">
        <v>5</v>
      </c>
      <c r="J4177">
        <v>5</v>
      </c>
      <c r="K4177">
        <v>3</v>
      </c>
      <c r="L4177">
        <v>600</v>
      </c>
    </row>
    <row r="4178" spans="1:12" hidden="1" x14ac:dyDescent="0.25">
      <c r="A4178">
        <v>4177</v>
      </c>
      <c r="B4178" s="1" t="s">
        <v>12</v>
      </c>
      <c r="C4178">
        <v>1985</v>
      </c>
      <c r="D4178" s="1" t="s">
        <v>292</v>
      </c>
      <c r="E4178" s="1" t="s">
        <v>30</v>
      </c>
      <c r="F4178">
        <v>18</v>
      </c>
      <c r="G4178" s="1" t="s">
        <v>40</v>
      </c>
      <c r="H4178">
        <v>18126</v>
      </c>
      <c r="I4178">
        <v>5</v>
      </c>
      <c r="J4178">
        <v>5</v>
      </c>
      <c r="K4178">
        <v>3</v>
      </c>
      <c r="L4178">
        <v>600</v>
      </c>
    </row>
    <row r="4179" spans="1:12" hidden="1" x14ac:dyDescent="0.25">
      <c r="A4179">
        <v>4178</v>
      </c>
      <c r="B4179" s="1" t="s">
        <v>12</v>
      </c>
      <c r="C4179">
        <v>1985</v>
      </c>
      <c r="D4179" s="1" t="s">
        <v>292</v>
      </c>
      <c r="E4179" s="1" t="s">
        <v>30</v>
      </c>
      <c r="F4179">
        <v>18</v>
      </c>
      <c r="G4179" s="1" t="s">
        <v>36</v>
      </c>
      <c r="H4179">
        <v>18133</v>
      </c>
      <c r="I4179">
        <v>10</v>
      </c>
      <c r="J4179">
        <v>10</v>
      </c>
      <c r="K4179">
        <v>5</v>
      </c>
      <c r="L4179">
        <v>500</v>
      </c>
    </row>
    <row r="4180" spans="1:12" hidden="1" x14ac:dyDescent="0.25">
      <c r="A4180">
        <v>4179</v>
      </c>
      <c r="B4180" s="1" t="s">
        <v>12</v>
      </c>
      <c r="C4180">
        <v>1985</v>
      </c>
      <c r="D4180" s="1" t="s">
        <v>292</v>
      </c>
      <c r="E4180" s="1" t="s">
        <v>30</v>
      </c>
      <c r="F4180">
        <v>18</v>
      </c>
      <c r="G4180" s="1" t="s">
        <v>41</v>
      </c>
      <c r="H4180">
        <v>18140</v>
      </c>
      <c r="I4180">
        <v>20</v>
      </c>
      <c r="J4180">
        <v>20</v>
      </c>
      <c r="K4180">
        <v>9</v>
      </c>
      <c r="L4180">
        <v>450</v>
      </c>
    </row>
    <row r="4181" spans="1:12" hidden="1" x14ac:dyDescent="0.25">
      <c r="A4181">
        <v>4180</v>
      </c>
      <c r="B4181" s="1" t="s">
        <v>12</v>
      </c>
      <c r="C4181">
        <v>1985</v>
      </c>
      <c r="D4181" s="1" t="s">
        <v>292</v>
      </c>
      <c r="E4181" s="1" t="s">
        <v>30</v>
      </c>
      <c r="F4181">
        <v>18</v>
      </c>
      <c r="G4181" s="1" t="s">
        <v>37</v>
      </c>
      <c r="H4181">
        <v>18147</v>
      </c>
      <c r="I4181">
        <v>9</v>
      </c>
      <c r="J4181">
        <v>9</v>
      </c>
      <c r="K4181">
        <v>5</v>
      </c>
      <c r="L4181">
        <v>556</v>
      </c>
    </row>
    <row r="4182" spans="1:12" hidden="1" x14ac:dyDescent="0.25">
      <c r="A4182">
        <v>4181</v>
      </c>
      <c r="B4182" s="1" t="s">
        <v>12</v>
      </c>
      <c r="C4182">
        <v>1985</v>
      </c>
      <c r="D4182" s="1" t="s">
        <v>292</v>
      </c>
      <c r="E4182" s="1" t="s">
        <v>30</v>
      </c>
      <c r="F4182">
        <v>18</v>
      </c>
      <c r="G4182" s="1" t="s">
        <v>101</v>
      </c>
      <c r="H4182">
        <v>18161</v>
      </c>
      <c r="I4182">
        <v>10</v>
      </c>
      <c r="J4182">
        <v>10</v>
      </c>
      <c r="K4182">
        <v>3</v>
      </c>
      <c r="L4182">
        <v>300</v>
      </c>
    </row>
    <row r="4183" spans="1:12" hidden="1" x14ac:dyDescent="0.25">
      <c r="A4183">
        <v>4182</v>
      </c>
      <c r="B4183" s="1" t="s">
        <v>12</v>
      </c>
      <c r="C4183">
        <v>1985</v>
      </c>
      <c r="D4183" s="1" t="s">
        <v>292</v>
      </c>
      <c r="E4183" s="1" t="s">
        <v>30</v>
      </c>
      <c r="F4183">
        <v>18</v>
      </c>
      <c r="G4183" s="1" t="s">
        <v>44</v>
      </c>
      <c r="H4183">
        <v>18168</v>
      </c>
      <c r="I4183">
        <v>10</v>
      </c>
      <c r="J4183">
        <v>10</v>
      </c>
      <c r="K4183">
        <v>4</v>
      </c>
      <c r="L4183">
        <v>400</v>
      </c>
    </row>
    <row r="4184" spans="1:12" hidden="1" x14ac:dyDescent="0.25">
      <c r="A4184">
        <v>4183</v>
      </c>
      <c r="B4184" s="1" t="s">
        <v>12</v>
      </c>
      <c r="C4184">
        <v>1985</v>
      </c>
      <c r="D4184" s="1" t="s">
        <v>292</v>
      </c>
      <c r="E4184" s="1" t="s">
        <v>48</v>
      </c>
      <c r="F4184">
        <v>34</v>
      </c>
      <c r="G4184" s="1" t="s">
        <v>50</v>
      </c>
      <c r="H4184">
        <v>34021</v>
      </c>
      <c r="I4184">
        <v>4</v>
      </c>
      <c r="J4184">
        <v>4</v>
      </c>
      <c r="K4184">
        <v>4</v>
      </c>
      <c r="L4184">
        <v>1000</v>
      </c>
    </row>
    <row r="4185" spans="1:12" hidden="1" x14ac:dyDescent="0.25">
      <c r="A4185">
        <v>4184</v>
      </c>
      <c r="B4185" s="1" t="s">
        <v>12</v>
      </c>
      <c r="C4185">
        <v>1985</v>
      </c>
      <c r="D4185" s="1" t="s">
        <v>292</v>
      </c>
      <c r="E4185" s="1" t="s">
        <v>48</v>
      </c>
      <c r="F4185">
        <v>34</v>
      </c>
      <c r="G4185" s="1" t="s">
        <v>52</v>
      </c>
      <c r="H4185">
        <v>34035</v>
      </c>
      <c r="I4185">
        <v>2</v>
      </c>
      <c r="J4185">
        <v>2</v>
      </c>
      <c r="K4185">
        <v>2</v>
      </c>
      <c r="L4185">
        <v>1000</v>
      </c>
    </row>
    <row r="4186" spans="1:12" hidden="1" x14ac:dyDescent="0.25">
      <c r="A4186">
        <v>4185</v>
      </c>
      <c r="B4186" s="1" t="s">
        <v>12</v>
      </c>
      <c r="C4186">
        <v>1985</v>
      </c>
      <c r="D4186" s="1" t="s">
        <v>292</v>
      </c>
      <c r="E4186" s="1" t="s">
        <v>48</v>
      </c>
      <c r="F4186">
        <v>34</v>
      </c>
      <c r="G4186" s="1" t="s">
        <v>49</v>
      </c>
      <c r="H4186">
        <v>34049</v>
      </c>
      <c r="I4186">
        <v>4</v>
      </c>
      <c r="J4186">
        <v>4</v>
      </c>
      <c r="K4186">
        <v>4</v>
      </c>
      <c r="L4186">
        <v>1000</v>
      </c>
    </row>
    <row r="4187" spans="1:12" hidden="1" x14ac:dyDescent="0.25">
      <c r="A4187">
        <v>4186</v>
      </c>
      <c r="B4187" s="1" t="s">
        <v>12</v>
      </c>
      <c r="C4187">
        <v>1985</v>
      </c>
      <c r="D4187" s="1" t="s">
        <v>292</v>
      </c>
      <c r="E4187" s="1" t="s">
        <v>48</v>
      </c>
      <c r="F4187">
        <v>34</v>
      </c>
      <c r="G4187" s="1" t="s">
        <v>51</v>
      </c>
      <c r="H4187">
        <v>34056</v>
      </c>
      <c r="I4187">
        <v>2</v>
      </c>
      <c r="J4187">
        <v>2</v>
      </c>
      <c r="K4187">
        <v>2</v>
      </c>
      <c r="L4187">
        <v>1000</v>
      </c>
    </row>
    <row r="4188" spans="1:12" hidden="1" x14ac:dyDescent="0.25">
      <c r="A4188">
        <v>4187</v>
      </c>
      <c r="B4188" s="1" t="s">
        <v>12</v>
      </c>
      <c r="C4188">
        <v>1985</v>
      </c>
      <c r="D4188" s="1" t="s">
        <v>292</v>
      </c>
      <c r="E4188" s="1" t="s">
        <v>58</v>
      </c>
      <c r="F4188">
        <v>54</v>
      </c>
      <c r="G4188" s="1" t="s">
        <v>234</v>
      </c>
      <c r="H4188">
        <v>54119</v>
      </c>
      <c r="I4188">
        <v>25</v>
      </c>
      <c r="J4188">
        <v>25</v>
      </c>
      <c r="K4188">
        <v>20</v>
      </c>
      <c r="L4188">
        <v>800</v>
      </c>
    </row>
    <row r="4189" spans="1:12" hidden="1" x14ac:dyDescent="0.25">
      <c r="A4189">
        <v>4188</v>
      </c>
      <c r="B4189" s="1" t="s">
        <v>12</v>
      </c>
      <c r="C4189">
        <v>1985</v>
      </c>
      <c r="D4189" s="1" t="s">
        <v>292</v>
      </c>
      <c r="E4189" s="1" t="s">
        <v>58</v>
      </c>
      <c r="F4189">
        <v>54</v>
      </c>
      <c r="G4189" s="1" t="s">
        <v>59</v>
      </c>
      <c r="H4189">
        <v>54007</v>
      </c>
      <c r="I4189">
        <v>20</v>
      </c>
      <c r="J4189">
        <v>20</v>
      </c>
      <c r="K4189">
        <v>17</v>
      </c>
      <c r="L4189">
        <v>850</v>
      </c>
    </row>
    <row r="4190" spans="1:12" hidden="1" x14ac:dyDescent="0.25">
      <c r="A4190">
        <v>4189</v>
      </c>
      <c r="B4190" s="1" t="s">
        <v>12</v>
      </c>
      <c r="C4190">
        <v>1985</v>
      </c>
      <c r="D4190" s="1" t="s">
        <v>292</v>
      </c>
      <c r="E4190" s="1" t="s">
        <v>58</v>
      </c>
      <c r="F4190">
        <v>54</v>
      </c>
      <c r="G4190" s="1" t="s">
        <v>150</v>
      </c>
      <c r="H4190">
        <v>54014</v>
      </c>
      <c r="I4190">
        <v>34</v>
      </c>
      <c r="J4190">
        <v>34</v>
      </c>
      <c r="K4190">
        <v>30</v>
      </c>
      <c r="L4190">
        <v>882</v>
      </c>
    </row>
    <row r="4191" spans="1:12" hidden="1" x14ac:dyDescent="0.25">
      <c r="A4191">
        <v>4190</v>
      </c>
      <c r="B4191" s="1" t="s">
        <v>12</v>
      </c>
      <c r="C4191">
        <v>1985</v>
      </c>
      <c r="D4191" s="1" t="s">
        <v>292</v>
      </c>
      <c r="E4191" s="1" t="s">
        <v>58</v>
      </c>
      <c r="F4191">
        <v>54</v>
      </c>
      <c r="G4191" s="1" t="s">
        <v>60</v>
      </c>
      <c r="H4191">
        <v>54021</v>
      </c>
      <c r="I4191">
        <v>18</v>
      </c>
      <c r="J4191">
        <v>18</v>
      </c>
      <c r="K4191">
        <v>15</v>
      </c>
      <c r="L4191">
        <v>833</v>
      </c>
    </row>
    <row r="4192" spans="1:12" hidden="1" x14ac:dyDescent="0.25">
      <c r="A4192">
        <v>4191</v>
      </c>
      <c r="B4192" s="1" t="s">
        <v>12</v>
      </c>
      <c r="C4192">
        <v>1985</v>
      </c>
      <c r="D4192" s="1" t="s">
        <v>292</v>
      </c>
      <c r="E4192" s="1" t="s">
        <v>58</v>
      </c>
      <c r="F4192">
        <v>54</v>
      </c>
      <c r="G4192" s="1" t="s">
        <v>28</v>
      </c>
      <c r="H4192">
        <v>54028</v>
      </c>
      <c r="I4192">
        <v>10</v>
      </c>
      <c r="J4192">
        <v>10</v>
      </c>
      <c r="K4192">
        <v>8</v>
      </c>
      <c r="L4192">
        <v>800</v>
      </c>
    </row>
    <row r="4193" spans="1:12" hidden="1" x14ac:dyDescent="0.25">
      <c r="A4193">
        <v>4192</v>
      </c>
      <c r="B4193" s="1" t="s">
        <v>12</v>
      </c>
      <c r="C4193">
        <v>1985</v>
      </c>
      <c r="D4193" s="1" t="s">
        <v>292</v>
      </c>
      <c r="E4193" s="1" t="s">
        <v>58</v>
      </c>
      <c r="F4193">
        <v>54</v>
      </c>
      <c r="G4193" s="1" t="s">
        <v>63</v>
      </c>
      <c r="H4193">
        <v>54035</v>
      </c>
      <c r="I4193">
        <v>3</v>
      </c>
      <c r="J4193">
        <v>3</v>
      </c>
      <c r="K4193">
        <v>2</v>
      </c>
      <c r="L4193">
        <v>667</v>
      </c>
    </row>
    <row r="4194" spans="1:12" hidden="1" x14ac:dyDescent="0.25">
      <c r="A4194">
        <v>4193</v>
      </c>
      <c r="B4194" s="1" t="s">
        <v>12</v>
      </c>
      <c r="C4194">
        <v>1985</v>
      </c>
      <c r="D4194" s="1" t="s">
        <v>292</v>
      </c>
      <c r="E4194" s="1" t="s">
        <v>58</v>
      </c>
      <c r="F4194">
        <v>54</v>
      </c>
      <c r="G4194" s="1" t="s">
        <v>266</v>
      </c>
      <c r="H4194">
        <v>54042</v>
      </c>
      <c r="I4194">
        <v>3</v>
      </c>
      <c r="J4194">
        <v>3</v>
      </c>
      <c r="K4194">
        <v>3</v>
      </c>
      <c r="L4194">
        <v>1000</v>
      </c>
    </row>
    <row r="4195" spans="1:12" hidden="1" x14ac:dyDescent="0.25">
      <c r="A4195">
        <v>4194</v>
      </c>
      <c r="B4195" s="1" t="s">
        <v>12</v>
      </c>
      <c r="C4195">
        <v>1985</v>
      </c>
      <c r="D4195" s="1" t="s">
        <v>292</v>
      </c>
      <c r="E4195" s="1" t="s">
        <v>58</v>
      </c>
      <c r="F4195">
        <v>54</v>
      </c>
      <c r="G4195" s="1" t="s">
        <v>258</v>
      </c>
      <c r="H4195">
        <v>54049</v>
      </c>
      <c r="I4195">
        <v>26</v>
      </c>
      <c r="J4195">
        <v>26</v>
      </c>
      <c r="K4195">
        <v>17</v>
      </c>
      <c r="L4195">
        <v>654</v>
      </c>
    </row>
    <row r="4196" spans="1:12" hidden="1" x14ac:dyDescent="0.25">
      <c r="A4196">
        <v>4195</v>
      </c>
      <c r="B4196" s="1" t="s">
        <v>12</v>
      </c>
      <c r="C4196">
        <v>1985</v>
      </c>
      <c r="D4196" s="1" t="s">
        <v>292</v>
      </c>
      <c r="E4196" s="1" t="s">
        <v>58</v>
      </c>
      <c r="F4196">
        <v>54</v>
      </c>
      <c r="G4196" s="1" t="s">
        <v>151</v>
      </c>
      <c r="H4196">
        <v>54056</v>
      </c>
      <c r="I4196">
        <v>30</v>
      </c>
      <c r="J4196">
        <v>30</v>
      </c>
      <c r="K4196">
        <v>24</v>
      </c>
      <c r="L4196">
        <v>800</v>
      </c>
    </row>
    <row r="4197" spans="1:12" hidden="1" x14ac:dyDescent="0.25">
      <c r="A4197">
        <v>4196</v>
      </c>
      <c r="B4197" s="1" t="s">
        <v>12</v>
      </c>
      <c r="C4197">
        <v>1985</v>
      </c>
      <c r="D4197" s="1" t="s">
        <v>292</v>
      </c>
      <c r="E4197" s="1" t="s">
        <v>58</v>
      </c>
      <c r="F4197">
        <v>54</v>
      </c>
      <c r="G4197" s="1" t="s">
        <v>152</v>
      </c>
      <c r="H4197">
        <v>54063</v>
      </c>
      <c r="I4197">
        <v>5</v>
      </c>
      <c r="J4197">
        <v>5</v>
      </c>
      <c r="K4197">
        <v>4</v>
      </c>
      <c r="L4197">
        <v>800</v>
      </c>
    </row>
    <row r="4198" spans="1:12" hidden="1" x14ac:dyDescent="0.25">
      <c r="A4198">
        <v>4197</v>
      </c>
      <c r="B4198" s="1" t="s">
        <v>12</v>
      </c>
      <c r="C4198">
        <v>1985</v>
      </c>
      <c r="D4198" s="1" t="s">
        <v>292</v>
      </c>
      <c r="E4198" s="1" t="s">
        <v>58</v>
      </c>
      <c r="F4198">
        <v>54</v>
      </c>
      <c r="G4198" s="1" t="s">
        <v>243</v>
      </c>
      <c r="H4198">
        <v>54070</v>
      </c>
      <c r="I4198">
        <v>32</v>
      </c>
      <c r="J4198">
        <v>32</v>
      </c>
      <c r="K4198">
        <v>28</v>
      </c>
      <c r="L4198">
        <v>875</v>
      </c>
    </row>
    <row r="4199" spans="1:12" hidden="1" x14ac:dyDescent="0.25">
      <c r="A4199">
        <v>4198</v>
      </c>
      <c r="B4199" s="1" t="s">
        <v>12</v>
      </c>
      <c r="C4199">
        <v>1985</v>
      </c>
      <c r="D4199" s="1" t="s">
        <v>292</v>
      </c>
      <c r="E4199" s="1" t="s">
        <v>58</v>
      </c>
      <c r="F4199">
        <v>54</v>
      </c>
      <c r="G4199" s="1" t="s">
        <v>119</v>
      </c>
      <c r="H4199">
        <v>54077</v>
      </c>
      <c r="I4199">
        <v>3</v>
      </c>
      <c r="J4199">
        <v>3</v>
      </c>
      <c r="K4199">
        <v>3</v>
      </c>
      <c r="L4199">
        <v>1000</v>
      </c>
    </row>
    <row r="4200" spans="1:12" hidden="1" x14ac:dyDescent="0.25">
      <c r="A4200">
        <v>4199</v>
      </c>
      <c r="B4200" s="1" t="s">
        <v>12</v>
      </c>
      <c r="C4200">
        <v>1985</v>
      </c>
      <c r="D4200" s="1" t="s">
        <v>292</v>
      </c>
      <c r="E4200" s="1" t="s">
        <v>58</v>
      </c>
      <c r="F4200">
        <v>54</v>
      </c>
      <c r="G4200" s="1" t="s">
        <v>244</v>
      </c>
      <c r="H4200">
        <v>54084</v>
      </c>
      <c r="I4200">
        <v>5</v>
      </c>
      <c r="J4200">
        <v>5</v>
      </c>
      <c r="K4200">
        <v>4</v>
      </c>
      <c r="L4200">
        <v>800</v>
      </c>
    </row>
    <row r="4201" spans="1:12" hidden="1" x14ac:dyDescent="0.25">
      <c r="A4201">
        <v>4200</v>
      </c>
      <c r="B4201" s="1" t="s">
        <v>12</v>
      </c>
      <c r="C4201">
        <v>1985</v>
      </c>
      <c r="D4201" s="1" t="s">
        <v>292</v>
      </c>
      <c r="E4201" s="1" t="s">
        <v>58</v>
      </c>
      <c r="F4201">
        <v>54</v>
      </c>
      <c r="G4201" s="1" t="s">
        <v>242</v>
      </c>
      <c r="H4201">
        <v>54091</v>
      </c>
      <c r="I4201">
        <v>27</v>
      </c>
      <c r="J4201">
        <v>27</v>
      </c>
      <c r="K4201">
        <v>20</v>
      </c>
      <c r="L4201">
        <v>741</v>
      </c>
    </row>
    <row r="4202" spans="1:12" hidden="1" x14ac:dyDescent="0.25">
      <c r="A4202">
        <v>4201</v>
      </c>
      <c r="B4202" s="1" t="s">
        <v>12</v>
      </c>
      <c r="C4202">
        <v>1985</v>
      </c>
      <c r="D4202" s="1" t="s">
        <v>292</v>
      </c>
      <c r="E4202" s="1" t="s">
        <v>58</v>
      </c>
      <c r="F4202">
        <v>54</v>
      </c>
      <c r="G4202" s="1" t="s">
        <v>61</v>
      </c>
      <c r="H4202">
        <v>54098</v>
      </c>
      <c r="I4202">
        <v>2</v>
      </c>
      <c r="J4202">
        <v>2</v>
      </c>
      <c r="K4202">
        <v>1</v>
      </c>
      <c r="L4202">
        <v>500</v>
      </c>
    </row>
    <row r="4203" spans="1:12" hidden="1" x14ac:dyDescent="0.25">
      <c r="A4203">
        <v>4202</v>
      </c>
      <c r="B4203" s="1" t="s">
        <v>12</v>
      </c>
      <c r="C4203">
        <v>1985</v>
      </c>
      <c r="D4203" s="1" t="s">
        <v>292</v>
      </c>
      <c r="E4203" s="1" t="s">
        <v>58</v>
      </c>
      <c r="F4203">
        <v>54</v>
      </c>
      <c r="G4203" s="1" t="s">
        <v>62</v>
      </c>
      <c r="H4203">
        <v>54105</v>
      </c>
      <c r="I4203">
        <v>25</v>
      </c>
      <c r="J4203">
        <v>25</v>
      </c>
      <c r="K4203">
        <v>20</v>
      </c>
      <c r="L4203">
        <v>800</v>
      </c>
    </row>
    <row r="4204" spans="1:12" x14ac:dyDescent="0.25">
      <c r="A4204">
        <v>4203</v>
      </c>
      <c r="B4204" s="1" t="s">
        <v>12</v>
      </c>
      <c r="C4204">
        <v>1985</v>
      </c>
      <c r="D4204" s="1" t="s">
        <v>292</v>
      </c>
      <c r="E4204" s="1" t="s">
        <v>58</v>
      </c>
      <c r="F4204">
        <v>54</v>
      </c>
      <c r="G4204" s="1" t="s">
        <v>56</v>
      </c>
      <c r="H4204">
        <v>54112</v>
      </c>
      <c r="I4204">
        <v>10</v>
      </c>
      <c r="J4204">
        <v>10</v>
      </c>
      <c r="K4204">
        <v>8</v>
      </c>
      <c r="L4204">
        <v>800</v>
      </c>
    </row>
    <row r="4205" spans="1:12" hidden="1" x14ac:dyDescent="0.25">
      <c r="A4205">
        <v>4204</v>
      </c>
      <c r="B4205" s="1" t="s">
        <v>12</v>
      </c>
      <c r="C4205">
        <v>1985</v>
      </c>
      <c r="D4205" s="1" t="s">
        <v>292</v>
      </c>
      <c r="E4205" s="1" t="s">
        <v>64</v>
      </c>
      <c r="F4205">
        <v>82</v>
      </c>
      <c r="G4205" s="1" t="s">
        <v>65</v>
      </c>
      <c r="H4205">
        <v>82049</v>
      </c>
      <c r="I4205">
        <v>40</v>
      </c>
      <c r="J4205">
        <v>40</v>
      </c>
      <c r="K4205">
        <v>44</v>
      </c>
      <c r="L4205">
        <v>1100</v>
      </c>
    </row>
    <row r="4206" spans="1:12" hidden="1" x14ac:dyDescent="0.25">
      <c r="A4206">
        <v>4205</v>
      </c>
      <c r="B4206" s="1" t="s">
        <v>12</v>
      </c>
      <c r="C4206">
        <v>1986</v>
      </c>
      <c r="D4206" s="1" t="s">
        <v>293</v>
      </c>
      <c r="E4206" s="1" t="s">
        <v>22</v>
      </c>
      <c r="F4206">
        <v>14</v>
      </c>
      <c r="G4206" s="1" t="s">
        <v>97</v>
      </c>
      <c r="H4206">
        <v>14007</v>
      </c>
      <c r="I4206">
        <v>400</v>
      </c>
      <c r="J4206">
        <v>400</v>
      </c>
      <c r="K4206">
        <v>500</v>
      </c>
      <c r="L4206">
        <v>1250</v>
      </c>
    </row>
    <row r="4207" spans="1:12" hidden="1" x14ac:dyDescent="0.25">
      <c r="A4207">
        <v>4206</v>
      </c>
      <c r="B4207" s="1" t="s">
        <v>12</v>
      </c>
      <c r="C4207">
        <v>1986</v>
      </c>
      <c r="D4207" s="1" t="s">
        <v>293</v>
      </c>
      <c r="E4207" s="1" t="s">
        <v>22</v>
      </c>
      <c r="F4207">
        <v>14</v>
      </c>
      <c r="G4207" s="1" t="s">
        <v>184</v>
      </c>
      <c r="H4207">
        <v>14042</v>
      </c>
      <c r="I4207">
        <v>20600</v>
      </c>
      <c r="J4207">
        <v>20500</v>
      </c>
      <c r="K4207">
        <v>31000</v>
      </c>
      <c r="L4207">
        <v>1512</v>
      </c>
    </row>
    <row r="4208" spans="1:12" hidden="1" x14ac:dyDescent="0.25">
      <c r="A4208">
        <v>4207</v>
      </c>
      <c r="B4208" s="1" t="s">
        <v>12</v>
      </c>
      <c r="C4208">
        <v>1986</v>
      </c>
      <c r="D4208" s="1" t="s">
        <v>293</v>
      </c>
      <c r="E4208" s="1" t="s">
        <v>22</v>
      </c>
      <c r="F4208">
        <v>14</v>
      </c>
      <c r="G4208" s="1" t="s">
        <v>143</v>
      </c>
      <c r="H4208">
        <v>14056</v>
      </c>
      <c r="I4208">
        <v>80000</v>
      </c>
      <c r="J4208">
        <v>79000</v>
      </c>
      <c r="K4208">
        <v>126000</v>
      </c>
      <c r="L4208">
        <v>1595</v>
      </c>
    </row>
    <row r="4209" spans="1:12" hidden="1" x14ac:dyDescent="0.25">
      <c r="A4209">
        <v>4208</v>
      </c>
      <c r="B4209" s="1" t="s">
        <v>12</v>
      </c>
      <c r="C4209">
        <v>1986</v>
      </c>
      <c r="D4209" s="1" t="s">
        <v>293</v>
      </c>
      <c r="E4209" s="1" t="s">
        <v>22</v>
      </c>
      <c r="F4209">
        <v>14</v>
      </c>
      <c r="G4209" s="1" t="s">
        <v>29</v>
      </c>
      <c r="H4209">
        <v>14098</v>
      </c>
      <c r="I4209">
        <v>21000</v>
      </c>
      <c r="J4209">
        <v>20800</v>
      </c>
      <c r="K4209">
        <v>31000</v>
      </c>
      <c r="L4209">
        <v>1490</v>
      </c>
    </row>
    <row r="4210" spans="1:12" hidden="1" x14ac:dyDescent="0.25">
      <c r="A4210">
        <v>4209</v>
      </c>
      <c r="B4210" s="1" t="s">
        <v>12</v>
      </c>
      <c r="C4210">
        <v>1986</v>
      </c>
      <c r="D4210" s="1" t="s">
        <v>293</v>
      </c>
      <c r="E4210" s="1" t="s">
        <v>22</v>
      </c>
      <c r="F4210">
        <v>14</v>
      </c>
      <c r="G4210" s="1" t="s">
        <v>25</v>
      </c>
      <c r="H4210">
        <v>14105</v>
      </c>
      <c r="I4210">
        <v>3500</v>
      </c>
      <c r="J4210">
        <v>3500</v>
      </c>
      <c r="K4210">
        <v>5000</v>
      </c>
      <c r="L4210">
        <v>1429</v>
      </c>
    </row>
    <row r="4211" spans="1:12" hidden="1" x14ac:dyDescent="0.25">
      <c r="A4211">
        <v>4210</v>
      </c>
      <c r="B4211" s="1" t="s">
        <v>12</v>
      </c>
      <c r="C4211">
        <v>1986</v>
      </c>
      <c r="D4211" s="1" t="s">
        <v>293</v>
      </c>
      <c r="E4211" s="1" t="s">
        <v>22</v>
      </c>
      <c r="F4211">
        <v>14</v>
      </c>
      <c r="G4211" s="1" t="s">
        <v>24</v>
      </c>
      <c r="H4211">
        <v>14119</v>
      </c>
      <c r="I4211">
        <v>50000</v>
      </c>
      <c r="J4211">
        <v>49900</v>
      </c>
      <c r="K4211">
        <v>72000</v>
      </c>
      <c r="L4211">
        <v>1443</v>
      </c>
    </row>
    <row r="4212" spans="1:12" hidden="1" x14ac:dyDescent="0.25">
      <c r="A4212">
        <v>4211</v>
      </c>
      <c r="B4212" s="1" t="s">
        <v>12</v>
      </c>
      <c r="C4212">
        <v>1986</v>
      </c>
      <c r="D4212" s="1" t="s">
        <v>293</v>
      </c>
      <c r="E4212" s="1" t="s">
        <v>22</v>
      </c>
      <c r="F4212">
        <v>14</v>
      </c>
      <c r="G4212" s="1" t="s">
        <v>23</v>
      </c>
      <c r="H4212">
        <v>14147</v>
      </c>
      <c r="I4212">
        <v>1100</v>
      </c>
      <c r="J4212">
        <v>1100</v>
      </c>
      <c r="K4212">
        <v>1500</v>
      </c>
      <c r="L4212">
        <v>1364</v>
      </c>
    </row>
    <row r="4213" spans="1:12" hidden="1" x14ac:dyDescent="0.25">
      <c r="A4213">
        <v>4212</v>
      </c>
      <c r="B4213" s="1" t="s">
        <v>12</v>
      </c>
      <c r="C4213">
        <v>1986</v>
      </c>
      <c r="D4213" s="1" t="s">
        <v>293</v>
      </c>
      <c r="E4213" s="1" t="s">
        <v>22</v>
      </c>
      <c r="F4213">
        <v>14</v>
      </c>
      <c r="G4213" s="1" t="s">
        <v>26</v>
      </c>
      <c r="H4213">
        <v>14161</v>
      </c>
      <c r="I4213">
        <v>62000</v>
      </c>
      <c r="J4213">
        <v>61400</v>
      </c>
      <c r="K4213">
        <v>80500</v>
      </c>
      <c r="L4213">
        <v>1311</v>
      </c>
    </row>
    <row r="4214" spans="1:12" hidden="1" x14ac:dyDescent="0.25">
      <c r="A4214">
        <v>4213</v>
      </c>
      <c r="B4214" s="1" t="s">
        <v>12</v>
      </c>
      <c r="C4214">
        <v>1986</v>
      </c>
      <c r="D4214" s="1" t="s">
        <v>293</v>
      </c>
      <c r="E4214" s="1" t="s">
        <v>22</v>
      </c>
      <c r="F4214">
        <v>14</v>
      </c>
      <c r="G4214" s="1" t="s">
        <v>122</v>
      </c>
      <c r="H4214">
        <v>14182</v>
      </c>
      <c r="I4214">
        <v>1400</v>
      </c>
      <c r="J4214">
        <v>1400</v>
      </c>
      <c r="K4214">
        <v>2000</v>
      </c>
      <c r="L4214">
        <v>1429</v>
      </c>
    </row>
    <row r="4215" spans="1:12" hidden="1" x14ac:dyDescent="0.25">
      <c r="A4215">
        <v>4214</v>
      </c>
      <c r="B4215" s="1" t="s">
        <v>12</v>
      </c>
      <c r="C4215">
        <v>1986</v>
      </c>
      <c r="D4215" s="1" t="s">
        <v>293</v>
      </c>
      <c r="E4215" s="1" t="s">
        <v>30</v>
      </c>
      <c r="F4215">
        <v>18</v>
      </c>
      <c r="G4215" s="1" t="s">
        <v>38</v>
      </c>
      <c r="H4215">
        <v>18007</v>
      </c>
      <c r="I4215">
        <v>25</v>
      </c>
      <c r="J4215">
        <v>25</v>
      </c>
      <c r="K4215">
        <v>33</v>
      </c>
      <c r="L4215">
        <v>1320</v>
      </c>
    </row>
    <row r="4216" spans="1:12" hidden="1" x14ac:dyDescent="0.25">
      <c r="A4216">
        <v>4215</v>
      </c>
      <c r="B4216" s="1" t="s">
        <v>12</v>
      </c>
      <c r="C4216">
        <v>1986</v>
      </c>
      <c r="D4216" s="1" t="s">
        <v>293</v>
      </c>
      <c r="E4216" s="1" t="s">
        <v>30</v>
      </c>
      <c r="F4216">
        <v>18</v>
      </c>
      <c r="G4216" s="1" t="s">
        <v>28</v>
      </c>
      <c r="H4216">
        <v>18021</v>
      </c>
      <c r="I4216">
        <v>9</v>
      </c>
      <c r="J4216">
        <v>9</v>
      </c>
      <c r="K4216">
        <v>13</v>
      </c>
      <c r="L4216">
        <v>1444</v>
      </c>
    </row>
    <row r="4217" spans="1:12" hidden="1" x14ac:dyDescent="0.25">
      <c r="A4217">
        <v>4216</v>
      </c>
      <c r="B4217" s="1" t="s">
        <v>12</v>
      </c>
      <c r="C4217">
        <v>1986</v>
      </c>
      <c r="D4217" s="1" t="s">
        <v>293</v>
      </c>
      <c r="E4217" s="1" t="s">
        <v>30</v>
      </c>
      <c r="F4217">
        <v>18</v>
      </c>
      <c r="G4217" s="1" t="s">
        <v>34</v>
      </c>
      <c r="H4217">
        <v>18042</v>
      </c>
      <c r="I4217">
        <v>7</v>
      </c>
      <c r="J4217">
        <v>7</v>
      </c>
      <c r="K4217">
        <v>10</v>
      </c>
      <c r="L4217">
        <v>1429</v>
      </c>
    </row>
    <row r="4218" spans="1:12" hidden="1" x14ac:dyDescent="0.25">
      <c r="A4218">
        <v>4217</v>
      </c>
      <c r="B4218" s="1" t="s">
        <v>12</v>
      </c>
      <c r="C4218">
        <v>1986</v>
      </c>
      <c r="D4218" s="1" t="s">
        <v>293</v>
      </c>
      <c r="E4218" s="1" t="s">
        <v>30</v>
      </c>
      <c r="F4218">
        <v>18</v>
      </c>
      <c r="G4218" s="1" t="s">
        <v>35</v>
      </c>
      <c r="H4218">
        <v>18049</v>
      </c>
      <c r="I4218">
        <v>4</v>
      </c>
      <c r="J4218">
        <v>4</v>
      </c>
      <c r="K4218">
        <v>6</v>
      </c>
      <c r="L4218">
        <v>1500</v>
      </c>
    </row>
    <row r="4219" spans="1:12" hidden="1" x14ac:dyDescent="0.25">
      <c r="A4219">
        <v>4218</v>
      </c>
      <c r="B4219" s="1" t="s">
        <v>12</v>
      </c>
      <c r="C4219">
        <v>1986</v>
      </c>
      <c r="D4219" s="1" t="s">
        <v>293</v>
      </c>
      <c r="E4219" s="1" t="s">
        <v>30</v>
      </c>
      <c r="F4219">
        <v>18</v>
      </c>
      <c r="G4219" s="1" t="s">
        <v>99</v>
      </c>
      <c r="H4219">
        <v>18063</v>
      </c>
      <c r="I4219">
        <v>22</v>
      </c>
      <c r="J4219">
        <v>22</v>
      </c>
      <c r="K4219">
        <v>26</v>
      </c>
      <c r="L4219">
        <v>1182</v>
      </c>
    </row>
    <row r="4220" spans="1:12" hidden="1" x14ac:dyDescent="0.25">
      <c r="A4220">
        <v>4219</v>
      </c>
      <c r="B4220" s="1" t="s">
        <v>12</v>
      </c>
      <c r="C4220">
        <v>1986</v>
      </c>
      <c r="D4220" s="1" t="s">
        <v>293</v>
      </c>
      <c r="E4220" s="1" t="s">
        <v>30</v>
      </c>
      <c r="F4220">
        <v>18</v>
      </c>
      <c r="G4220" s="1" t="s">
        <v>43</v>
      </c>
      <c r="H4220">
        <v>18070</v>
      </c>
      <c r="I4220">
        <v>5</v>
      </c>
      <c r="J4220">
        <v>5</v>
      </c>
      <c r="K4220">
        <v>7</v>
      </c>
      <c r="L4220">
        <v>1400</v>
      </c>
    </row>
    <row r="4221" spans="1:12" hidden="1" x14ac:dyDescent="0.25">
      <c r="A4221">
        <v>4220</v>
      </c>
      <c r="B4221" s="1" t="s">
        <v>12</v>
      </c>
      <c r="C4221">
        <v>1986</v>
      </c>
      <c r="D4221" s="1" t="s">
        <v>293</v>
      </c>
      <c r="E4221" s="1" t="s">
        <v>30</v>
      </c>
      <c r="F4221">
        <v>18</v>
      </c>
      <c r="G4221" s="1" t="s">
        <v>39</v>
      </c>
      <c r="H4221">
        <v>18084</v>
      </c>
      <c r="I4221">
        <v>21</v>
      </c>
      <c r="J4221">
        <v>21</v>
      </c>
      <c r="K4221">
        <v>27</v>
      </c>
      <c r="L4221">
        <v>1286</v>
      </c>
    </row>
    <row r="4222" spans="1:12" hidden="1" x14ac:dyDescent="0.25">
      <c r="A4222">
        <v>4221</v>
      </c>
      <c r="B4222" s="1" t="s">
        <v>12</v>
      </c>
      <c r="C4222">
        <v>1986</v>
      </c>
      <c r="D4222" s="1" t="s">
        <v>293</v>
      </c>
      <c r="E4222" s="1" t="s">
        <v>30</v>
      </c>
      <c r="F4222">
        <v>18</v>
      </c>
      <c r="G4222" s="1" t="s">
        <v>33</v>
      </c>
      <c r="H4222">
        <v>18091</v>
      </c>
      <c r="I4222">
        <v>5</v>
      </c>
      <c r="J4222">
        <v>5</v>
      </c>
      <c r="K4222">
        <v>7</v>
      </c>
      <c r="L4222">
        <v>1400</v>
      </c>
    </row>
    <row r="4223" spans="1:12" hidden="1" x14ac:dyDescent="0.25">
      <c r="A4223">
        <v>4222</v>
      </c>
      <c r="B4223" s="1" t="s">
        <v>12</v>
      </c>
      <c r="C4223">
        <v>1986</v>
      </c>
      <c r="D4223" s="1" t="s">
        <v>293</v>
      </c>
      <c r="E4223" s="1" t="s">
        <v>30</v>
      </c>
      <c r="F4223">
        <v>18</v>
      </c>
      <c r="G4223" s="1" t="s">
        <v>98</v>
      </c>
      <c r="H4223">
        <v>18098</v>
      </c>
      <c r="I4223">
        <v>6</v>
      </c>
      <c r="J4223">
        <v>6</v>
      </c>
      <c r="K4223">
        <v>7</v>
      </c>
      <c r="L4223">
        <v>1167</v>
      </c>
    </row>
    <row r="4224" spans="1:12" hidden="1" x14ac:dyDescent="0.25">
      <c r="A4224">
        <v>4223</v>
      </c>
      <c r="B4224" s="1" t="s">
        <v>12</v>
      </c>
      <c r="C4224">
        <v>1986</v>
      </c>
      <c r="D4224" s="1" t="s">
        <v>293</v>
      </c>
      <c r="E4224" s="1" t="s">
        <v>30</v>
      </c>
      <c r="F4224">
        <v>18</v>
      </c>
      <c r="G4224" s="1" t="s">
        <v>105</v>
      </c>
      <c r="H4224">
        <v>18105</v>
      </c>
      <c r="I4224">
        <v>2</v>
      </c>
      <c r="J4224">
        <v>2</v>
      </c>
      <c r="K4224">
        <v>3</v>
      </c>
      <c r="L4224">
        <v>1500</v>
      </c>
    </row>
    <row r="4225" spans="1:12" hidden="1" x14ac:dyDescent="0.25">
      <c r="A4225">
        <v>4224</v>
      </c>
      <c r="B4225" s="1" t="s">
        <v>12</v>
      </c>
      <c r="C4225">
        <v>1986</v>
      </c>
      <c r="D4225" s="1" t="s">
        <v>293</v>
      </c>
      <c r="E4225" s="1" t="s">
        <v>30</v>
      </c>
      <c r="F4225">
        <v>18</v>
      </c>
      <c r="G4225" s="1" t="s">
        <v>104</v>
      </c>
      <c r="H4225">
        <v>18119</v>
      </c>
      <c r="I4225">
        <v>5</v>
      </c>
      <c r="J4225">
        <v>5</v>
      </c>
      <c r="K4225">
        <v>7</v>
      </c>
      <c r="L4225">
        <v>1400</v>
      </c>
    </row>
    <row r="4226" spans="1:12" hidden="1" x14ac:dyDescent="0.25">
      <c r="A4226">
        <v>4225</v>
      </c>
      <c r="B4226" s="1" t="s">
        <v>12</v>
      </c>
      <c r="C4226">
        <v>1986</v>
      </c>
      <c r="D4226" s="1" t="s">
        <v>293</v>
      </c>
      <c r="E4226" s="1" t="s">
        <v>30</v>
      </c>
      <c r="F4226">
        <v>18</v>
      </c>
      <c r="G4226" s="1" t="s">
        <v>40</v>
      </c>
      <c r="H4226">
        <v>18126</v>
      </c>
      <c r="I4226">
        <v>6</v>
      </c>
      <c r="J4226">
        <v>6</v>
      </c>
      <c r="K4226">
        <v>8</v>
      </c>
      <c r="L4226">
        <v>1333</v>
      </c>
    </row>
    <row r="4227" spans="1:12" hidden="1" x14ac:dyDescent="0.25">
      <c r="A4227">
        <v>4226</v>
      </c>
      <c r="B4227" s="1" t="s">
        <v>12</v>
      </c>
      <c r="C4227">
        <v>1986</v>
      </c>
      <c r="D4227" s="1" t="s">
        <v>293</v>
      </c>
      <c r="E4227" s="1" t="s">
        <v>30</v>
      </c>
      <c r="F4227">
        <v>18</v>
      </c>
      <c r="G4227" s="1" t="s">
        <v>36</v>
      </c>
      <c r="H4227">
        <v>18133</v>
      </c>
      <c r="I4227">
        <v>10</v>
      </c>
      <c r="J4227">
        <v>10</v>
      </c>
      <c r="K4227">
        <v>13</v>
      </c>
      <c r="L4227">
        <v>1300</v>
      </c>
    </row>
    <row r="4228" spans="1:12" hidden="1" x14ac:dyDescent="0.25">
      <c r="A4228">
        <v>4227</v>
      </c>
      <c r="B4228" s="1" t="s">
        <v>12</v>
      </c>
      <c r="C4228">
        <v>1986</v>
      </c>
      <c r="D4228" s="1" t="s">
        <v>293</v>
      </c>
      <c r="E4228" s="1" t="s">
        <v>30</v>
      </c>
      <c r="F4228">
        <v>18</v>
      </c>
      <c r="G4228" s="1" t="s">
        <v>41</v>
      </c>
      <c r="H4228">
        <v>18140</v>
      </c>
      <c r="I4228">
        <v>21</v>
      </c>
      <c r="J4228">
        <v>21</v>
      </c>
      <c r="K4228">
        <v>30</v>
      </c>
      <c r="L4228">
        <v>1429</v>
      </c>
    </row>
    <row r="4229" spans="1:12" hidden="1" x14ac:dyDescent="0.25">
      <c r="A4229">
        <v>4228</v>
      </c>
      <c r="B4229" s="1" t="s">
        <v>12</v>
      </c>
      <c r="C4229">
        <v>1986</v>
      </c>
      <c r="D4229" s="1" t="s">
        <v>293</v>
      </c>
      <c r="E4229" s="1" t="s">
        <v>30</v>
      </c>
      <c r="F4229">
        <v>18</v>
      </c>
      <c r="G4229" s="1" t="s">
        <v>37</v>
      </c>
      <c r="H4229">
        <v>18147</v>
      </c>
      <c r="I4229">
        <v>9</v>
      </c>
      <c r="J4229">
        <v>9</v>
      </c>
      <c r="K4229">
        <v>13</v>
      </c>
      <c r="L4229">
        <v>1444</v>
      </c>
    </row>
    <row r="4230" spans="1:12" hidden="1" x14ac:dyDescent="0.25">
      <c r="A4230">
        <v>4229</v>
      </c>
      <c r="B4230" s="1" t="s">
        <v>12</v>
      </c>
      <c r="C4230">
        <v>1986</v>
      </c>
      <c r="D4230" s="1" t="s">
        <v>293</v>
      </c>
      <c r="E4230" s="1" t="s">
        <v>30</v>
      </c>
      <c r="F4230">
        <v>18</v>
      </c>
      <c r="G4230" s="1" t="s">
        <v>101</v>
      </c>
      <c r="H4230">
        <v>18161</v>
      </c>
      <c r="I4230">
        <v>11</v>
      </c>
      <c r="J4230">
        <v>11</v>
      </c>
      <c r="K4230">
        <v>14</v>
      </c>
      <c r="L4230">
        <v>1273</v>
      </c>
    </row>
    <row r="4231" spans="1:12" hidden="1" x14ac:dyDescent="0.25">
      <c r="A4231">
        <v>4230</v>
      </c>
      <c r="B4231" s="1" t="s">
        <v>12</v>
      </c>
      <c r="C4231">
        <v>1986</v>
      </c>
      <c r="D4231" s="1" t="s">
        <v>293</v>
      </c>
      <c r="E4231" s="1" t="s">
        <v>30</v>
      </c>
      <c r="F4231">
        <v>18</v>
      </c>
      <c r="G4231" s="1" t="s">
        <v>44</v>
      </c>
      <c r="H4231">
        <v>18168</v>
      </c>
      <c r="I4231">
        <v>10</v>
      </c>
      <c r="J4231">
        <v>10</v>
      </c>
      <c r="K4231">
        <v>16</v>
      </c>
      <c r="L4231">
        <v>1600</v>
      </c>
    </row>
    <row r="4232" spans="1:12" hidden="1" x14ac:dyDescent="0.25">
      <c r="A4232">
        <v>4231</v>
      </c>
      <c r="B4232" s="1" t="s">
        <v>12</v>
      </c>
      <c r="C4232">
        <v>1986</v>
      </c>
      <c r="D4232" s="1" t="s">
        <v>293</v>
      </c>
      <c r="E4232" s="1" t="s">
        <v>48</v>
      </c>
      <c r="F4232">
        <v>34</v>
      </c>
      <c r="G4232" s="1" t="s">
        <v>50</v>
      </c>
      <c r="H4232">
        <v>34021</v>
      </c>
      <c r="I4232">
        <v>4</v>
      </c>
      <c r="J4232">
        <v>4</v>
      </c>
      <c r="K4232">
        <v>5</v>
      </c>
      <c r="L4232">
        <v>1250</v>
      </c>
    </row>
    <row r="4233" spans="1:12" hidden="1" x14ac:dyDescent="0.25">
      <c r="A4233">
        <v>4232</v>
      </c>
      <c r="B4233" s="1" t="s">
        <v>12</v>
      </c>
      <c r="C4233">
        <v>1986</v>
      </c>
      <c r="D4233" s="1" t="s">
        <v>293</v>
      </c>
      <c r="E4233" s="1" t="s">
        <v>48</v>
      </c>
      <c r="F4233">
        <v>34</v>
      </c>
      <c r="G4233" s="1" t="s">
        <v>52</v>
      </c>
      <c r="H4233">
        <v>34035</v>
      </c>
      <c r="I4233">
        <v>2</v>
      </c>
      <c r="J4233">
        <v>2</v>
      </c>
      <c r="K4233">
        <v>3</v>
      </c>
      <c r="L4233">
        <v>1500</v>
      </c>
    </row>
    <row r="4234" spans="1:12" hidden="1" x14ac:dyDescent="0.25">
      <c r="A4234">
        <v>4233</v>
      </c>
      <c r="B4234" s="1" t="s">
        <v>12</v>
      </c>
      <c r="C4234">
        <v>1986</v>
      </c>
      <c r="D4234" s="1" t="s">
        <v>293</v>
      </c>
      <c r="E4234" s="1" t="s">
        <v>48</v>
      </c>
      <c r="F4234">
        <v>34</v>
      </c>
      <c r="G4234" s="1" t="s">
        <v>49</v>
      </c>
      <c r="H4234">
        <v>34049</v>
      </c>
      <c r="I4234">
        <v>4</v>
      </c>
      <c r="J4234">
        <v>4</v>
      </c>
      <c r="K4234">
        <v>4</v>
      </c>
      <c r="L4234">
        <v>1000</v>
      </c>
    </row>
    <row r="4235" spans="1:12" hidden="1" x14ac:dyDescent="0.25">
      <c r="A4235">
        <v>4234</v>
      </c>
      <c r="B4235" s="1" t="s">
        <v>12</v>
      </c>
      <c r="C4235">
        <v>1986</v>
      </c>
      <c r="D4235" s="1" t="s">
        <v>293</v>
      </c>
      <c r="E4235" s="1" t="s">
        <v>48</v>
      </c>
      <c r="F4235">
        <v>34</v>
      </c>
      <c r="G4235" s="1" t="s">
        <v>51</v>
      </c>
      <c r="H4235">
        <v>34056</v>
      </c>
      <c r="I4235">
        <v>2</v>
      </c>
      <c r="J4235">
        <v>2</v>
      </c>
      <c r="K4235">
        <v>3</v>
      </c>
      <c r="L4235">
        <v>1500</v>
      </c>
    </row>
    <row r="4236" spans="1:12" hidden="1" x14ac:dyDescent="0.25">
      <c r="A4236">
        <v>4235</v>
      </c>
      <c r="B4236" s="1" t="s">
        <v>12</v>
      </c>
      <c r="C4236">
        <v>1986</v>
      </c>
      <c r="D4236" s="1" t="s">
        <v>293</v>
      </c>
      <c r="E4236" s="1" t="s">
        <v>58</v>
      </c>
      <c r="F4236">
        <v>54</v>
      </c>
      <c r="G4236" s="1" t="s">
        <v>234</v>
      </c>
      <c r="H4236">
        <v>54119</v>
      </c>
      <c r="I4236">
        <v>21</v>
      </c>
      <c r="J4236">
        <v>21</v>
      </c>
      <c r="K4236">
        <v>25</v>
      </c>
      <c r="L4236">
        <v>1190</v>
      </c>
    </row>
    <row r="4237" spans="1:12" hidden="1" x14ac:dyDescent="0.25">
      <c r="A4237">
        <v>4236</v>
      </c>
      <c r="B4237" s="1" t="s">
        <v>12</v>
      </c>
      <c r="C4237">
        <v>1986</v>
      </c>
      <c r="D4237" s="1" t="s">
        <v>293</v>
      </c>
      <c r="E4237" s="1" t="s">
        <v>58</v>
      </c>
      <c r="F4237">
        <v>54</v>
      </c>
      <c r="G4237" s="1" t="s">
        <v>59</v>
      </c>
      <c r="H4237">
        <v>54007</v>
      </c>
      <c r="I4237">
        <v>21</v>
      </c>
      <c r="J4237">
        <v>21</v>
      </c>
      <c r="K4237">
        <v>21</v>
      </c>
      <c r="L4237">
        <v>1000</v>
      </c>
    </row>
    <row r="4238" spans="1:12" hidden="1" x14ac:dyDescent="0.25">
      <c r="A4238">
        <v>4237</v>
      </c>
      <c r="B4238" s="1" t="s">
        <v>12</v>
      </c>
      <c r="C4238">
        <v>1986</v>
      </c>
      <c r="D4238" s="1" t="s">
        <v>293</v>
      </c>
      <c r="E4238" s="1" t="s">
        <v>58</v>
      </c>
      <c r="F4238">
        <v>54</v>
      </c>
      <c r="G4238" s="1" t="s">
        <v>150</v>
      </c>
      <c r="H4238">
        <v>54014</v>
      </c>
      <c r="I4238">
        <v>30</v>
      </c>
      <c r="J4238">
        <v>30</v>
      </c>
      <c r="K4238">
        <v>36</v>
      </c>
      <c r="L4238">
        <v>1200</v>
      </c>
    </row>
    <row r="4239" spans="1:12" hidden="1" x14ac:dyDescent="0.25">
      <c r="A4239">
        <v>4238</v>
      </c>
      <c r="B4239" s="1" t="s">
        <v>12</v>
      </c>
      <c r="C4239">
        <v>1986</v>
      </c>
      <c r="D4239" s="1" t="s">
        <v>293</v>
      </c>
      <c r="E4239" s="1" t="s">
        <v>58</v>
      </c>
      <c r="F4239">
        <v>54</v>
      </c>
      <c r="G4239" s="1" t="s">
        <v>60</v>
      </c>
      <c r="H4239">
        <v>54021</v>
      </c>
      <c r="I4239">
        <v>15</v>
      </c>
      <c r="J4239">
        <v>15</v>
      </c>
      <c r="K4239">
        <v>20</v>
      </c>
      <c r="L4239">
        <v>1333</v>
      </c>
    </row>
    <row r="4240" spans="1:12" hidden="1" x14ac:dyDescent="0.25">
      <c r="A4240">
        <v>4239</v>
      </c>
      <c r="B4240" s="1" t="s">
        <v>12</v>
      </c>
      <c r="C4240">
        <v>1986</v>
      </c>
      <c r="D4240" s="1" t="s">
        <v>293</v>
      </c>
      <c r="E4240" s="1" t="s">
        <v>58</v>
      </c>
      <c r="F4240">
        <v>54</v>
      </c>
      <c r="G4240" s="1" t="s">
        <v>28</v>
      </c>
      <c r="H4240">
        <v>54028</v>
      </c>
      <c r="I4240">
        <v>8</v>
      </c>
      <c r="J4240">
        <v>8</v>
      </c>
      <c r="K4240">
        <v>8</v>
      </c>
      <c r="L4240">
        <v>1000</v>
      </c>
    </row>
    <row r="4241" spans="1:12" hidden="1" x14ac:dyDescent="0.25">
      <c r="A4241">
        <v>4240</v>
      </c>
      <c r="B4241" s="1" t="s">
        <v>12</v>
      </c>
      <c r="C4241">
        <v>1986</v>
      </c>
      <c r="D4241" s="1" t="s">
        <v>293</v>
      </c>
      <c r="E4241" s="1" t="s">
        <v>58</v>
      </c>
      <c r="F4241">
        <v>54</v>
      </c>
      <c r="G4241" s="1" t="s">
        <v>258</v>
      </c>
      <c r="H4241">
        <v>54049</v>
      </c>
      <c r="I4241">
        <v>20</v>
      </c>
      <c r="J4241">
        <v>20</v>
      </c>
      <c r="K4241">
        <v>25</v>
      </c>
      <c r="L4241">
        <v>1250</v>
      </c>
    </row>
    <row r="4242" spans="1:12" hidden="1" x14ac:dyDescent="0.25">
      <c r="A4242">
        <v>4241</v>
      </c>
      <c r="B4242" s="1" t="s">
        <v>12</v>
      </c>
      <c r="C4242">
        <v>1986</v>
      </c>
      <c r="D4242" s="1" t="s">
        <v>293</v>
      </c>
      <c r="E4242" s="1" t="s">
        <v>58</v>
      </c>
      <c r="F4242">
        <v>54</v>
      </c>
      <c r="G4242" s="1" t="s">
        <v>151</v>
      </c>
      <c r="H4242">
        <v>54056</v>
      </c>
      <c r="I4242">
        <v>20</v>
      </c>
      <c r="J4242">
        <v>20</v>
      </c>
      <c r="K4242">
        <v>20</v>
      </c>
      <c r="L4242">
        <v>1000</v>
      </c>
    </row>
    <row r="4243" spans="1:12" hidden="1" x14ac:dyDescent="0.25">
      <c r="A4243">
        <v>4242</v>
      </c>
      <c r="B4243" s="1" t="s">
        <v>12</v>
      </c>
      <c r="C4243">
        <v>1986</v>
      </c>
      <c r="D4243" s="1" t="s">
        <v>293</v>
      </c>
      <c r="E4243" s="1" t="s">
        <v>58</v>
      </c>
      <c r="F4243">
        <v>54</v>
      </c>
      <c r="G4243" s="1" t="s">
        <v>243</v>
      </c>
      <c r="H4243">
        <v>54070</v>
      </c>
      <c r="I4243">
        <v>20</v>
      </c>
      <c r="J4243">
        <v>20</v>
      </c>
      <c r="K4243">
        <v>20</v>
      </c>
      <c r="L4243">
        <v>1000</v>
      </c>
    </row>
    <row r="4244" spans="1:12" hidden="1" x14ac:dyDescent="0.25">
      <c r="A4244">
        <v>4243</v>
      </c>
      <c r="B4244" s="1" t="s">
        <v>12</v>
      </c>
      <c r="C4244">
        <v>1986</v>
      </c>
      <c r="D4244" s="1" t="s">
        <v>293</v>
      </c>
      <c r="E4244" s="1" t="s">
        <v>58</v>
      </c>
      <c r="F4244">
        <v>54</v>
      </c>
      <c r="G4244" s="1" t="s">
        <v>244</v>
      </c>
      <c r="H4244">
        <v>54084</v>
      </c>
      <c r="I4244">
        <v>5</v>
      </c>
      <c r="J4244">
        <v>5</v>
      </c>
      <c r="K4244">
        <v>7</v>
      </c>
      <c r="L4244">
        <v>1400</v>
      </c>
    </row>
    <row r="4245" spans="1:12" hidden="1" x14ac:dyDescent="0.25">
      <c r="A4245">
        <v>4244</v>
      </c>
      <c r="B4245" s="1" t="s">
        <v>12</v>
      </c>
      <c r="C4245">
        <v>1986</v>
      </c>
      <c r="D4245" s="1" t="s">
        <v>293</v>
      </c>
      <c r="E4245" s="1" t="s">
        <v>58</v>
      </c>
      <c r="F4245">
        <v>54</v>
      </c>
      <c r="G4245" s="1" t="s">
        <v>242</v>
      </c>
      <c r="H4245">
        <v>54091</v>
      </c>
      <c r="I4245">
        <v>20</v>
      </c>
      <c r="J4245">
        <v>20</v>
      </c>
      <c r="K4245">
        <v>30</v>
      </c>
      <c r="L4245">
        <v>1500</v>
      </c>
    </row>
    <row r="4246" spans="1:12" hidden="1" x14ac:dyDescent="0.25">
      <c r="A4246">
        <v>4245</v>
      </c>
      <c r="B4246" s="1" t="s">
        <v>12</v>
      </c>
      <c r="C4246">
        <v>1986</v>
      </c>
      <c r="D4246" s="1" t="s">
        <v>293</v>
      </c>
      <c r="E4246" s="1" t="s">
        <v>58</v>
      </c>
      <c r="F4246">
        <v>54</v>
      </c>
      <c r="G4246" s="1" t="s">
        <v>61</v>
      </c>
      <c r="H4246">
        <v>54098</v>
      </c>
      <c r="I4246">
        <v>2</v>
      </c>
      <c r="J4246">
        <v>2</v>
      </c>
      <c r="K4246">
        <v>3</v>
      </c>
      <c r="L4246">
        <v>1500</v>
      </c>
    </row>
    <row r="4247" spans="1:12" hidden="1" x14ac:dyDescent="0.25">
      <c r="A4247">
        <v>4246</v>
      </c>
      <c r="B4247" s="1" t="s">
        <v>12</v>
      </c>
      <c r="C4247">
        <v>1986</v>
      </c>
      <c r="D4247" s="1" t="s">
        <v>293</v>
      </c>
      <c r="E4247" s="1" t="s">
        <v>58</v>
      </c>
      <c r="F4247">
        <v>54</v>
      </c>
      <c r="G4247" s="1" t="s">
        <v>62</v>
      </c>
      <c r="H4247">
        <v>54105</v>
      </c>
      <c r="I4247">
        <v>20</v>
      </c>
      <c r="J4247">
        <v>20</v>
      </c>
      <c r="K4247">
        <v>22</v>
      </c>
      <c r="L4247">
        <v>1100</v>
      </c>
    </row>
    <row r="4248" spans="1:12" x14ac:dyDescent="0.25">
      <c r="A4248">
        <v>4247</v>
      </c>
      <c r="B4248" s="1" t="s">
        <v>12</v>
      </c>
      <c r="C4248">
        <v>1986</v>
      </c>
      <c r="D4248" s="1" t="s">
        <v>293</v>
      </c>
      <c r="E4248" s="1" t="s">
        <v>58</v>
      </c>
      <c r="F4248">
        <v>54</v>
      </c>
      <c r="G4248" s="1" t="s">
        <v>56</v>
      </c>
      <c r="H4248">
        <v>54112</v>
      </c>
      <c r="I4248">
        <v>8</v>
      </c>
      <c r="J4248">
        <v>8</v>
      </c>
      <c r="K4248">
        <v>8</v>
      </c>
      <c r="L4248">
        <v>1000</v>
      </c>
    </row>
    <row r="4249" spans="1:12" hidden="1" x14ac:dyDescent="0.25">
      <c r="A4249">
        <v>4248</v>
      </c>
      <c r="B4249" s="1" t="s">
        <v>12</v>
      </c>
      <c r="C4249">
        <v>1987</v>
      </c>
      <c r="D4249" s="1" t="s">
        <v>294</v>
      </c>
      <c r="E4249" s="1" t="s">
        <v>22</v>
      </c>
      <c r="F4249">
        <v>14</v>
      </c>
      <c r="G4249" s="1" t="s">
        <v>97</v>
      </c>
      <c r="H4249">
        <v>14007</v>
      </c>
      <c r="I4249">
        <v>200</v>
      </c>
      <c r="J4249">
        <v>200</v>
      </c>
      <c r="K4249">
        <v>280</v>
      </c>
      <c r="L4249">
        <v>1400</v>
      </c>
    </row>
    <row r="4250" spans="1:12" hidden="1" x14ac:dyDescent="0.25">
      <c r="A4250">
        <v>4249</v>
      </c>
      <c r="B4250" s="1" t="s">
        <v>12</v>
      </c>
      <c r="C4250">
        <v>1987</v>
      </c>
      <c r="D4250" s="1" t="s">
        <v>294</v>
      </c>
      <c r="E4250" s="1" t="s">
        <v>22</v>
      </c>
      <c r="F4250">
        <v>14</v>
      </c>
      <c r="G4250" s="1" t="s">
        <v>184</v>
      </c>
      <c r="H4250">
        <v>14042</v>
      </c>
      <c r="I4250">
        <v>24000</v>
      </c>
      <c r="J4250">
        <v>24000</v>
      </c>
      <c r="K4250">
        <v>33750</v>
      </c>
      <c r="L4250">
        <v>1406</v>
      </c>
    </row>
    <row r="4251" spans="1:12" hidden="1" x14ac:dyDescent="0.25">
      <c r="A4251">
        <v>4250</v>
      </c>
      <c r="B4251" s="1" t="s">
        <v>12</v>
      </c>
      <c r="C4251">
        <v>1987</v>
      </c>
      <c r="D4251" s="1" t="s">
        <v>294</v>
      </c>
      <c r="E4251" s="1" t="s">
        <v>22</v>
      </c>
      <c r="F4251">
        <v>14</v>
      </c>
      <c r="G4251" s="1" t="s">
        <v>143</v>
      </c>
      <c r="H4251">
        <v>14056</v>
      </c>
      <c r="I4251">
        <v>50000</v>
      </c>
      <c r="J4251">
        <v>50000</v>
      </c>
      <c r="K4251">
        <v>72830</v>
      </c>
      <c r="L4251">
        <v>1457</v>
      </c>
    </row>
    <row r="4252" spans="1:12" hidden="1" x14ac:dyDescent="0.25">
      <c r="A4252">
        <v>4251</v>
      </c>
      <c r="B4252" s="1" t="s">
        <v>12</v>
      </c>
      <c r="C4252">
        <v>1987</v>
      </c>
      <c r="D4252" s="1" t="s">
        <v>294</v>
      </c>
      <c r="E4252" s="1" t="s">
        <v>22</v>
      </c>
      <c r="F4252">
        <v>14</v>
      </c>
      <c r="G4252" s="1" t="s">
        <v>29</v>
      </c>
      <c r="H4252">
        <v>14098</v>
      </c>
      <c r="I4252">
        <v>18000</v>
      </c>
      <c r="J4252">
        <v>18000</v>
      </c>
      <c r="K4252">
        <v>25200</v>
      </c>
      <c r="L4252">
        <v>1400</v>
      </c>
    </row>
    <row r="4253" spans="1:12" hidden="1" x14ac:dyDescent="0.25">
      <c r="A4253">
        <v>4252</v>
      </c>
      <c r="B4253" s="1" t="s">
        <v>12</v>
      </c>
      <c r="C4253">
        <v>1987</v>
      </c>
      <c r="D4253" s="1" t="s">
        <v>294</v>
      </c>
      <c r="E4253" s="1" t="s">
        <v>22</v>
      </c>
      <c r="F4253">
        <v>14</v>
      </c>
      <c r="G4253" s="1" t="s">
        <v>25</v>
      </c>
      <c r="H4253">
        <v>14105</v>
      </c>
      <c r="I4253">
        <v>2400</v>
      </c>
      <c r="J4253">
        <v>2400</v>
      </c>
      <c r="K4253">
        <v>3360</v>
      </c>
      <c r="L4253">
        <v>1400</v>
      </c>
    </row>
    <row r="4254" spans="1:12" hidden="1" x14ac:dyDescent="0.25">
      <c r="A4254">
        <v>4253</v>
      </c>
      <c r="B4254" s="1" t="s">
        <v>12</v>
      </c>
      <c r="C4254">
        <v>1987</v>
      </c>
      <c r="D4254" s="1" t="s">
        <v>294</v>
      </c>
      <c r="E4254" s="1" t="s">
        <v>22</v>
      </c>
      <c r="F4254">
        <v>14</v>
      </c>
      <c r="G4254" s="1" t="s">
        <v>24</v>
      </c>
      <c r="H4254">
        <v>14119</v>
      </c>
      <c r="I4254">
        <v>37000</v>
      </c>
      <c r="J4254">
        <v>37000</v>
      </c>
      <c r="K4254">
        <v>54750</v>
      </c>
      <c r="L4254">
        <v>1480</v>
      </c>
    </row>
    <row r="4255" spans="1:12" hidden="1" x14ac:dyDescent="0.25">
      <c r="A4255">
        <v>4254</v>
      </c>
      <c r="B4255" s="1" t="s">
        <v>12</v>
      </c>
      <c r="C4255">
        <v>1987</v>
      </c>
      <c r="D4255" s="1" t="s">
        <v>294</v>
      </c>
      <c r="E4255" s="1" t="s">
        <v>22</v>
      </c>
      <c r="F4255">
        <v>14</v>
      </c>
      <c r="G4255" s="1" t="s">
        <v>23</v>
      </c>
      <c r="H4255">
        <v>14147</v>
      </c>
      <c r="I4255">
        <v>900</v>
      </c>
      <c r="J4255">
        <v>900</v>
      </c>
      <c r="K4255">
        <v>1400</v>
      </c>
      <c r="L4255">
        <v>1556</v>
      </c>
    </row>
    <row r="4256" spans="1:12" hidden="1" x14ac:dyDescent="0.25">
      <c r="A4256">
        <v>4255</v>
      </c>
      <c r="B4256" s="1" t="s">
        <v>12</v>
      </c>
      <c r="C4256">
        <v>1987</v>
      </c>
      <c r="D4256" s="1" t="s">
        <v>294</v>
      </c>
      <c r="E4256" s="1" t="s">
        <v>22</v>
      </c>
      <c r="F4256">
        <v>14</v>
      </c>
      <c r="G4256" s="1" t="s">
        <v>26</v>
      </c>
      <c r="H4256">
        <v>14161</v>
      </c>
      <c r="I4256">
        <v>59500</v>
      </c>
      <c r="J4256">
        <v>59500</v>
      </c>
      <c r="K4256">
        <v>81000</v>
      </c>
      <c r="L4256">
        <v>1361</v>
      </c>
    </row>
    <row r="4257" spans="1:12" hidden="1" x14ac:dyDescent="0.25">
      <c r="A4257">
        <v>4256</v>
      </c>
      <c r="B4257" s="1" t="s">
        <v>12</v>
      </c>
      <c r="C4257">
        <v>1987</v>
      </c>
      <c r="D4257" s="1" t="s">
        <v>294</v>
      </c>
      <c r="E4257" s="1" t="s">
        <v>22</v>
      </c>
      <c r="F4257">
        <v>14</v>
      </c>
      <c r="G4257" s="1" t="s">
        <v>122</v>
      </c>
      <c r="H4257">
        <v>14182</v>
      </c>
      <c r="I4257">
        <v>1000</v>
      </c>
      <c r="J4257">
        <v>1000</v>
      </c>
      <c r="K4257">
        <v>1260</v>
      </c>
      <c r="L4257">
        <v>1260</v>
      </c>
    </row>
    <row r="4258" spans="1:12" hidden="1" x14ac:dyDescent="0.25">
      <c r="A4258">
        <v>4257</v>
      </c>
      <c r="B4258" s="1" t="s">
        <v>12</v>
      </c>
      <c r="C4258">
        <v>1987</v>
      </c>
      <c r="D4258" s="1" t="s">
        <v>294</v>
      </c>
      <c r="E4258" s="1" t="s">
        <v>30</v>
      </c>
      <c r="F4258">
        <v>18</v>
      </c>
      <c r="G4258" s="1" t="s">
        <v>38</v>
      </c>
      <c r="H4258">
        <v>18007</v>
      </c>
      <c r="I4258">
        <v>40</v>
      </c>
      <c r="J4258">
        <v>37</v>
      </c>
      <c r="K4258">
        <v>50</v>
      </c>
      <c r="L4258">
        <v>1351</v>
      </c>
    </row>
    <row r="4259" spans="1:12" hidden="1" x14ac:dyDescent="0.25">
      <c r="A4259">
        <v>4258</v>
      </c>
      <c r="B4259" s="1" t="s">
        <v>12</v>
      </c>
      <c r="C4259">
        <v>1987</v>
      </c>
      <c r="D4259" s="1" t="s">
        <v>294</v>
      </c>
      <c r="E4259" s="1" t="s">
        <v>30</v>
      </c>
      <c r="F4259">
        <v>18</v>
      </c>
      <c r="G4259" s="1" t="s">
        <v>99</v>
      </c>
      <c r="H4259">
        <v>18063</v>
      </c>
      <c r="I4259">
        <v>10</v>
      </c>
      <c r="J4259">
        <v>10</v>
      </c>
      <c r="K4259">
        <v>11</v>
      </c>
      <c r="L4259">
        <v>1100</v>
      </c>
    </row>
    <row r="4260" spans="1:12" hidden="1" x14ac:dyDescent="0.25">
      <c r="A4260">
        <v>4259</v>
      </c>
      <c r="B4260" s="1" t="s">
        <v>12</v>
      </c>
      <c r="C4260">
        <v>1987</v>
      </c>
      <c r="D4260" s="1" t="s">
        <v>294</v>
      </c>
      <c r="E4260" s="1" t="s">
        <v>30</v>
      </c>
      <c r="F4260">
        <v>18</v>
      </c>
      <c r="G4260" s="1" t="s">
        <v>39</v>
      </c>
      <c r="H4260">
        <v>18084</v>
      </c>
      <c r="I4260">
        <v>14</v>
      </c>
      <c r="J4260">
        <v>14</v>
      </c>
      <c r="K4260">
        <v>15</v>
      </c>
      <c r="L4260">
        <v>1071</v>
      </c>
    </row>
    <row r="4261" spans="1:12" hidden="1" x14ac:dyDescent="0.25">
      <c r="A4261">
        <v>4260</v>
      </c>
      <c r="B4261" s="1" t="s">
        <v>12</v>
      </c>
      <c r="C4261">
        <v>1987</v>
      </c>
      <c r="D4261" s="1" t="s">
        <v>294</v>
      </c>
      <c r="E4261" s="1" t="s">
        <v>30</v>
      </c>
      <c r="F4261">
        <v>18</v>
      </c>
      <c r="G4261" s="1" t="s">
        <v>33</v>
      </c>
      <c r="H4261">
        <v>18091</v>
      </c>
      <c r="I4261">
        <v>5</v>
      </c>
      <c r="J4261">
        <v>5</v>
      </c>
      <c r="K4261">
        <v>6</v>
      </c>
      <c r="L4261">
        <v>1200</v>
      </c>
    </row>
    <row r="4262" spans="1:12" hidden="1" x14ac:dyDescent="0.25">
      <c r="A4262">
        <v>4261</v>
      </c>
      <c r="B4262" s="1" t="s">
        <v>12</v>
      </c>
      <c r="C4262">
        <v>1987</v>
      </c>
      <c r="D4262" s="1" t="s">
        <v>294</v>
      </c>
      <c r="E4262" s="1" t="s">
        <v>30</v>
      </c>
      <c r="F4262">
        <v>18</v>
      </c>
      <c r="G4262" s="1" t="s">
        <v>36</v>
      </c>
      <c r="H4262">
        <v>18133</v>
      </c>
      <c r="I4262">
        <v>6</v>
      </c>
      <c r="J4262">
        <v>6</v>
      </c>
      <c r="K4262">
        <v>7</v>
      </c>
      <c r="L4262">
        <v>1167</v>
      </c>
    </row>
    <row r="4263" spans="1:12" hidden="1" x14ac:dyDescent="0.25">
      <c r="A4263">
        <v>4262</v>
      </c>
      <c r="B4263" s="1" t="s">
        <v>12</v>
      </c>
      <c r="C4263">
        <v>1987</v>
      </c>
      <c r="D4263" s="1" t="s">
        <v>294</v>
      </c>
      <c r="E4263" s="1" t="s">
        <v>30</v>
      </c>
      <c r="F4263">
        <v>18</v>
      </c>
      <c r="G4263" s="1" t="s">
        <v>41</v>
      </c>
      <c r="H4263">
        <v>18140</v>
      </c>
      <c r="I4263">
        <v>13</v>
      </c>
      <c r="J4263">
        <v>13</v>
      </c>
      <c r="K4263">
        <v>10</v>
      </c>
      <c r="L4263">
        <v>769</v>
      </c>
    </row>
    <row r="4264" spans="1:12" hidden="1" x14ac:dyDescent="0.25">
      <c r="A4264">
        <v>4263</v>
      </c>
      <c r="B4264" s="1" t="s">
        <v>12</v>
      </c>
      <c r="C4264">
        <v>1987</v>
      </c>
      <c r="D4264" s="1" t="s">
        <v>294</v>
      </c>
      <c r="E4264" s="1" t="s">
        <v>30</v>
      </c>
      <c r="F4264">
        <v>18</v>
      </c>
      <c r="G4264" s="1" t="s">
        <v>37</v>
      </c>
      <c r="H4264">
        <v>18147</v>
      </c>
      <c r="I4264">
        <v>2</v>
      </c>
      <c r="J4264">
        <v>2</v>
      </c>
      <c r="K4264">
        <v>2</v>
      </c>
      <c r="L4264">
        <v>1000</v>
      </c>
    </row>
    <row r="4265" spans="1:12" hidden="1" x14ac:dyDescent="0.25">
      <c r="A4265">
        <v>4264</v>
      </c>
      <c r="B4265" s="1" t="s">
        <v>12</v>
      </c>
      <c r="C4265">
        <v>1987</v>
      </c>
      <c r="D4265" s="1" t="s">
        <v>294</v>
      </c>
      <c r="E4265" s="1" t="s">
        <v>48</v>
      </c>
      <c r="F4265">
        <v>34</v>
      </c>
      <c r="G4265" s="1" t="s">
        <v>50</v>
      </c>
      <c r="H4265">
        <v>34021</v>
      </c>
      <c r="I4265">
        <v>5</v>
      </c>
      <c r="J4265">
        <v>5</v>
      </c>
      <c r="K4265">
        <v>6</v>
      </c>
      <c r="L4265">
        <v>1200</v>
      </c>
    </row>
    <row r="4266" spans="1:12" hidden="1" x14ac:dyDescent="0.25">
      <c r="A4266">
        <v>4265</v>
      </c>
      <c r="B4266" s="1" t="s">
        <v>12</v>
      </c>
      <c r="C4266">
        <v>1987</v>
      </c>
      <c r="D4266" s="1" t="s">
        <v>294</v>
      </c>
      <c r="E4266" s="1" t="s">
        <v>48</v>
      </c>
      <c r="F4266">
        <v>34</v>
      </c>
      <c r="G4266" s="1" t="s">
        <v>52</v>
      </c>
      <c r="H4266">
        <v>34035</v>
      </c>
      <c r="I4266">
        <v>6</v>
      </c>
      <c r="J4266">
        <v>6</v>
      </c>
      <c r="K4266">
        <v>7</v>
      </c>
      <c r="L4266">
        <v>1167</v>
      </c>
    </row>
    <row r="4267" spans="1:12" hidden="1" x14ac:dyDescent="0.25">
      <c r="A4267">
        <v>4266</v>
      </c>
      <c r="B4267" s="1" t="s">
        <v>12</v>
      </c>
      <c r="C4267">
        <v>1987</v>
      </c>
      <c r="D4267" s="1" t="s">
        <v>294</v>
      </c>
      <c r="E4267" s="1" t="s">
        <v>48</v>
      </c>
      <c r="F4267">
        <v>34</v>
      </c>
      <c r="G4267" s="1" t="s">
        <v>49</v>
      </c>
      <c r="H4267">
        <v>34049</v>
      </c>
      <c r="I4267">
        <v>9</v>
      </c>
      <c r="J4267">
        <v>9</v>
      </c>
      <c r="K4267">
        <v>12</v>
      </c>
      <c r="L4267">
        <v>1333</v>
      </c>
    </row>
    <row r="4268" spans="1:12" hidden="1" x14ac:dyDescent="0.25">
      <c r="A4268">
        <v>4267</v>
      </c>
      <c r="B4268" s="1" t="s">
        <v>12</v>
      </c>
      <c r="C4268">
        <v>1987</v>
      </c>
      <c r="D4268" s="1" t="s">
        <v>294</v>
      </c>
      <c r="E4268" s="1" t="s">
        <v>58</v>
      </c>
      <c r="F4268">
        <v>54</v>
      </c>
      <c r="G4268" s="1" t="s">
        <v>234</v>
      </c>
      <c r="H4268">
        <v>54119</v>
      </c>
      <c r="I4268">
        <v>25</v>
      </c>
      <c r="J4268">
        <v>21</v>
      </c>
      <c r="K4268">
        <v>15</v>
      </c>
      <c r="L4268">
        <v>714</v>
      </c>
    </row>
    <row r="4269" spans="1:12" hidden="1" x14ac:dyDescent="0.25">
      <c r="A4269">
        <v>4268</v>
      </c>
      <c r="B4269" s="1" t="s">
        <v>12</v>
      </c>
      <c r="C4269">
        <v>1987</v>
      </c>
      <c r="D4269" s="1" t="s">
        <v>294</v>
      </c>
      <c r="E4269" s="1" t="s">
        <v>58</v>
      </c>
      <c r="F4269">
        <v>54</v>
      </c>
      <c r="G4269" s="1" t="s">
        <v>59</v>
      </c>
      <c r="H4269">
        <v>54007</v>
      </c>
      <c r="I4269">
        <v>25</v>
      </c>
      <c r="J4269">
        <v>20</v>
      </c>
      <c r="K4269">
        <v>12</v>
      </c>
      <c r="L4269">
        <v>600</v>
      </c>
    </row>
    <row r="4270" spans="1:12" hidden="1" x14ac:dyDescent="0.25">
      <c r="A4270">
        <v>4269</v>
      </c>
      <c r="B4270" s="1" t="s">
        <v>12</v>
      </c>
      <c r="C4270">
        <v>1987</v>
      </c>
      <c r="D4270" s="1" t="s">
        <v>294</v>
      </c>
      <c r="E4270" s="1" t="s">
        <v>58</v>
      </c>
      <c r="F4270">
        <v>54</v>
      </c>
      <c r="G4270" s="1" t="s">
        <v>150</v>
      </c>
      <c r="H4270">
        <v>54014</v>
      </c>
      <c r="I4270">
        <v>29</v>
      </c>
      <c r="J4270">
        <v>23</v>
      </c>
      <c r="K4270">
        <v>14</v>
      </c>
      <c r="L4270">
        <v>609</v>
      </c>
    </row>
    <row r="4271" spans="1:12" hidden="1" x14ac:dyDescent="0.25">
      <c r="A4271">
        <v>4270</v>
      </c>
      <c r="B4271" s="1" t="s">
        <v>12</v>
      </c>
      <c r="C4271">
        <v>1987</v>
      </c>
      <c r="D4271" s="1" t="s">
        <v>294</v>
      </c>
      <c r="E4271" s="1" t="s">
        <v>58</v>
      </c>
      <c r="F4271">
        <v>54</v>
      </c>
      <c r="G4271" s="1" t="s">
        <v>60</v>
      </c>
      <c r="H4271">
        <v>54021</v>
      </c>
      <c r="I4271">
        <v>15</v>
      </c>
      <c r="J4271">
        <v>12</v>
      </c>
      <c r="K4271">
        <v>6</v>
      </c>
      <c r="L4271">
        <v>500</v>
      </c>
    </row>
    <row r="4272" spans="1:12" hidden="1" x14ac:dyDescent="0.25">
      <c r="A4272">
        <v>4271</v>
      </c>
      <c r="B4272" s="1" t="s">
        <v>12</v>
      </c>
      <c r="C4272">
        <v>1987</v>
      </c>
      <c r="D4272" s="1" t="s">
        <v>294</v>
      </c>
      <c r="E4272" s="1" t="s">
        <v>58</v>
      </c>
      <c r="F4272">
        <v>54</v>
      </c>
      <c r="G4272" s="1" t="s">
        <v>28</v>
      </c>
      <c r="H4272">
        <v>54028</v>
      </c>
      <c r="I4272">
        <v>6</v>
      </c>
      <c r="J4272">
        <v>4</v>
      </c>
      <c r="K4272">
        <v>2</v>
      </c>
      <c r="L4272">
        <v>500</v>
      </c>
    </row>
    <row r="4273" spans="1:12" hidden="1" x14ac:dyDescent="0.25">
      <c r="A4273">
        <v>4272</v>
      </c>
      <c r="B4273" s="1" t="s">
        <v>12</v>
      </c>
      <c r="C4273">
        <v>1987</v>
      </c>
      <c r="D4273" s="1" t="s">
        <v>294</v>
      </c>
      <c r="E4273" s="1" t="s">
        <v>58</v>
      </c>
      <c r="F4273">
        <v>54</v>
      </c>
      <c r="G4273" s="1" t="s">
        <v>63</v>
      </c>
      <c r="H4273">
        <v>54035</v>
      </c>
      <c r="I4273">
        <v>6</v>
      </c>
      <c r="J4273">
        <v>4</v>
      </c>
      <c r="K4273">
        <v>2</v>
      </c>
      <c r="L4273">
        <v>500</v>
      </c>
    </row>
    <row r="4274" spans="1:12" hidden="1" x14ac:dyDescent="0.25">
      <c r="A4274">
        <v>4273</v>
      </c>
      <c r="B4274" s="1" t="s">
        <v>12</v>
      </c>
      <c r="C4274">
        <v>1987</v>
      </c>
      <c r="D4274" s="1" t="s">
        <v>294</v>
      </c>
      <c r="E4274" s="1" t="s">
        <v>58</v>
      </c>
      <c r="F4274">
        <v>54</v>
      </c>
      <c r="G4274" s="1" t="s">
        <v>266</v>
      </c>
      <c r="H4274">
        <v>54042</v>
      </c>
      <c r="I4274">
        <v>12</v>
      </c>
      <c r="J4274">
        <v>9</v>
      </c>
      <c r="K4274">
        <v>6</v>
      </c>
      <c r="L4274">
        <v>667</v>
      </c>
    </row>
    <row r="4275" spans="1:12" hidden="1" x14ac:dyDescent="0.25">
      <c r="A4275">
        <v>4274</v>
      </c>
      <c r="B4275" s="1" t="s">
        <v>12</v>
      </c>
      <c r="C4275">
        <v>1987</v>
      </c>
      <c r="D4275" s="1" t="s">
        <v>294</v>
      </c>
      <c r="E4275" s="1" t="s">
        <v>58</v>
      </c>
      <c r="F4275">
        <v>54</v>
      </c>
      <c r="G4275" s="1" t="s">
        <v>258</v>
      </c>
      <c r="H4275">
        <v>54049</v>
      </c>
      <c r="I4275">
        <v>25</v>
      </c>
      <c r="J4275">
        <v>20</v>
      </c>
      <c r="K4275">
        <v>12</v>
      </c>
      <c r="L4275">
        <v>600</v>
      </c>
    </row>
    <row r="4276" spans="1:12" hidden="1" x14ac:dyDescent="0.25">
      <c r="A4276">
        <v>4275</v>
      </c>
      <c r="B4276" s="1" t="s">
        <v>12</v>
      </c>
      <c r="C4276">
        <v>1987</v>
      </c>
      <c r="D4276" s="1" t="s">
        <v>294</v>
      </c>
      <c r="E4276" s="1" t="s">
        <v>58</v>
      </c>
      <c r="F4276">
        <v>54</v>
      </c>
      <c r="G4276" s="1" t="s">
        <v>151</v>
      </c>
      <c r="H4276">
        <v>54056</v>
      </c>
      <c r="I4276">
        <v>25</v>
      </c>
      <c r="J4276">
        <v>21</v>
      </c>
      <c r="K4276">
        <v>13</v>
      </c>
      <c r="L4276">
        <v>619</v>
      </c>
    </row>
    <row r="4277" spans="1:12" hidden="1" x14ac:dyDescent="0.25">
      <c r="A4277">
        <v>4276</v>
      </c>
      <c r="B4277" s="1" t="s">
        <v>12</v>
      </c>
      <c r="C4277">
        <v>1987</v>
      </c>
      <c r="D4277" s="1" t="s">
        <v>294</v>
      </c>
      <c r="E4277" s="1" t="s">
        <v>58</v>
      </c>
      <c r="F4277">
        <v>54</v>
      </c>
      <c r="G4277" s="1" t="s">
        <v>152</v>
      </c>
      <c r="H4277">
        <v>54063</v>
      </c>
      <c r="I4277">
        <v>8</v>
      </c>
      <c r="J4277">
        <v>8</v>
      </c>
      <c r="K4277">
        <v>6</v>
      </c>
      <c r="L4277">
        <v>750</v>
      </c>
    </row>
    <row r="4278" spans="1:12" hidden="1" x14ac:dyDescent="0.25">
      <c r="A4278">
        <v>4277</v>
      </c>
      <c r="B4278" s="1" t="s">
        <v>12</v>
      </c>
      <c r="C4278">
        <v>1987</v>
      </c>
      <c r="D4278" s="1" t="s">
        <v>294</v>
      </c>
      <c r="E4278" s="1" t="s">
        <v>58</v>
      </c>
      <c r="F4278">
        <v>54</v>
      </c>
      <c r="G4278" s="1" t="s">
        <v>243</v>
      </c>
      <c r="H4278">
        <v>54070</v>
      </c>
      <c r="I4278">
        <v>30</v>
      </c>
      <c r="J4278">
        <v>25</v>
      </c>
      <c r="K4278">
        <v>15</v>
      </c>
      <c r="L4278">
        <v>600</v>
      </c>
    </row>
    <row r="4279" spans="1:12" hidden="1" x14ac:dyDescent="0.25">
      <c r="A4279">
        <v>4278</v>
      </c>
      <c r="B4279" s="1" t="s">
        <v>12</v>
      </c>
      <c r="C4279">
        <v>1987</v>
      </c>
      <c r="D4279" s="1" t="s">
        <v>294</v>
      </c>
      <c r="E4279" s="1" t="s">
        <v>58</v>
      </c>
      <c r="F4279">
        <v>54</v>
      </c>
      <c r="G4279" s="1" t="s">
        <v>119</v>
      </c>
      <c r="H4279">
        <v>54077</v>
      </c>
      <c r="I4279">
        <v>6</v>
      </c>
      <c r="J4279">
        <v>4</v>
      </c>
      <c r="K4279">
        <v>2</v>
      </c>
      <c r="L4279">
        <v>500</v>
      </c>
    </row>
    <row r="4280" spans="1:12" hidden="1" x14ac:dyDescent="0.25">
      <c r="A4280">
        <v>4279</v>
      </c>
      <c r="B4280" s="1" t="s">
        <v>12</v>
      </c>
      <c r="C4280">
        <v>1987</v>
      </c>
      <c r="D4280" s="1" t="s">
        <v>294</v>
      </c>
      <c r="E4280" s="1" t="s">
        <v>58</v>
      </c>
      <c r="F4280">
        <v>54</v>
      </c>
      <c r="G4280" s="1" t="s">
        <v>244</v>
      </c>
      <c r="H4280">
        <v>54084</v>
      </c>
      <c r="I4280">
        <v>8</v>
      </c>
      <c r="J4280">
        <v>6</v>
      </c>
      <c r="K4280">
        <v>4</v>
      </c>
      <c r="L4280">
        <v>667</v>
      </c>
    </row>
    <row r="4281" spans="1:12" hidden="1" x14ac:dyDescent="0.25">
      <c r="A4281">
        <v>4280</v>
      </c>
      <c r="B4281" s="1" t="s">
        <v>12</v>
      </c>
      <c r="C4281">
        <v>1987</v>
      </c>
      <c r="D4281" s="1" t="s">
        <v>294</v>
      </c>
      <c r="E4281" s="1" t="s">
        <v>58</v>
      </c>
      <c r="F4281">
        <v>54</v>
      </c>
      <c r="G4281" s="1" t="s">
        <v>242</v>
      </c>
      <c r="H4281">
        <v>54091</v>
      </c>
      <c r="I4281">
        <v>30</v>
      </c>
      <c r="J4281">
        <v>25</v>
      </c>
      <c r="K4281">
        <v>16</v>
      </c>
      <c r="L4281">
        <v>640</v>
      </c>
    </row>
    <row r="4282" spans="1:12" hidden="1" x14ac:dyDescent="0.25">
      <c r="A4282">
        <v>4281</v>
      </c>
      <c r="B4282" s="1" t="s">
        <v>12</v>
      </c>
      <c r="C4282">
        <v>1987</v>
      </c>
      <c r="D4282" s="1" t="s">
        <v>294</v>
      </c>
      <c r="E4282" s="1" t="s">
        <v>58</v>
      </c>
      <c r="F4282">
        <v>54</v>
      </c>
      <c r="G4282" s="1" t="s">
        <v>61</v>
      </c>
      <c r="H4282">
        <v>54098</v>
      </c>
      <c r="I4282">
        <v>5</v>
      </c>
      <c r="J4282">
        <v>4</v>
      </c>
      <c r="K4282">
        <v>2</v>
      </c>
      <c r="L4282">
        <v>500</v>
      </c>
    </row>
    <row r="4283" spans="1:12" hidden="1" x14ac:dyDescent="0.25">
      <c r="A4283">
        <v>4282</v>
      </c>
      <c r="B4283" s="1" t="s">
        <v>12</v>
      </c>
      <c r="C4283">
        <v>1987</v>
      </c>
      <c r="D4283" s="1" t="s">
        <v>294</v>
      </c>
      <c r="E4283" s="1" t="s">
        <v>58</v>
      </c>
      <c r="F4283">
        <v>54</v>
      </c>
      <c r="G4283" s="1" t="s">
        <v>62</v>
      </c>
      <c r="H4283">
        <v>54105</v>
      </c>
      <c r="I4283">
        <v>20</v>
      </c>
      <c r="J4283">
        <v>15</v>
      </c>
      <c r="K4283">
        <v>10</v>
      </c>
      <c r="L4283">
        <v>667</v>
      </c>
    </row>
    <row r="4284" spans="1:12" x14ac:dyDescent="0.25">
      <c r="A4284">
        <v>4283</v>
      </c>
      <c r="B4284" s="1" t="s">
        <v>12</v>
      </c>
      <c r="C4284">
        <v>1987</v>
      </c>
      <c r="D4284" s="1" t="s">
        <v>294</v>
      </c>
      <c r="E4284" s="1" t="s">
        <v>58</v>
      </c>
      <c r="F4284">
        <v>54</v>
      </c>
      <c r="G4284" s="1" t="s">
        <v>56</v>
      </c>
      <c r="H4284">
        <v>54112</v>
      </c>
      <c r="I4284">
        <v>15</v>
      </c>
      <c r="J4284">
        <v>12</v>
      </c>
      <c r="K4284">
        <v>7</v>
      </c>
      <c r="L4284">
        <v>583</v>
      </c>
    </row>
    <row r="4285" spans="1:12" hidden="1" x14ac:dyDescent="0.25">
      <c r="A4285">
        <v>4284</v>
      </c>
      <c r="B4285" s="1" t="s">
        <v>12</v>
      </c>
      <c r="C4285">
        <v>1988</v>
      </c>
      <c r="D4285" s="1" t="s">
        <v>295</v>
      </c>
      <c r="E4285" s="1" t="s">
        <v>22</v>
      </c>
      <c r="F4285">
        <v>14</v>
      </c>
      <c r="G4285" s="1" t="s">
        <v>31</v>
      </c>
      <c r="I4285">
        <v>153000</v>
      </c>
      <c r="J4285">
        <v>153000</v>
      </c>
      <c r="K4285">
        <v>190000</v>
      </c>
      <c r="L4285">
        <v>1242</v>
      </c>
    </row>
    <row r="4286" spans="1:12" hidden="1" x14ac:dyDescent="0.25">
      <c r="A4286">
        <v>4285</v>
      </c>
      <c r="B4286" s="1" t="s">
        <v>12</v>
      </c>
      <c r="C4286">
        <v>1988</v>
      </c>
      <c r="D4286" s="1" t="s">
        <v>295</v>
      </c>
      <c r="E4286" s="1" t="s">
        <v>30</v>
      </c>
      <c r="F4286">
        <v>18</v>
      </c>
      <c r="G4286" s="1" t="s">
        <v>31</v>
      </c>
      <c r="I4286">
        <v>100</v>
      </c>
      <c r="J4286">
        <v>100</v>
      </c>
      <c r="K4286">
        <v>100</v>
      </c>
      <c r="L4286">
        <v>1000</v>
      </c>
    </row>
    <row r="4287" spans="1:12" hidden="1" x14ac:dyDescent="0.25">
      <c r="A4287">
        <v>4286</v>
      </c>
      <c r="B4287" s="1" t="s">
        <v>12</v>
      </c>
      <c r="C4287">
        <v>1988</v>
      </c>
      <c r="D4287" s="1" t="s">
        <v>295</v>
      </c>
      <c r="E4287" s="1" t="s">
        <v>58</v>
      </c>
      <c r="F4287">
        <v>54</v>
      </c>
      <c r="G4287" s="1" t="s">
        <v>31</v>
      </c>
      <c r="I4287">
        <v>100</v>
      </c>
      <c r="J4287">
        <v>100</v>
      </c>
      <c r="K4287">
        <v>100</v>
      </c>
      <c r="L4287">
        <v>1000</v>
      </c>
    </row>
    <row r="4288" spans="1:12" hidden="1" x14ac:dyDescent="0.25">
      <c r="A4288">
        <v>4287</v>
      </c>
      <c r="B4288" s="1" t="s">
        <v>12</v>
      </c>
      <c r="C4288">
        <v>1989</v>
      </c>
      <c r="D4288" s="1" t="s">
        <v>296</v>
      </c>
      <c r="E4288" s="1" t="s">
        <v>22</v>
      </c>
      <c r="F4288">
        <v>14</v>
      </c>
      <c r="G4288" s="1" t="s">
        <v>184</v>
      </c>
      <c r="H4288">
        <v>14042</v>
      </c>
      <c r="I4288">
        <v>20000</v>
      </c>
      <c r="J4288">
        <v>20000</v>
      </c>
      <c r="K4288">
        <v>23000</v>
      </c>
      <c r="L4288">
        <v>1150</v>
      </c>
    </row>
    <row r="4289" spans="1:12" hidden="1" x14ac:dyDescent="0.25">
      <c r="A4289">
        <v>4288</v>
      </c>
      <c r="B4289" s="1" t="s">
        <v>12</v>
      </c>
      <c r="C4289">
        <v>1989</v>
      </c>
      <c r="D4289" s="1" t="s">
        <v>296</v>
      </c>
      <c r="E4289" s="1" t="s">
        <v>22</v>
      </c>
      <c r="F4289">
        <v>14</v>
      </c>
      <c r="G4289" s="1" t="s">
        <v>143</v>
      </c>
      <c r="H4289">
        <v>14056</v>
      </c>
      <c r="I4289">
        <v>5000</v>
      </c>
      <c r="J4289">
        <v>5000</v>
      </c>
      <c r="K4289">
        <v>15000</v>
      </c>
      <c r="L4289">
        <v>3000</v>
      </c>
    </row>
    <row r="4290" spans="1:12" hidden="1" x14ac:dyDescent="0.25">
      <c r="A4290">
        <v>4289</v>
      </c>
      <c r="B4290" s="1" t="s">
        <v>12</v>
      </c>
      <c r="C4290">
        <v>1989</v>
      </c>
      <c r="D4290" s="1" t="s">
        <v>296</v>
      </c>
      <c r="E4290" s="1" t="s">
        <v>22</v>
      </c>
      <c r="F4290">
        <v>14</v>
      </c>
      <c r="G4290" s="1" t="s">
        <v>29</v>
      </c>
      <c r="H4290">
        <v>14098</v>
      </c>
      <c r="I4290">
        <v>65000</v>
      </c>
      <c r="J4290">
        <v>65000</v>
      </c>
      <c r="K4290">
        <v>85000</v>
      </c>
      <c r="L4290">
        <v>1308</v>
      </c>
    </row>
    <row r="4291" spans="1:12" hidden="1" x14ac:dyDescent="0.25">
      <c r="A4291">
        <v>4290</v>
      </c>
      <c r="B4291" s="1" t="s">
        <v>12</v>
      </c>
      <c r="C4291">
        <v>1989</v>
      </c>
      <c r="D4291" s="1" t="s">
        <v>296</v>
      </c>
      <c r="E4291" s="1" t="s">
        <v>22</v>
      </c>
      <c r="F4291">
        <v>14</v>
      </c>
      <c r="G4291" s="1" t="s">
        <v>24</v>
      </c>
      <c r="H4291">
        <v>14119</v>
      </c>
      <c r="I4291">
        <v>16000</v>
      </c>
      <c r="J4291">
        <v>16000</v>
      </c>
      <c r="K4291">
        <v>19200</v>
      </c>
      <c r="L4291">
        <v>1200</v>
      </c>
    </row>
    <row r="4292" spans="1:12" hidden="1" x14ac:dyDescent="0.25">
      <c r="A4292">
        <v>4291</v>
      </c>
      <c r="B4292" s="1" t="s">
        <v>12</v>
      </c>
      <c r="C4292">
        <v>1989</v>
      </c>
      <c r="D4292" s="1" t="s">
        <v>296</v>
      </c>
      <c r="E4292" s="1" t="s">
        <v>22</v>
      </c>
      <c r="F4292">
        <v>14</v>
      </c>
      <c r="G4292" s="1" t="s">
        <v>23</v>
      </c>
      <c r="H4292">
        <v>14147</v>
      </c>
      <c r="I4292">
        <v>14000</v>
      </c>
      <c r="J4292">
        <v>14000</v>
      </c>
      <c r="K4292">
        <v>21000</v>
      </c>
      <c r="L4292">
        <v>1500</v>
      </c>
    </row>
    <row r="4293" spans="1:12" hidden="1" x14ac:dyDescent="0.25">
      <c r="A4293">
        <v>4292</v>
      </c>
      <c r="B4293" s="1" t="s">
        <v>12</v>
      </c>
      <c r="C4293">
        <v>1989</v>
      </c>
      <c r="D4293" s="1" t="s">
        <v>296</v>
      </c>
      <c r="E4293" s="1" t="s">
        <v>22</v>
      </c>
      <c r="F4293">
        <v>14</v>
      </c>
      <c r="G4293" s="1" t="s">
        <v>26</v>
      </c>
      <c r="H4293">
        <v>14161</v>
      </c>
      <c r="I4293">
        <v>46000</v>
      </c>
      <c r="J4293">
        <v>41500</v>
      </c>
      <c r="K4293">
        <v>63100</v>
      </c>
      <c r="L4293">
        <v>1520</v>
      </c>
    </row>
    <row r="4294" spans="1:12" hidden="1" x14ac:dyDescent="0.25">
      <c r="A4294">
        <v>4293</v>
      </c>
      <c r="B4294" s="1" t="s">
        <v>12</v>
      </c>
      <c r="C4294">
        <v>1989</v>
      </c>
      <c r="D4294" s="1" t="s">
        <v>296</v>
      </c>
      <c r="E4294" s="1" t="s">
        <v>22</v>
      </c>
      <c r="F4294">
        <v>14</v>
      </c>
      <c r="G4294" s="1" t="s">
        <v>122</v>
      </c>
      <c r="H4294">
        <v>14182</v>
      </c>
      <c r="I4294">
        <v>300</v>
      </c>
      <c r="J4294">
        <v>300</v>
      </c>
      <c r="K4294">
        <v>300</v>
      </c>
      <c r="L4294">
        <v>1000</v>
      </c>
    </row>
    <row r="4295" spans="1:12" hidden="1" x14ac:dyDescent="0.25">
      <c r="A4295">
        <v>4294</v>
      </c>
      <c r="B4295" s="1" t="s">
        <v>12</v>
      </c>
      <c r="C4295">
        <v>1989</v>
      </c>
      <c r="D4295" s="1" t="s">
        <v>296</v>
      </c>
      <c r="E4295" s="1" t="s">
        <v>30</v>
      </c>
      <c r="F4295">
        <v>18</v>
      </c>
      <c r="G4295" s="1" t="s">
        <v>38</v>
      </c>
      <c r="H4295">
        <v>18007</v>
      </c>
      <c r="I4295">
        <v>30</v>
      </c>
      <c r="J4295">
        <v>30</v>
      </c>
      <c r="K4295">
        <v>33</v>
      </c>
      <c r="L4295">
        <v>1100</v>
      </c>
    </row>
    <row r="4296" spans="1:12" hidden="1" x14ac:dyDescent="0.25">
      <c r="A4296">
        <v>4295</v>
      </c>
      <c r="B4296" s="1" t="s">
        <v>12</v>
      </c>
      <c r="C4296">
        <v>1989</v>
      </c>
      <c r="D4296" s="1" t="s">
        <v>296</v>
      </c>
      <c r="E4296" s="1" t="s">
        <v>30</v>
      </c>
      <c r="F4296">
        <v>18</v>
      </c>
      <c r="G4296" s="1" t="s">
        <v>39</v>
      </c>
      <c r="H4296">
        <v>18084</v>
      </c>
      <c r="I4296">
        <v>5</v>
      </c>
      <c r="J4296">
        <v>5</v>
      </c>
      <c r="K4296">
        <v>6</v>
      </c>
      <c r="L4296">
        <v>1200</v>
      </c>
    </row>
    <row r="4297" spans="1:12" hidden="1" x14ac:dyDescent="0.25">
      <c r="A4297">
        <v>4296</v>
      </c>
      <c r="B4297" s="1" t="s">
        <v>12</v>
      </c>
      <c r="C4297">
        <v>1989</v>
      </c>
      <c r="D4297" s="1" t="s">
        <v>296</v>
      </c>
      <c r="E4297" s="1" t="s">
        <v>30</v>
      </c>
      <c r="F4297">
        <v>18</v>
      </c>
      <c r="G4297" s="1" t="s">
        <v>36</v>
      </c>
      <c r="H4297">
        <v>18133</v>
      </c>
      <c r="I4297">
        <v>5</v>
      </c>
      <c r="J4297">
        <v>5</v>
      </c>
      <c r="K4297">
        <v>6</v>
      </c>
      <c r="L4297">
        <v>1200</v>
      </c>
    </row>
    <row r="4298" spans="1:12" hidden="1" x14ac:dyDescent="0.25">
      <c r="A4298">
        <v>4297</v>
      </c>
      <c r="B4298" s="1" t="s">
        <v>12</v>
      </c>
      <c r="C4298">
        <v>1989</v>
      </c>
      <c r="D4298" s="1" t="s">
        <v>296</v>
      </c>
      <c r="E4298" s="1" t="s">
        <v>30</v>
      </c>
      <c r="F4298">
        <v>18</v>
      </c>
      <c r="G4298" s="1" t="s">
        <v>41</v>
      </c>
      <c r="H4298">
        <v>18140</v>
      </c>
      <c r="I4298">
        <v>10</v>
      </c>
      <c r="J4298">
        <v>10</v>
      </c>
      <c r="K4298">
        <v>10</v>
      </c>
      <c r="L4298">
        <v>1000</v>
      </c>
    </row>
    <row r="4299" spans="1:12" hidden="1" x14ac:dyDescent="0.25">
      <c r="A4299">
        <v>4298</v>
      </c>
      <c r="B4299" s="1" t="s">
        <v>12</v>
      </c>
      <c r="C4299">
        <v>1989</v>
      </c>
      <c r="D4299" s="1" t="s">
        <v>296</v>
      </c>
      <c r="E4299" s="1" t="s">
        <v>58</v>
      </c>
      <c r="F4299">
        <v>54</v>
      </c>
      <c r="G4299" s="1" t="s">
        <v>234</v>
      </c>
      <c r="H4299">
        <v>54119</v>
      </c>
      <c r="I4299">
        <v>9</v>
      </c>
      <c r="J4299">
        <v>9</v>
      </c>
      <c r="K4299">
        <v>9</v>
      </c>
      <c r="L4299">
        <v>1000</v>
      </c>
    </row>
    <row r="4300" spans="1:12" hidden="1" x14ac:dyDescent="0.25">
      <c r="A4300">
        <v>4299</v>
      </c>
      <c r="B4300" s="1" t="s">
        <v>12</v>
      </c>
      <c r="C4300">
        <v>1989</v>
      </c>
      <c r="D4300" s="1" t="s">
        <v>296</v>
      </c>
      <c r="E4300" s="1" t="s">
        <v>58</v>
      </c>
      <c r="F4300">
        <v>54</v>
      </c>
      <c r="G4300" s="1" t="s">
        <v>59</v>
      </c>
      <c r="H4300">
        <v>54007</v>
      </c>
      <c r="I4300">
        <v>5</v>
      </c>
      <c r="J4300">
        <v>5</v>
      </c>
      <c r="K4300">
        <v>5</v>
      </c>
      <c r="L4300">
        <v>1000</v>
      </c>
    </row>
    <row r="4301" spans="1:12" hidden="1" x14ac:dyDescent="0.25">
      <c r="A4301">
        <v>4300</v>
      </c>
      <c r="B4301" s="1" t="s">
        <v>12</v>
      </c>
      <c r="C4301">
        <v>1989</v>
      </c>
      <c r="D4301" s="1" t="s">
        <v>296</v>
      </c>
      <c r="E4301" s="1" t="s">
        <v>58</v>
      </c>
      <c r="F4301">
        <v>54</v>
      </c>
      <c r="G4301" s="1" t="s">
        <v>150</v>
      </c>
      <c r="H4301">
        <v>54014</v>
      </c>
      <c r="I4301">
        <v>5</v>
      </c>
      <c r="J4301">
        <v>5</v>
      </c>
      <c r="K4301">
        <v>5</v>
      </c>
      <c r="L4301">
        <v>1000</v>
      </c>
    </row>
    <row r="4302" spans="1:12" hidden="1" x14ac:dyDescent="0.25">
      <c r="A4302">
        <v>4301</v>
      </c>
      <c r="B4302" s="1" t="s">
        <v>12</v>
      </c>
      <c r="C4302">
        <v>1989</v>
      </c>
      <c r="D4302" s="1" t="s">
        <v>296</v>
      </c>
      <c r="E4302" s="1" t="s">
        <v>58</v>
      </c>
      <c r="F4302">
        <v>54</v>
      </c>
      <c r="G4302" s="1" t="s">
        <v>60</v>
      </c>
      <c r="H4302">
        <v>54021</v>
      </c>
      <c r="I4302">
        <v>2</v>
      </c>
      <c r="J4302">
        <v>2</v>
      </c>
      <c r="K4302">
        <v>2</v>
      </c>
      <c r="L4302">
        <v>1000</v>
      </c>
    </row>
    <row r="4303" spans="1:12" hidden="1" x14ac:dyDescent="0.25">
      <c r="A4303">
        <v>4302</v>
      </c>
      <c r="B4303" s="1" t="s">
        <v>12</v>
      </c>
      <c r="C4303">
        <v>1989</v>
      </c>
      <c r="D4303" s="1" t="s">
        <v>296</v>
      </c>
      <c r="E4303" s="1" t="s">
        <v>58</v>
      </c>
      <c r="F4303">
        <v>54</v>
      </c>
      <c r="G4303" s="1" t="s">
        <v>258</v>
      </c>
      <c r="H4303">
        <v>54049</v>
      </c>
      <c r="I4303">
        <v>10</v>
      </c>
      <c r="J4303">
        <v>10</v>
      </c>
      <c r="K4303">
        <v>9</v>
      </c>
      <c r="L4303">
        <v>900</v>
      </c>
    </row>
    <row r="4304" spans="1:12" hidden="1" x14ac:dyDescent="0.25">
      <c r="A4304">
        <v>4303</v>
      </c>
      <c r="B4304" s="1" t="s">
        <v>12</v>
      </c>
      <c r="C4304">
        <v>1989</v>
      </c>
      <c r="D4304" s="1" t="s">
        <v>296</v>
      </c>
      <c r="E4304" s="1" t="s">
        <v>58</v>
      </c>
      <c r="F4304">
        <v>54</v>
      </c>
      <c r="G4304" s="1" t="s">
        <v>151</v>
      </c>
      <c r="H4304">
        <v>54056</v>
      </c>
      <c r="I4304">
        <v>4</v>
      </c>
      <c r="J4304">
        <v>4</v>
      </c>
      <c r="K4304">
        <v>4</v>
      </c>
      <c r="L4304">
        <v>1000</v>
      </c>
    </row>
    <row r="4305" spans="1:12" hidden="1" x14ac:dyDescent="0.25">
      <c r="A4305">
        <v>4304</v>
      </c>
      <c r="B4305" s="1" t="s">
        <v>12</v>
      </c>
      <c r="C4305">
        <v>1989</v>
      </c>
      <c r="D4305" s="1" t="s">
        <v>296</v>
      </c>
      <c r="E4305" s="1" t="s">
        <v>58</v>
      </c>
      <c r="F4305">
        <v>54</v>
      </c>
      <c r="G4305" s="1" t="s">
        <v>242</v>
      </c>
      <c r="H4305">
        <v>54091</v>
      </c>
      <c r="I4305">
        <v>5</v>
      </c>
      <c r="J4305">
        <v>5</v>
      </c>
      <c r="K4305">
        <v>3</v>
      </c>
      <c r="L4305">
        <v>600</v>
      </c>
    </row>
    <row r="4306" spans="1:12" hidden="1" x14ac:dyDescent="0.25">
      <c r="A4306">
        <v>4305</v>
      </c>
      <c r="B4306" s="1" t="s">
        <v>12</v>
      </c>
      <c r="C4306">
        <v>1989</v>
      </c>
      <c r="D4306" s="1" t="s">
        <v>296</v>
      </c>
      <c r="E4306" s="1" t="s">
        <v>58</v>
      </c>
      <c r="F4306">
        <v>54</v>
      </c>
      <c r="G4306" s="1" t="s">
        <v>62</v>
      </c>
      <c r="H4306">
        <v>54105</v>
      </c>
      <c r="I4306">
        <v>5</v>
      </c>
      <c r="J4306">
        <v>5</v>
      </c>
      <c r="K4306">
        <v>4</v>
      </c>
      <c r="L4306">
        <v>800</v>
      </c>
    </row>
    <row r="4307" spans="1:12" x14ac:dyDescent="0.25">
      <c r="A4307">
        <v>4306</v>
      </c>
      <c r="B4307" s="1" t="s">
        <v>12</v>
      </c>
      <c r="C4307">
        <v>1989</v>
      </c>
      <c r="D4307" s="1" t="s">
        <v>296</v>
      </c>
      <c r="E4307" s="1" t="s">
        <v>58</v>
      </c>
      <c r="F4307">
        <v>54</v>
      </c>
      <c r="G4307" s="1" t="s">
        <v>56</v>
      </c>
      <c r="H4307">
        <v>54112</v>
      </c>
      <c r="I4307">
        <v>5</v>
      </c>
      <c r="J4307">
        <v>5</v>
      </c>
      <c r="K4307">
        <v>4</v>
      </c>
      <c r="L4307">
        <v>800</v>
      </c>
    </row>
    <row r="4308" spans="1:12" hidden="1" x14ac:dyDescent="0.25">
      <c r="A4308">
        <v>4307</v>
      </c>
      <c r="B4308" s="1" t="s">
        <v>12</v>
      </c>
      <c r="C4308">
        <v>1989</v>
      </c>
      <c r="D4308" s="1" t="s">
        <v>296</v>
      </c>
      <c r="E4308" s="1" t="s">
        <v>87</v>
      </c>
      <c r="F4308">
        <v>66</v>
      </c>
      <c r="G4308" s="1" t="s">
        <v>153</v>
      </c>
      <c r="H4308">
        <v>66007</v>
      </c>
      <c r="I4308">
        <v>1000</v>
      </c>
      <c r="J4308">
        <v>1000</v>
      </c>
      <c r="K4308">
        <v>2000</v>
      </c>
      <c r="L4308">
        <v>2000</v>
      </c>
    </row>
    <row r="4309" spans="1:12" hidden="1" x14ac:dyDescent="0.25">
      <c r="A4309">
        <v>4308</v>
      </c>
      <c r="B4309" s="1" t="s">
        <v>12</v>
      </c>
      <c r="C4309">
        <v>1989</v>
      </c>
      <c r="D4309" s="1" t="s">
        <v>296</v>
      </c>
      <c r="E4309" s="1" t="s">
        <v>87</v>
      </c>
      <c r="F4309">
        <v>66</v>
      </c>
      <c r="G4309" s="1" t="s">
        <v>141</v>
      </c>
      <c r="H4309">
        <v>66112</v>
      </c>
      <c r="I4309">
        <v>1700</v>
      </c>
      <c r="J4309">
        <v>1700</v>
      </c>
      <c r="K4309">
        <v>3400</v>
      </c>
      <c r="L4309">
        <v>2000</v>
      </c>
    </row>
    <row r="4310" spans="1:12" hidden="1" x14ac:dyDescent="0.25">
      <c r="A4310">
        <v>4309</v>
      </c>
      <c r="B4310" s="1" t="s">
        <v>12</v>
      </c>
      <c r="C4310">
        <v>1989</v>
      </c>
      <c r="D4310" s="1" t="s">
        <v>296</v>
      </c>
      <c r="E4310" s="1" t="s">
        <v>87</v>
      </c>
      <c r="F4310">
        <v>66</v>
      </c>
      <c r="G4310" s="1" t="s">
        <v>188</v>
      </c>
      <c r="H4310">
        <v>66140</v>
      </c>
      <c r="I4310">
        <v>1300</v>
      </c>
      <c r="J4310">
        <v>1300</v>
      </c>
      <c r="K4310">
        <v>2600</v>
      </c>
      <c r="L4310">
        <v>2000</v>
      </c>
    </row>
    <row r="4311" spans="1:12" hidden="1" x14ac:dyDescent="0.25">
      <c r="A4311">
        <v>4310</v>
      </c>
      <c r="B4311" s="1" t="s">
        <v>12</v>
      </c>
      <c r="C4311">
        <v>1990</v>
      </c>
      <c r="D4311" s="1" t="s">
        <v>297</v>
      </c>
      <c r="E4311" s="1" t="s">
        <v>22</v>
      </c>
      <c r="F4311">
        <v>14</v>
      </c>
      <c r="G4311" s="1" t="s">
        <v>184</v>
      </c>
      <c r="H4311">
        <v>14042</v>
      </c>
      <c r="I4311">
        <v>28000</v>
      </c>
      <c r="J4311">
        <v>28000</v>
      </c>
      <c r="K4311">
        <v>44800</v>
      </c>
      <c r="L4311">
        <v>1600</v>
      </c>
    </row>
    <row r="4312" spans="1:12" hidden="1" x14ac:dyDescent="0.25">
      <c r="A4312">
        <v>4311</v>
      </c>
      <c r="B4312" s="1" t="s">
        <v>12</v>
      </c>
      <c r="C4312">
        <v>1990</v>
      </c>
      <c r="D4312" s="1" t="s">
        <v>297</v>
      </c>
      <c r="E4312" s="1" t="s">
        <v>22</v>
      </c>
      <c r="F4312">
        <v>14</v>
      </c>
      <c r="G4312" s="1" t="s">
        <v>143</v>
      </c>
      <c r="H4312">
        <v>14056</v>
      </c>
      <c r="I4312">
        <v>50600</v>
      </c>
      <c r="J4312">
        <v>43010</v>
      </c>
      <c r="K4312">
        <v>77400</v>
      </c>
      <c r="L4312">
        <v>1800</v>
      </c>
    </row>
    <row r="4313" spans="1:12" hidden="1" x14ac:dyDescent="0.25">
      <c r="A4313">
        <v>4312</v>
      </c>
      <c r="B4313" s="1" t="s">
        <v>12</v>
      </c>
      <c r="C4313">
        <v>1990</v>
      </c>
      <c r="D4313" s="1" t="s">
        <v>297</v>
      </c>
      <c r="E4313" s="1" t="s">
        <v>22</v>
      </c>
      <c r="F4313">
        <v>14</v>
      </c>
      <c r="G4313" s="1" t="s">
        <v>29</v>
      </c>
      <c r="H4313">
        <v>14098</v>
      </c>
      <c r="I4313">
        <v>27600</v>
      </c>
      <c r="J4313">
        <v>23010</v>
      </c>
      <c r="K4313">
        <v>41400</v>
      </c>
      <c r="L4313">
        <v>1799</v>
      </c>
    </row>
    <row r="4314" spans="1:12" hidden="1" x14ac:dyDescent="0.25">
      <c r="A4314">
        <v>4313</v>
      </c>
      <c r="B4314" s="1" t="s">
        <v>12</v>
      </c>
      <c r="C4314">
        <v>1990</v>
      </c>
      <c r="D4314" s="1" t="s">
        <v>297</v>
      </c>
      <c r="E4314" s="1" t="s">
        <v>22</v>
      </c>
      <c r="F4314">
        <v>14</v>
      </c>
      <c r="G4314" s="1" t="s">
        <v>24</v>
      </c>
      <c r="H4314">
        <v>14119</v>
      </c>
      <c r="I4314">
        <v>17000</v>
      </c>
      <c r="J4314">
        <v>13000</v>
      </c>
      <c r="K4314">
        <v>20800</v>
      </c>
      <c r="L4314">
        <v>1600</v>
      </c>
    </row>
    <row r="4315" spans="1:12" hidden="1" x14ac:dyDescent="0.25">
      <c r="A4315">
        <v>4314</v>
      </c>
      <c r="B4315" s="1" t="s">
        <v>12</v>
      </c>
      <c r="C4315">
        <v>1990</v>
      </c>
      <c r="D4315" s="1" t="s">
        <v>297</v>
      </c>
      <c r="E4315" s="1" t="s">
        <v>22</v>
      </c>
      <c r="F4315">
        <v>14</v>
      </c>
      <c r="G4315" s="1" t="s">
        <v>23</v>
      </c>
      <c r="H4315">
        <v>14147</v>
      </c>
      <c r="I4315">
        <v>15000</v>
      </c>
      <c r="J4315">
        <v>14500</v>
      </c>
      <c r="K4315">
        <v>21800</v>
      </c>
      <c r="L4315">
        <v>1503</v>
      </c>
    </row>
    <row r="4316" spans="1:12" hidden="1" x14ac:dyDescent="0.25">
      <c r="A4316">
        <v>4315</v>
      </c>
      <c r="B4316" s="1" t="s">
        <v>12</v>
      </c>
      <c r="C4316">
        <v>1990</v>
      </c>
      <c r="D4316" s="1" t="s">
        <v>297</v>
      </c>
      <c r="E4316" s="1" t="s">
        <v>22</v>
      </c>
      <c r="F4316">
        <v>14</v>
      </c>
      <c r="G4316" s="1" t="s">
        <v>26</v>
      </c>
      <c r="H4316">
        <v>14161</v>
      </c>
      <c r="I4316">
        <v>50000</v>
      </c>
      <c r="J4316">
        <v>47500</v>
      </c>
      <c r="K4316">
        <v>80500</v>
      </c>
      <c r="L4316">
        <v>1695</v>
      </c>
    </row>
    <row r="4317" spans="1:12" hidden="1" x14ac:dyDescent="0.25">
      <c r="A4317">
        <v>4316</v>
      </c>
      <c r="B4317" s="1" t="s">
        <v>12</v>
      </c>
      <c r="C4317">
        <v>1990</v>
      </c>
      <c r="D4317" s="1" t="s">
        <v>297</v>
      </c>
      <c r="E4317" s="1" t="s">
        <v>22</v>
      </c>
      <c r="F4317">
        <v>14</v>
      </c>
      <c r="G4317" s="1" t="s">
        <v>122</v>
      </c>
      <c r="H4317">
        <v>14182</v>
      </c>
      <c r="I4317">
        <v>300</v>
      </c>
      <c r="J4317">
        <v>300</v>
      </c>
      <c r="K4317">
        <v>500</v>
      </c>
      <c r="L4317">
        <v>1667</v>
      </c>
    </row>
    <row r="4318" spans="1:12" hidden="1" x14ac:dyDescent="0.25">
      <c r="A4318">
        <v>4317</v>
      </c>
      <c r="B4318" s="1" t="s">
        <v>12</v>
      </c>
      <c r="C4318">
        <v>1990</v>
      </c>
      <c r="D4318" s="1" t="s">
        <v>297</v>
      </c>
      <c r="E4318" s="1" t="s">
        <v>87</v>
      </c>
      <c r="F4318">
        <v>66</v>
      </c>
      <c r="G4318" s="1" t="s">
        <v>153</v>
      </c>
      <c r="H4318">
        <v>66007</v>
      </c>
      <c r="I4318">
        <v>4000</v>
      </c>
      <c r="J4318">
        <v>4000</v>
      </c>
      <c r="K4318">
        <v>10000</v>
      </c>
      <c r="L4318">
        <v>2500</v>
      </c>
    </row>
    <row r="4319" spans="1:12" hidden="1" x14ac:dyDescent="0.25">
      <c r="A4319">
        <v>4318</v>
      </c>
      <c r="B4319" s="1" t="s">
        <v>12</v>
      </c>
      <c r="C4319">
        <v>1990</v>
      </c>
      <c r="D4319" s="1" t="s">
        <v>297</v>
      </c>
      <c r="E4319" s="1" t="s">
        <v>87</v>
      </c>
      <c r="F4319">
        <v>66</v>
      </c>
      <c r="G4319" s="1" t="s">
        <v>236</v>
      </c>
      <c r="H4319">
        <v>66049</v>
      </c>
      <c r="I4319">
        <v>500</v>
      </c>
      <c r="J4319">
        <v>500</v>
      </c>
      <c r="K4319">
        <v>1300</v>
      </c>
      <c r="L4319">
        <v>2600</v>
      </c>
    </row>
    <row r="4320" spans="1:12" hidden="1" x14ac:dyDescent="0.25">
      <c r="A4320">
        <v>4319</v>
      </c>
      <c r="B4320" s="1" t="s">
        <v>12</v>
      </c>
      <c r="C4320">
        <v>1990</v>
      </c>
      <c r="D4320" s="1" t="s">
        <v>297</v>
      </c>
      <c r="E4320" s="1" t="s">
        <v>87</v>
      </c>
      <c r="F4320">
        <v>66</v>
      </c>
      <c r="G4320" s="1" t="s">
        <v>230</v>
      </c>
      <c r="H4320">
        <v>66056</v>
      </c>
      <c r="I4320">
        <v>1000</v>
      </c>
      <c r="J4320">
        <v>1000</v>
      </c>
      <c r="K4320">
        <v>2500</v>
      </c>
      <c r="L4320">
        <v>2500</v>
      </c>
    </row>
    <row r="4321" spans="1:12" hidden="1" x14ac:dyDescent="0.25">
      <c r="A4321">
        <v>4320</v>
      </c>
      <c r="B4321" s="1" t="s">
        <v>12</v>
      </c>
      <c r="C4321">
        <v>1990</v>
      </c>
      <c r="D4321" s="1" t="s">
        <v>297</v>
      </c>
      <c r="E4321" s="1" t="s">
        <v>87</v>
      </c>
      <c r="F4321">
        <v>66</v>
      </c>
      <c r="G4321" s="1" t="s">
        <v>141</v>
      </c>
      <c r="H4321">
        <v>66112</v>
      </c>
      <c r="I4321">
        <v>1500</v>
      </c>
      <c r="J4321">
        <v>1500</v>
      </c>
      <c r="K4321">
        <v>3300</v>
      </c>
      <c r="L4321">
        <v>2200</v>
      </c>
    </row>
    <row r="4322" spans="1:12" hidden="1" x14ac:dyDescent="0.25">
      <c r="A4322">
        <v>4321</v>
      </c>
      <c r="B4322" s="1" t="s">
        <v>12</v>
      </c>
      <c r="C4322">
        <v>1990</v>
      </c>
      <c r="D4322" s="1" t="s">
        <v>297</v>
      </c>
      <c r="E4322" s="1" t="s">
        <v>87</v>
      </c>
      <c r="F4322">
        <v>66</v>
      </c>
      <c r="G4322" s="1" t="s">
        <v>179</v>
      </c>
      <c r="H4322">
        <v>66126</v>
      </c>
      <c r="I4322">
        <v>500</v>
      </c>
      <c r="J4322">
        <v>500</v>
      </c>
      <c r="K4322">
        <v>1300</v>
      </c>
      <c r="L4322">
        <v>2600</v>
      </c>
    </row>
    <row r="4323" spans="1:12" hidden="1" x14ac:dyDescent="0.25">
      <c r="A4323">
        <v>4322</v>
      </c>
      <c r="B4323" s="1" t="s">
        <v>12</v>
      </c>
      <c r="C4323">
        <v>1990</v>
      </c>
      <c r="D4323" s="1" t="s">
        <v>297</v>
      </c>
      <c r="E4323" s="1" t="s">
        <v>87</v>
      </c>
      <c r="F4323">
        <v>66</v>
      </c>
      <c r="G4323" s="1" t="s">
        <v>188</v>
      </c>
      <c r="H4323">
        <v>66140</v>
      </c>
      <c r="I4323">
        <v>2000</v>
      </c>
      <c r="J4323">
        <v>2000</v>
      </c>
      <c r="K4323">
        <v>5000</v>
      </c>
      <c r="L4323">
        <v>2500</v>
      </c>
    </row>
    <row r="4324" spans="1:12" hidden="1" x14ac:dyDescent="0.25">
      <c r="A4324">
        <v>4323</v>
      </c>
      <c r="B4324" s="1" t="s">
        <v>12</v>
      </c>
      <c r="C4324">
        <v>1991</v>
      </c>
      <c r="D4324" s="1" t="s">
        <v>298</v>
      </c>
      <c r="E4324" s="1" t="s">
        <v>22</v>
      </c>
      <c r="F4324">
        <v>14</v>
      </c>
      <c r="G4324" s="1" t="s">
        <v>184</v>
      </c>
      <c r="H4324">
        <v>14042</v>
      </c>
      <c r="I4324">
        <v>18000</v>
      </c>
      <c r="J4324">
        <v>18000</v>
      </c>
      <c r="K4324">
        <v>21200</v>
      </c>
      <c r="L4324">
        <v>1178</v>
      </c>
    </row>
    <row r="4325" spans="1:12" hidden="1" x14ac:dyDescent="0.25">
      <c r="A4325">
        <v>4324</v>
      </c>
      <c r="B4325" s="1" t="s">
        <v>12</v>
      </c>
      <c r="C4325">
        <v>1991</v>
      </c>
      <c r="D4325" s="1" t="s">
        <v>298</v>
      </c>
      <c r="E4325" s="1" t="s">
        <v>22</v>
      </c>
      <c r="F4325">
        <v>14</v>
      </c>
      <c r="G4325" s="1" t="s">
        <v>143</v>
      </c>
      <c r="H4325">
        <v>14056</v>
      </c>
      <c r="I4325">
        <v>49400</v>
      </c>
      <c r="J4325">
        <v>49400</v>
      </c>
      <c r="K4325">
        <v>75600</v>
      </c>
      <c r="L4325">
        <v>1530</v>
      </c>
    </row>
    <row r="4326" spans="1:12" hidden="1" x14ac:dyDescent="0.25">
      <c r="A4326">
        <v>4325</v>
      </c>
      <c r="B4326" s="1" t="s">
        <v>12</v>
      </c>
      <c r="C4326">
        <v>1991</v>
      </c>
      <c r="D4326" s="1" t="s">
        <v>298</v>
      </c>
      <c r="E4326" s="1" t="s">
        <v>22</v>
      </c>
      <c r="F4326">
        <v>14</v>
      </c>
      <c r="G4326" s="1" t="s">
        <v>29</v>
      </c>
      <c r="H4326">
        <v>14098</v>
      </c>
      <c r="I4326">
        <v>26600</v>
      </c>
      <c r="J4326">
        <v>26600</v>
      </c>
      <c r="K4326">
        <v>41000</v>
      </c>
      <c r="L4326">
        <v>1541</v>
      </c>
    </row>
    <row r="4327" spans="1:12" hidden="1" x14ac:dyDescent="0.25">
      <c r="A4327">
        <v>4326</v>
      </c>
      <c r="B4327" s="1" t="s">
        <v>12</v>
      </c>
      <c r="C4327">
        <v>1991</v>
      </c>
      <c r="D4327" s="1" t="s">
        <v>298</v>
      </c>
      <c r="E4327" s="1" t="s">
        <v>22</v>
      </c>
      <c r="F4327">
        <v>14</v>
      </c>
      <c r="G4327" s="1" t="s">
        <v>24</v>
      </c>
      <c r="H4327">
        <v>14119</v>
      </c>
      <c r="I4327">
        <v>17500</v>
      </c>
      <c r="J4327">
        <v>17500</v>
      </c>
      <c r="K4327">
        <v>21700</v>
      </c>
      <c r="L4327">
        <v>1240</v>
      </c>
    </row>
    <row r="4328" spans="1:12" hidden="1" x14ac:dyDescent="0.25">
      <c r="A4328">
        <v>4327</v>
      </c>
      <c r="B4328" s="1" t="s">
        <v>12</v>
      </c>
      <c r="C4328">
        <v>1991</v>
      </c>
      <c r="D4328" s="1" t="s">
        <v>298</v>
      </c>
      <c r="E4328" s="1" t="s">
        <v>22</v>
      </c>
      <c r="F4328">
        <v>14</v>
      </c>
      <c r="G4328" s="1" t="s">
        <v>23</v>
      </c>
      <c r="H4328">
        <v>14147</v>
      </c>
      <c r="I4328">
        <v>500</v>
      </c>
      <c r="J4328">
        <v>500</v>
      </c>
      <c r="K4328">
        <v>600</v>
      </c>
      <c r="L4328">
        <v>1200</v>
      </c>
    </row>
    <row r="4329" spans="1:12" hidden="1" x14ac:dyDescent="0.25">
      <c r="A4329">
        <v>4328</v>
      </c>
      <c r="B4329" s="1" t="s">
        <v>12</v>
      </c>
      <c r="C4329">
        <v>1991</v>
      </c>
      <c r="D4329" s="1" t="s">
        <v>298</v>
      </c>
      <c r="E4329" s="1" t="s">
        <v>22</v>
      </c>
      <c r="F4329">
        <v>14</v>
      </c>
      <c r="G4329" s="1" t="s">
        <v>26</v>
      </c>
      <c r="H4329">
        <v>14161</v>
      </c>
      <c r="I4329">
        <v>38700</v>
      </c>
      <c r="J4329">
        <v>38700</v>
      </c>
      <c r="K4329">
        <v>56100</v>
      </c>
      <c r="L4329">
        <v>1450</v>
      </c>
    </row>
    <row r="4330" spans="1:12" hidden="1" x14ac:dyDescent="0.25">
      <c r="A4330">
        <v>4329</v>
      </c>
      <c r="B4330" s="1" t="s">
        <v>12</v>
      </c>
      <c r="C4330">
        <v>1991</v>
      </c>
      <c r="D4330" s="1" t="s">
        <v>298</v>
      </c>
      <c r="E4330" s="1" t="s">
        <v>87</v>
      </c>
      <c r="F4330">
        <v>66</v>
      </c>
      <c r="G4330" s="1" t="s">
        <v>153</v>
      </c>
      <c r="H4330">
        <v>66007</v>
      </c>
      <c r="I4330">
        <v>300</v>
      </c>
      <c r="J4330">
        <v>300</v>
      </c>
      <c r="K4330">
        <v>600</v>
      </c>
      <c r="L4330">
        <v>2000</v>
      </c>
    </row>
    <row r="4331" spans="1:12" hidden="1" x14ac:dyDescent="0.25">
      <c r="A4331">
        <v>4330</v>
      </c>
      <c r="B4331" s="1" t="s">
        <v>12</v>
      </c>
      <c r="C4331">
        <v>1991</v>
      </c>
      <c r="D4331" s="1" t="s">
        <v>298</v>
      </c>
      <c r="E4331" s="1" t="s">
        <v>87</v>
      </c>
      <c r="F4331">
        <v>66</v>
      </c>
      <c r="G4331" s="1" t="s">
        <v>230</v>
      </c>
      <c r="H4331">
        <v>66056</v>
      </c>
      <c r="I4331">
        <v>400</v>
      </c>
      <c r="J4331">
        <v>400</v>
      </c>
      <c r="K4331">
        <v>800</v>
      </c>
      <c r="L4331">
        <v>2000</v>
      </c>
    </row>
    <row r="4332" spans="1:12" hidden="1" x14ac:dyDescent="0.25">
      <c r="A4332">
        <v>4331</v>
      </c>
      <c r="B4332" s="1" t="s">
        <v>12</v>
      </c>
      <c r="C4332">
        <v>1991</v>
      </c>
      <c r="D4332" s="1" t="s">
        <v>298</v>
      </c>
      <c r="E4332" s="1" t="s">
        <v>87</v>
      </c>
      <c r="F4332">
        <v>66</v>
      </c>
      <c r="G4332" s="1" t="s">
        <v>141</v>
      </c>
      <c r="H4332">
        <v>66112</v>
      </c>
      <c r="I4332">
        <v>300</v>
      </c>
      <c r="J4332">
        <v>300</v>
      </c>
      <c r="K4332">
        <v>700</v>
      </c>
      <c r="L4332">
        <v>2333</v>
      </c>
    </row>
    <row r="4333" spans="1:12" hidden="1" x14ac:dyDescent="0.25">
      <c r="A4333">
        <v>4332</v>
      </c>
      <c r="B4333" s="1" t="s">
        <v>12</v>
      </c>
      <c r="C4333">
        <v>1991</v>
      </c>
      <c r="D4333" s="1" t="s">
        <v>298</v>
      </c>
      <c r="E4333" s="1" t="s">
        <v>87</v>
      </c>
      <c r="F4333">
        <v>66</v>
      </c>
      <c r="G4333" s="1" t="s">
        <v>188</v>
      </c>
      <c r="H4333">
        <v>66140</v>
      </c>
      <c r="I4333">
        <v>1600</v>
      </c>
      <c r="J4333">
        <v>1400</v>
      </c>
      <c r="K4333">
        <v>3100</v>
      </c>
      <c r="L4333">
        <v>2214</v>
      </c>
    </row>
    <row r="4334" spans="1:12" hidden="1" x14ac:dyDescent="0.25">
      <c r="A4334">
        <v>4333</v>
      </c>
      <c r="B4334" s="1" t="s">
        <v>12</v>
      </c>
      <c r="C4334">
        <v>1992</v>
      </c>
      <c r="D4334" s="1" t="s">
        <v>299</v>
      </c>
      <c r="E4334" s="1" t="s">
        <v>22</v>
      </c>
      <c r="F4334">
        <v>14</v>
      </c>
      <c r="G4334" s="1" t="s">
        <v>184</v>
      </c>
      <c r="H4334">
        <v>14042</v>
      </c>
      <c r="I4334">
        <v>10200</v>
      </c>
      <c r="J4334">
        <v>10200</v>
      </c>
      <c r="K4334">
        <v>15300</v>
      </c>
      <c r="L4334">
        <v>1500</v>
      </c>
    </row>
    <row r="4335" spans="1:12" hidden="1" x14ac:dyDescent="0.25">
      <c r="A4335">
        <v>4334</v>
      </c>
      <c r="B4335" s="1" t="s">
        <v>12</v>
      </c>
      <c r="C4335">
        <v>1992</v>
      </c>
      <c r="D4335" s="1" t="s">
        <v>299</v>
      </c>
      <c r="E4335" s="1" t="s">
        <v>22</v>
      </c>
      <c r="F4335">
        <v>14</v>
      </c>
      <c r="G4335" s="1" t="s">
        <v>143</v>
      </c>
      <c r="H4335">
        <v>14056</v>
      </c>
      <c r="I4335">
        <v>43000</v>
      </c>
      <c r="J4335">
        <v>43000</v>
      </c>
      <c r="K4335">
        <v>106600</v>
      </c>
      <c r="L4335">
        <v>2479</v>
      </c>
    </row>
    <row r="4336" spans="1:12" hidden="1" x14ac:dyDescent="0.25">
      <c r="A4336">
        <v>4335</v>
      </c>
      <c r="B4336" s="1" t="s">
        <v>12</v>
      </c>
      <c r="C4336">
        <v>1992</v>
      </c>
      <c r="D4336" s="1" t="s">
        <v>299</v>
      </c>
      <c r="E4336" s="1" t="s">
        <v>22</v>
      </c>
      <c r="F4336">
        <v>14</v>
      </c>
      <c r="G4336" s="1" t="s">
        <v>29</v>
      </c>
      <c r="H4336">
        <v>14098</v>
      </c>
      <c r="I4336">
        <v>27000</v>
      </c>
      <c r="J4336">
        <v>27000</v>
      </c>
      <c r="K4336">
        <v>67000</v>
      </c>
      <c r="L4336">
        <v>2481</v>
      </c>
    </row>
    <row r="4337" spans="1:12" hidden="1" x14ac:dyDescent="0.25">
      <c r="A4337">
        <v>4336</v>
      </c>
      <c r="B4337" s="1" t="s">
        <v>12</v>
      </c>
      <c r="C4337">
        <v>1992</v>
      </c>
      <c r="D4337" s="1" t="s">
        <v>299</v>
      </c>
      <c r="E4337" s="1" t="s">
        <v>22</v>
      </c>
      <c r="F4337">
        <v>14</v>
      </c>
      <c r="G4337" s="1" t="s">
        <v>24</v>
      </c>
      <c r="H4337">
        <v>14119</v>
      </c>
      <c r="I4337">
        <v>6100</v>
      </c>
      <c r="J4337">
        <v>6100</v>
      </c>
      <c r="K4337">
        <v>8500</v>
      </c>
      <c r="L4337">
        <v>1393</v>
      </c>
    </row>
    <row r="4338" spans="1:12" hidden="1" x14ac:dyDescent="0.25">
      <c r="A4338">
        <v>4337</v>
      </c>
      <c r="B4338" s="1" t="s">
        <v>12</v>
      </c>
      <c r="C4338">
        <v>1992</v>
      </c>
      <c r="D4338" s="1" t="s">
        <v>299</v>
      </c>
      <c r="E4338" s="1" t="s">
        <v>22</v>
      </c>
      <c r="F4338">
        <v>14</v>
      </c>
      <c r="G4338" s="1" t="s">
        <v>26</v>
      </c>
      <c r="H4338">
        <v>14161</v>
      </c>
      <c r="I4338">
        <v>23700</v>
      </c>
      <c r="J4338">
        <v>23700</v>
      </c>
      <c r="K4338">
        <v>36000</v>
      </c>
      <c r="L4338">
        <v>1519</v>
      </c>
    </row>
    <row r="4339" spans="1:12" hidden="1" x14ac:dyDescent="0.25">
      <c r="A4339">
        <v>4338</v>
      </c>
      <c r="B4339" s="1" t="s">
        <v>12</v>
      </c>
      <c r="C4339">
        <v>1993</v>
      </c>
      <c r="D4339" s="1" t="s">
        <v>300</v>
      </c>
      <c r="E4339" s="1" t="s">
        <v>22</v>
      </c>
      <c r="F4339">
        <v>14</v>
      </c>
      <c r="G4339" s="1" t="s">
        <v>184</v>
      </c>
      <c r="H4339">
        <v>14042</v>
      </c>
      <c r="I4339">
        <v>17400</v>
      </c>
      <c r="J4339">
        <v>17400</v>
      </c>
      <c r="K4339">
        <v>30200</v>
      </c>
      <c r="L4339">
        <v>1736</v>
      </c>
    </row>
    <row r="4340" spans="1:12" hidden="1" x14ac:dyDescent="0.25">
      <c r="A4340">
        <v>4339</v>
      </c>
      <c r="B4340" s="1" t="s">
        <v>12</v>
      </c>
      <c r="C4340">
        <v>1993</v>
      </c>
      <c r="D4340" s="1" t="s">
        <v>300</v>
      </c>
      <c r="E4340" s="1" t="s">
        <v>22</v>
      </c>
      <c r="F4340">
        <v>14</v>
      </c>
      <c r="G4340" s="1" t="s">
        <v>143</v>
      </c>
      <c r="H4340">
        <v>14056</v>
      </c>
      <c r="I4340">
        <v>56700</v>
      </c>
      <c r="J4340">
        <v>56700</v>
      </c>
      <c r="K4340">
        <v>85100</v>
      </c>
      <c r="L4340">
        <v>1501</v>
      </c>
    </row>
    <row r="4341" spans="1:12" hidden="1" x14ac:dyDescent="0.25">
      <c r="A4341">
        <v>4340</v>
      </c>
      <c r="B4341" s="1" t="s">
        <v>12</v>
      </c>
      <c r="C4341">
        <v>1993</v>
      </c>
      <c r="D4341" s="1" t="s">
        <v>300</v>
      </c>
      <c r="E4341" s="1" t="s">
        <v>22</v>
      </c>
      <c r="F4341">
        <v>14</v>
      </c>
      <c r="G4341" s="1" t="s">
        <v>29</v>
      </c>
      <c r="H4341">
        <v>14098</v>
      </c>
      <c r="I4341">
        <v>36500</v>
      </c>
      <c r="J4341">
        <v>36500</v>
      </c>
      <c r="K4341">
        <v>54800</v>
      </c>
      <c r="L4341">
        <v>1501</v>
      </c>
    </row>
    <row r="4342" spans="1:12" hidden="1" x14ac:dyDescent="0.25">
      <c r="A4342">
        <v>4341</v>
      </c>
      <c r="B4342" s="1" t="s">
        <v>12</v>
      </c>
      <c r="C4342">
        <v>1993</v>
      </c>
      <c r="D4342" s="1" t="s">
        <v>300</v>
      </c>
      <c r="E4342" s="1" t="s">
        <v>22</v>
      </c>
      <c r="F4342">
        <v>14</v>
      </c>
      <c r="G4342" s="1" t="s">
        <v>24</v>
      </c>
      <c r="H4342">
        <v>14119</v>
      </c>
      <c r="I4342">
        <v>7200</v>
      </c>
      <c r="J4342">
        <v>7200</v>
      </c>
      <c r="K4342">
        <v>12500</v>
      </c>
      <c r="L4342">
        <v>1736</v>
      </c>
    </row>
    <row r="4343" spans="1:12" hidden="1" x14ac:dyDescent="0.25">
      <c r="A4343">
        <v>4342</v>
      </c>
      <c r="B4343" s="1" t="s">
        <v>12</v>
      </c>
      <c r="C4343">
        <v>1993</v>
      </c>
      <c r="D4343" s="1" t="s">
        <v>300</v>
      </c>
      <c r="E4343" s="1" t="s">
        <v>22</v>
      </c>
      <c r="F4343">
        <v>14</v>
      </c>
      <c r="G4343" s="1" t="s">
        <v>23</v>
      </c>
      <c r="H4343">
        <v>14147</v>
      </c>
      <c r="I4343">
        <v>500</v>
      </c>
      <c r="J4343">
        <v>500</v>
      </c>
      <c r="K4343">
        <v>900</v>
      </c>
      <c r="L4343">
        <v>1800</v>
      </c>
    </row>
    <row r="4344" spans="1:12" hidden="1" x14ac:dyDescent="0.25">
      <c r="A4344">
        <v>4343</v>
      </c>
      <c r="B4344" s="1" t="s">
        <v>12</v>
      </c>
      <c r="C4344">
        <v>1993</v>
      </c>
      <c r="D4344" s="1" t="s">
        <v>300</v>
      </c>
      <c r="E4344" s="1" t="s">
        <v>22</v>
      </c>
      <c r="F4344">
        <v>14</v>
      </c>
      <c r="G4344" s="1" t="s">
        <v>26</v>
      </c>
      <c r="H4344">
        <v>14161</v>
      </c>
      <c r="I4344">
        <v>15400</v>
      </c>
      <c r="J4344">
        <v>15400</v>
      </c>
      <c r="K4344">
        <v>24600</v>
      </c>
      <c r="L4344">
        <v>1597</v>
      </c>
    </row>
    <row r="4345" spans="1:12" hidden="1" x14ac:dyDescent="0.25">
      <c r="A4345">
        <v>4344</v>
      </c>
      <c r="B4345" s="1" t="s">
        <v>12</v>
      </c>
      <c r="C4345">
        <v>1994</v>
      </c>
      <c r="D4345" s="1" t="s">
        <v>301</v>
      </c>
      <c r="E4345" s="1" t="s">
        <v>22</v>
      </c>
      <c r="F4345">
        <v>14</v>
      </c>
      <c r="G4345" s="1" t="s">
        <v>184</v>
      </c>
      <c r="H4345">
        <v>14042</v>
      </c>
      <c r="I4345">
        <v>20900</v>
      </c>
      <c r="J4345">
        <v>20900</v>
      </c>
      <c r="K4345">
        <v>35300</v>
      </c>
      <c r="L4345">
        <v>1689</v>
      </c>
    </row>
    <row r="4346" spans="1:12" hidden="1" x14ac:dyDescent="0.25">
      <c r="A4346">
        <v>4345</v>
      </c>
      <c r="B4346" s="1" t="s">
        <v>12</v>
      </c>
      <c r="C4346">
        <v>1994</v>
      </c>
      <c r="D4346" s="1" t="s">
        <v>301</v>
      </c>
      <c r="E4346" s="1" t="s">
        <v>22</v>
      </c>
      <c r="F4346">
        <v>14</v>
      </c>
      <c r="G4346" s="1" t="s">
        <v>143</v>
      </c>
      <c r="H4346">
        <v>14056</v>
      </c>
      <c r="I4346">
        <v>65200</v>
      </c>
      <c r="J4346">
        <v>65200</v>
      </c>
      <c r="K4346">
        <v>97800</v>
      </c>
      <c r="L4346">
        <v>1500</v>
      </c>
    </row>
    <row r="4347" spans="1:12" hidden="1" x14ac:dyDescent="0.25">
      <c r="A4347">
        <v>4346</v>
      </c>
      <c r="B4347" s="1" t="s">
        <v>12</v>
      </c>
      <c r="C4347">
        <v>1994</v>
      </c>
      <c r="D4347" s="1" t="s">
        <v>301</v>
      </c>
      <c r="E4347" s="1" t="s">
        <v>22</v>
      </c>
      <c r="F4347">
        <v>14</v>
      </c>
      <c r="G4347" s="1" t="s">
        <v>29</v>
      </c>
      <c r="H4347">
        <v>14098</v>
      </c>
      <c r="I4347">
        <v>41850</v>
      </c>
      <c r="J4347">
        <v>41850</v>
      </c>
      <c r="K4347">
        <v>62800</v>
      </c>
      <c r="L4347">
        <v>1501</v>
      </c>
    </row>
    <row r="4348" spans="1:12" hidden="1" x14ac:dyDescent="0.25">
      <c r="A4348">
        <v>4347</v>
      </c>
      <c r="B4348" s="1" t="s">
        <v>12</v>
      </c>
      <c r="C4348">
        <v>1994</v>
      </c>
      <c r="D4348" s="1" t="s">
        <v>301</v>
      </c>
      <c r="E4348" s="1" t="s">
        <v>22</v>
      </c>
      <c r="F4348">
        <v>14</v>
      </c>
      <c r="G4348" s="1" t="s">
        <v>24</v>
      </c>
      <c r="H4348">
        <v>14119</v>
      </c>
      <c r="I4348">
        <v>9000</v>
      </c>
      <c r="J4348">
        <v>9000</v>
      </c>
      <c r="K4348">
        <v>14000</v>
      </c>
      <c r="L4348">
        <v>1556</v>
      </c>
    </row>
    <row r="4349" spans="1:12" hidden="1" x14ac:dyDescent="0.25">
      <c r="A4349">
        <v>4348</v>
      </c>
      <c r="B4349" s="1" t="s">
        <v>12</v>
      </c>
      <c r="C4349">
        <v>1994</v>
      </c>
      <c r="D4349" s="1" t="s">
        <v>301</v>
      </c>
      <c r="E4349" s="1" t="s">
        <v>22</v>
      </c>
      <c r="F4349">
        <v>14</v>
      </c>
      <c r="G4349" s="1" t="s">
        <v>23</v>
      </c>
      <c r="H4349">
        <v>14147</v>
      </c>
      <c r="I4349">
        <v>500</v>
      </c>
      <c r="J4349">
        <v>500</v>
      </c>
      <c r="K4349">
        <v>700</v>
      </c>
      <c r="L4349">
        <v>1400</v>
      </c>
    </row>
    <row r="4350" spans="1:12" hidden="1" x14ac:dyDescent="0.25">
      <c r="A4350">
        <v>4349</v>
      </c>
      <c r="B4350" s="1" t="s">
        <v>12</v>
      </c>
      <c r="C4350">
        <v>1994</v>
      </c>
      <c r="D4350" s="1" t="s">
        <v>301</v>
      </c>
      <c r="E4350" s="1" t="s">
        <v>22</v>
      </c>
      <c r="F4350">
        <v>14</v>
      </c>
      <c r="G4350" s="1" t="s">
        <v>26</v>
      </c>
      <c r="H4350">
        <v>14161</v>
      </c>
      <c r="I4350">
        <v>17000</v>
      </c>
      <c r="J4350">
        <v>17000</v>
      </c>
      <c r="K4350">
        <v>26000</v>
      </c>
      <c r="L4350">
        <v>1529</v>
      </c>
    </row>
    <row r="4351" spans="1:12" hidden="1" x14ac:dyDescent="0.25">
      <c r="A4351">
        <v>4350</v>
      </c>
      <c r="B4351" s="1" t="s">
        <v>12</v>
      </c>
      <c r="C4351">
        <v>1994</v>
      </c>
      <c r="D4351" s="1" t="s">
        <v>301</v>
      </c>
      <c r="E4351" s="1" t="s">
        <v>22</v>
      </c>
      <c r="F4351">
        <v>14</v>
      </c>
      <c r="G4351" s="1" t="s">
        <v>122</v>
      </c>
      <c r="H4351">
        <v>14182</v>
      </c>
      <c r="I4351">
        <v>340</v>
      </c>
      <c r="J4351">
        <v>340</v>
      </c>
      <c r="K4351">
        <v>800</v>
      </c>
      <c r="L4351">
        <v>2353</v>
      </c>
    </row>
    <row r="4352" spans="1:12" hidden="1" x14ac:dyDescent="0.25">
      <c r="A4352">
        <v>4351</v>
      </c>
      <c r="B4352" s="1" t="s">
        <v>12</v>
      </c>
      <c r="C4352">
        <v>1994</v>
      </c>
      <c r="D4352" s="1" t="s">
        <v>301</v>
      </c>
      <c r="E4352" s="1" t="s">
        <v>30</v>
      </c>
      <c r="F4352">
        <v>18</v>
      </c>
      <c r="G4352" s="1" t="s">
        <v>38</v>
      </c>
      <c r="H4352">
        <v>18007</v>
      </c>
      <c r="I4352">
        <v>95</v>
      </c>
      <c r="J4352">
        <v>95</v>
      </c>
      <c r="K4352">
        <v>115</v>
      </c>
      <c r="L4352">
        <v>1211</v>
      </c>
    </row>
    <row r="4353" spans="1:12" hidden="1" x14ac:dyDescent="0.25">
      <c r="A4353">
        <v>4352</v>
      </c>
      <c r="B4353" s="1" t="s">
        <v>12</v>
      </c>
      <c r="C4353">
        <v>1994</v>
      </c>
      <c r="D4353" s="1" t="s">
        <v>301</v>
      </c>
      <c r="E4353" s="1" t="s">
        <v>30</v>
      </c>
      <c r="F4353">
        <v>18</v>
      </c>
      <c r="G4353" s="1" t="s">
        <v>28</v>
      </c>
      <c r="H4353">
        <v>18021</v>
      </c>
      <c r="I4353">
        <v>8</v>
      </c>
      <c r="J4353">
        <v>8</v>
      </c>
      <c r="K4353">
        <v>10</v>
      </c>
      <c r="L4353">
        <v>1250</v>
      </c>
    </row>
    <row r="4354" spans="1:12" hidden="1" x14ac:dyDescent="0.25">
      <c r="A4354">
        <v>4353</v>
      </c>
      <c r="B4354" s="1" t="s">
        <v>12</v>
      </c>
      <c r="C4354">
        <v>1994</v>
      </c>
      <c r="D4354" s="1" t="s">
        <v>301</v>
      </c>
      <c r="E4354" s="1" t="s">
        <v>30</v>
      </c>
      <c r="F4354">
        <v>18</v>
      </c>
      <c r="G4354" s="1" t="s">
        <v>63</v>
      </c>
      <c r="H4354">
        <v>18028</v>
      </c>
      <c r="I4354">
        <v>2</v>
      </c>
      <c r="J4354">
        <v>2</v>
      </c>
      <c r="K4354">
        <v>3</v>
      </c>
      <c r="L4354">
        <v>1500</v>
      </c>
    </row>
    <row r="4355" spans="1:12" hidden="1" x14ac:dyDescent="0.25">
      <c r="A4355">
        <v>4354</v>
      </c>
      <c r="B4355" s="1" t="s">
        <v>12</v>
      </c>
      <c r="C4355">
        <v>1994</v>
      </c>
      <c r="D4355" s="1" t="s">
        <v>301</v>
      </c>
      <c r="E4355" s="1" t="s">
        <v>30</v>
      </c>
      <c r="F4355">
        <v>18</v>
      </c>
      <c r="G4355" s="1" t="s">
        <v>100</v>
      </c>
      <c r="H4355">
        <v>18077</v>
      </c>
      <c r="I4355">
        <v>5</v>
      </c>
      <c r="J4355">
        <v>5</v>
      </c>
      <c r="K4355">
        <v>8</v>
      </c>
      <c r="L4355">
        <v>1600</v>
      </c>
    </row>
    <row r="4356" spans="1:12" hidden="1" x14ac:dyDescent="0.25">
      <c r="A4356">
        <v>4355</v>
      </c>
      <c r="B4356" s="1" t="s">
        <v>12</v>
      </c>
      <c r="C4356">
        <v>1994</v>
      </c>
      <c r="D4356" s="1" t="s">
        <v>301</v>
      </c>
      <c r="E4356" s="1" t="s">
        <v>30</v>
      </c>
      <c r="F4356">
        <v>18</v>
      </c>
      <c r="G4356" s="1" t="s">
        <v>36</v>
      </c>
      <c r="H4356">
        <v>18133</v>
      </c>
      <c r="I4356">
        <v>7</v>
      </c>
      <c r="J4356">
        <v>7</v>
      </c>
      <c r="K4356">
        <v>11</v>
      </c>
      <c r="L4356">
        <v>1571</v>
      </c>
    </row>
    <row r="4357" spans="1:12" hidden="1" x14ac:dyDescent="0.25">
      <c r="A4357">
        <v>4356</v>
      </c>
      <c r="B4357" s="1" t="s">
        <v>12</v>
      </c>
      <c r="C4357">
        <v>1994</v>
      </c>
      <c r="D4357" s="1" t="s">
        <v>301</v>
      </c>
      <c r="E4357" s="1" t="s">
        <v>30</v>
      </c>
      <c r="F4357">
        <v>18</v>
      </c>
      <c r="G4357" s="1" t="s">
        <v>41</v>
      </c>
      <c r="H4357">
        <v>18140</v>
      </c>
      <c r="I4357">
        <v>73</v>
      </c>
      <c r="J4357">
        <v>73</v>
      </c>
      <c r="K4357">
        <v>100</v>
      </c>
      <c r="L4357">
        <v>1370</v>
      </c>
    </row>
    <row r="4358" spans="1:12" hidden="1" x14ac:dyDescent="0.25">
      <c r="A4358">
        <v>4357</v>
      </c>
      <c r="B4358" s="1" t="s">
        <v>12</v>
      </c>
      <c r="C4358">
        <v>1994</v>
      </c>
      <c r="D4358" s="1" t="s">
        <v>301</v>
      </c>
      <c r="E4358" s="1" t="s">
        <v>87</v>
      </c>
      <c r="F4358">
        <v>66</v>
      </c>
      <c r="G4358" s="1" t="s">
        <v>153</v>
      </c>
      <c r="H4358">
        <v>66007</v>
      </c>
      <c r="I4358">
        <v>130</v>
      </c>
      <c r="J4358">
        <v>30</v>
      </c>
      <c r="K4358">
        <v>40</v>
      </c>
      <c r="L4358">
        <v>1333</v>
      </c>
    </row>
    <row r="4359" spans="1:12" hidden="1" x14ac:dyDescent="0.25">
      <c r="A4359">
        <v>4358</v>
      </c>
      <c r="B4359" s="1" t="s">
        <v>12</v>
      </c>
      <c r="C4359">
        <v>1994</v>
      </c>
      <c r="D4359" s="1" t="s">
        <v>301</v>
      </c>
      <c r="E4359" s="1" t="s">
        <v>87</v>
      </c>
      <c r="F4359">
        <v>66</v>
      </c>
      <c r="G4359" s="1" t="s">
        <v>230</v>
      </c>
      <c r="H4359">
        <v>66056</v>
      </c>
      <c r="I4359">
        <v>100</v>
      </c>
      <c r="J4359">
        <v>100</v>
      </c>
      <c r="K4359">
        <v>130</v>
      </c>
      <c r="L4359">
        <v>1300</v>
      </c>
    </row>
    <row r="4360" spans="1:12" hidden="1" x14ac:dyDescent="0.25">
      <c r="A4360">
        <v>4359</v>
      </c>
      <c r="B4360" s="1" t="s">
        <v>12</v>
      </c>
      <c r="C4360">
        <v>1995</v>
      </c>
      <c r="D4360" s="1" t="s">
        <v>302</v>
      </c>
      <c r="E4360" s="1" t="s">
        <v>22</v>
      </c>
      <c r="F4360">
        <v>14</v>
      </c>
      <c r="G4360" s="1" t="s">
        <v>184</v>
      </c>
      <c r="H4360">
        <v>14042</v>
      </c>
      <c r="I4360">
        <v>26200</v>
      </c>
      <c r="J4360">
        <v>26200</v>
      </c>
      <c r="K4360">
        <v>49900</v>
      </c>
      <c r="L4360">
        <v>1905</v>
      </c>
    </row>
    <row r="4361" spans="1:12" hidden="1" x14ac:dyDescent="0.25">
      <c r="A4361">
        <v>4360</v>
      </c>
      <c r="B4361" s="1" t="s">
        <v>12</v>
      </c>
      <c r="C4361">
        <v>1995</v>
      </c>
      <c r="D4361" s="1" t="s">
        <v>302</v>
      </c>
      <c r="E4361" s="1" t="s">
        <v>22</v>
      </c>
      <c r="F4361">
        <v>14</v>
      </c>
      <c r="G4361" s="1" t="s">
        <v>143</v>
      </c>
      <c r="H4361">
        <v>14056</v>
      </c>
      <c r="I4361">
        <v>94700</v>
      </c>
      <c r="J4361">
        <v>94700</v>
      </c>
      <c r="K4361">
        <v>189100</v>
      </c>
      <c r="L4361">
        <v>1997</v>
      </c>
    </row>
    <row r="4362" spans="1:12" hidden="1" x14ac:dyDescent="0.25">
      <c r="A4362">
        <v>4361</v>
      </c>
      <c r="B4362" s="1" t="s">
        <v>12</v>
      </c>
      <c r="C4362">
        <v>1995</v>
      </c>
      <c r="D4362" s="1" t="s">
        <v>302</v>
      </c>
      <c r="E4362" s="1" t="s">
        <v>22</v>
      </c>
      <c r="F4362">
        <v>14</v>
      </c>
      <c r="G4362" s="1" t="s">
        <v>29</v>
      </c>
      <c r="H4362">
        <v>14098</v>
      </c>
      <c r="I4362">
        <v>83300</v>
      </c>
      <c r="J4362">
        <v>83300</v>
      </c>
      <c r="K4362">
        <v>166300</v>
      </c>
      <c r="L4362">
        <v>1996</v>
      </c>
    </row>
    <row r="4363" spans="1:12" hidden="1" x14ac:dyDescent="0.25">
      <c r="A4363">
        <v>4362</v>
      </c>
      <c r="B4363" s="1" t="s">
        <v>12</v>
      </c>
      <c r="C4363">
        <v>1995</v>
      </c>
      <c r="D4363" s="1" t="s">
        <v>302</v>
      </c>
      <c r="E4363" s="1" t="s">
        <v>22</v>
      </c>
      <c r="F4363">
        <v>14</v>
      </c>
      <c r="G4363" s="1" t="s">
        <v>24</v>
      </c>
      <c r="H4363">
        <v>14119</v>
      </c>
      <c r="I4363">
        <v>13500</v>
      </c>
      <c r="J4363">
        <v>13500</v>
      </c>
      <c r="K4363">
        <v>20600</v>
      </c>
      <c r="L4363">
        <v>1526</v>
      </c>
    </row>
    <row r="4364" spans="1:12" hidden="1" x14ac:dyDescent="0.25">
      <c r="A4364">
        <v>4363</v>
      </c>
      <c r="B4364" s="1" t="s">
        <v>12</v>
      </c>
      <c r="C4364">
        <v>1995</v>
      </c>
      <c r="D4364" s="1" t="s">
        <v>302</v>
      </c>
      <c r="E4364" s="1" t="s">
        <v>22</v>
      </c>
      <c r="F4364">
        <v>14</v>
      </c>
      <c r="G4364" s="1" t="s">
        <v>23</v>
      </c>
      <c r="H4364">
        <v>14147</v>
      </c>
      <c r="I4364">
        <v>600</v>
      </c>
      <c r="J4364">
        <v>600</v>
      </c>
      <c r="K4364">
        <v>1000</v>
      </c>
      <c r="L4364">
        <v>1667</v>
      </c>
    </row>
    <row r="4365" spans="1:12" hidden="1" x14ac:dyDescent="0.25">
      <c r="A4365">
        <v>4364</v>
      </c>
      <c r="B4365" s="1" t="s">
        <v>12</v>
      </c>
      <c r="C4365">
        <v>1995</v>
      </c>
      <c r="D4365" s="1" t="s">
        <v>302</v>
      </c>
      <c r="E4365" s="1" t="s">
        <v>22</v>
      </c>
      <c r="F4365">
        <v>14</v>
      </c>
      <c r="G4365" s="1" t="s">
        <v>26</v>
      </c>
      <c r="H4365">
        <v>14161</v>
      </c>
      <c r="I4365">
        <v>19700</v>
      </c>
      <c r="J4365">
        <v>19700</v>
      </c>
      <c r="K4365">
        <v>34100</v>
      </c>
      <c r="L4365">
        <v>1731</v>
      </c>
    </row>
    <row r="4366" spans="1:12" hidden="1" x14ac:dyDescent="0.25">
      <c r="A4366">
        <v>4365</v>
      </c>
      <c r="B4366" s="1" t="s">
        <v>12</v>
      </c>
      <c r="C4366">
        <v>1995</v>
      </c>
      <c r="D4366" s="1" t="s">
        <v>302</v>
      </c>
      <c r="E4366" s="1" t="s">
        <v>22</v>
      </c>
      <c r="F4366">
        <v>14</v>
      </c>
      <c r="G4366" s="1" t="s">
        <v>122</v>
      </c>
      <c r="H4366">
        <v>14182</v>
      </c>
      <c r="I4366">
        <v>500</v>
      </c>
      <c r="J4366">
        <v>500</v>
      </c>
      <c r="K4366">
        <v>950</v>
      </c>
      <c r="L4366">
        <v>1900</v>
      </c>
    </row>
    <row r="4367" spans="1:12" hidden="1" x14ac:dyDescent="0.25">
      <c r="A4367">
        <v>4366</v>
      </c>
      <c r="B4367" s="1" t="s">
        <v>12</v>
      </c>
      <c r="C4367">
        <v>1995</v>
      </c>
      <c r="D4367" s="1" t="s">
        <v>302</v>
      </c>
      <c r="E4367" s="1" t="s">
        <v>30</v>
      </c>
      <c r="F4367">
        <v>18</v>
      </c>
      <c r="G4367" s="1" t="s">
        <v>38</v>
      </c>
      <c r="H4367">
        <v>18007</v>
      </c>
      <c r="I4367">
        <v>100</v>
      </c>
      <c r="J4367">
        <v>65</v>
      </c>
      <c r="K4367">
        <v>69</v>
      </c>
      <c r="L4367">
        <v>1062</v>
      </c>
    </row>
    <row r="4368" spans="1:12" hidden="1" x14ac:dyDescent="0.25">
      <c r="A4368">
        <v>4367</v>
      </c>
      <c r="B4368" s="1" t="s">
        <v>12</v>
      </c>
      <c r="C4368">
        <v>1995</v>
      </c>
      <c r="D4368" s="1" t="s">
        <v>302</v>
      </c>
      <c r="E4368" s="1" t="s">
        <v>30</v>
      </c>
      <c r="F4368">
        <v>18</v>
      </c>
      <c r="G4368" s="1" t="s">
        <v>28</v>
      </c>
      <c r="H4368">
        <v>18021</v>
      </c>
      <c r="I4368">
        <v>8</v>
      </c>
      <c r="J4368">
        <v>5</v>
      </c>
      <c r="K4368">
        <v>6</v>
      </c>
      <c r="L4368">
        <v>1200</v>
      </c>
    </row>
    <row r="4369" spans="1:12" hidden="1" x14ac:dyDescent="0.25">
      <c r="A4369">
        <v>4368</v>
      </c>
      <c r="B4369" s="1" t="s">
        <v>12</v>
      </c>
      <c r="C4369">
        <v>1995</v>
      </c>
      <c r="D4369" s="1" t="s">
        <v>302</v>
      </c>
      <c r="E4369" s="1" t="s">
        <v>30</v>
      </c>
      <c r="F4369">
        <v>18</v>
      </c>
      <c r="G4369" s="1" t="s">
        <v>63</v>
      </c>
      <c r="H4369">
        <v>18028</v>
      </c>
      <c r="I4369">
        <v>2</v>
      </c>
      <c r="J4369">
        <v>2</v>
      </c>
      <c r="K4369">
        <v>2</v>
      </c>
      <c r="L4369">
        <v>1000</v>
      </c>
    </row>
    <row r="4370" spans="1:12" hidden="1" x14ac:dyDescent="0.25">
      <c r="A4370">
        <v>4369</v>
      </c>
      <c r="B4370" s="1" t="s">
        <v>12</v>
      </c>
      <c r="C4370">
        <v>1995</v>
      </c>
      <c r="D4370" s="1" t="s">
        <v>302</v>
      </c>
      <c r="E4370" s="1" t="s">
        <v>30</v>
      </c>
      <c r="F4370">
        <v>18</v>
      </c>
      <c r="G4370" s="1" t="s">
        <v>36</v>
      </c>
      <c r="H4370">
        <v>18133</v>
      </c>
      <c r="I4370">
        <v>7</v>
      </c>
      <c r="J4370">
        <v>6</v>
      </c>
      <c r="K4370">
        <v>7</v>
      </c>
      <c r="L4370">
        <v>1167</v>
      </c>
    </row>
    <row r="4371" spans="1:12" hidden="1" x14ac:dyDescent="0.25">
      <c r="A4371">
        <v>4370</v>
      </c>
      <c r="B4371" s="1" t="s">
        <v>12</v>
      </c>
      <c r="C4371">
        <v>1995</v>
      </c>
      <c r="D4371" s="1" t="s">
        <v>302</v>
      </c>
      <c r="E4371" s="1" t="s">
        <v>30</v>
      </c>
      <c r="F4371">
        <v>18</v>
      </c>
      <c r="G4371" s="1" t="s">
        <v>41</v>
      </c>
      <c r="H4371">
        <v>18140</v>
      </c>
      <c r="I4371">
        <v>83</v>
      </c>
      <c r="J4371">
        <v>52</v>
      </c>
      <c r="K4371">
        <v>56</v>
      </c>
      <c r="L4371">
        <v>1077</v>
      </c>
    </row>
    <row r="4372" spans="1:12" hidden="1" x14ac:dyDescent="0.25">
      <c r="A4372">
        <v>4371</v>
      </c>
      <c r="B4372" s="1" t="s">
        <v>12</v>
      </c>
      <c r="C4372">
        <v>1995</v>
      </c>
      <c r="D4372" s="1" t="s">
        <v>302</v>
      </c>
      <c r="E4372" s="1" t="s">
        <v>87</v>
      </c>
      <c r="F4372">
        <v>66</v>
      </c>
      <c r="G4372" s="1" t="s">
        <v>153</v>
      </c>
      <c r="H4372">
        <v>66007</v>
      </c>
      <c r="I4372">
        <v>110</v>
      </c>
      <c r="J4372">
        <v>110</v>
      </c>
      <c r="K4372">
        <v>200</v>
      </c>
      <c r="L4372">
        <v>1818</v>
      </c>
    </row>
    <row r="4373" spans="1:12" hidden="1" x14ac:dyDescent="0.25">
      <c r="A4373">
        <v>4372</v>
      </c>
      <c r="B4373" s="1" t="s">
        <v>12</v>
      </c>
      <c r="C4373">
        <v>1995</v>
      </c>
      <c r="D4373" s="1" t="s">
        <v>302</v>
      </c>
      <c r="E4373" s="1" t="s">
        <v>87</v>
      </c>
      <c r="F4373">
        <v>66</v>
      </c>
      <c r="G4373" s="1" t="s">
        <v>230</v>
      </c>
      <c r="H4373">
        <v>66056</v>
      </c>
      <c r="I4373">
        <v>90</v>
      </c>
      <c r="J4373">
        <v>90</v>
      </c>
      <c r="K4373">
        <v>100</v>
      </c>
      <c r="L4373">
        <v>1111</v>
      </c>
    </row>
    <row r="4374" spans="1:12" hidden="1" x14ac:dyDescent="0.25">
      <c r="A4374">
        <v>4373</v>
      </c>
      <c r="B4374" s="1" t="s">
        <v>12</v>
      </c>
      <c r="C4374">
        <v>1996</v>
      </c>
      <c r="D4374" s="1" t="s">
        <v>303</v>
      </c>
      <c r="E4374" s="1" t="s">
        <v>22</v>
      </c>
      <c r="F4374">
        <v>14</v>
      </c>
      <c r="G4374" s="1" t="s">
        <v>184</v>
      </c>
      <c r="H4374">
        <v>14042</v>
      </c>
      <c r="I4374">
        <v>51450</v>
      </c>
      <c r="J4374">
        <v>51150</v>
      </c>
      <c r="K4374">
        <v>47200</v>
      </c>
      <c r="L4374">
        <v>923</v>
      </c>
    </row>
    <row r="4375" spans="1:12" hidden="1" x14ac:dyDescent="0.25">
      <c r="A4375">
        <v>4374</v>
      </c>
      <c r="B4375" s="1" t="s">
        <v>12</v>
      </c>
      <c r="C4375">
        <v>1996</v>
      </c>
      <c r="D4375" s="1" t="s">
        <v>303</v>
      </c>
      <c r="E4375" s="1" t="s">
        <v>22</v>
      </c>
      <c r="F4375">
        <v>14</v>
      </c>
      <c r="G4375" s="1" t="s">
        <v>143</v>
      </c>
      <c r="H4375">
        <v>14056</v>
      </c>
      <c r="I4375">
        <v>108950</v>
      </c>
      <c r="J4375">
        <v>92950</v>
      </c>
      <c r="K4375">
        <v>83850</v>
      </c>
      <c r="L4375">
        <v>902</v>
      </c>
    </row>
    <row r="4376" spans="1:12" hidden="1" x14ac:dyDescent="0.25">
      <c r="A4376">
        <v>4375</v>
      </c>
      <c r="B4376" s="1" t="s">
        <v>12</v>
      </c>
      <c r="C4376">
        <v>1996</v>
      </c>
      <c r="D4376" s="1" t="s">
        <v>303</v>
      </c>
      <c r="E4376" s="1" t="s">
        <v>22</v>
      </c>
      <c r="F4376">
        <v>14</v>
      </c>
      <c r="G4376" s="1" t="s">
        <v>206</v>
      </c>
      <c r="H4376">
        <v>14084</v>
      </c>
      <c r="I4376">
        <v>120</v>
      </c>
      <c r="J4376">
        <v>120</v>
      </c>
      <c r="K4376">
        <v>216</v>
      </c>
      <c r="L4376">
        <v>1800</v>
      </c>
    </row>
    <row r="4377" spans="1:12" hidden="1" x14ac:dyDescent="0.25">
      <c r="A4377">
        <v>4376</v>
      </c>
      <c r="B4377" s="1" t="s">
        <v>12</v>
      </c>
      <c r="C4377">
        <v>1996</v>
      </c>
      <c r="D4377" s="1" t="s">
        <v>303</v>
      </c>
      <c r="E4377" s="1" t="s">
        <v>22</v>
      </c>
      <c r="F4377">
        <v>14</v>
      </c>
      <c r="G4377" s="1" t="s">
        <v>29</v>
      </c>
      <c r="H4377">
        <v>14098</v>
      </c>
      <c r="I4377">
        <v>95800</v>
      </c>
      <c r="J4377">
        <v>81650</v>
      </c>
      <c r="K4377">
        <v>73650</v>
      </c>
      <c r="L4377">
        <v>902</v>
      </c>
    </row>
    <row r="4378" spans="1:12" hidden="1" x14ac:dyDescent="0.25">
      <c r="A4378">
        <v>4377</v>
      </c>
      <c r="B4378" s="1" t="s">
        <v>12</v>
      </c>
      <c r="C4378">
        <v>1996</v>
      </c>
      <c r="D4378" s="1" t="s">
        <v>303</v>
      </c>
      <c r="E4378" s="1" t="s">
        <v>22</v>
      </c>
      <c r="F4378">
        <v>14</v>
      </c>
      <c r="G4378" s="1" t="s">
        <v>25</v>
      </c>
      <c r="H4378">
        <v>14105</v>
      </c>
      <c r="I4378">
        <v>400</v>
      </c>
      <c r="J4378">
        <v>400</v>
      </c>
      <c r="K4378">
        <v>400</v>
      </c>
      <c r="L4378">
        <v>1000</v>
      </c>
    </row>
    <row r="4379" spans="1:12" hidden="1" x14ac:dyDescent="0.25">
      <c r="A4379">
        <v>4378</v>
      </c>
      <c r="B4379" s="1" t="s">
        <v>12</v>
      </c>
      <c r="C4379">
        <v>1996</v>
      </c>
      <c r="D4379" s="1" t="s">
        <v>303</v>
      </c>
      <c r="E4379" s="1" t="s">
        <v>22</v>
      </c>
      <c r="F4379">
        <v>14</v>
      </c>
      <c r="G4379" s="1" t="s">
        <v>24</v>
      </c>
      <c r="H4379">
        <v>14119</v>
      </c>
      <c r="I4379">
        <v>19500</v>
      </c>
      <c r="J4379">
        <v>19500</v>
      </c>
      <c r="K4379">
        <v>25650</v>
      </c>
      <c r="L4379">
        <v>1315</v>
      </c>
    </row>
    <row r="4380" spans="1:12" hidden="1" x14ac:dyDescent="0.25">
      <c r="A4380">
        <v>4379</v>
      </c>
      <c r="B4380" s="1" t="s">
        <v>12</v>
      </c>
      <c r="C4380">
        <v>1996</v>
      </c>
      <c r="D4380" s="1" t="s">
        <v>303</v>
      </c>
      <c r="E4380" s="1" t="s">
        <v>22</v>
      </c>
      <c r="F4380">
        <v>14</v>
      </c>
      <c r="G4380" s="1" t="s">
        <v>23</v>
      </c>
      <c r="H4380">
        <v>14147</v>
      </c>
      <c r="I4380">
        <v>900</v>
      </c>
      <c r="J4380">
        <v>900</v>
      </c>
      <c r="K4380">
        <v>2000</v>
      </c>
      <c r="L4380">
        <v>2222</v>
      </c>
    </row>
    <row r="4381" spans="1:12" hidden="1" x14ac:dyDescent="0.25">
      <c r="A4381">
        <v>4380</v>
      </c>
      <c r="B4381" s="1" t="s">
        <v>12</v>
      </c>
      <c r="C4381">
        <v>1996</v>
      </c>
      <c r="D4381" s="1" t="s">
        <v>303</v>
      </c>
      <c r="E4381" s="1" t="s">
        <v>22</v>
      </c>
      <c r="F4381">
        <v>14</v>
      </c>
      <c r="G4381" s="1" t="s">
        <v>26</v>
      </c>
      <c r="H4381">
        <v>14161</v>
      </c>
      <c r="I4381">
        <v>50510</v>
      </c>
      <c r="J4381">
        <v>50510</v>
      </c>
      <c r="K4381">
        <v>47000</v>
      </c>
      <c r="L4381">
        <v>931</v>
      </c>
    </row>
    <row r="4382" spans="1:12" hidden="1" x14ac:dyDescent="0.25">
      <c r="A4382">
        <v>4381</v>
      </c>
      <c r="B4382" s="1" t="s">
        <v>12</v>
      </c>
      <c r="C4382">
        <v>1996</v>
      </c>
      <c r="D4382" s="1" t="s">
        <v>303</v>
      </c>
      <c r="E4382" s="1" t="s">
        <v>22</v>
      </c>
      <c r="F4382">
        <v>14</v>
      </c>
      <c r="G4382" s="1" t="s">
        <v>122</v>
      </c>
      <c r="H4382">
        <v>14182</v>
      </c>
      <c r="I4382">
        <v>500</v>
      </c>
      <c r="J4382">
        <v>500</v>
      </c>
      <c r="K4382">
        <v>400</v>
      </c>
      <c r="L4382">
        <v>800</v>
      </c>
    </row>
    <row r="4383" spans="1:12" hidden="1" x14ac:dyDescent="0.25">
      <c r="A4383">
        <v>4382</v>
      </c>
      <c r="B4383" s="1" t="s">
        <v>12</v>
      </c>
      <c r="C4383">
        <v>1996</v>
      </c>
      <c r="D4383" s="1" t="s">
        <v>303</v>
      </c>
      <c r="E4383" s="1" t="s">
        <v>30</v>
      </c>
      <c r="F4383">
        <v>18</v>
      </c>
      <c r="G4383" s="1" t="s">
        <v>38</v>
      </c>
      <c r="H4383">
        <v>18007</v>
      </c>
      <c r="I4383">
        <v>70</v>
      </c>
      <c r="J4383">
        <v>70</v>
      </c>
      <c r="K4383">
        <v>77</v>
      </c>
      <c r="L4383">
        <v>1100</v>
      </c>
    </row>
    <row r="4384" spans="1:12" hidden="1" x14ac:dyDescent="0.25">
      <c r="A4384">
        <v>4383</v>
      </c>
      <c r="B4384" s="1" t="s">
        <v>12</v>
      </c>
      <c r="C4384">
        <v>1996</v>
      </c>
      <c r="D4384" s="1" t="s">
        <v>303</v>
      </c>
      <c r="E4384" s="1" t="s">
        <v>30</v>
      </c>
      <c r="F4384">
        <v>18</v>
      </c>
      <c r="G4384" s="1" t="s">
        <v>28</v>
      </c>
      <c r="H4384">
        <v>18021</v>
      </c>
      <c r="I4384">
        <v>6</v>
      </c>
      <c r="J4384">
        <v>6</v>
      </c>
      <c r="K4384">
        <v>6</v>
      </c>
      <c r="L4384">
        <v>1000</v>
      </c>
    </row>
    <row r="4385" spans="1:12" hidden="1" x14ac:dyDescent="0.25">
      <c r="A4385">
        <v>4384</v>
      </c>
      <c r="B4385" s="1" t="s">
        <v>12</v>
      </c>
      <c r="C4385">
        <v>1996</v>
      </c>
      <c r="D4385" s="1" t="s">
        <v>303</v>
      </c>
      <c r="E4385" s="1" t="s">
        <v>30</v>
      </c>
      <c r="F4385">
        <v>18</v>
      </c>
      <c r="G4385" s="1" t="s">
        <v>63</v>
      </c>
      <c r="H4385">
        <v>18028</v>
      </c>
      <c r="I4385">
        <v>2</v>
      </c>
      <c r="J4385">
        <v>2</v>
      </c>
      <c r="K4385">
        <v>2</v>
      </c>
      <c r="L4385">
        <v>1000</v>
      </c>
    </row>
    <row r="4386" spans="1:12" hidden="1" x14ac:dyDescent="0.25">
      <c r="A4386">
        <v>4385</v>
      </c>
      <c r="B4386" s="1" t="s">
        <v>12</v>
      </c>
      <c r="C4386">
        <v>1996</v>
      </c>
      <c r="D4386" s="1" t="s">
        <v>303</v>
      </c>
      <c r="E4386" s="1" t="s">
        <v>30</v>
      </c>
      <c r="F4386">
        <v>18</v>
      </c>
      <c r="G4386" s="1" t="s">
        <v>100</v>
      </c>
      <c r="H4386">
        <v>18077</v>
      </c>
      <c r="I4386">
        <v>4</v>
      </c>
      <c r="J4386">
        <v>4</v>
      </c>
      <c r="K4386">
        <v>5</v>
      </c>
      <c r="L4386">
        <v>1250</v>
      </c>
    </row>
    <row r="4387" spans="1:12" hidden="1" x14ac:dyDescent="0.25">
      <c r="A4387">
        <v>4386</v>
      </c>
      <c r="B4387" s="1" t="s">
        <v>12</v>
      </c>
      <c r="C4387">
        <v>1996</v>
      </c>
      <c r="D4387" s="1" t="s">
        <v>303</v>
      </c>
      <c r="E4387" s="1" t="s">
        <v>30</v>
      </c>
      <c r="F4387">
        <v>18</v>
      </c>
      <c r="G4387" s="1" t="s">
        <v>36</v>
      </c>
      <c r="H4387">
        <v>18133</v>
      </c>
      <c r="I4387">
        <v>7</v>
      </c>
      <c r="J4387">
        <v>7</v>
      </c>
      <c r="K4387">
        <v>8</v>
      </c>
      <c r="L4387">
        <v>1143</v>
      </c>
    </row>
    <row r="4388" spans="1:12" hidden="1" x14ac:dyDescent="0.25">
      <c r="A4388">
        <v>4387</v>
      </c>
      <c r="B4388" s="1" t="s">
        <v>12</v>
      </c>
      <c r="C4388">
        <v>1996</v>
      </c>
      <c r="D4388" s="1" t="s">
        <v>303</v>
      </c>
      <c r="E4388" s="1" t="s">
        <v>30</v>
      </c>
      <c r="F4388">
        <v>18</v>
      </c>
      <c r="G4388" s="1" t="s">
        <v>41</v>
      </c>
      <c r="H4388">
        <v>18140</v>
      </c>
      <c r="I4388">
        <v>60</v>
      </c>
      <c r="J4388">
        <v>60</v>
      </c>
      <c r="K4388">
        <v>60</v>
      </c>
      <c r="L4388">
        <v>1000</v>
      </c>
    </row>
    <row r="4389" spans="1:12" hidden="1" x14ac:dyDescent="0.25">
      <c r="A4389">
        <v>4388</v>
      </c>
      <c r="B4389" s="1" t="s">
        <v>12</v>
      </c>
      <c r="C4389">
        <v>1996</v>
      </c>
      <c r="D4389" s="1" t="s">
        <v>303</v>
      </c>
      <c r="E4389" s="1" t="s">
        <v>30</v>
      </c>
      <c r="F4389">
        <v>18</v>
      </c>
      <c r="G4389" s="1" t="s">
        <v>101</v>
      </c>
      <c r="H4389">
        <v>18161</v>
      </c>
      <c r="I4389">
        <v>11</v>
      </c>
      <c r="J4389">
        <v>11</v>
      </c>
      <c r="K4389">
        <v>12</v>
      </c>
      <c r="L4389">
        <v>1091</v>
      </c>
    </row>
    <row r="4390" spans="1:12" hidden="1" x14ac:dyDescent="0.25">
      <c r="A4390">
        <v>4389</v>
      </c>
      <c r="B4390" s="1" t="s">
        <v>12</v>
      </c>
      <c r="C4390">
        <v>1996</v>
      </c>
      <c r="D4390" s="1" t="s">
        <v>303</v>
      </c>
      <c r="E4390" s="1" t="s">
        <v>87</v>
      </c>
      <c r="F4390">
        <v>66</v>
      </c>
      <c r="G4390" s="1" t="s">
        <v>153</v>
      </c>
      <c r="H4390">
        <v>66007</v>
      </c>
      <c r="I4390">
        <v>130</v>
      </c>
      <c r="J4390">
        <v>130</v>
      </c>
      <c r="K4390">
        <v>180</v>
      </c>
      <c r="L4390">
        <v>1385</v>
      </c>
    </row>
    <row r="4391" spans="1:12" hidden="1" x14ac:dyDescent="0.25">
      <c r="A4391">
        <v>4390</v>
      </c>
      <c r="B4391" s="1" t="s">
        <v>12</v>
      </c>
      <c r="C4391">
        <v>1996</v>
      </c>
      <c r="D4391" s="1" t="s">
        <v>303</v>
      </c>
      <c r="E4391" s="1" t="s">
        <v>87</v>
      </c>
      <c r="F4391">
        <v>66</v>
      </c>
      <c r="G4391" s="1" t="s">
        <v>230</v>
      </c>
      <c r="H4391">
        <v>66056</v>
      </c>
      <c r="I4391">
        <v>100</v>
      </c>
      <c r="J4391">
        <v>100</v>
      </c>
      <c r="K4391">
        <v>140</v>
      </c>
      <c r="L4391">
        <v>1400</v>
      </c>
    </row>
    <row r="4392" spans="1:12" hidden="1" x14ac:dyDescent="0.25">
      <c r="A4392">
        <v>4391</v>
      </c>
      <c r="B4392" s="1" t="s">
        <v>12</v>
      </c>
      <c r="C4392">
        <v>1997</v>
      </c>
      <c r="D4392" s="1" t="s">
        <v>304</v>
      </c>
      <c r="E4392" s="1" t="s">
        <v>22</v>
      </c>
      <c r="F4392">
        <v>14</v>
      </c>
      <c r="G4392" s="1" t="s">
        <v>129</v>
      </c>
      <c r="H4392">
        <v>14035</v>
      </c>
      <c r="I4392">
        <v>3500</v>
      </c>
      <c r="J4392">
        <v>3000</v>
      </c>
      <c r="K4392">
        <v>6000</v>
      </c>
      <c r="L4392">
        <v>2000</v>
      </c>
    </row>
    <row r="4393" spans="1:12" hidden="1" x14ac:dyDescent="0.25">
      <c r="A4393">
        <v>4392</v>
      </c>
      <c r="B4393" s="1" t="s">
        <v>12</v>
      </c>
      <c r="C4393">
        <v>1997</v>
      </c>
      <c r="D4393" s="1" t="s">
        <v>304</v>
      </c>
      <c r="E4393" s="1" t="s">
        <v>22</v>
      </c>
      <c r="F4393">
        <v>14</v>
      </c>
      <c r="G4393" s="1" t="s">
        <v>184</v>
      </c>
      <c r="H4393">
        <v>14042</v>
      </c>
      <c r="I4393">
        <v>63600</v>
      </c>
      <c r="J4393">
        <v>63500</v>
      </c>
      <c r="K4393">
        <v>105200</v>
      </c>
      <c r="L4393">
        <v>1657</v>
      </c>
    </row>
    <row r="4394" spans="1:12" hidden="1" x14ac:dyDescent="0.25">
      <c r="A4394">
        <v>4393</v>
      </c>
      <c r="B4394" s="1" t="s">
        <v>12</v>
      </c>
      <c r="C4394">
        <v>1997</v>
      </c>
      <c r="D4394" s="1" t="s">
        <v>304</v>
      </c>
      <c r="E4394" s="1" t="s">
        <v>22</v>
      </c>
      <c r="F4394">
        <v>14</v>
      </c>
      <c r="G4394" s="1" t="s">
        <v>143</v>
      </c>
      <c r="H4394">
        <v>14056</v>
      </c>
      <c r="I4394">
        <v>128600</v>
      </c>
      <c r="J4394">
        <v>118600</v>
      </c>
      <c r="K4394">
        <v>186200</v>
      </c>
      <c r="L4394">
        <v>1570</v>
      </c>
    </row>
    <row r="4395" spans="1:12" hidden="1" x14ac:dyDescent="0.25">
      <c r="A4395">
        <v>4394</v>
      </c>
      <c r="B4395" s="1" t="s">
        <v>12</v>
      </c>
      <c r="C4395">
        <v>1997</v>
      </c>
      <c r="D4395" s="1" t="s">
        <v>304</v>
      </c>
      <c r="E4395" s="1" t="s">
        <v>22</v>
      </c>
      <c r="F4395">
        <v>14</v>
      </c>
      <c r="G4395" s="1" t="s">
        <v>29</v>
      </c>
      <c r="H4395">
        <v>14098</v>
      </c>
      <c r="I4395">
        <v>113100</v>
      </c>
      <c r="J4395">
        <v>101100</v>
      </c>
      <c r="K4395">
        <v>158700</v>
      </c>
      <c r="L4395">
        <v>1570</v>
      </c>
    </row>
    <row r="4396" spans="1:12" hidden="1" x14ac:dyDescent="0.25">
      <c r="A4396">
        <v>4395</v>
      </c>
      <c r="B4396" s="1" t="s">
        <v>12</v>
      </c>
      <c r="C4396">
        <v>1997</v>
      </c>
      <c r="D4396" s="1" t="s">
        <v>304</v>
      </c>
      <c r="E4396" s="1" t="s">
        <v>22</v>
      </c>
      <c r="F4396">
        <v>14</v>
      </c>
      <c r="G4396" s="1" t="s">
        <v>25</v>
      </c>
      <c r="H4396">
        <v>14105</v>
      </c>
      <c r="I4396">
        <v>2000</v>
      </c>
      <c r="J4396">
        <v>2000</v>
      </c>
      <c r="K4396">
        <v>3400</v>
      </c>
      <c r="L4396">
        <v>1700</v>
      </c>
    </row>
    <row r="4397" spans="1:12" hidden="1" x14ac:dyDescent="0.25">
      <c r="A4397">
        <v>4396</v>
      </c>
      <c r="B4397" s="1" t="s">
        <v>12</v>
      </c>
      <c r="C4397">
        <v>1997</v>
      </c>
      <c r="D4397" s="1" t="s">
        <v>304</v>
      </c>
      <c r="E4397" s="1" t="s">
        <v>22</v>
      </c>
      <c r="F4397">
        <v>14</v>
      </c>
      <c r="G4397" s="1" t="s">
        <v>24</v>
      </c>
      <c r="H4397">
        <v>14119</v>
      </c>
      <c r="I4397">
        <v>25000</v>
      </c>
      <c r="J4397">
        <v>25000</v>
      </c>
      <c r="K4397">
        <v>44900</v>
      </c>
      <c r="L4397">
        <v>1796</v>
      </c>
    </row>
    <row r="4398" spans="1:12" hidden="1" x14ac:dyDescent="0.25">
      <c r="A4398">
        <v>4397</v>
      </c>
      <c r="B4398" s="1" t="s">
        <v>12</v>
      </c>
      <c r="C4398">
        <v>1997</v>
      </c>
      <c r="D4398" s="1" t="s">
        <v>304</v>
      </c>
      <c r="E4398" s="1" t="s">
        <v>22</v>
      </c>
      <c r="F4398">
        <v>14</v>
      </c>
      <c r="G4398" s="1" t="s">
        <v>23</v>
      </c>
      <c r="H4398">
        <v>14147</v>
      </c>
      <c r="I4398">
        <v>1000</v>
      </c>
      <c r="J4398">
        <v>1000</v>
      </c>
      <c r="K4398">
        <v>1800</v>
      </c>
      <c r="L4398">
        <v>1800</v>
      </c>
    </row>
    <row r="4399" spans="1:12" hidden="1" x14ac:dyDescent="0.25">
      <c r="A4399">
        <v>4398</v>
      </c>
      <c r="B4399" s="1" t="s">
        <v>12</v>
      </c>
      <c r="C4399">
        <v>1997</v>
      </c>
      <c r="D4399" s="1" t="s">
        <v>304</v>
      </c>
      <c r="E4399" s="1" t="s">
        <v>22</v>
      </c>
      <c r="F4399">
        <v>14</v>
      </c>
      <c r="G4399" s="1" t="s">
        <v>26</v>
      </c>
      <c r="H4399">
        <v>14161</v>
      </c>
      <c r="I4399">
        <v>65400</v>
      </c>
      <c r="J4399">
        <v>65400</v>
      </c>
      <c r="K4399">
        <v>114100</v>
      </c>
      <c r="L4399">
        <v>1745</v>
      </c>
    </row>
    <row r="4400" spans="1:12" hidden="1" x14ac:dyDescent="0.25">
      <c r="A4400">
        <v>4399</v>
      </c>
      <c r="B4400" s="1" t="s">
        <v>12</v>
      </c>
      <c r="C4400">
        <v>1997</v>
      </c>
      <c r="D4400" s="1" t="s">
        <v>304</v>
      </c>
      <c r="E4400" s="1" t="s">
        <v>22</v>
      </c>
      <c r="F4400">
        <v>14</v>
      </c>
      <c r="G4400" s="1" t="s">
        <v>122</v>
      </c>
      <c r="H4400">
        <v>14182</v>
      </c>
      <c r="I4400">
        <v>3000</v>
      </c>
      <c r="J4400">
        <v>3000</v>
      </c>
      <c r="K4400">
        <v>6000</v>
      </c>
      <c r="L4400">
        <v>2000</v>
      </c>
    </row>
    <row r="4401" spans="1:12" hidden="1" x14ac:dyDescent="0.25">
      <c r="A4401">
        <v>4400</v>
      </c>
      <c r="B4401" s="1" t="s">
        <v>12</v>
      </c>
      <c r="C4401">
        <v>1997</v>
      </c>
      <c r="D4401" s="1" t="s">
        <v>304</v>
      </c>
      <c r="E4401" s="1" t="s">
        <v>30</v>
      </c>
      <c r="F4401">
        <v>18</v>
      </c>
      <c r="G4401" s="1" t="s">
        <v>38</v>
      </c>
      <c r="H4401">
        <v>18007</v>
      </c>
      <c r="I4401">
        <v>70</v>
      </c>
      <c r="J4401">
        <v>30</v>
      </c>
      <c r="K4401">
        <v>22</v>
      </c>
      <c r="L4401">
        <v>733</v>
      </c>
    </row>
    <row r="4402" spans="1:12" hidden="1" x14ac:dyDescent="0.25">
      <c r="A4402">
        <v>4401</v>
      </c>
      <c r="B4402" s="1" t="s">
        <v>12</v>
      </c>
      <c r="C4402">
        <v>1997</v>
      </c>
      <c r="D4402" s="1" t="s">
        <v>304</v>
      </c>
      <c r="E4402" s="1" t="s">
        <v>30</v>
      </c>
      <c r="F4402">
        <v>18</v>
      </c>
      <c r="G4402" s="1" t="s">
        <v>28</v>
      </c>
      <c r="H4402">
        <v>18021</v>
      </c>
      <c r="I4402">
        <v>6</v>
      </c>
      <c r="J4402">
        <v>4</v>
      </c>
      <c r="K4402">
        <v>3</v>
      </c>
      <c r="L4402">
        <v>750</v>
      </c>
    </row>
    <row r="4403" spans="1:12" hidden="1" x14ac:dyDescent="0.25">
      <c r="A4403">
        <v>4402</v>
      </c>
      <c r="B4403" s="1" t="s">
        <v>12</v>
      </c>
      <c r="C4403">
        <v>1997</v>
      </c>
      <c r="D4403" s="1" t="s">
        <v>304</v>
      </c>
      <c r="E4403" s="1" t="s">
        <v>30</v>
      </c>
      <c r="F4403">
        <v>18</v>
      </c>
      <c r="G4403" s="1" t="s">
        <v>63</v>
      </c>
      <c r="H4403">
        <v>18028</v>
      </c>
      <c r="I4403">
        <v>2</v>
      </c>
      <c r="J4403">
        <v>0</v>
      </c>
      <c r="K4403">
        <v>0</v>
      </c>
      <c r="L4403">
        <v>0</v>
      </c>
    </row>
    <row r="4404" spans="1:12" hidden="1" x14ac:dyDescent="0.25">
      <c r="A4404">
        <v>4403</v>
      </c>
      <c r="B4404" s="1" t="s">
        <v>12</v>
      </c>
      <c r="C4404">
        <v>1997</v>
      </c>
      <c r="D4404" s="1" t="s">
        <v>304</v>
      </c>
      <c r="E4404" s="1" t="s">
        <v>30</v>
      </c>
      <c r="F4404">
        <v>18</v>
      </c>
      <c r="G4404" s="1" t="s">
        <v>100</v>
      </c>
      <c r="H4404">
        <v>18077</v>
      </c>
      <c r="I4404">
        <v>4</v>
      </c>
      <c r="J4404">
        <v>2</v>
      </c>
      <c r="K4404">
        <v>1</v>
      </c>
      <c r="L4404">
        <v>500</v>
      </c>
    </row>
    <row r="4405" spans="1:12" hidden="1" x14ac:dyDescent="0.25">
      <c r="A4405">
        <v>4404</v>
      </c>
      <c r="B4405" s="1" t="s">
        <v>12</v>
      </c>
      <c r="C4405">
        <v>1997</v>
      </c>
      <c r="D4405" s="1" t="s">
        <v>304</v>
      </c>
      <c r="E4405" s="1" t="s">
        <v>30</v>
      </c>
      <c r="F4405">
        <v>18</v>
      </c>
      <c r="G4405" s="1" t="s">
        <v>36</v>
      </c>
      <c r="H4405">
        <v>18133</v>
      </c>
      <c r="I4405">
        <v>7</v>
      </c>
      <c r="J4405">
        <v>4</v>
      </c>
      <c r="K4405">
        <v>3</v>
      </c>
      <c r="L4405">
        <v>750</v>
      </c>
    </row>
    <row r="4406" spans="1:12" hidden="1" x14ac:dyDescent="0.25">
      <c r="A4406">
        <v>4405</v>
      </c>
      <c r="B4406" s="1" t="s">
        <v>12</v>
      </c>
      <c r="C4406">
        <v>1997</v>
      </c>
      <c r="D4406" s="1" t="s">
        <v>304</v>
      </c>
      <c r="E4406" s="1" t="s">
        <v>30</v>
      </c>
      <c r="F4406">
        <v>18</v>
      </c>
      <c r="G4406" s="1" t="s">
        <v>41</v>
      </c>
      <c r="H4406">
        <v>18140</v>
      </c>
      <c r="I4406">
        <v>60</v>
      </c>
      <c r="J4406">
        <v>30</v>
      </c>
      <c r="K4406">
        <v>22</v>
      </c>
      <c r="L4406">
        <v>733</v>
      </c>
    </row>
    <row r="4407" spans="1:12" hidden="1" x14ac:dyDescent="0.25">
      <c r="A4407">
        <v>4406</v>
      </c>
      <c r="B4407" s="1" t="s">
        <v>12</v>
      </c>
      <c r="C4407">
        <v>1997</v>
      </c>
      <c r="D4407" s="1" t="s">
        <v>304</v>
      </c>
      <c r="E4407" s="1" t="s">
        <v>30</v>
      </c>
      <c r="F4407">
        <v>18</v>
      </c>
      <c r="G4407" s="1" t="s">
        <v>101</v>
      </c>
      <c r="H4407">
        <v>18161</v>
      </c>
      <c r="I4407">
        <v>11</v>
      </c>
      <c r="J4407">
        <v>5</v>
      </c>
      <c r="K4407">
        <v>4</v>
      </c>
      <c r="L4407">
        <v>800</v>
      </c>
    </row>
    <row r="4408" spans="1:12" hidden="1" x14ac:dyDescent="0.25">
      <c r="A4408">
        <v>4407</v>
      </c>
      <c r="B4408" s="1" t="s">
        <v>12</v>
      </c>
      <c r="C4408">
        <v>1997</v>
      </c>
      <c r="D4408" s="1" t="s">
        <v>304</v>
      </c>
      <c r="E4408" s="1" t="s">
        <v>87</v>
      </c>
      <c r="F4408">
        <v>66</v>
      </c>
      <c r="G4408" s="1" t="s">
        <v>153</v>
      </c>
      <c r="H4408">
        <v>66007</v>
      </c>
      <c r="I4408">
        <v>200</v>
      </c>
      <c r="J4408">
        <v>200</v>
      </c>
      <c r="K4408">
        <v>300</v>
      </c>
      <c r="L4408">
        <v>1500</v>
      </c>
    </row>
    <row r="4409" spans="1:12" hidden="1" x14ac:dyDescent="0.25">
      <c r="A4409">
        <v>4408</v>
      </c>
      <c r="B4409" s="1" t="s">
        <v>12</v>
      </c>
      <c r="C4409">
        <v>1997</v>
      </c>
      <c r="D4409" s="1" t="s">
        <v>304</v>
      </c>
      <c r="E4409" s="1" t="s">
        <v>87</v>
      </c>
      <c r="F4409">
        <v>66</v>
      </c>
      <c r="G4409" s="1" t="s">
        <v>230</v>
      </c>
      <c r="H4409">
        <v>66056</v>
      </c>
      <c r="I4409">
        <v>1000</v>
      </c>
      <c r="J4409">
        <v>800</v>
      </c>
      <c r="K4409">
        <v>1040</v>
      </c>
      <c r="L4409">
        <v>1300</v>
      </c>
    </row>
    <row r="4410" spans="1:12" hidden="1" x14ac:dyDescent="0.25">
      <c r="A4410">
        <v>4409</v>
      </c>
      <c r="B4410" s="1" t="s">
        <v>12</v>
      </c>
      <c r="C4410">
        <v>1998</v>
      </c>
      <c r="D4410" s="1" t="s">
        <v>305</v>
      </c>
      <c r="E4410" s="1" t="s">
        <v>22</v>
      </c>
      <c r="F4410">
        <v>14</v>
      </c>
      <c r="G4410" s="1" t="s">
        <v>184</v>
      </c>
      <c r="H4410">
        <v>14042</v>
      </c>
      <c r="I4410">
        <v>54000</v>
      </c>
      <c r="J4410">
        <v>53950</v>
      </c>
      <c r="K4410">
        <v>53400</v>
      </c>
      <c r="L4410">
        <v>990</v>
      </c>
    </row>
    <row r="4411" spans="1:12" hidden="1" x14ac:dyDescent="0.25">
      <c r="A4411">
        <v>4410</v>
      </c>
      <c r="B4411" s="1" t="s">
        <v>12</v>
      </c>
      <c r="C4411">
        <v>1998</v>
      </c>
      <c r="D4411" s="1" t="s">
        <v>305</v>
      </c>
      <c r="E4411" s="1" t="s">
        <v>22</v>
      </c>
      <c r="F4411">
        <v>14</v>
      </c>
      <c r="G4411" s="1" t="s">
        <v>143</v>
      </c>
      <c r="H4411">
        <v>14056</v>
      </c>
      <c r="I4411">
        <v>109700</v>
      </c>
      <c r="J4411">
        <v>107550</v>
      </c>
      <c r="K4411">
        <v>109700</v>
      </c>
      <c r="L4411">
        <v>1020</v>
      </c>
    </row>
    <row r="4412" spans="1:12" hidden="1" x14ac:dyDescent="0.25">
      <c r="A4412">
        <v>4411</v>
      </c>
      <c r="B4412" s="1" t="s">
        <v>12</v>
      </c>
      <c r="C4412">
        <v>1998</v>
      </c>
      <c r="D4412" s="1" t="s">
        <v>305</v>
      </c>
      <c r="E4412" s="1" t="s">
        <v>22</v>
      </c>
      <c r="F4412">
        <v>14</v>
      </c>
      <c r="G4412" s="1" t="s">
        <v>206</v>
      </c>
      <c r="H4412">
        <v>14084</v>
      </c>
      <c r="I4412">
        <v>2000</v>
      </c>
      <c r="J4412">
        <v>1700</v>
      </c>
      <c r="K4412">
        <v>1700</v>
      </c>
      <c r="L4412">
        <v>1000</v>
      </c>
    </row>
    <row r="4413" spans="1:12" hidden="1" x14ac:dyDescent="0.25">
      <c r="A4413">
        <v>4412</v>
      </c>
      <c r="B4413" s="1" t="s">
        <v>12</v>
      </c>
      <c r="C4413">
        <v>1998</v>
      </c>
      <c r="D4413" s="1" t="s">
        <v>305</v>
      </c>
      <c r="E4413" s="1" t="s">
        <v>22</v>
      </c>
      <c r="F4413">
        <v>14</v>
      </c>
      <c r="G4413" s="1" t="s">
        <v>29</v>
      </c>
      <c r="H4413">
        <v>14098</v>
      </c>
      <c r="I4413">
        <v>85300</v>
      </c>
      <c r="J4413">
        <v>81950</v>
      </c>
      <c r="K4413">
        <v>83600</v>
      </c>
      <c r="L4413">
        <v>1020</v>
      </c>
    </row>
    <row r="4414" spans="1:12" hidden="1" x14ac:dyDescent="0.25">
      <c r="A4414">
        <v>4413</v>
      </c>
      <c r="B4414" s="1" t="s">
        <v>12</v>
      </c>
      <c r="C4414">
        <v>1998</v>
      </c>
      <c r="D4414" s="1" t="s">
        <v>305</v>
      </c>
      <c r="E4414" s="1" t="s">
        <v>22</v>
      </c>
      <c r="F4414">
        <v>14</v>
      </c>
      <c r="G4414" s="1" t="s">
        <v>25</v>
      </c>
      <c r="H4414">
        <v>14105</v>
      </c>
      <c r="I4414">
        <v>2000</v>
      </c>
      <c r="J4414">
        <v>1900</v>
      </c>
      <c r="K4414">
        <v>2800</v>
      </c>
      <c r="L4414">
        <v>1474</v>
      </c>
    </row>
    <row r="4415" spans="1:12" hidden="1" x14ac:dyDescent="0.25">
      <c r="A4415">
        <v>4414</v>
      </c>
      <c r="B4415" s="1" t="s">
        <v>12</v>
      </c>
      <c r="C4415">
        <v>1998</v>
      </c>
      <c r="D4415" s="1" t="s">
        <v>305</v>
      </c>
      <c r="E4415" s="1" t="s">
        <v>22</v>
      </c>
      <c r="F4415">
        <v>14</v>
      </c>
      <c r="G4415" s="1" t="s">
        <v>24</v>
      </c>
      <c r="H4415">
        <v>14119</v>
      </c>
      <c r="I4415">
        <v>22600</v>
      </c>
      <c r="J4415">
        <v>22600</v>
      </c>
      <c r="K4415">
        <v>23700</v>
      </c>
      <c r="L4415">
        <v>1049</v>
      </c>
    </row>
    <row r="4416" spans="1:12" hidden="1" x14ac:dyDescent="0.25">
      <c r="A4416">
        <v>4415</v>
      </c>
      <c r="B4416" s="1" t="s">
        <v>12</v>
      </c>
      <c r="C4416">
        <v>1998</v>
      </c>
      <c r="D4416" s="1" t="s">
        <v>305</v>
      </c>
      <c r="E4416" s="1" t="s">
        <v>22</v>
      </c>
      <c r="F4416">
        <v>14</v>
      </c>
      <c r="G4416" s="1" t="s">
        <v>23</v>
      </c>
      <c r="H4416">
        <v>14147</v>
      </c>
      <c r="I4416">
        <v>900</v>
      </c>
      <c r="J4416">
        <v>900</v>
      </c>
      <c r="K4416">
        <v>1200</v>
      </c>
      <c r="L4416">
        <v>1333</v>
      </c>
    </row>
    <row r="4417" spans="1:12" hidden="1" x14ac:dyDescent="0.25">
      <c r="A4417">
        <v>4416</v>
      </c>
      <c r="B4417" s="1" t="s">
        <v>12</v>
      </c>
      <c r="C4417">
        <v>1998</v>
      </c>
      <c r="D4417" s="1" t="s">
        <v>305</v>
      </c>
      <c r="E4417" s="1" t="s">
        <v>22</v>
      </c>
      <c r="F4417">
        <v>14</v>
      </c>
      <c r="G4417" s="1" t="s">
        <v>26</v>
      </c>
      <c r="H4417">
        <v>14161</v>
      </c>
      <c r="I4417">
        <v>55500</v>
      </c>
      <c r="J4417">
        <v>54400</v>
      </c>
      <c r="K4417">
        <v>58200</v>
      </c>
      <c r="L4417">
        <v>1070</v>
      </c>
    </row>
    <row r="4418" spans="1:12" hidden="1" x14ac:dyDescent="0.25">
      <c r="A4418">
        <v>4417</v>
      </c>
      <c r="B4418" s="1" t="s">
        <v>12</v>
      </c>
      <c r="C4418">
        <v>1998</v>
      </c>
      <c r="D4418" s="1" t="s">
        <v>305</v>
      </c>
      <c r="E4418" s="1" t="s">
        <v>22</v>
      </c>
      <c r="F4418">
        <v>14</v>
      </c>
      <c r="G4418" s="1" t="s">
        <v>122</v>
      </c>
      <c r="H4418">
        <v>14182</v>
      </c>
      <c r="I4418">
        <v>4000</v>
      </c>
      <c r="J4418">
        <v>4000</v>
      </c>
      <c r="K4418">
        <v>5000</v>
      </c>
      <c r="L4418">
        <v>1250</v>
      </c>
    </row>
    <row r="4419" spans="1:12" hidden="1" x14ac:dyDescent="0.25">
      <c r="A4419">
        <v>4418</v>
      </c>
      <c r="B4419" s="1" t="s">
        <v>12</v>
      </c>
      <c r="C4419">
        <v>1998</v>
      </c>
      <c r="D4419" s="1" t="s">
        <v>305</v>
      </c>
      <c r="E4419" s="1" t="s">
        <v>30</v>
      </c>
      <c r="F4419">
        <v>18</v>
      </c>
      <c r="G4419" s="1" t="s">
        <v>38</v>
      </c>
      <c r="H4419">
        <v>18007</v>
      </c>
      <c r="I4419">
        <v>70</v>
      </c>
      <c r="J4419">
        <v>70</v>
      </c>
      <c r="K4419">
        <v>84</v>
      </c>
      <c r="L4419">
        <v>1200</v>
      </c>
    </row>
    <row r="4420" spans="1:12" hidden="1" x14ac:dyDescent="0.25">
      <c r="A4420">
        <v>4419</v>
      </c>
      <c r="B4420" s="1" t="s">
        <v>12</v>
      </c>
      <c r="C4420">
        <v>1998</v>
      </c>
      <c r="D4420" s="1" t="s">
        <v>305</v>
      </c>
      <c r="E4420" s="1" t="s">
        <v>30</v>
      </c>
      <c r="F4420">
        <v>18</v>
      </c>
      <c r="G4420" s="1" t="s">
        <v>28</v>
      </c>
      <c r="H4420">
        <v>18021</v>
      </c>
      <c r="I4420">
        <v>6</v>
      </c>
      <c r="J4420">
        <v>6</v>
      </c>
      <c r="K4420">
        <v>7</v>
      </c>
      <c r="L4420">
        <v>1167</v>
      </c>
    </row>
    <row r="4421" spans="1:12" hidden="1" x14ac:dyDescent="0.25">
      <c r="A4421">
        <v>4420</v>
      </c>
      <c r="B4421" s="1" t="s">
        <v>12</v>
      </c>
      <c r="C4421">
        <v>1998</v>
      </c>
      <c r="D4421" s="1" t="s">
        <v>305</v>
      </c>
      <c r="E4421" s="1" t="s">
        <v>30</v>
      </c>
      <c r="F4421">
        <v>18</v>
      </c>
      <c r="G4421" s="1" t="s">
        <v>63</v>
      </c>
      <c r="H4421">
        <v>18028</v>
      </c>
      <c r="I4421">
        <v>2</v>
      </c>
      <c r="J4421">
        <v>2</v>
      </c>
      <c r="K4421">
        <v>2</v>
      </c>
      <c r="L4421">
        <v>1000</v>
      </c>
    </row>
    <row r="4422" spans="1:12" hidden="1" x14ac:dyDescent="0.25">
      <c r="A4422">
        <v>4421</v>
      </c>
      <c r="B4422" s="1" t="s">
        <v>12</v>
      </c>
      <c r="C4422">
        <v>1998</v>
      </c>
      <c r="D4422" s="1" t="s">
        <v>305</v>
      </c>
      <c r="E4422" s="1" t="s">
        <v>30</v>
      </c>
      <c r="F4422">
        <v>18</v>
      </c>
      <c r="G4422" s="1" t="s">
        <v>100</v>
      </c>
      <c r="H4422">
        <v>18077</v>
      </c>
      <c r="I4422">
        <v>4</v>
      </c>
      <c r="J4422">
        <v>4</v>
      </c>
      <c r="K4422">
        <v>4</v>
      </c>
      <c r="L4422">
        <v>1000</v>
      </c>
    </row>
    <row r="4423" spans="1:12" hidden="1" x14ac:dyDescent="0.25">
      <c r="A4423">
        <v>4422</v>
      </c>
      <c r="B4423" s="1" t="s">
        <v>12</v>
      </c>
      <c r="C4423">
        <v>1998</v>
      </c>
      <c r="D4423" s="1" t="s">
        <v>305</v>
      </c>
      <c r="E4423" s="1" t="s">
        <v>30</v>
      </c>
      <c r="F4423">
        <v>18</v>
      </c>
      <c r="G4423" s="1" t="s">
        <v>36</v>
      </c>
      <c r="H4423">
        <v>18133</v>
      </c>
      <c r="I4423">
        <v>7</v>
      </c>
      <c r="J4423">
        <v>7</v>
      </c>
      <c r="K4423">
        <v>8</v>
      </c>
      <c r="L4423">
        <v>1143</v>
      </c>
    </row>
    <row r="4424" spans="1:12" hidden="1" x14ac:dyDescent="0.25">
      <c r="A4424">
        <v>4423</v>
      </c>
      <c r="B4424" s="1" t="s">
        <v>12</v>
      </c>
      <c r="C4424">
        <v>1998</v>
      </c>
      <c r="D4424" s="1" t="s">
        <v>305</v>
      </c>
      <c r="E4424" s="1" t="s">
        <v>30</v>
      </c>
      <c r="F4424">
        <v>18</v>
      </c>
      <c r="G4424" s="1" t="s">
        <v>41</v>
      </c>
      <c r="H4424">
        <v>18140</v>
      </c>
      <c r="I4424">
        <v>60</v>
      </c>
      <c r="J4424">
        <v>60</v>
      </c>
      <c r="K4424">
        <v>69</v>
      </c>
      <c r="L4424">
        <v>1150</v>
      </c>
    </row>
    <row r="4425" spans="1:12" hidden="1" x14ac:dyDescent="0.25">
      <c r="A4425">
        <v>4424</v>
      </c>
      <c r="B4425" s="1" t="s">
        <v>12</v>
      </c>
      <c r="C4425">
        <v>1998</v>
      </c>
      <c r="D4425" s="1" t="s">
        <v>305</v>
      </c>
      <c r="E4425" s="1" t="s">
        <v>30</v>
      </c>
      <c r="F4425">
        <v>18</v>
      </c>
      <c r="G4425" s="1" t="s">
        <v>101</v>
      </c>
      <c r="H4425">
        <v>18161</v>
      </c>
      <c r="I4425">
        <v>11</v>
      </c>
      <c r="J4425">
        <v>11</v>
      </c>
      <c r="K4425">
        <v>13</v>
      </c>
      <c r="L4425">
        <v>1182</v>
      </c>
    </row>
    <row r="4426" spans="1:12" hidden="1" x14ac:dyDescent="0.25">
      <c r="A4426">
        <v>4425</v>
      </c>
      <c r="B4426" s="1" t="s">
        <v>12</v>
      </c>
      <c r="C4426">
        <v>1998</v>
      </c>
      <c r="D4426" s="1" t="s">
        <v>305</v>
      </c>
      <c r="E4426" s="1" t="s">
        <v>87</v>
      </c>
      <c r="F4426">
        <v>66</v>
      </c>
      <c r="G4426" s="1" t="s">
        <v>230</v>
      </c>
      <c r="H4426">
        <v>66056</v>
      </c>
      <c r="I4426">
        <v>600</v>
      </c>
      <c r="J4426">
        <v>600</v>
      </c>
      <c r="K4426">
        <v>720</v>
      </c>
      <c r="L4426">
        <v>1200</v>
      </c>
    </row>
    <row r="4427" spans="1:12" hidden="1" x14ac:dyDescent="0.25">
      <c r="A4427">
        <v>4426</v>
      </c>
      <c r="B4427" s="1" t="s">
        <v>12</v>
      </c>
      <c r="C4427">
        <v>1999</v>
      </c>
      <c r="D4427" s="1" t="s">
        <v>306</v>
      </c>
      <c r="E4427" s="1" t="s">
        <v>22</v>
      </c>
      <c r="F4427">
        <v>14</v>
      </c>
      <c r="G4427" s="1" t="s">
        <v>184</v>
      </c>
      <c r="H4427">
        <v>14042</v>
      </c>
      <c r="I4427">
        <v>38000</v>
      </c>
      <c r="J4427">
        <v>38000</v>
      </c>
      <c r="K4427">
        <v>71000</v>
      </c>
      <c r="L4427">
        <v>1868</v>
      </c>
    </row>
    <row r="4428" spans="1:12" hidden="1" x14ac:dyDescent="0.25">
      <c r="A4428">
        <v>4427</v>
      </c>
      <c r="B4428" s="1" t="s">
        <v>12</v>
      </c>
      <c r="C4428">
        <v>1999</v>
      </c>
      <c r="D4428" s="1" t="s">
        <v>306</v>
      </c>
      <c r="E4428" s="1" t="s">
        <v>22</v>
      </c>
      <c r="F4428">
        <v>14</v>
      </c>
      <c r="G4428" s="1" t="s">
        <v>143</v>
      </c>
      <c r="H4428">
        <v>14056</v>
      </c>
      <c r="I4428">
        <v>68000</v>
      </c>
      <c r="J4428">
        <v>68000</v>
      </c>
      <c r="K4428">
        <v>136300</v>
      </c>
      <c r="L4428">
        <v>2004</v>
      </c>
    </row>
    <row r="4429" spans="1:12" hidden="1" x14ac:dyDescent="0.25">
      <c r="A4429">
        <v>4428</v>
      </c>
      <c r="B4429" s="1" t="s">
        <v>12</v>
      </c>
      <c r="C4429">
        <v>1999</v>
      </c>
      <c r="D4429" s="1" t="s">
        <v>306</v>
      </c>
      <c r="E4429" s="1" t="s">
        <v>22</v>
      </c>
      <c r="F4429">
        <v>14</v>
      </c>
      <c r="G4429" s="1" t="s">
        <v>206</v>
      </c>
      <c r="H4429">
        <v>14084</v>
      </c>
      <c r="I4429">
        <v>1800</v>
      </c>
      <c r="J4429">
        <v>1700</v>
      </c>
      <c r="K4429">
        <v>2400</v>
      </c>
      <c r="L4429">
        <v>1412</v>
      </c>
    </row>
    <row r="4430" spans="1:12" hidden="1" x14ac:dyDescent="0.25">
      <c r="A4430">
        <v>4429</v>
      </c>
      <c r="B4430" s="1" t="s">
        <v>12</v>
      </c>
      <c r="C4430">
        <v>1999</v>
      </c>
      <c r="D4430" s="1" t="s">
        <v>306</v>
      </c>
      <c r="E4430" s="1" t="s">
        <v>22</v>
      </c>
      <c r="F4430">
        <v>14</v>
      </c>
      <c r="G4430" s="1" t="s">
        <v>29</v>
      </c>
      <c r="H4430">
        <v>14098</v>
      </c>
      <c r="I4430">
        <v>53000</v>
      </c>
      <c r="J4430">
        <v>53000</v>
      </c>
      <c r="K4430">
        <v>106300</v>
      </c>
      <c r="L4430">
        <v>2006</v>
      </c>
    </row>
    <row r="4431" spans="1:12" hidden="1" x14ac:dyDescent="0.25">
      <c r="A4431">
        <v>4430</v>
      </c>
      <c r="B4431" s="1" t="s">
        <v>12</v>
      </c>
      <c r="C4431">
        <v>1999</v>
      </c>
      <c r="D4431" s="1" t="s">
        <v>306</v>
      </c>
      <c r="E4431" s="1" t="s">
        <v>22</v>
      </c>
      <c r="F4431">
        <v>14</v>
      </c>
      <c r="G4431" s="1" t="s">
        <v>24</v>
      </c>
      <c r="H4431">
        <v>14119</v>
      </c>
      <c r="I4431">
        <v>15500</v>
      </c>
      <c r="J4431">
        <v>15500</v>
      </c>
      <c r="K4431">
        <v>27900</v>
      </c>
      <c r="L4431">
        <v>1800</v>
      </c>
    </row>
    <row r="4432" spans="1:12" hidden="1" x14ac:dyDescent="0.25">
      <c r="A4432">
        <v>4431</v>
      </c>
      <c r="B4432" s="1" t="s">
        <v>12</v>
      </c>
      <c r="C4432">
        <v>1999</v>
      </c>
      <c r="D4432" s="1" t="s">
        <v>306</v>
      </c>
      <c r="E4432" s="1" t="s">
        <v>22</v>
      </c>
      <c r="F4432">
        <v>14</v>
      </c>
      <c r="G4432" s="1" t="s">
        <v>23</v>
      </c>
      <c r="H4432">
        <v>14147</v>
      </c>
      <c r="I4432">
        <v>300</v>
      </c>
      <c r="J4432">
        <v>300</v>
      </c>
      <c r="K4432">
        <v>600</v>
      </c>
      <c r="L4432">
        <v>2000</v>
      </c>
    </row>
    <row r="4433" spans="1:12" hidden="1" x14ac:dyDescent="0.25">
      <c r="A4433">
        <v>4432</v>
      </c>
      <c r="B4433" s="1" t="s">
        <v>12</v>
      </c>
      <c r="C4433">
        <v>1999</v>
      </c>
      <c r="D4433" s="1" t="s">
        <v>306</v>
      </c>
      <c r="E4433" s="1" t="s">
        <v>22</v>
      </c>
      <c r="F4433">
        <v>14</v>
      </c>
      <c r="G4433" s="1" t="s">
        <v>26</v>
      </c>
      <c r="H4433">
        <v>14161</v>
      </c>
      <c r="I4433">
        <v>40500</v>
      </c>
      <c r="J4433">
        <v>40500</v>
      </c>
      <c r="K4433">
        <v>72200</v>
      </c>
      <c r="L4433">
        <v>1783</v>
      </c>
    </row>
    <row r="4434" spans="1:12" hidden="1" x14ac:dyDescent="0.25">
      <c r="A4434">
        <v>4433</v>
      </c>
      <c r="B4434" s="1" t="s">
        <v>12</v>
      </c>
      <c r="C4434">
        <v>1999</v>
      </c>
      <c r="D4434" s="1" t="s">
        <v>306</v>
      </c>
      <c r="E4434" s="1" t="s">
        <v>22</v>
      </c>
      <c r="F4434">
        <v>14</v>
      </c>
      <c r="G4434" s="1" t="s">
        <v>122</v>
      </c>
      <c r="H4434">
        <v>14182</v>
      </c>
      <c r="I4434">
        <v>1500</v>
      </c>
      <c r="J4434">
        <v>1500</v>
      </c>
      <c r="K4434">
        <v>1800</v>
      </c>
      <c r="L4434">
        <v>1200</v>
      </c>
    </row>
    <row r="4435" spans="1:12" hidden="1" x14ac:dyDescent="0.25">
      <c r="A4435">
        <v>4434</v>
      </c>
      <c r="B4435" s="1" t="s">
        <v>12</v>
      </c>
      <c r="C4435">
        <v>1999</v>
      </c>
      <c r="D4435" s="1" t="s">
        <v>306</v>
      </c>
      <c r="E4435" s="1" t="s">
        <v>30</v>
      </c>
      <c r="F4435">
        <v>18</v>
      </c>
      <c r="G4435" s="1" t="s">
        <v>31</v>
      </c>
      <c r="I4435">
        <v>160</v>
      </c>
      <c r="J4435">
        <v>160</v>
      </c>
      <c r="K4435">
        <v>200</v>
      </c>
      <c r="L4435">
        <v>1250</v>
      </c>
    </row>
    <row r="4436" spans="1:12" hidden="1" x14ac:dyDescent="0.25">
      <c r="A4436">
        <v>4435</v>
      </c>
      <c r="B4436" s="1" t="s">
        <v>12</v>
      </c>
      <c r="C4436">
        <v>1999</v>
      </c>
      <c r="D4436" s="1" t="s">
        <v>306</v>
      </c>
      <c r="E4436" s="1" t="s">
        <v>87</v>
      </c>
      <c r="F4436">
        <v>66</v>
      </c>
      <c r="G4436" s="1" t="s">
        <v>31</v>
      </c>
      <c r="I4436">
        <v>600</v>
      </c>
      <c r="J4436">
        <v>600</v>
      </c>
      <c r="K4436">
        <v>900</v>
      </c>
      <c r="L4436">
        <v>1500</v>
      </c>
    </row>
    <row r="4437" spans="1:12" hidden="1" x14ac:dyDescent="0.25">
      <c r="A4437">
        <v>4436</v>
      </c>
      <c r="B4437" s="1" t="s">
        <v>12</v>
      </c>
      <c r="C4437">
        <v>2000</v>
      </c>
      <c r="D4437" s="1" t="s">
        <v>307</v>
      </c>
      <c r="E4437" s="1" t="s">
        <v>22</v>
      </c>
      <c r="F4437">
        <v>14</v>
      </c>
      <c r="G4437" s="1" t="s">
        <v>129</v>
      </c>
      <c r="H4437">
        <v>14035</v>
      </c>
      <c r="I4437">
        <v>7000</v>
      </c>
      <c r="J4437">
        <v>6200</v>
      </c>
      <c r="K4437">
        <v>9200</v>
      </c>
      <c r="L4437">
        <v>1484</v>
      </c>
    </row>
    <row r="4438" spans="1:12" hidden="1" x14ac:dyDescent="0.25">
      <c r="A4438">
        <v>4437</v>
      </c>
      <c r="B4438" s="1" t="s">
        <v>12</v>
      </c>
      <c r="C4438">
        <v>2000</v>
      </c>
      <c r="D4438" s="1" t="s">
        <v>307</v>
      </c>
      <c r="E4438" s="1" t="s">
        <v>22</v>
      </c>
      <c r="F4438">
        <v>14</v>
      </c>
      <c r="G4438" s="1" t="s">
        <v>184</v>
      </c>
      <c r="H4438">
        <v>14042</v>
      </c>
      <c r="I4438">
        <v>40300</v>
      </c>
      <c r="J4438">
        <v>40300</v>
      </c>
      <c r="K4438">
        <v>66800</v>
      </c>
      <c r="L4438">
        <v>1658</v>
      </c>
    </row>
    <row r="4439" spans="1:12" hidden="1" x14ac:dyDescent="0.25">
      <c r="A4439">
        <v>4438</v>
      </c>
      <c r="B4439" s="1" t="s">
        <v>12</v>
      </c>
      <c r="C4439">
        <v>2000</v>
      </c>
      <c r="D4439" s="1" t="s">
        <v>307</v>
      </c>
      <c r="E4439" s="1" t="s">
        <v>22</v>
      </c>
      <c r="F4439">
        <v>14</v>
      </c>
      <c r="G4439" s="1" t="s">
        <v>143</v>
      </c>
      <c r="H4439">
        <v>14056</v>
      </c>
      <c r="I4439">
        <v>77800</v>
      </c>
      <c r="J4439">
        <v>77800</v>
      </c>
      <c r="K4439">
        <v>124500</v>
      </c>
      <c r="L4439">
        <v>1600</v>
      </c>
    </row>
    <row r="4440" spans="1:12" hidden="1" x14ac:dyDescent="0.25">
      <c r="A4440">
        <v>4439</v>
      </c>
      <c r="B4440" s="1" t="s">
        <v>12</v>
      </c>
      <c r="C4440">
        <v>2000</v>
      </c>
      <c r="D4440" s="1" t="s">
        <v>307</v>
      </c>
      <c r="E4440" s="1" t="s">
        <v>22</v>
      </c>
      <c r="F4440">
        <v>14</v>
      </c>
      <c r="G4440" s="1" t="s">
        <v>206</v>
      </c>
      <c r="H4440">
        <v>14084</v>
      </c>
      <c r="I4440">
        <v>9000</v>
      </c>
      <c r="J4440">
        <v>8400</v>
      </c>
      <c r="K4440">
        <v>13000</v>
      </c>
      <c r="L4440">
        <v>1548</v>
      </c>
    </row>
    <row r="4441" spans="1:12" hidden="1" x14ac:dyDescent="0.25">
      <c r="A4441">
        <v>4440</v>
      </c>
      <c r="B4441" s="1" t="s">
        <v>12</v>
      </c>
      <c r="C4441">
        <v>2000</v>
      </c>
      <c r="D4441" s="1" t="s">
        <v>307</v>
      </c>
      <c r="E4441" s="1" t="s">
        <v>22</v>
      </c>
      <c r="F4441">
        <v>14</v>
      </c>
      <c r="G4441" s="1" t="s">
        <v>29</v>
      </c>
      <c r="H4441">
        <v>14098</v>
      </c>
      <c r="I4441">
        <v>48100</v>
      </c>
      <c r="J4441">
        <v>48100</v>
      </c>
      <c r="K4441">
        <v>63000</v>
      </c>
      <c r="L4441">
        <v>1310</v>
      </c>
    </row>
    <row r="4442" spans="1:12" hidden="1" x14ac:dyDescent="0.25">
      <c r="A4442">
        <v>4441</v>
      </c>
      <c r="B4442" s="1" t="s">
        <v>12</v>
      </c>
      <c r="C4442">
        <v>2000</v>
      </c>
      <c r="D4442" s="1" t="s">
        <v>307</v>
      </c>
      <c r="E4442" s="1" t="s">
        <v>22</v>
      </c>
      <c r="F4442">
        <v>14</v>
      </c>
      <c r="G4442" s="1" t="s">
        <v>24</v>
      </c>
      <c r="H4442">
        <v>14119</v>
      </c>
      <c r="I4442">
        <v>18200</v>
      </c>
      <c r="J4442">
        <v>18200</v>
      </c>
      <c r="K4442">
        <v>32200</v>
      </c>
      <c r="L4442">
        <v>1769</v>
      </c>
    </row>
    <row r="4443" spans="1:12" hidden="1" x14ac:dyDescent="0.25">
      <c r="A4443">
        <v>4442</v>
      </c>
      <c r="B4443" s="1" t="s">
        <v>12</v>
      </c>
      <c r="C4443">
        <v>2000</v>
      </c>
      <c r="D4443" s="1" t="s">
        <v>307</v>
      </c>
      <c r="E4443" s="1" t="s">
        <v>22</v>
      </c>
      <c r="F4443">
        <v>14</v>
      </c>
      <c r="G4443" s="1" t="s">
        <v>23</v>
      </c>
      <c r="H4443">
        <v>14147</v>
      </c>
      <c r="I4443">
        <v>300</v>
      </c>
      <c r="J4443">
        <v>300</v>
      </c>
      <c r="K4443">
        <v>500</v>
      </c>
      <c r="L4443">
        <v>1667</v>
      </c>
    </row>
    <row r="4444" spans="1:12" hidden="1" x14ac:dyDescent="0.25">
      <c r="A4444">
        <v>4443</v>
      </c>
      <c r="B4444" s="1" t="s">
        <v>12</v>
      </c>
      <c r="C4444">
        <v>2000</v>
      </c>
      <c r="D4444" s="1" t="s">
        <v>307</v>
      </c>
      <c r="E4444" s="1" t="s">
        <v>22</v>
      </c>
      <c r="F4444">
        <v>14</v>
      </c>
      <c r="G4444" s="1" t="s">
        <v>26</v>
      </c>
      <c r="H4444">
        <v>14161</v>
      </c>
      <c r="I4444">
        <v>41100</v>
      </c>
      <c r="J4444">
        <v>41100</v>
      </c>
      <c r="K4444">
        <v>69700</v>
      </c>
      <c r="L4444">
        <v>1696</v>
      </c>
    </row>
    <row r="4445" spans="1:12" hidden="1" x14ac:dyDescent="0.25">
      <c r="A4445">
        <v>4444</v>
      </c>
      <c r="B4445" s="1" t="s">
        <v>12</v>
      </c>
      <c r="C4445">
        <v>2000</v>
      </c>
      <c r="D4445" s="1" t="s">
        <v>307</v>
      </c>
      <c r="E4445" s="1" t="s">
        <v>22</v>
      </c>
      <c r="F4445">
        <v>14</v>
      </c>
      <c r="G4445" s="1" t="s">
        <v>122</v>
      </c>
      <c r="H4445">
        <v>14182</v>
      </c>
      <c r="I4445">
        <v>1200</v>
      </c>
      <c r="J4445">
        <v>1200</v>
      </c>
      <c r="K4445">
        <v>2600</v>
      </c>
      <c r="L4445">
        <v>2167</v>
      </c>
    </row>
    <row r="4446" spans="1:12" hidden="1" x14ac:dyDescent="0.25">
      <c r="A4446">
        <v>4445</v>
      </c>
      <c r="B4446" s="1" t="s">
        <v>12</v>
      </c>
      <c r="C4446">
        <v>2000</v>
      </c>
      <c r="D4446" s="1" t="s">
        <v>307</v>
      </c>
      <c r="E4446" s="1" t="s">
        <v>30</v>
      </c>
      <c r="F4446">
        <v>18</v>
      </c>
      <c r="G4446" s="1" t="s">
        <v>31</v>
      </c>
      <c r="I4446">
        <v>160</v>
      </c>
      <c r="J4446">
        <v>160</v>
      </c>
      <c r="K4446">
        <v>300</v>
      </c>
      <c r="L4446">
        <v>1875</v>
      </c>
    </row>
    <row r="4447" spans="1:12" hidden="1" x14ac:dyDescent="0.25">
      <c r="A4447">
        <v>4446</v>
      </c>
      <c r="B4447" s="1" t="s">
        <v>12</v>
      </c>
      <c r="C4447">
        <v>2000</v>
      </c>
      <c r="D4447" s="1" t="s">
        <v>307</v>
      </c>
      <c r="E4447" s="1" t="s">
        <v>87</v>
      </c>
      <c r="F4447">
        <v>66</v>
      </c>
      <c r="G4447" s="1" t="s">
        <v>153</v>
      </c>
      <c r="H4447">
        <v>66007</v>
      </c>
      <c r="I4447">
        <v>500</v>
      </c>
      <c r="J4447">
        <v>500</v>
      </c>
      <c r="K4447">
        <v>700</v>
      </c>
      <c r="L4447">
        <v>1400</v>
      </c>
    </row>
    <row r="4448" spans="1:12" hidden="1" x14ac:dyDescent="0.25">
      <c r="A4448">
        <v>4447</v>
      </c>
      <c r="B4448" s="1" t="s">
        <v>12</v>
      </c>
      <c r="C4448">
        <v>2000</v>
      </c>
      <c r="D4448" s="1" t="s">
        <v>307</v>
      </c>
      <c r="E4448" s="1" t="s">
        <v>87</v>
      </c>
      <c r="F4448">
        <v>66</v>
      </c>
      <c r="G4448" s="1" t="s">
        <v>230</v>
      </c>
      <c r="H4448">
        <v>66056</v>
      </c>
      <c r="I4448">
        <v>7400</v>
      </c>
      <c r="J4448">
        <v>7400</v>
      </c>
      <c r="K4448">
        <v>10400</v>
      </c>
      <c r="L4448">
        <v>1405</v>
      </c>
    </row>
    <row r="4449" spans="1:12" hidden="1" x14ac:dyDescent="0.25">
      <c r="A4449">
        <v>4448</v>
      </c>
      <c r="B4449" s="1" t="s">
        <v>12</v>
      </c>
      <c r="C4449">
        <v>2000</v>
      </c>
      <c r="D4449" s="1" t="s">
        <v>307</v>
      </c>
      <c r="E4449" s="1" t="s">
        <v>87</v>
      </c>
      <c r="F4449">
        <v>66</v>
      </c>
      <c r="G4449" s="1" t="s">
        <v>179</v>
      </c>
      <c r="H4449">
        <v>66126</v>
      </c>
      <c r="I4449">
        <v>1100</v>
      </c>
      <c r="J4449">
        <v>1100</v>
      </c>
      <c r="K4449">
        <v>1500</v>
      </c>
      <c r="L4449">
        <v>1364</v>
      </c>
    </row>
    <row r="4450" spans="1:12" hidden="1" x14ac:dyDescent="0.25">
      <c r="A4450">
        <v>4449</v>
      </c>
      <c r="B4450" s="1" t="s">
        <v>12</v>
      </c>
      <c r="C4450">
        <v>2000</v>
      </c>
      <c r="D4450" s="1" t="s">
        <v>307</v>
      </c>
      <c r="E4450" s="1" t="s">
        <v>116</v>
      </c>
      <c r="F4450">
        <v>74</v>
      </c>
      <c r="G4450" s="1" t="s">
        <v>31</v>
      </c>
      <c r="I4450">
        <v>300</v>
      </c>
      <c r="J4450">
        <v>300</v>
      </c>
      <c r="K4450">
        <v>400</v>
      </c>
      <c r="L4450">
        <v>1333</v>
      </c>
    </row>
    <row r="4451" spans="1:12" hidden="1" x14ac:dyDescent="0.25">
      <c r="A4451">
        <v>4450</v>
      </c>
      <c r="B4451" s="1" t="s">
        <v>12</v>
      </c>
      <c r="C4451">
        <v>2001</v>
      </c>
      <c r="D4451" s="1" t="s">
        <v>308</v>
      </c>
      <c r="E4451" s="1" t="s">
        <v>22</v>
      </c>
      <c r="F4451">
        <v>14</v>
      </c>
      <c r="G4451" s="1" t="s">
        <v>129</v>
      </c>
      <c r="H4451">
        <v>14035</v>
      </c>
      <c r="I4451">
        <v>12000</v>
      </c>
      <c r="J4451">
        <v>12000</v>
      </c>
      <c r="K4451">
        <v>19700</v>
      </c>
      <c r="L4451">
        <v>1642</v>
      </c>
    </row>
    <row r="4452" spans="1:12" hidden="1" x14ac:dyDescent="0.25">
      <c r="A4452">
        <v>4451</v>
      </c>
      <c r="B4452" s="1" t="s">
        <v>12</v>
      </c>
      <c r="C4452">
        <v>2001</v>
      </c>
      <c r="D4452" s="1" t="s">
        <v>308</v>
      </c>
      <c r="E4452" s="1" t="s">
        <v>22</v>
      </c>
      <c r="F4452">
        <v>14</v>
      </c>
      <c r="G4452" s="1" t="s">
        <v>184</v>
      </c>
      <c r="H4452">
        <v>14042</v>
      </c>
      <c r="I4452">
        <v>37900</v>
      </c>
      <c r="J4452">
        <v>37900</v>
      </c>
      <c r="K4452">
        <v>64400</v>
      </c>
      <c r="L4452">
        <v>1699</v>
      </c>
    </row>
    <row r="4453" spans="1:12" hidden="1" x14ac:dyDescent="0.25">
      <c r="A4453">
        <v>4452</v>
      </c>
      <c r="B4453" s="1" t="s">
        <v>12</v>
      </c>
      <c r="C4453">
        <v>2001</v>
      </c>
      <c r="D4453" s="1" t="s">
        <v>308</v>
      </c>
      <c r="E4453" s="1" t="s">
        <v>22</v>
      </c>
      <c r="F4453">
        <v>14</v>
      </c>
      <c r="G4453" s="1" t="s">
        <v>143</v>
      </c>
      <c r="H4453">
        <v>14056</v>
      </c>
      <c r="I4453">
        <v>38820</v>
      </c>
      <c r="J4453">
        <v>38820</v>
      </c>
      <c r="K4453">
        <v>60100</v>
      </c>
      <c r="L4453">
        <v>1548</v>
      </c>
    </row>
    <row r="4454" spans="1:12" hidden="1" x14ac:dyDescent="0.25">
      <c r="A4454">
        <v>4453</v>
      </c>
      <c r="B4454" s="1" t="s">
        <v>12</v>
      </c>
      <c r="C4454">
        <v>2001</v>
      </c>
      <c r="D4454" s="1" t="s">
        <v>308</v>
      </c>
      <c r="E4454" s="1" t="s">
        <v>22</v>
      </c>
      <c r="F4454">
        <v>14</v>
      </c>
      <c r="G4454" s="1" t="s">
        <v>206</v>
      </c>
      <c r="H4454">
        <v>14084</v>
      </c>
      <c r="I4454">
        <v>8000</v>
      </c>
      <c r="J4454">
        <v>8000</v>
      </c>
      <c r="K4454">
        <v>13900</v>
      </c>
      <c r="L4454">
        <v>1738</v>
      </c>
    </row>
    <row r="4455" spans="1:12" hidden="1" x14ac:dyDescent="0.25">
      <c r="A4455">
        <v>4454</v>
      </c>
      <c r="B4455" s="1" t="s">
        <v>12</v>
      </c>
      <c r="C4455">
        <v>2001</v>
      </c>
      <c r="D4455" s="1" t="s">
        <v>308</v>
      </c>
      <c r="E4455" s="1" t="s">
        <v>22</v>
      </c>
      <c r="F4455">
        <v>14</v>
      </c>
      <c r="G4455" s="1" t="s">
        <v>29</v>
      </c>
      <c r="H4455">
        <v>14098</v>
      </c>
      <c r="I4455">
        <v>70150</v>
      </c>
      <c r="J4455">
        <v>70150</v>
      </c>
      <c r="K4455">
        <v>112400</v>
      </c>
      <c r="L4455">
        <v>1602</v>
      </c>
    </row>
    <row r="4456" spans="1:12" hidden="1" x14ac:dyDescent="0.25">
      <c r="A4456">
        <v>4455</v>
      </c>
      <c r="B4456" s="1" t="s">
        <v>12</v>
      </c>
      <c r="C4456">
        <v>2001</v>
      </c>
      <c r="D4456" s="1" t="s">
        <v>308</v>
      </c>
      <c r="E4456" s="1" t="s">
        <v>22</v>
      </c>
      <c r="F4456">
        <v>14</v>
      </c>
      <c r="G4456" s="1" t="s">
        <v>24</v>
      </c>
      <c r="H4456">
        <v>14119</v>
      </c>
      <c r="I4456">
        <v>16500</v>
      </c>
      <c r="J4456">
        <v>16500</v>
      </c>
      <c r="K4456">
        <v>28000</v>
      </c>
      <c r="L4456">
        <v>1697</v>
      </c>
    </row>
    <row r="4457" spans="1:12" hidden="1" x14ac:dyDescent="0.25">
      <c r="A4457">
        <v>4456</v>
      </c>
      <c r="B4457" s="1" t="s">
        <v>12</v>
      </c>
      <c r="C4457">
        <v>2001</v>
      </c>
      <c r="D4457" s="1" t="s">
        <v>308</v>
      </c>
      <c r="E4457" s="1" t="s">
        <v>22</v>
      </c>
      <c r="F4457">
        <v>14</v>
      </c>
      <c r="G4457" s="1" t="s">
        <v>23</v>
      </c>
      <c r="H4457">
        <v>14147</v>
      </c>
      <c r="I4457">
        <v>500</v>
      </c>
      <c r="J4457">
        <v>500</v>
      </c>
      <c r="K4457">
        <v>800</v>
      </c>
      <c r="L4457">
        <v>1600</v>
      </c>
    </row>
    <row r="4458" spans="1:12" hidden="1" x14ac:dyDescent="0.25">
      <c r="A4458">
        <v>4457</v>
      </c>
      <c r="B4458" s="1" t="s">
        <v>12</v>
      </c>
      <c r="C4458">
        <v>2001</v>
      </c>
      <c r="D4458" s="1" t="s">
        <v>308</v>
      </c>
      <c r="E4458" s="1" t="s">
        <v>22</v>
      </c>
      <c r="F4458">
        <v>14</v>
      </c>
      <c r="G4458" s="1" t="s">
        <v>26</v>
      </c>
      <c r="H4458">
        <v>14161</v>
      </c>
      <c r="I4458">
        <v>27300</v>
      </c>
      <c r="J4458">
        <v>27300</v>
      </c>
      <c r="K4458">
        <v>43900</v>
      </c>
      <c r="L4458">
        <v>1608</v>
      </c>
    </row>
    <row r="4459" spans="1:12" hidden="1" x14ac:dyDescent="0.25">
      <c r="A4459">
        <v>4458</v>
      </c>
      <c r="B4459" s="1" t="s">
        <v>12</v>
      </c>
      <c r="C4459">
        <v>2001</v>
      </c>
      <c r="D4459" s="1" t="s">
        <v>308</v>
      </c>
      <c r="E4459" s="1" t="s">
        <v>22</v>
      </c>
      <c r="F4459">
        <v>14</v>
      </c>
      <c r="G4459" s="1" t="s">
        <v>122</v>
      </c>
      <c r="H4459">
        <v>14182</v>
      </c>
      <c r="I4459">
        <v>1500</v>
      </c>
      <c r="J4459">
        <v>1500</v>
      </c>
      <c r="K4459">
        <v>3300</v>
      </c>
      <c r="L4459">
        <v>2200</v>
      </c>
    </row>
    <row r="4460" spans="1:12" hidden="1" x14ac:dyDescent="0.25">
      <c r="A4460">
        <v>4459</v>
      </c>
      <c r="B4460" s="1" t="s">
        <v>12</v>
      </c>
      <c r="C4460">
        <v>2001</v>
      </c>
      <c r="D4460" s="1" t="s">
        <v>308</v>
      </c>
      <c r="E4460" s="1" t="s">
        <v>30</v>
      </c>
      <c r="F4460">
        <v>18</v>
      </c>
      <c r="G4460" s="1" t="s">
        <v>31</v>
      </c>
      <c r="I4460">
        <v>500</v>
      </c>
      <c r="J4460">
        <v>500</v>
      </c>
      <c r="K4460">
        <v>900</v>
      </c>
      <c r="L4460">
        <v>1800</v>
      </c>
    </row>
    <row r="4461" spans="1:12" hidden="1" x14ac:dyDescent="0.25">
      <c r="A4461">
        <v>4460</v>
      </c>
      <c r="B4461" s="1" t="s">
        <v>12</v>
      </c>
      <c r="C4461">
        <v>2001</v>
      </c>
      <c r="D4461" s="1" t="s">
        <v>308</v>
      </c>
      <c r="E4461" s="1" t="s">
        <v>48</v>
      </c>
      <c r="F4461">
        <v>34</v>
      </c>
      <c r="G4461" s="1" t="s">
        <v>31</v>
      </c>
      <c r="I4461">
        <v>600</v>
      </c>
      <c r="J4461">
        <v>600</v>
      </c>
      <c r="K4461">
        <v>1000</v>
      </c>
      <c r="L4461">
        <v>1667</v>
      </c>
    </row>
    <row r="4462" spans="1:12" hidden="1" x14ac:dyDescent="0.25">
      <c r="A4462">
        <v>4461</v>
      </c>
      <c r="B4462" s="1" t="s">
        <v>12</v>
      </c>
      <c r="C4462">
        <v>2001</v>
      </c>
      <c r="D4462" s="1" t="s">
        <v>308</v>
      </c>
      <c r="E4462" s="1" t="s">
        <v>87</v>
      </c>
      <c r="F4462">
        <v>66</v>
      </c>
      <c r="G4462" s="1" t="s">
        <v>153</v>
      </c>
      <c r="H4462">
        <v>66007</v>
      </c>
      <c r="I4462">
        <v>1000</v>
      </c>
      <c r="J4462">
        <v>1000</v>
      </c>
      <c r="K4462">
        <v>1500</v>
      </c>
      <c r="L4462">
        <v>1500</v>
      </c>
    </row>
    <row r="4463" spans="1:12" hidden="1" x14ac:dyDescent="0.25">
      <c r="A4463">
        <v>4462</v>
      </c>
      <c r="B4463" s="1" t="s">
        <v>12</v>
      </c>
      <c r="C4463">
        <v>2001</v>
      </c>
      <c r="D4463" s="1" t="s">
        <v>308</v>
      </c>
      <c r="E4463" s="1" t="s">
        <v>87</v>
      </c>
      <c r="F4463">
        <v>66</v>
      </c>
      <c r="G4463" s="1" t="s">
        <v>230</v>
      </c>
      <c r="H4463">
        <v>66056</v>
      </c>
      <c r="I4463">
        <v>7000</v>
      </c>
      <c r="J4463">
        <v>7000</v>
      </c>
      <c r="K4463">
        <v>10500</v>
      </c>
      <c r="L4463">
        <v>1500</v>
      </c>
    </row>
    <row r="4464" spans="1:12" hidden="1" x14ac:dyDescent="0.25">
      <c r="A4464">
        <v>4463</v>
      </c>
      <c r="B4464" s="1" t="s">
        <v>12</v>
      </c>
      <c r="C4464">
        <v>2001</v>
      </c>
      <c r="D4464" s="1" t="s">
        <v>308</v>
      </c>
      <c r="E4464" s="1" t="s">
        <v>116</v>
      </c>
      <c r="F4464">
        <v>74</v>
      </c>
      <c r="G4464" s="1" t="s">
        <v>31</v>
      </c>
      <c r="I4464">
        <v>600</v>
      </c>
      <c r="J4464">
        <v>600</v>
      </c>
      <c r="K4464">
        <v>1500</v>
      </c>
      <c r="L4464">
        <v>2500</v>
      </c>
    </row>
    <row r="4465" spans="1:12" hidden="1" x14ac:dyDescent="0.25">
      <c r="A4465">
        <v>4464</v>
      </c>
      <c r="B4465" s="1" t="s">
        <v>12</v>
      </c>
      <c r="C4465">
        <v>2002</v>
      </c>
      <c r="D4465" s="1" t="s">
        <v>309</v>
      </c>
      <c r="E4465" s="1" t="s">
        <v>22</v>
      </c>
      <c r="F4465">
        <v>14</v>
      </c>
      <c r="G4465" s="1" t="s">
        <v>129</v>
      </c>
      <c r="H4465">
        <v>14035</v>
      </c>
      <c r="I4465">
        <v>10000</v>
      </c>
      <c r="J4465">
        <v>9700</v>
      </c>
      <c r="K4465">
        <v>15900</v>
      </c>
      <c r="L4465">
        <v>1639</v>
      </c>
    </row>
    <row r="4466" spans="1:12" hidden="1" x14ac:dyDescent="0.25">
      <c r="A4466">
        <v>4465</v>
      </c>
      <c r="B4466" s="1" t="s">
        <v>12</v>
      </c>
      <c r="C4466">
        <v>2002</v>
      </c>
      <c r="D4466" s="1" t="s">
        <v>309</v>
      </c>
      <c r="E4466" s="1" t="s">
        <v>22</v>
      </c>
      <c r="F4466">
        <v>14</v>
      </c>
      <c r="G4466" s="1" t="s">
        <v>184</v>
      </c>
      <c r="H4466">
        <v>14042</v>
      </c>
      <c r="I4466">
        <v>20000</v>
      </c>
      <c r="J4466">
        <v>20000</v>
      </c>
      <c r="K4466">
        <v>26400</v>
      </c>
      <c r="L4466">
        <v>1320</v>
      </c>
    </row>
    <row r="4467" spans="1:12" hidden="1" x14ac:dyDescent="0.25">
      <c r="A4467">
        <v>4466</v>
      </c>
      <c r="B4467" s="1" t="s">
        <v>12</v>
      </c>
      <c r="C4467">
        <v>2002</v>
      </c>
      <c r="D4467" s="1" t="s">
        <v>309</v>
      </c>
      <c r="E4467" s="1" t="s">
        <v>22</v>
      </c>
      <c r="F4467">
        <v>14</v>
      </c>
      <c r="G4467" s="1" t="s">
        <v>143</v>
      </c>
      <c r="H4467">
        <v>14056</v>
      </c>
      <c r="I4467">
        <v>27700</v>
      </c>
      <c r="J4467">
        <v>27700</v>
      </c>
      <c r="K4467">
        <v>38800</v>
      </c>
      <c r="L4467">
        <v>1401</v>
      </c>
    </row>
    <row r="4468" spans="1:12" hidden="1" x14ac:dyDescent="0.25">
      <c r="A4468">
        <v>4467</v>
      </c>
      <c r="B4468" s="1" t="s">
        <v>12</v>
      </c>
      <c r="C4468">
        <v>2002</v>
      </c>
      <c r="D4468" s="1" t="s">
        <v>309</v>
      </c>
      <c r="E4468" s="1" t="s">
        <v>22</v>
      </c>
      <c r="F4468">
        <v>14</v>
      </c>
      <c r="G4468" s="1" t="s">
        <v>206</v>
      </c>
      <c r="H4468">
        <v>14084</v>
      </c>
      <c r="I4468">
        <v>5500</v>
      </c>
      <c r="J4468">
        <v>5300</v>
      </c>
      <c r="K4468">
        <v>8500</v>
      </c>
      <c r="L4468">
        <v>1604</v>
      </c>
    </row>
    <row r="4469" spans="1:12" hidden="1" x14ac:dyDescent="0.25">
      <c r="A4469">
        <v>4468</v>
      </c>
      <c r="B4469" s="1" t="s">
        <v>12</v>
      </c>
      <c r="C4469">
        <v>2002</v>
      </c>
      <c r="D4469" s="1" t="s">
        <v>309</v>
      </c>
      <c r="E4469" s="1" t="s">
        <v>22</v>
      </c>
      <c r="F4469">
        <v>14</v>
      </c>
      <c r="G4469" s="1" t="s">
        <v>29</v>
      </c>
      <c r="H4469">
        <v>14098</v>
      </c>
      <c r="I4469">
        <v>56300</v>
      </c>
      <c r="J4469">
        <v>56300</v>
      </c>
      <c r="K4469">
        <v>78800</v>
      </c>
      <c r="L4469">
        <v>1400</v>
      </c>
    </row>
    <row r="4470" spans="1:12" hidden="1" x14ac:dyDescent="0.25">
      <c r="A4470">
        <v>4469</v>
      </c>
      <c r="B4470" s="1" t="s">
        <v>12</v>
      </c>
      <c r="C4470">
        <v>2002</v>
      </c>
      <c r="D4470" s="1" t="s">
        <v>309</v>
      </c>
      <c r="E4470" s="1" t="s">
        <v>22</v>
      </c>
      <c r="F4470">
        <v>14</v>
      </c>
      <c r="G4470" s="1" t="s">
        <v>24</v>
      </c>
      <c r="H4470">
        <v>14119</v>
      </c>
      <c r="I4470">
        <v>11800</v>
      </c>
      <c r="J4470">
        <v>11800</v>
      </c>
      <c r="K4470">
        <v>17300</v>
      </c>
      <c r="L4470">
        <v>1466</v>
      </c>
    </row>
    <row r="4471" spans="1:12" hidden="1" x14ac:dyDescent="0.25">
      <c r="A4471">
        <v>4470</v>
      </c>
      <c r="B4471" s="1" t="s">
        <v>12</v>
      </c>
      <c r="C4471">
        <v>2002</v>
      </c>
      <c r="D4471" s="1" t="s">
        <v>309</v>
      </c>
      <c r="E4471" s="1" t="s">
        <v>22</v>
      </c>
      <c r="F4471">
        <v>14</v>
      </c>
      <c r="G4471" s="1" t="s">
        <v>23</v>
      </c>
      <c r="H4471">
        <v>14147</v>
      </c>
      <c r="I4471">
        <v>200</v>
      </c>
      <c r="J4471">
        <v>200</v>
      </c>
      <c r="K4471">
        <v>300</v>
      </c>
      <c r="L4471">
        <v>1500</v>
      </c>
    </row>
    <row r="4472" spans="1:12" hidden="1" x14ac:dyDescent="0.25">
      <c r="A4472">
        <v>4471</v>
      </c>
      <c r="B4472" s="1" t="s">
        <v>12</v>
      </c>
      <c r="C4472">
        <v>2002</v>
      </c>
      <c r="D4472" s="1" t="s">
        <v>309</v>
      </c>
      <c r="E4472" s="1" t="s">
        <v>22</v>
      </c>
      <c r="F4472">
        <v>14</v>
      </c>
      <c r="G4472" s="1" t="s">
        <v>26</v>
      </c>
      <c r="H4472">
        <v>14161</v>
      </c>
      <c r="I4472">
        <v>17100</v>
      </c>
      <c r="J4472">
        <v>17100</v>
      </c>
      <c r="K4472">
        <v>22100</v>
      </c>
      <c r="L4472">
        <v>1292</v>
      </c>
    </row>
    <row r="4473" spans="1:12" hidden="1" x14ac:dyDescent="0.25">
      <c r="A4473">
        <v>4472</v>
      </c>
      <c r="B4473" s="1" t="s">
        <v>12</v>
      </c>
      <c r="C4473">
        <v>2002</v>
      </c>
      <c r="D4473" s="1" t="s">
        <v>309</v>
      </c>
      <c r="E4473" s="1" t="s">
        <v>22</v>
      </c>
      <c r="F4473">
        <v>14</v>
      </c>
      <c r="G4473" s="1" t="s">
        <v>122</v>
      </c>
      <c r="H4473">
        <v>14182</v>
      </c>
      <c r="I4473">
        <v>1500</v>
      </c>
      <c r="J4473">
        <v>1500</v>
      </c>
      <c r="K4473">
        <v>3300</v>
      </c>
      <c r="L4473">
        <v>2200</v>
      </c>
    </row>
    <row r="4474" spans="1:12" hidden="1" x14ac:dyDescent="0.25">
      <c r="A4474">
        <v>4473</v>
      </c>
      <c r="B4474" s="1" t="s">
        <v>12</v>
      </c>
      <c r="C4474">
        <v>2002</v>
      </c>
      <c r="D4474" s="1" t="s">
        <v>309</v>
      </c>
      <c r="E4474" s="1" t="s">
        <v>30</v>
      </c>
      <c r="F4474">
        <v>18</v>
      </c>
      <c r="G4474" s="1" t="s">
        <v>31</v>
      </c>
      <c r="I4474">
        <v>500</v>
      </c>
      <c r="J4474">
        <v>500</v>
      </c>
      <c r="K4474">
        <v>700</v>
      </c>
      <c r="L4474">
        <v>1400</v>
      </c>
    </row>
    <row r="4475" spans="1:12" hidden="1" x14ac:dyDescent="0.25">
      <c r="A4475">
        <v>4474</v>
      </c>
      <c r="B4475" s="1" t="s">
        <v>12</v>
      </c>
      <c r="C4475">
        <v>2002</v>
      </c>
      <c r="D4475" s="1" t="s">
        <v>309</v>
      </c>
      <c r="E4475" s="1" t="s">
        <v>48</v>
      </c>
      <c r="F4475">
        <v>34</v>
      </c>
      <c r="G4475" s="1" t="s">
        <v>31</v>
      </c>
      <c r="I4475">
        <v>1126</v>
      </c>
      <c r="J4475">
        <v>1126</v>
      </c>
      <c r="K4475">
        <v>1600</v>
      </c>
      <c r="L4475">
        <v>1421</v>
      </c>
    </row>
    <row r="4476" spans="1:12" hidden="1" x14ac:dyDescent="0.25">
      <c r="A4476">
        <v>4475</v>
      </c>
      <c r="B4476" s="1" t="s">
        <v>12</v>
      </c>
      <c r="C4476">
        <v>2002</v>
      </c>
      <c r="D4476" s="1" t="s">
        <v>309</v>
      </c>
      <c r="E4476" s="1" t="s">
        <v>87</v>
      </c>
      <c r="F4476">
        <v>66</v>
      </c>
      <c r="G4476" s="1" t="s">
        <v>153</v>
      </c>
      <c r="H4476">
        <v>66007</v>
      </c>
      <c r="I4476">
        <v>500</v>
      </c>
      <c r="J4476">
        <v>300</v>
      </c>
      <c r="K4476">
        <v>400</v>
      </c>
      <c r="L4476">
        <v>1333</v>
      </c>
    </row>
    <row r="4477" spans="1:12" hidden="1" x14ac:dyDescent="0.25">
      <c r="A4477">
        <v>4476</v>
      </c>
      <c r="B4477" s="1" t="s">
        <v>12</v>
      </c>
      <c r="C4477">
        <v>2002</v>
      </c>
      <c r="D4477" s="1" t="s">
        <v>309</v>
      </c>
      <c r="E4477" s="1" t="s">
        <v>87</v>
      </c>
      <c r="F4477">
        <v>66</v>
      </c>
      <c r="G4477" s="1" t="s">
        <v>230</v>
      </c>
      <c r="H4477">
        <v>66056</v>
      </c>
      <c r="I4477">
        <v>4500</v>
      </c>
      <c r="J4477">
        <v>4300</v>
      </c>
      <c r="K4477">
        <v>6000</v>
      </c>
      <c r="L4477">
        <v>1395</v>
      </c>
    </row>
    <row r="4478" spans="1:12" hidden="1" x14ac:dyDescent="0.25">
      <c r="A4478">
        <v>4477</v>
      </c>
      <c r="B4478" s="1" t="s">
        <v>12</v>
      </c>
      <c r="C4478">
        <v>2002</v>
      </c>
      <c r="D4478" s="1" t="s">
        <v>309</v>
      </c>
      <c r="E4478" s="1" t="s">
        <v>116</v>
      </c>
      <c r="F4478">
        <v>74</v>
      </c>
      <c r="G4478" s="1" t="s">
        <v>31</v>
      </c>
      <c r="I4478">
        <v>600</v>
      </c>
      <c r="J4478">
        <v>600</v>
      </c>
      <c r="K4478">
        <v>800</v>
      </c>
      <c r="L4478">
        <v>1333</v>
      </c>
    </row>
    <row r="4479" spans="1:12" hidden="1" x14ac:dyDescent="0.25">
      <c r="A4479">
        <v>4478</v>
      </c>
      <c r="B4479" s="1" t="s">
        <v>12</v>
      </c>
      <c r="C4479">
        <v>2003</v>
      </c>
      <c r="D4479" s="1" t="s">
        <v>310</v>
      </c>
      <c r="E4479" s="1" t="s">
        <v>22</v>
      </c>
      <c r="F4479">
        <v>14</v>
      </c>
      <c r="G4479" s="1" t="s">
        <v>129</v>
      </c>
      <c r="H4479">
        <v>14035</v>
      </c>
      <c r="I4479">
        <v>14500</v>
      </c>
      <c r="J4479">
        <v>14200</v>
      </c>
      <c r="K4479">
        <v>24100</v>
      </c>
      <c r="L4479">
        <v>1697</v>
      </c>
    </row>
    <row r="4480" spans="1:12" hidden="1" x14ac:dyDescent="0.25">
      <c r="A4480">
        <v>4479</v>
      </c>
      <c r="B4480" s="1" t="s">
        <v>12</v>
      </c>
      <c r="C4480">
        <v>2003</v>
      </c>
      <c r="D4480" s="1" t="s">
        <v>310</v>
      </c>
      <c r="E4480" s="1" t="s">
        <v>22</v>
      </c>
      <c r="F4480">
        <v>14</v>
      </c>
      <c r="G4480" s="1" t="s">
        <v>184</v>
      </c>
      <c r="H4480">
        <v>14042</v>
      </c>
      <c r="I4480">
        <v>20300</v>
      </c>
      <c r="J4480">
        <v>20300</v>
      </c>
      <c r="K4480">
        <v>35700</v>
      </c>
      <c r="L4480">
        <v>1759</v>
      </c>
    </row>
    <row r="4481" spans="1:12" hidden="1" x14ac:dyDescent="0.25">
      <c r="A4481">
        <v>4480</v>
      </c>
      <c r="B4481" s="1" t="s">
        <v>12</v>
      </c>
      <c r="C4481">
        <v>2003</v>
      </c>
      <c r="D4481" s="1" t="s">
        <v>310</v>
      </c>
      <c r="E4481" s="1" t="s">
        <v>22</v>
      </c>
      <c r="F4481">
        <v>14</v>
      </c>
      <c r="G4481" s="1" t="s">
        <v>143</v>
      </c>
      <c r="H4481">
        <v>14056</v>
      </c>
      <c r="I4481">
        <v>25000</v>
      </c>
      <c r="J4481">
        <v>24500</v>
      </c>
      <c r="K4481">
        <v>41100</v>
      </c>
      <c r="L4481">
        <v>1678</v>
      </c>
    </row>
    <row r="4482" spans="1:12" hidden="1" x14ac:dyDescent="0.25">
      <c r="A4482">
        <v>4481</v>
      </c>
      <c r="B4482" s="1" t="s">
        <v>12</v>
      </c>
      <c r="C4482">
        <v>2003</v>
      </c>
      <c r="D4482" s="1" t="s">
        <v>310</v>
      </c>
      <c r="E4482" s="1" t="s">
        <v>22</v>
      </c>
      <c r="F4482">
        <v>14</v>
      </c>
      <c r="G4482" s="1" t="s">
        <v>206</v>
      </c>
      <c r="H4482">
        <v>14084</v>
      </c>
      <c r="I4482">
        <v>7000</v>
      </c>
      <c r="J4482">
        <v>6300</v>
      </c>
      <c r="K4482">
        <v>10700</v>
      </c>
      <c r="L4482">
        <v>1698</v>
      </c>
    </row>
    <row r="4483" spans="1:12" hidden="1" x14ac:dyDescent="0.25">
      <c r="A4483">
        <v>4482</v>
      </c>
      <c r="B4483" s="1" t="s">
        <v>12</v>
      </c>
      <c r="C4483">
        <v>2003</v>
      </c>
      <c r="D4483" s="1" t="s">
        <v>310</v>
      </c>
      <c r="E4483" s="1" t="s">
        <v>22</v>
      </c>
      <c r="F4483">
        <v>14</v>
      </c>
      <c r="G4483" s="1" t="s">
        <v>29</v>
      </c>
      <c r="H4483">
        <v>14098</v>
      </c>
      <c r="I4483">
        <v>62160</v>
      </c>
      <c r="J4483">
        <v>61160</v>
      </c>
      <c r="K4483">
        <v>103400</v>
      </c>
      <c r="L4483">
        <v>1691</v>
      </c>
    </row>
    <row r="4484" spans="1:12" hidden="1" x14ac:dyDescent="0.25">
      <c r="A4484">
        <v>4483</v>
      </c>
      <c r="B4484" s="1" t="s">
        <v>12</v>
      </c>
      <c r="C4484">
        <v>2003</v>
      </c>
      <c r="D4484" s="1" t="s">
        <v>310</v>
      </c>
      <c r="E4484" s="1" t="s">
        <v>22</v>
      </c>
      <c r="F4484">
        <v>14</v>
      </c>
      <c r="G4484" s="1" t="s">
        <v>24</v>
      </c>
      <c r="H4484">
        <v>14119</v>
      </c>
      <c r="I4484">
        <v>11600</v>
      </c>
      <c r="J4484">
        <v>11600</v>
      </c>
      <c r="K4484">
        <v>21100</v>
      </c>
      <c r="L4484">
        <v>1819</v>
      </c>
    </row>
    <row r="4485" spans="1:12" hidden="1" x14ac:dyDescent="0.25">
      <c r="A4485">
        <v>4484</v>
      </c>
      <c r="B4485" s="1" t="s">
        <v>12</v>
      </c>
      <c r="C4485">
        <v>2003</v>
      </c>
      <c r="D4485" s="1" t="s">
        <v>310</v>
      </c>
      <c r="E4485" s="1" t="s">
        <v>22</v>
      </c>
      <c r="F4485">
        <v>14</v>
      </c>
      <c r="G4485" s="1" t="s">
        <v>23</v>
      </c>
      <c r="H4485">
        <v>14147</v>
      </c>
      <c r="I4485">
        <v>200</v>
      </c>
      <c r="J4485">
        <v>200</v>
      </c>
      <c r="K4485">
        <v>300</v>
      </c>
      <c r="L4485">
        <v>1500</v>
      </c>
    </row>
    <row r="4486" spans="1:12" hidden="1" x14ac:dyDescent="0.25">
      <c r="A4486">
        <v>4485</v>
      </c>
      <c r="B4486" s="1" t="s">
        <v>12</v>
      </c>
      <c r="C4486">
        <v>2003</v>
      </c>
      <c r="D4486" s="1" t="s">
        <v>310</v>
      </c>
      <c r="E4486" s="1" t="s">
        <v>22</v>
      </c>
      <c r="F4486">
        <v>14</v>
      </c>
      <c r="G4486" s="1" t="s">
        <v>26</v>
      </c>
      <c r="H4486">
        <v>14161</v>
      </c>
      <c r="I4486">
        <v>15400</v>
      </c>
      <c r="J4486">
        <v>15400</v>
      </c>
      <c r="K4486">
        <v>26000</v>
      </c>
      <c r="L4486">
        <v>1688</v>
      </c>
    </row>
    <row r="4487" spans="1:12" hidden="1" x14ac:dyDescent="0.25">
      <c r="A4487">
        <v>4486</v>
      </c>
      <c r="B4487" s="1" t="s">
        <v>12</v>
      </c>
      <c r="C4487">
        <v>2003</v>
      </c>
      <c r="D4487" s="1" t="s">
        <v>310</v>
      </c>
      <c r="E4487" s="1" t="s">
        <v>22</v>
      </c>
      <c r="F4487">
        <v>14</v>
      </c>
      <c r="G4487" s="1" t="s">
        <v>122</v>
      </c>
      <c r="H4487">
        <v>14182</v>
      </c>
      <c r="I4487">
        <v>720</v>
      </c>
      <c r="J4487">
        <v>720</v>
      </c>
      <c r="K4487">
        <v>1300</v>
      </c>
      <c r="L4487">
        <v>1806</v>
      </c>
    </row>
    <row r="4488" spans="1:12" hidden="1" x14ac:dyDescent="0.25">
      <c r="A4488">
        <v>4487</v>
      </c>
      <c r="B4488" s="1" t="s">
        <v>12</v>
      </c>
      <c r="C4488">
        <v>2003</v>
      </c>
      <c r="D4488" s="1" t="s">
        <v>310</v>
      </c>
      <c r="E4488" s="1" t="s">
        <v>30</v>
      </c>
      <c r="F4488">
        <v>18</v>
      </c>
      <c r="G4488" s="1" t="s">
        <v>41</v>
      </c>
      <c r="H4488">
        <v>18140</v>
      </c>
      <c r="I4488">
        <v>540</v>
      </c>
      <c r="J4488">
        <v>540</v>
      </c>
      <c r="K4488">
        <v>427</v>
      </c>
      <c r="L4488">
        <v>791</v>
      </c>
    </row>
    <row r="4489" spans="1:12" hidden="1" x14ac:dyDescent="0.25">
      <c r="A4489">
        <v>4488</v>
      </c>
      <c r="B4489" s="1" t="s">
        <v>12</v>
      </c>
      <c r="C4489">
        <v>2003</v>
      </c>
      <c r="D4489" s="1" t="s">
        <v>310</v>
      </c>
      <c r="E4489" s="1" t="s">
        <v>48</v>
      </c>
      <c r="F4489">
        <v>34</v>
      </c>
      <c r="G4489" s="1" t="s">
        <v>31</v>
      </c>
      <c r="I4489">
        <v>1003</v>
      </c>
      <c r="J4489">
        <v>1003</v>
      </c>
      <c r="K4489">
        <v>1623</v>
      </c>
      <c r="L4489">
        <v>1618</v>
      </c>
    </row>
    <row r="4490" spans="1:12" hidden="1" x14ac:dyDescent="0.25">
      <c r="A4490">
        <v>4489</v>
      </c>
      <c r="B4490" s="1" t="s">
        <v>12</v>
      </c>
      <c r="C4490">
        <v>2003</v>
      </c>
      <c r="D4490" s="1" t="s">
        <v>310</v>
      </c>
      <c r="E4490" s="1" t="s">
        <v>87</v>
      </c>
      <c r="F4490">
        <v>66</v>
      </c>
      <c r="G4490" s="1" t="s">
        <v>153</v>
      </c>
      <c r="H4490">
        <v>66007</v>
      </c>
      <c r="I4490">
        <v>850</v>
      </c>
      <c r="J4490">
        <v>750</v>
      </c>
      <c r="K4490">
        <v>1700</v>
      </c>
      <c r="L4490">
        <v>2267</v>
      </c>
    </row>
    <row r="4491" spans="1:12" hidden="1" x14ac:dyDescent="0.25">
      <c r="A4491">
        <v>4490</v>
      </c>
      <c r="B4491" s="1" t="s">
        <v>12</v>
      </c>
      <c r="C4491">
        <v>2003</v>
      </c>
      <c r="D4491" s="1" t="s">
        <v>310</v>
      </c>
      <c r="E4491" s="1" t="s">
        <v>87</v>
      </c>
      <c r="F4491">
        <v>66</v>
      </c>
      <c r="G4491" s="1" t="s">
        <v>230</v>
      </c>
      <c r="H4491">
        <v>66056</v>
      </c>
      <c r="I4491">
        <v>7200</v>
      </c>
      <c r="J4491">
        <v>7200</v>
      </c>
      <c r="K4491">
        <v>18000</v>
      </c>
      <c r="L4491">
        <v>2500</v>
      </c>
    </row>
    <row r="4492" spans="1:12" hidden="1" x14ac:dyDescent="0.25">
      <c r="A4492">
        <v>4491</v>
      </c>
      <c r="B4492" s="1" t="s">
        <v>12</v>
      </c>
      <c r="C4492">
        <v>2003</v>
      </c>
      <c r="D4492" s="1" t="s">
        <v>310</v>
      </c>
      <c r="E4492" s="1" t="s">
        <v>87</v>
      </c>
      <c r="F4492">
        <v>66</v>
      </c>
      <c r="G4492" s="1" t="s">
        <v>179</v>
      </c>
      <c r="H4492">
        <v>66126</v>
      </c>
      <c r="I4492">
        <v>750</v>
      </c>
      <c r="J4492">
        <v>600</v>
      </c>
      <c r="K4492">
        <v>1400</v>
      </c>
      <c r="L4492">
        <v>2333</v>
      </c>
    </row>
    <row r="4493" spans="1:12" hidden="1" x14ac:dyDescent="0.25">
      <c r="A4493">
        <v>4492</v>
      </c>
      <c r="B4493" s="1" t="s">
        <v>12</v>
      </c>
      <c r="C4493">
        <v>2003</v>
      </c>
      <c r="D4493" s="1" t="s">
        <v>310</v>
      </c>
      <c r="E4493" s="1" t="s">
        <v>116</v>
      </c>
      <c r="F4493">
        <v>74</v>
      </c>
      <c r="G4493" s="1" t="s">
        <v>31</v>
      </c>
      <c r="I4493">
        <v>2600</v>
      </c>
      <c r="J4493">
        <v>2600</v>
      </c>
      <c r="K4493">
        <v>4700</v>
      </c>
      <c r="L4493">
        <v>1808</v>
      </c>
    </row>
    <row r="4494" spans="1:12" hidden="1" x14ac:dyDescent="0.25">
      <c r="A4494">
        <v>4493</v>
      </c>
      <c r="B4494" s="1" t="s">
        <v>12</v>
      </c>
      <c r="C4494">
        <v>2003</v>
      </c>
      <c r="D4494" s="1" t="s">
        <v>310</v>
      </c>
      <c r="E4494" s="1" t="s">
        <v>64</v>
      </c>
      <c r="F4494">
        <v>82</v>
      </c>
      <c r="G4494" s="1" t="s">
        <v>66</v>
      </c>
      <c r="H4494">
        <v>82035</v>
      </c>
      <c r="I4494">
        <v>400</v>
      </c>
      <c r="J4494">
        <v>400</v>
      </c>
      <c r="K4494">
        <v>1400</v>
      </c>
      <c r="L4494">
        <v>3500</v>
      </c>
    </row>
    <row r="4495" spans="1:12" hidden="1" x14ac:dyDescent="0.25">
      <c r="A4495">
        <v>4494</v>
      </c>
      <c r="B4495" s="1" t="s">
        <v>12</v>
      </c>
      <c r="C4495">
        <v>2004</v>
      </c>
      <c r="D4495" s="1" t="s">
        <v>311</v>
      </c>
      <c r="E4495" s="1" t="s">
        <v>22</v>
      </c>
      <c r="F4495">
        <v>14</v>
      </c>
      <c r="G4495" s="1" t="s">
        <v>129</v>
      </c>
      <c r="H4495">
        <v>14035</v>
      </c>
      <c r="I4495">
        <v>22000</v>
      </c>
      <c r="J4495">
        <v>21800</v>
      </c>
      <c r="K4495">
        <v>43600</v>
      </c>
      <c r="L4495">
        <v>2000</v>
      </c>
    </row>
    <row r="4496" spans="1:12" hidden="1" x14ac:dyDescent="0.25">
      <c r="A4496">
        <v>4495</v>
      </c>
      <c r="B4496" s="1" t="s">
        <v>12</v>
      </c>
      <c r="C4496">
        <v>2004</v>
      </c>
      <c r="D4496" s="1" t="s">
        <v>311</v>
      </c>
      <c r="E4496" s="1" t="s">
        <v>22</v>
      </c>
      <c r="F4496">
        <v>14</v>
      </c>
      <c r="G4496" s="1" t="s">
        <v>184</v>
      </c>
      <c r="H4496">
        <v>14042</v>
      </c>
      <c r="I4496">
        <v>23200</v>
      </c>
      <c r="J4496">
        <v>23200</v>
      </c>
      <c r="K4496">
        <v>52800</v>
      </c>
      <c r="L4496">
        <v>2276</v>
      </c>
    </row>
    <row r="4497" spans="1:12" hidden="1" x14ac:dyDescent="0.25">
      <c r="A4497">
        <v>4496</v>
      </c>
      <c r="B4497" s="1" t="s">
        <v>12</v>
      </c>
      <c r="C4497">
        <v>2004</v>
      </c>
      <c r="D4497" s="1" t="s">
        <v>311</v>
      </c>
      <c r="E4497" s="1" t="s">
        <v>22</v>
      </c>
      <c r="F4497">
        <v>14</v>
      </c>
      <c r="G4497" s="1" t="s">
        <v>143</v>
      </c>
      <c r="H4497">
        <v>14056</v>
      </c>
      <c r="I4497">
        <v>31000</v>
      </c>
      <c r="J4497">
        <v>31000</v>
      </c>
      <c r="K4497">
        <v>63400</v>
      </c>
      <c r="L4497">
        <v>2045</v>
      </c>
    </row>
    <row r="4498" spans="1:12" hidden="1" x14ac:dyDescent="0.25">
      <c r="A4498">
        <v>4497</v>
      </c>
      <c r="B4498" s="1" t="s">
        <v>12</v>
      </c>
      <c r="C4498">
        <v>2004</v>
      </c>
      <c r="D4498" s="1" t="s">
        <v>311</v>
      </c>
      <c r="E4498" s="1" t="s">
        <v>22</v>
      </c>
      <c r="F4498">
        <v>14</v>
      </c>
      <c r="G4498" s="1" t="s">
        <v>206</v>
      </c>
      <c r="H4498">
        <v>14084</v>
      </c>
      <c r="I4498">
        <v>12000</v>
      </c>
      <c r="J4498">
        <v>12000</v>
      </c>
      <c r="K4498">
        <v>26400</v>
      </c>
      <c r="L4498">
        <v>2200</v>
      </c>
    </row>
    <row r="4499" spans="1:12" hidden="1" x14ac:dyDescent="0.25">
      <c r="A4499">
        <v>4498</v>
      </c>
      <c r="B4499" s="1" t="s">
        <v>12</v>
      </c>
      <c r="C4499">
        <v>2004</v>
      </c>
      <c r="D4499" s="1" t="s">
        <v>311</v>
      </c>
      <c r="E4499" s="1" t="s">
        <v>22</v>
      </c>
      <c r="F4499">
        <v>14</v>
      </c>
      <c r="G4499" s="1" t="s">
        <v>29</v>
      </c>
      <c r="H4499">
        <v>14098</v>
      </c>
      <c r="I4499">
        <v>79800</v>
      </c>
      <c r="J4499">
        <v>79800</v>
      </c>
      <c r="K4499">
        <v>163400</v>
      </c>
      <c r="L4499">
        <v>2048</v>
      </c>
    </row>
    <row r="4500" spans="1:12" hidden="1" x14ac:dyDescent="0.25">
      <c r="A4500">
        <v>4499</v>
      </c>
      <c r="B4500" s="1" t="s">
        <v>12</v>
      </c>
      <c r="C4500">
        <v>2004</v>
      </c>
      <c r="D4500" s="1" t="s">
        <v>311</v>
      </c>
      <c r="E4500" s="1" t="s">
        <v>22</v>
      </c>
      <c r="F4500">
        <v>14</v>
      </c>
      <c r="G4500" s="1" t="s">
        <v>24</v>
      </c>
      <c r="H4500">
        <v>14119</v>
      </c>
      <c r="I4500">
        <v>12800</v>
      </c>
      <c r="J4500">
        <v>12800</v>
      </c>
      <c r="K4500">
        <v>31400</v>
      </c>
      <c r="L4500">
        <v>2453</v>
      </c>
    </row>
    <row r="4501" spans="1:12" hidden="1" x14ac:dyDescent="0.25">
      <c r="A4501">
        <v>4500</v>
      </c>
      <c r="B4501" s="1" t="s">
        <v>12</v>
      </c>
      <c r="C4501">
        <v>2004</v>
      </c>
      <c r="D4501" s="1" t="s">
        <v>311</v>
      </c>
      <c r="E4501" s="1" t="s">
        <v>22</v>
      </c>
      <c r="F4501">
        <v>14</v>
      </c>
      <c r="G4501" s="1" t="s">
        <v>23</v>
      </c>
      <c r="H4501">
        <v>14147</v>
      </c>
      <c r="I4501">
        <v>200</v>
      </c>
      <c r="J4501">
        <v>200</v>
      </c>
      <c r="K4501">
        <v>500</v>
      </c>
      <c r="L4501">
        <v>2500</v>
      </c>
    </row>
    <row r="4502" spans="1:12" hidden="1" x14ac:dyDescent="0.25">
      <c r="A4502">
        <v>4501</v>
      </c>
      <c r="B4502" s="1" t="s">
        <v>12</v>
      </c>
      <c r="C4502">
        <v>2004</v>
      </c>
      <c r="D4502" s="1" t="s">
        <v>311</v>
      </c>
      <c r="E4502" s="1" t="s">
        <v>22</v>
      </c>
      <c r="F4502">
        <v>14</v>
      </c>
      <c r="G4502" s="1" t="s">
        <v>26</v>
      </c>
      <c r="H4502">
        <v>14161</v>
      </c>
      <c r="I4502">
        <v>16000</v>
      </c>
      <c r="J4502">
        <v>16000</v>
      </c>
      <c r="K4502">
        <v>34800</v>
      </c>
      <c r="L4502">
        <v>2175</v>
      </c>
    </row>
    <row r="4503" spans="1:12" hidden="1" x14ac:dyDescent="0.25">
      <c r="A4503">
        <v>4502</v>
      </c>
      <c r="B4503" s="1" t="s">
        <v>12</v>
      </c>
      <c r="C4503">
        <v>2004</v>
      </c>
      <c r="D4503" s="1" t="s">
        <v>311</v>
      </c>
      <c r="E4503" s="1" t="s">
        <v>22</v>
      </c>
      <c r="F4503">
        <v>14</v>
      </c>
      <c r="G4503" s="1" t="s">
        <v>122</v>
      </c>
      <c r="H4503">
        <v>14182</v>
      </c>
      <c r="I4503">
        <v>850</v>
      </c>
      <c r="J4503">
        <v>850</v>
      </c>
      <c r="K4503">
        <v>2000</v>
      </c>
      <c r="L4503">
        <v>2353</v>
      </c>
    </row>
    <row r="4504" spans="1:12" hidden="1" x14ac:dyDescent="0.25">
      <c r="A4504">
        <v>4503</v>
      </c>
      <c r="B4504" s="1" t="s">
        <v>12</v>
      </c>
      <c r="C4504">
        <v>2004</v>
      </c>
      <c r="D4504" s="1" t="s">
        <v>311</v>
      </c>
      <c r="E4504" s="1" t="s">
        <v>30</v>
      </c>
      <c r="F4504">
        <v>18</v>
      </c>
      <c r="G4504" s="1" t="s">
        <v>41</v>
      </c>
      <c r="H4504">
        <v>18140</v>
      </c>
      <c r="I4504">
        <v>540</v>
      </c>
      <c r="J4504">
        <v>540</v>
      </c>
      <c r="K4504">
        <v>800</v>
      </c>
      <c r="L4504">
        <v>1481</v>
      </c>
    </row>
    <row r="4505" spans="1:12" hidden="1" x14ac:dyDescent="0.25">
      <c r="A4505">
        <v>4504</v>
      </c>
      <c r="B4505" s="1" t="s">
        <v>12</v>
      </c>
      <c r="C4505">
        <v>2004</v>
      </c>
      <c r="D4505" s="1" t="s">
        <v>311</v>
      </c>
      <c r="E4505" s="1" t="s">
        <v>48</v>
      </c>
      <c r="F4505">
        <v>34</v>
      </c>
      <c r="G4505" s="1" t="s">
        <v>31</v>
      </c>
      <c r="I4505">
        <v>1400</v>
      </c>
      <c r="J4505">
        <v>1400</v>
      </c>
      <c r="K4505">
        <v>2500</v>
      </c>
      <c r="L4505">
        <v>1786</v>
      </c>
    </row>
    <row r="4506" spans="1:12" x14ac:dyDescent="0.25">
      <c r="A4506">
        <v>4505</v>
      </c>
      <c r="B4506" s="1" t="s">
        <v>12</v>
      </c>
      <c r="C4506">
        <v>2004</v>
      </c>
      <c r="D4506" s="1" t="s">
        <v>311</v>
      </c>
      <c r="E4506" s="1" t="s">
        <v>53</v>
      </c>
      <c r="F4506">
        <v>38</v>
      </c>
      <c r="G4506" s="1" t="s">
        <v>56</v>
      </c>
      <c r="H4506">
        <v>38063</v>
      </c>
      <c r="I4506">
        <v>300</v>
      </c>
      <c r="J4506">
        <v>300</v>
      </c>
      <c r="K4506">
        <v>500</v>
      </c>
      <c r="L4506">
        <v>1667</v>
      </c>
    </row>
    <row r="4507" spans="1:12" hidden="1" x14ac:dyDescent="0.25">
      <c r="A4507">
        <v>4506</v>
      </c>
      <c r="B4507" s="1" t="s">
        <v>12</v>
      </c>
      <c r="C4507">
        <v>2004</v>
      </c>
      <c r="D4507" s="1" t="s">
        <v>311</v>
      </c>
      <c r="E4507" s="1" t="s">
        <v>53</v>
      </c>
      <c r="F4507">
        <v>38</v>
      </c>
      <c r="G4507" s="1" t="s">
        <v>270</v>
      </c>
      <c r="H4507">
        <v>38070</v>
      </c>
      <c r="I4507">
        <v>700</v>
      </c>
      <c r="J4507">
        <v>700</v>
      </c>
      <c r="K4507">
        <v>1100</v>
      </c>
      <c r="L4507">
        <v>1571</v>
      </c>
    </row>
    <row r="4508" spans="1:12" hidden="1" x14ac:dyDescent="0.25">
      <c r="A4508">
        <v>4507</v>
      </c>
      <c r="B4508" s="1" t="s">
        <v>12</v>
      </c>
      <c r="C4508">
        <v>2004</v>
      </c>
      <c r="D4508" s="1" t="s">
        <v>311</v>
      </c>
      <c r="E4508" s="1" t="s">
        <v>87</v>
      </c>
      <c r="F4508">
        <v>66</v>
      </c>
      <c r="G4508" s="1" t="s">
        <v>153</v>
      </c>
      <c r="H4508">
        <v>66007</v>
      </c>
      <c r="I4508">
        <v>600</v>
      </c>
      <c r="J4508">
        <v>600</v>
      </c>
      <c r="K4508">
        <v>900</v>
      </c>
      <c r="L4508">
        <v>1500</v>
      </c>
    </row>
    <row r="4509" spans="1:12" hidden="1" x14ac:dyDescent="0.25">
      <c r="A4509">
        <v>4508</v>
      </c>
      <c r="B4509" s="1" t="s">
        <v>12</v>
      </c>
      <c r="C4509">
        <v>2004</v>
      </c>
      <c r="D4509" s="1" t="s">
        <v>311</v>
      </c>
      <c r="E4509" s="1" t="s">
        <v>87</v>
      </c>
      <c r="F4509">
        <v>66</v>
      </c>
      <c r="G4509" s="1" t="s">
        <v>230</v>
      </c>
      <c r="H4509">
        <v>66056</v>
      </c>
      <c r="I4509">
        <v>5100</v>
      </c>
      <c r="J4509">
        <v>5100</v>
      </c>
      <c r="K4509">
        <v>10200</v>
      </c>
      <c r="L4509">
        <v>2000</v>
      </c>
    </row>
    <row r="4510" spans="1:12" hidden="1" x14ac:dyDescent="0.25">
      <c r="A4510">
        <v>4509</v>
      </c>
      <c r="B4510" s="1" t="s">
        <v>12</v>
      </c>
      <c r="C4510">
        <v>2004</v>
      </c>
      <c r="D4510" s="1" t="s">
        <v>311</v>
      </c>
      <c r="E4510" s="1" t="s">
        <v>87</v>
      </c>
      <c r="F4510">
        <v>66</v>
      </c>
      <c r="G4510" s="1" t="s">
        <v>179</v>
      </c>
      <c r="H4510">
        <v>66126</v>
      </c>
      <c r="I4510">
        <v>1300</v>
      </c>
      <c r="J4510">
        <v>1300</v>
      </c>
      <c r="K4510">
        <v>2000</v>
      </c>
      <c r="L4510">
        <v>1538</v>
      </c>
    </row>
    <row r="4511" spans="1:12" hidden="1" x14ac:dyDescent="0.25">
      <c r="A4511">
        <v>4510</v>
      </c>
      <c r="B4511" s="1" t="s">
        <v>12</v>
      </c>
      <c r="C4511">
        <v>2004</v>
      </c>
      <c r="D4511" s="1" t="s">
        <v>311</v>
      </c>
      <c r="E4511" s="1" t="s">
        <v>116</v>
      </c>
      <c r="F4511">
        <v>74</v>
      </c>
      <c r="G4511" s="1" t="s">
        <v>31</v>
      </c>
      <c r="I4511">
        <v>2600</v>
      </c>
      <c r="J4511">
        <v>2600</v>
      </c>
      <c r="K4511">
        <v>6200</v>
      </c>
      <c r="L4511">
        <v>2385</v>
      </c>
    </row>
    <row r="4512" spans="1:12" hidden="1" x14ac:dyDescent="0.25">
      <c r="A4512">
        <v>4511</v>
      </c>
      <c r="B4512" s="1" t="s">
        <v>12</v>
      </c>
      <c r="C4512">
        <v>2004</v>
      </c>
      <c r="D4512" s="1" t="s">
        <v>311</v>
      </c>
      <c r="E4512" s="1" t="s">
        <v>64</v>
      </c>
      <c r="F4512">
        <v>82</v>
      </c>
      <c r="G4512" s="1" t="s">
        <v>66</v>
      </c>
      <c r="H4512">
        <v>82035</v>
      </c>
      <c r="I4512">
        <v>700</v>
      </c>
      <c r="J4512">
        <v>630</v>
      </c>
      <c r="K4512">
        <v>2300</v>
      </c>
      <c r="L4512">
        <v>3651</v>
      </c>
    </row>
    <row r="4513" spans="1:12" hidden="1" x14ac:dyDescent="0.25">
      <c r="A4513">
        <v>4512</v>
      </c>
      <c r="B4513" s="1" t="s">
        <v>12</v>
      </c>
      <c r="C4513">
        <v>2005</v>
      </c>
      <c r="D4513" s="1" t="s">
        <v>312</v>
      </c>
      <c r="E4513" s="1" t="s">
        <v>22</v>
      </c>
      <c r="F4513">
        <v>14</v>
      </c>
      <c r="G4513" s="1" t="s">
        <v>184</v>
      </c>
      <c r="H4513">
        <v>14042</v>
      </c>
      <c r="I4513">
        <v>27800</v>
      </c>
      <c r="J4513">
        <v>22240</v>
      </c>
      <c r="K4513">
        <v>44500</v>
      </c>
      <c r="L4513">
        <v>2001</v>
      </c>
    </row>
    <row r="4514" spans="1:12" hidden="1" x14ac:dyDescent="0.25">
      <c r="A4514">
        <v>4513</v>
      </c>
      <c r="B4514" s="1" t="s">
        <v>12</v>
      </c>
      <c r="C4514">
        <v>2005</v>
      </c>
      <c r="D4514" s="1" t="s">
        <v>312</v>
      </c>
      <c r="E4514" s="1" t="s">
        <v>22</v>
      </c>
      <c r="F4514">
        <v>14</v>
      </c>
      <c r="G4514" s="1" t="s">
        <v>170</v>
      </c>
      <c r="H4514">
        <v>14049</v>
      </c>
      <c r="I4514">
        <v>20600</v>
      </c>
      <c r="J4514">
        <v>20600</v>
      </c>
      <c r="K4514">
        <v>47000</v>
      </c>
      <c r="L4514">
        <v>2282</v>
      </c>
    </row>
    <row r="4515" spans="1:12" hidden="1" x14ac:dyDescent="0.25">
      <c r="A4515">
        <v>4514</v>
      </c>
      <c r="B4515" s="1" t="s">
        <v>12</v>
      </c>
      <c r="C4515">
        <v>2005</v>
      </c>
      <c r="D4515" s="1" t="s">
        <v>312</v>
      </c>
      <c r="E4515" s="1" t="s">
        <v>22</v>
      </c>
      <c r="F4515">
        <v>14</v>
      </c>
      <c r="G4515" s="1" t="s">
        <v>143</v>
      </c>
      <c r="H4515">
        <v>14056</v>
      </c>
      <c r="I4515">
        <v>19400</v>
      </c>
      <c r="J4515">
        <v>19400</v>
      </c>
      <c r="K4515">
        <v>39900</v>
      </c>
      <c r="L4515">
        <v>2057</v>
      </c>
    </row>
    <row r="4516" spans="1:12" hidden="1" x14ac:dyDescent="0.25">
      <c r="A4516">
        <v>4515</v>
      </c>
      <c r="B4516" s="1" t="s">
        <v>12</v>
      </c>
      <c r="C4516">
        <v>2005</v>
      </c>
      <c r="D4516" s="1" t="s">
        <v>312</v>
      </c>
      <c r="E4516" s="1" t="s">
        <v>22</v>
      </c>
      <c r="F4516">
        <v>14</v>
      </c>
      <c r="G4516" s="1" t="s">
        <v>194</v>
      </c>
      <c r="H4516">
        <v>14077</v>
      </c>
      <c r="I4516">
        <v>830</v>
      </c>
      <c r="J4516">
        <v>830</v>
      </c>
      <c r="K4516">
        <v>2300</v>
      </c>
      <c r="L4516">
        <v>2771</v>
      </c>
    </row>
    <row r="4517" spans="1:12" hidden="1" x14ac:dyDescent="0.25">
      <c r="A4517">
        <v>4516</v>
      </c>
      <c r="B4517" s="1" t="s">
        <v>12</v>
      </c>
      <c r="C4517">
        <v>2005</v>
      </c>
      <c r="D4517" s="1" t="s">
        <v>312</v>
      </c>
      <c r="E4517" s="1" t="s">
        <v>22</v>
      </c>
      <c r="F4517">
        <v>14</v>
      </c>
      <c r="G4517" s="1" t="s">
        <v>206</v>
      </c>
      <c r="H4517">
        <v>14084</v>
      </c>
      <c r="I4517">
        <v>13000</v>
      </c>
      <c r="J4517">
        <v>11700</v>
      </c>
      <c r="K4517">
        <v>24900</v>
      </c>
      <c r="L4517">
        <v>2128</v>
      </c>
    </row>
    <row r="4518" spans="1:12" hidden="1" x14ac:dyDescent="0.25">
      <c r="A4518">
        <v>4517</v>
      </c>
      <c r="B4518" s="1" t="s">
        <v>12</v>
      </c>
      <c r="C4518">
        <v>2005</v>
      </c>
      <c r="D4518" s="1" t="s">
        <v>312</v>
      </c>
      <c r="E4518" s="1" t="s">
        <v>22</v>
      </c>
      <c r="F4518">
        <v>14</v>
      </c>
      <c r="G4518" s="1" t="s">
        <v>29</v>
      </c>
      <c r="H4518">
        <v>14098</v>
      </c>
      <c r="I4518">
        <v>48102</v>
      </c>
      <c r="J4518">
        <v>48102</v>
      </c>
      <c r="K4518">
        <v>100300</v>
      </c>
      <c r="L4518">
        <v>2085</v>
      </c>
    </row>
    <row r="4519" spans="1:12" hidden="1" x14ac:dyDescent="0.25">
      <c r="A4519">
        <v>4518</v>
      </c>
      <c r="B4519" s="1" t="s">
        <v>12</v>
      </c>
      <c r="C4519">
        <v>2005</v>
      </c>
      <c r="D4519" s="1" t="s">
        <v>312</v>
      </c>
      <c r="E4519" s="1" t="s">
        <v>22</v>
      </c>
      <c r="F4519">
        <v>14</v>
      </c>
      <c r="G4519" s="1" t="s">
        <v>24</v>
      </c>
      <c r="H4519">
        <v>14119</v>
      </c>
      <c r="I4519">
        <v>10400</v>
      </c>
      <c r="J4519">
        <v>10400</v>
      </c>
      <c r="K4519">
        <v>26800</v>
      </c>
      <c r="L4519">
        <v>2577</v>
      </c>
    </row>
    <row r="4520" spans="1:12" hidden="1" x14ac:dyDescent="0.25">
      <c r="A4520">
        <v>4519</v>
      </c>
      <c r="B4520" s="1" t="s">
        <v>12</v>
      </c>
      <c r="C4520">
        <v>2005</v>
      </c>
      <c r="D4520" s="1" t="s">
        <v>312</v>
      </c>
      <c r="E4520" s="1" t="s">
        <v>22</v>
      </c>
      <c r="F4520">
        <v>14</v>
      </c>
      <c r="G4520" s="1" t="s">
        <v>23</v>
      </c>
      <c r="H4520">
        <v>14147</v>
      </c>
      <c r="I4520">
        <v>200</v>
      </c>
      <c r="J4520">
        <v>200</v>
      </c>
      <c r="K4520">
        <v>400</v>
      </c>
      <c r="L4520">
        <v>2000</v>
      </c>
    </row>
    <row r="4521" spans="1:12" hidden="1" x14ac:dyDescent="0.25">
      <c r="A4521">
        <v>4520</v>
      </c>
      <c r="B4521" s="1" t="s">
        <v>12</v>
      </c>
      <c r="C4521">
        <v>2005</v>
      </c>
      <c r="D4521" s="1" t="s">
        <v>312</v>
      </c>
      <c r="E4521" s="1" t="s">
        <v>22</v>
      </c>
      <c r="F4521">
        <v>14</v>
      </c>
      <c r="G4521" s="1" t="s">
        <v>26</v>
      </c>
      <c r="H4521">
        <v>14161</v>
      </c>
      <c r="I4521">
        <v>15000</v>
      </c>
      <c r="J4521">
        <v>15000</v>
      </c>
      <c r="K4521">
        <v>32800</v>
      </c>
      <c r="L4521">
        <v>2187</v>
      </c>
    </row>
    <row r="4522" spans="1:12" hidden="1" x14ac:dyDescent="0.25">
      <c r="A4522">
        <v>4521</v>
      </c>
      <c r="B4522" s="1" t="s">
        <v>12</v>
      </c>
      <c r="C4522">
        <v>2005</v>
      </c>
      <c r="D4522" s="1" t="s">
        <v>312</v>
      </c>
      <c r="E4522" s="1" t="s">
        <v>22</v>
      </c>
      <c r="F4522">
        <v>14</v>
      </c>
      <c r="G4522" s="1" t="s">
        <v>122</v>
      </c>
      <c r="H4522">
        <v>14182</v>
      </c>
      <c r="I4522">
        <v>750</v>
      </c>
      <c r="J4522">
        <v>750</v>
      </c>
      <c r="K4522">
        <v>1500</v>
      </c>
      <c r="L4522">
        <v>2000</v>
      </c>
    </row>
    <row r="4523" spans="1:12" hidden="1" x14ac:dyDescent="0.25">
      <c r="A4523">
        <v>4522</v>
      </c>
      <c r="B4523" s="1" t="s">
        <v>12</v>
      </c>
      <c r="C4523">
        <v>2005</v>
      </c>
      <c r="D4523" s="1" t="s">
        <v>312</v>
      </c>
      <c r="E4523" s="1" t="s">
        <v>30</v>
      </c>
      <c r="F4523">
        <v>18</v>
      </c>
      <c r="G4523" s="1" t="s">
        <v>28</v>
      </c>
      <c r="H4523">
        <v>18021</v>
      </c>
      <c r="I4523">
        <v>58</v>
      </c>
      <c r="J4523">
        <v>58</v>
      </c>
      <c r="K4523">
        <v>41</v>
      </c>
      <c r="L4523">
        <v>707</v>
      </c>
    </row>
    <row r="4524" spans="1:12" hidden="1" x14ac:dyDescent="0.25">
      <c r="A4524">
        <v>4523</v>
      </c>
      <c r="B4524" s="1" t="s">
        <v>12</v>
      </c>
      <c r="C4524">
        <v>2005</v>
      </c>
      <c r="D4524" s="1" t="s">
        <v>312</v>
      </c>
      <c r="E4524" s="1" t="s">
        <v>30</v>
      </c>
      <c r="F4524">
        <v>18</v>
      </c>
      <c r="G4524" s="1" t="s">
        <v>34</v>
      </c>
      <c r="H4524">
        <v>18042</v>
      </c>
      <c r="I4524">
        <v>5</v>
      </c>
      <c r="J4524">
        <v>5</v>
      </c>
      <c r="K4524">
        <v>4</v>
      </c>
      <c r="L4524">
        <v>800</v>
      </c>
    </row>
    <row r="4525" spans="1:12" hidden="1" x14ac:dyDescent="0.25">
      <c r="A4525">
        <v>4524</v>
      </c>
      <c r="B4525" s="1" t="s">
        <v>12</v>
      </c>
      <c r="C4525">
        <v>2005</v>
      </c>
      <c r="D4525" s="1" t="s">
        <v>312</v>
      </c>
      <c r="E4525" s="1" t="s">
        <v>30</v>
      </c>
      <c r="F4525">
        <v>18</v>
      </c>
      <c r="G4525" s="1" t="s">
        <v>99</v>
      </c>
      <c r="H4525">
        <v>18063</v>
      </c>
      <c r="I4525">
        <v>6</v>
      </c>
      <c r="J4525">
        <v>6</v>
      </c>
      <c r="K4525">
        <v>4</v>
      </c>
      <c r="L4525">
        <v>667</v>
      </c>
    </row>
    <row r="4526" spans="1:12" hidden="1" x14ac:dyDescent="0.25">
      <c r="A4526">
        <v>4525</v>
      </c>
      <c r="B4526" s="1" t="s">
        <v>12</v>
      </c>
      <c r="C4526">
        <v>2005</v>
      </c>
      <c r="D4526" s="1" t="s">
        <v>312</v>
      </c>
      <c r="E4526" s="1" t="s">
        <v>30</v>
      </c>
      <c r="F4526">
        <v>18</v>
      </c>
      <c r="G4526" s="1" t="s">
        <v>100</v>
      </c>
      <c r="H4526">
        <v>18077</v>
      </c>
      <c r="I4526">
        <v>9</v>
      </c>
      <c r="J4526">
        <v>9</v>
      </c>
      <c r="K4526">
        <v>6</v>
      </c>
      <c r="L4526">
        <v>667</v>
      </c>
    </row>
    <row r="4527" spans="1:12" hidden="1" x14ac:dyDescent="0.25">
      <c r="A4527">
        <v>4526</v>
      </c>
      <c r="B4527" s="1" t="s">
        <v>12</v>
      </c>
      <c r="C4527">
        <v>2005</v>
      </c>
      <c r="D4527" s="1" t="s">
        <v>312</v>
      </c>
      <c r="E4527" s="1" t="s">
        <v>30</v>
      </c>
      <c r="F4527">
        <v>18</v>
      </c>
      <c r="G4527" s="1" t="s">
        <v>105</v>
      </c>
      <c r="H4527">
        <v>18105</v>
      </c>
      <c r="I4527">
        <v>4</v>
      </c>
      <c r="J4527">
        <v>4</v>
      </c>
      <c r="K4527">
        <v>1</v>
      </c>
      <c r="L4527">
        <v>250</v>
      </c>
    </row>
    <row r="4528" spans="1:12" hidden="1" x14ac:dyDescent="0.25">
      <c r="A4528">
        <v>4527</v>
      </c>
      <c r="B4528" s="1" t="s">
        <v>12</v>
      </c>
      <c r="C4528">
        <v>2005</v>
      </c>
      <c r="D4528" s="1" t="s">
        <v>312</v>
      </c>
      <c r="E4528" s="1" t="s">
        <v>30</v>
      </c>
      <c r="F4528">
        <v>18</v>
      </c>
      <c r="G4528" s="1" t="s">
        <v>36</v>
      </c>
      <c r="H4528">
        <v>18133</v>
      </c>
      <c r="I4528">
        <v>10</v>
      </c>
      <c r="J4528">
        <v>10</v>
      </c>
      <c r="K4528">
        <v>7</v>
      </c>
      <c r="L4528">
        <v>700</v>
      </c>
    </row>
    <row r="4529" spans="1:12" hidden="1" x14ac:dyDescent="0.25">
      <c r="A4529">
        <v>4528</v>
      </c>
      <c r="B4529" s="1" t="s">
        <v>12</v>
      </c>
      <c r="C4529">
        <v>2005</v>
      </c>
      <c r="D4529" s="1" t="s">
        <v>312</v>
      </c>
      <c r="E4529" s="1" t="s">
        <v>30</v>
      </c>
      <c r="F4529">
        <v>18</v>
      </c>
      <c r="G4529" s="1" t="s">
        <v>41</v>
      </c>
      <c r="H4529">
        <v>18140</v>
      </c>
      <c r="I4529">
        <v>64</v>
      </c>
      <c r="J4529">
        <v>64</v>
      </c>
      <c r="K4529">
        <v>40</v>
      </c>
      <c r="L4529">
        <v>625</v>
      </c>
    </row>
    <row r="4530" spans="1:12" hidden="1" x14ac:dyDescent="0.25">
      <c r="A4530">
        <v>4529</v>
      </c>
      <c r="B4530" s="1" t="s">
        <v>12</v>
      </c>
      <c r="C4530">
        <v>2005</v>
      </c>
      <c r="D4530" s="1" t="s">
        <v>312</v>
      </c>
      <c r="E4530" s="1" t="s">
        <v>30</v>
      </c>
      <c r="F4530">
        <v>18</v>
      </c>
      <c r="G4530" s="1" t="s">
        <v>37</v>
      </c>
      <c r="H4530">
        <v>18147</v>
      </c>
      <c r="I4530">
        <v>1</v>
      </c>
      <c r="J4530">
        <v>1</v>
      </c>
      <c r="K4530">
        <v>0</v>
      </c>
      <c r="L4530">
        <v>0</v>
      </c>
    </row>
    <row r="4531" spans="1:12" hidden="1" x14ac:dyDescent="0.25">
      <c r="A4531">
        <v>4530</v>
      </c>
      <c r="B4531" s="1" t="s">
        <v>12</v>
      </c>
      <c r="C4531">
        <v>2005</v>
      </c>
      <c r="D4531" s="1" t="s">
        <v>312</v>
      </c>
      <c r="E4531" s="1" t="s">
        <v>48</v>
      </c>
      <c r="F4531">
        <v>34</v>
      </c>
      <c r="G4531" s="1" t="s">
        <v>31</v>
      </c>
      <c r="I4531">
        <v>1400</v>
      </c>
      <c r="J4531">
        <v>1400</v>
      </c>
      <c r="K4531">
        <v>2800</v>
      </c>
      <c r="L4531">
        <v>2000</v>
      </c>
    </row>
    <row r="4532" spans="1:12" x14ac:dyDescent="0.25">
      <c r="A4532">
        <v>4531</v>
      </c>
      <c r="B4532" s="1" t="s">
        <v>12</v>
      </c>
      <c r="C4532">
        <v>2005</v>
      </c>
      <c r="D4532" s="1" t="s">
        <v>312</v>
      </c>
      <c r="E4532" s="1" t="s">
        <v>53</v>
      </c>
      <c r="F4532">
        <v>38</v>
      </c>
      <c r="G4532" s="1" t="s">
        <v>56</v>
      </c>
      <c r="H4532">
        <v>38063</v>
      </c>
      <c r="I4532">
        <v>300</v>
      </c>
      <c r="J4532">
        <v>200</v>
      </c>
      <c r="K4532">
        <v>300</v>
      </c>
      <c r="L4532">
        <v>1500</v>
      </c>
    </row>
    <row r="4533" spans="1:12" hidden="1" x14ac:dyDescent="0.25">
      <c r="A4533">
        <v>4532</v>
      </c>
      <c r="B4533" s="1" t="s">
        <v>12</v>
      </c>
      <c r="C4533">
        <v>2005</v>
      </c>
      <c r="D4533" s="1" t="s">
        <v>312</v>
      </c>
      <c r="E4533" s="1" t="s">
        <v>53</v>
      </c>
      <c r="F4533">
        <v>38</v>
      </c>
      <c r="G4533" s="1" t="s">
        <v>270</v>
      </c>
      <c r="H4533">
        <v>38070</v>
      </c>
      <c r="I4533">
        <v>500</v>
      </c>
      <c r="J4533">
        <v>200</v>
      </c>
      <c r="K4533">
        <v>300</v>
      </c>
      <c r="L4533">
        <v>1500</v>
      </c>
    </row>
    <row r="4534" spans="1:12" hidden="1" x14ac:dyDescent="0.25">
      <c r="A4534">
        <v>4533</v>
      </c>
      <c r="B4534" s="1" t="s">
        <v>12</v>
      </c>
      <c r="C4534">
        <v>2005</v>
      </c>
      <c r="D4534" s="1" t="s">
        <v>312</v>
      </c>
      <c r="E4534" s="1" t="s">
        <v>87</v>
      </c>
      <c r="F4534">
        <v>66</v>
      </c>
      <c r="G4534" s="1" t="s">
        <v>153</v>
      </c>
      <c r="H4534">
        <v>66007</v>
      </c>
      <c r="I4534">
        <v>1500</v>
      </c>
      <c r="J4534">
        <v>500</v>
      </c>
      <c r="K4534">
        <v>800</v>
      </c>
      <c r="L4534">
        <v>1600</v>
      </c>
    </row>
    <row r="4535" spans="1:12" hidden="1" x14ac:dyDescent="0.25">
      <c r="A4535">
        <v>4534</v>
      </c>
      <c r="B4535" s="1" t="s">
        <v>12</v>
      </c>
      <c r="C4535">
        <v>2005</v>
      </c>
      <c r="D4535" s="1" t="s">
        <v>312</v>
      </c>
      <c r="E4535" s="1" t="s">
        <v>87</v>
      </c>
      <c r="F4535">
        <v>66</v>
      </c>
      <c r="G4535" s="1" t="s">
        <v>141</v>
      </c>
      <c r="H4535">
        <v>66112</v>
      </c>
      <c r="I4535">
        <v>600</v>
      </c>
      <c r="J4535">
        <v>300</v>
      </c>
      <c r="K4535">
        <v>500</v>
      </c>
      <c r="L4535">
        <v>1667</v>
      </c>
    </row>
    <row r="4536" spans="1:12" hidden="1" x14ac:dyDescent="0.25">
      <c r="A4536">
        <v>4535</v>
      </c>
      <c r="B4536" s="1" t="s">
        <v>12</v>
      </c>
      <c r="C4536">
        <v>2005</v>
      </c>
      <c r="D4536" s="1" t="s">
        <v>312</v>
      </c>
      <c r="E4536" s="1" t="s">
        <v>87</v>
      </c>
      <c r="F4536">
        <v>66</v>
      </c>
      <c r="G4536" s="1" t="s">
        <v>179</v>
      </c>
      <c r="H4536">
        <v>66126</v>
      </c>
      <c r="I4536">
        <v>6000</v>
      </c>
      <c r="J4536">
        <v>4200</v>
      </c>
      <c r="K4536">
        <v>6700</v>
      </c>
      <c r="L4536">
        <v>1595</v>
      </c>
    </row>
    <row r="4537" spans="1:12" hidden="1" x14ac:dyDescent="0.25">
      <c r="A4537">
        <v>4536</v>
      </c>
      <c r="B4537" s="1" t="s">
        <v>12</v>
      </c>
      <c r="C4537">
        <v>2005</v>
      </c>
      <c r="D4537" s="1" t="s">
        <v>312</v>
      </c>
      <c r="E4537" s="1" t="s">
        <v>116</v>
      </c>
      <c r="F4537">
        <v>74</v>
      </c>
      <c r="G4537" s="1" t="s">
        <v>31</v>
      </c>
      <c r="I4537">
        <v>6920</v>
      </c>
      <c r="J4537">
        <v>6920</v>
      </c>
      <c r="K4537">
        <v>13390</v>
      </c>
      <c r="L4537">
        <v>1935</v>
      </c>
    </row>
    <row r="4538" spans="1:12" hidden="1" x14ac:dyDescent="0.25">
      <c r="A4538">
        <v>4537</v>
      </c>
      <c r="B4538" s="1" t="s">
        <v>12</v>
      </c>
      <c r="C4538">
        <v>2005</v>
      </c>
      <c r="D4538" s="1" t="s">
        <v>312</v>
      </c>
      <c r="E4538" s="1" t="s">
        <v>64</v>
      </c>
      <c r="F4538">
        <v>82</v>
      </c>
      <c r="G4538" s="1" t="s">
        <v>66</v>
      </c>
      <c r="H4538">
        <v>82035</v>
      </c>
      <c r="I4538">
        <v>580</v>
      </c>
      <c r="J4538">
        <v>580</v>
      </c>
      <c r="K4538">
        <v>2030</v>
      </c>
      <c r="L4538">
        <v>3500</v>
      </c>
    </row>
    <row r="4539" spans="1:12" hidden="1" x14ac:dyDescent="0.25">
      <c r="A4539">
        <v>4538</v>
      </c>
      <c r="B4539" s="1" t="s">
        <v>12</v>
      </c>
      <c r="C4539">
        <v>2006</v>
      </c>
      <c r="D4539" s="1" t="s">
        <v>313</v>
      </c>
      <c r="E4539" s="1" t="s">
        <v>22</v>
      </c>
      <c r="F4539">
        <v>14</v>
      </c>
      <c r="G4539" s="1" t="s">
        <v>129</v>
      </c>
      <c r="H4539">
        <v>14035</v>
      </c>
      <c r="I4539">
        <v>41000</v>
      </c>
      <c r="J4539">
        <v>40900</v>
      </c>
      <c r="K4539">
        <v>122700</v>
      </c>
      <c r="L4539">
        <v>3000</v>
      </c>
    </row>
    <row r="4540" spans="1:12" hidden="1" x14ac:dyDescent="0.25">
      <c r="A4540">
        <v>4539</v>
      </c>
      <c r="B4540" s="1" t="s">
        <v>12</v>
      </c>
      <c r="C4540">
        <v>2006</v>
      </c>
      <c r="D4540" s="1" t="s">
        <v>313</v>
      </c>
      <c r="E4540" s="1" t="s">
        <v>22</v>
      </c>
      <c r="F4540">
        <v>14</v>
      </c>
      <c r="G4540" s="1" t="s">
        <v>184</v>
      </c>
      <c r="H4540">
        <v>14042</v>
      </c>
      <c r="I4540">
        <v>20900</v>
      </c>
      <c r="J4540">
        <v>20900</v>
      </c>
      <c r="K4540">
        <v>50100</v>
      </c>
      <c r="L4540">
        <v>2397</v>
      </c>
    </row>
    <row r="4541" spans="1:12" hidden="1" x14ac:dyDescent="0.25">
      <c r="A4541">
        <v>4540</v>
      </c>
      <c r="B4541" s="1" t="s">
        <v>12</v>
      </c>
      <c r="C4541">
        <v>2006</v>
      </c>
      <c r="D4541" s="1" t="s">
        <v>313</v>
      </c>
      <c r="E4541" s="1" t="s">
        <v>22</v>
      </c>
      <c r="F4541">
        <v>14</v>
      </c>
      <c r="G4541" s="1" t="s">
        <v>143</v>
      </c>
      <c r="H4541">
        <v>14056</v>
      </c>
      <c r="I4541">
        <v>24620</v>
      </c>
      <c r="J4541">
        <v>24620</v>
      </c>
      <c r="K4541">
        <v>73500</v>
      </c>
      <c r="L4541">
        <v>2985</v>
      </c>
    </row>
    <row r="4542" spans="1:12" hidden="1" x14ac:dyDescent="0.25">
      <c r="A4542">
        <v>4541</v>
      </c>
      <c r="B4542" s="1" t="s">
        <v>12</v>
      </c>
      <c r="C4542">
        <v>2006</v>
      </c>
      <c r="D4542" s="1" t="s">
        <v>313</v>
      </c>
      <c r="E4542" s="1" t="s">
        <v>22</v>
      </c>
      <c r="F4542">
        <v>14</v>
      </c>
      <c r="G4542" s="1" t="s">
        <v>206</v>
      </c>
      <c r="H4542">
        <v>14084</v>
      </c>
      <c r="I4542">
        <v>20000</v>
      </c>
      <c r="J4542">
        <v>19950</v>
      </c>
      <c r="K4542">
        <v>57900</v>
      </c>
      <c r="L4542">
        <v>2902</v>
      </c>
    </row>
    <row r="4543" spans="1:12" hidden="1" x14ac:dyDescent="0.25">
      <c r="A4543">
        <v>4542</v>
      </c>
      <c r="B4543" s="1" t="s">
        <v>12</v>
      </c>
      <c r="C4543">
        <v>2006</v>
      </c>
      <c r="D4543" s="1" t="s">
        <v>313</v>
      </c>
      <c r="E4543" s="1" t="s">
        <v>22</v>
      </c>
      <c r="F4543">
        <v>14</v>
      </c>
      <c r="G4543" s="1" t="s">
        <v>29</v>
      </c>
      <c r="H4543">
        <v>14098</v>
      </c>
      <c r="I4543">
        <v>61990</v>
      </c>
      <c r="J4543">
        <v>61990</v>
      </c>
      <c r="K4543">
        <v>185600</v>
      </c>
      <c r="L4543">
        <v>2994</v>
      </c>
    </row>
    <row r="4544" spans="1:12" hidden="1" x14ac:dyDescent="0.25">
      <c r="A4544">
        <v>4543</v>
      </c>
      <c r="B4544" s="1" t="s">
        <v>12</v>
      </c>
      <c r="C4544">
        <v>2006</v>
      </c>
      <c r="D4544" s="1" t="s">
        <v>313</v>
      </c>
      <c r="E4544" s="1" t="s">
        <v>22</v>
      </c>
      <c r="F4544">
        <v>14</v>
      </c>
      <c r="G4544" s="1" t="s">
        <v>24</v>
      </c>
      <c r="H4544">
        <v>14119</v>
      </c>
      <c r="I4544">
        <v>11350</v>
      </c>
      <c r="J4544">
        <v>11350</v>
      </c>
      <c r="K4544">
        <v>27200</v>
      </c>
      <c r="L4544">
        <v>2396</v>
      </c>
    </row>
    <row r="4545" spans="1:12" hidden="1" x14ac:dyDescent="0.25">
      <c r="A4545">
        <v>4544</v>
      </c>
      <c r="B4545" s="1" t="s">
        <v>12</v>
      </c>
      <c r="C4545">
        <v>2006</v>
      </c>
      <c r="D4545" s="1" t="s">
        <v>313</v>
      </c>
      <c r="E4545" s="1" t="s">
        <v>22</v>
      </c>
      <c r="F4545">
        <v>14</v>
      </c>
      <c r="G4545" s="1" t="s">
        <v>169</v>
      </c>
      <c r="H4545">
        <v>14126</v>
      </c>
      <c r="I4545">
        <v>1100</v>
      </c>
      <c r="J4545">
        <v>1100</v>
      </c>
      <c r="K4545">
        <v>3600</v>
      </c>
      <c r="L4545">
        <v>3273</v>
      </c>
    </row>
    <row r="4546" spans="1:12" hidden="1" x14ac:dyDescent="0.25">
      <c r="A4546">
        <v>4545</v>
      </c>
      <c r="B4546" s="1" t="s">
        <v>12</v>
      </c>
      <c r="C4546">
        <v>2006</v>
      </c>
      <c r="D4546" s="1" t="s">
        <v>313</v>
      </c>
      <c r="E4546" s="1" t="s">
        <v>22</v>
      </c>
      <c r="F4546">
        <v>14</v>
      </c>
      <c r="G4546" s="1" t="s">
        <v>23</v>
      </c>
      <c r="H4546">
        <v>14147</v>
      </c>
      <c r="I4546">
        <v>1000</v>
      </c>
      <c r="J4546">
        <v>1000</v>
      </c>
      <c r="K4546">
        <v>2400</v>
      </c>
      <c r="L4546">
        <v>2400</v>
      </c>
    </row>
    <row r="4547" spans="1:12" hidden="1" x14ac:dyDescent="0.25">
      <c r="A4547">
        <v>4546</v>
      </c>
      <c r="B4547" s="1" t="s">
        <v>12</v>
      </c>
      <c r="C4547">
        <v>2006</v>
      </c>
      <c r="D4547" s="1" t="s">
        <v>313</v>
      </c>
      <c r="E4547" s="1" t="s">
        <v>22</v>
      </c>
      <c r="F4547">
        <v>14</v>
      </c>
      <c r="G4547" s="1" t="s">
        <v>26</v>
      </c>
      <c r="H4547">
        <v>14161</v>
      </c>
      <c r="I4547">
        <v>15600</v>
      </c>
      <c r="J4547">
        <v>15600</v>
      </c>
      <c r="K4547">
        <v>37400</v>
      </c>
      <c r="L4547">
        <v>2397</v>
      </c>
    </row>
    <row r="4548" spans="1:12" hidden="1" x14ac:dyDescent="0.25">
      <c r="A4548">
        <v>4547</v>
      </c>
      <c r="B4548" s="1" t="s">
        <v>12</v>
      </c>
      <c r="C4548">
        <v>2006</v>
      </c>
      <c r="D4548" s="1" t="s">
        <v>313</v>
      </c>
      <c r="E4548" s="1" t="s">
        <v>22</v>
      </c>
      <c r="F4548">
        <v>14</v>
      </c>
      <c r="G4548" s="1" t="s">
        <v>122</v>
      </c>
      <c r="H4548">
        <v>14182</v>
      </c>
      <c r="I4548">
        <v>600</v>
      </c>
      <c r="J4548">
        <v>600</v>
      </c>
      <c r="K4548">
        <v>1400</v>
      </c>
      <c r="L4548">
        <v>2333</v>
      </c>
    </row>
    <row r="4549" spans="1:12" hidden="1" x14ac:dyDescent="0.25">
      <c r="A4549">
        <v>4548</v>
      </c>
      <c r="B4549" s="1" t="s">
        <v>12</v>
      </c>
      <c r="C4549">
        <v>2006</v>
      </c>
      <c r="D4549" s="1" t="s">
        <v>313</v>
      </c>
      <c r="E4549" s="1" t="s">
        <v>48</v>
      </c>
      <c r="F4549">
        <v>34</v>
      </c>
      <c r="G4549" s="1" t="s">
        <v>48</v>
      </c>
      <c r="H4549">
        <v>34014</v>
      </c>
      <c r="I4549">
        <v>11</v>
      </c>
      <c r="J4549">
        <v>11</v>
      </c>
      <c r="K4549">
        <v>10</v>
      </c>
      <c r="L4549">
        <v>909</v>
      </c>
    </row>
    <row r="4550" spans="1:12" hidden="1" x14ac:dyDescent="0.25">
      <c r="A4550">
        <v>4549</v>
      </c>
      <c r="B4550" s="1" t="s">
        <v>12</v>
      </c>
      <c r="C4550">
        <v>2006</v>
      </c>
      <c r="D4550" s="1" t="s">
        <v>313</v>
      </c>
      <c r="E4550" s="1" t="s">
        <v>48</v>
      </c>
      <c r="F4550">
        <v>34</v>
      </c>
      <c r="G4550" s="1" t="s">
        <v>50</v>
      </c>
      <c r="H4550">
        <v>34021</v>
      </c>
      <c r="I4550">
        <v>14</v>
      </c>
      <c r="J4550">
        <v>14</v>
      </c>
      <c r="K4550">
        <v>20</v>
      </c>
      <c r="L4550">
        <v>1429</v>
      </c>
    </row>
    <row r="4551" spans="1:12" hidden="1" x14ac:dyDescent="0.25">
      <c r="A4551">
        <v>4550</v>
      </c>
      <c r="B4551" s="1" t="s">
        <v>12</v>
      </c>
      <c r="C4551">
        <v>2006</v>
      </c>
      <c r="D4551" s="1" t="s">
        <v>313</v>
      </c>
      <c r="E4551" s="1" t="s">
        <v>48</v>
      </c>
      <c r="F4551">
        <v>34</v>
      </c>
      <c r="G4551" s="1" t="s">
        <v>52</v>
      </c>
      <c r="H4551">
        <v>34035</v>
      </c>
      <c r="I4551">
        <v>1700</v>
      </c>
      <c r="J4551">
        <v>1700</v>
      </c>
      <c r="K4551">
        <v>3060</v>
      </c>
      <c r="L4551">
        <v>1800</v>
      </c>
    </row>
    <row r="4552" spans="1:12" hidden="1" x14ac:dyDescent="0.25">
      <c r="A4552">
        <v>4551</v>
      </c>
      <c r="B4552" s="1" t="s">
        <v>12</v>
      </c>
      <c r="C4552">
        <v>2006</v>
      </c>
      <c r="D4552" s="1" t="s">
        <v>313</v>
      </c>
      <c r="E4552" s="1" t="s">
        <v>48</v>
      </c>
      <c r="F4552">
        <v>34</v>
      </c>
      <c r="G4552" s="1" t="s">
        <v>108</v>
      </c>
      <c r="H4552">
        <v>34042</v>
      </c>
      <c r="I4552">
        <v>43</v>
      </c>
      <c r="J4552">
        <v>43</v>
      </c>
      <c r="K4552">
        <v>45</v>
      </c>
      <c r="L4552">
        <v>1047</v>
      </c>
    </row>
    <row r="4553" spans="1:12" hidden="1" x14ac:dyDescent="0.25">
      <c r="A4553">
        <v>4552</v>
      </c>
      <c r="B4553" s="1" t="s">
        <v>12</v>
      </c>
      <c r="C4553">
        <v>2006</v>
      </c>
      <c r="D4553" s="1" t="s">
        <v>313</v>
      </c>
      <c r="E4553" s="1" t="s">
        <v>48</v>
      </c>
      <c r="F4553">
        <v>34</v>
      </c>
      <c r="G4553" s="1" t="s">
        <v>49</v>
      </c>
      <c r="H4553">
        <v>34049</v>
      </c>
      <c r="I4553">
        <v>60</v>
      </c>
      <c r="J4553">
        <v>60</v>
      </c>
      <c r="K4553">
        <v>70</v>
      </c>
      <c r="L4553">
        <v>1167</v>
      </c>
    </row>
    <row r="4554" spans="1:12" hidden="1" x14ac:dyDescent="0.25">
      <c r="A4554">
        <v>4553</v>
      </c>
      <c r="B4554" s="1" t="s">
        <v>12</v>
      </c>
      <c r="C4554">
        <v>2006</v>
      </c>
      <c r="D4554" s="1" t="s">
        <v>313</v>
      </c>
      <c r="E4554" s="1" t="s">
        <v>48</v>
      </c>
      <c r="F4554">
        <v>34</v>
      </c>
      <c r="G4554" s="1" t="s">
        <v>51</v>
      </c>
      <c r="H4554">
        <v>34056</v>
      </c>
      <c r="I4554">
        <v>73</v>
      </c>
      <c r="J4554">
        <v>73</v>
      </c>
      <c r="K4554">
        <v>90</v>
      </c>
      <c r="L4554">
        <v>1233</v>
      </c>
    </row>
    <row r="4555" spans="1:12" x14ac:dyDescent="0.25">
      <c r="A4555">
        <v>4554</v>
      </c>
      <c r="B4555" s="1" t="s">
        <v>12</v>
      </c>
      <c r="C4555">
        <v>2006</v>
      </c>
      <c r="D4555" s="1" t="s">
        <v>313</v>
      </c>
      <c r="E4555" s="1" t="s">
        <v>53</v>
      </c>
      <c r="F4555">
        <v>38</v>
      </c>
      <c r="G4555" s="1" t="s">
        <v>56</v>
      </c>
      <c r="H4555">
        <v>38063</v>
      </c>
      <c r="I4555">
        <v>400</v>
      </c>
      <c r="J4555">
        <v>400</v>
      </c>
      <c r="K4555">
        <v>600</v>
      </c>
      <c r="L4555">
        <v>1500</v>
      </c>
    </row>
    <row r="4556" spans="1:12" hidden="1" x14ac:dyDescent="0.25">
      <c r="A4556">
        <v>4555</v>
      </c>
      <c r="B4556" s="1" t="s">
        <v>12</v>
      </c>
      <c r="C4556">
        <v>2006</v>
      </c>
      <c r="D4556" s="1" t="s">
        <v>313</v>
      </c>
      <c r="E4556" s="1" t="s">
        <v>53</v>
      </c>
      <c r="F4556">
        <v>38</v>
      </c>
      <c r="G4556" s="1" t="s">
        <v>270</v>
      </c>
      <c r="H4556">
        <v>38070</v>
      </c>
      <c r="I4556">
        <v>200</v>
      </c>
      <c r="J4556">
        <v>200</v>
      </c>
      <c r="K4556">
        <v>300</v>
      </c>
      <c r="L4556">
        <v>1500</v>
      </c>
    </row>
    <row r="4557" spans="1:12" hidden="1" x14ac:dyDescent="0.25">
      <c r="A4557">
        <v>4556</v>
      </c>
      <c r="B4557" s="1" t="s">
        <v>12</v>
      </c>
      <c r="C4557">
        <v>2006</v>
      </c>
      <c r="D4557" s="1" t="s">
        <v>313</v>
      </c>
      <c r="E4557" s="1" t="s">
        <v>176</v>
      </c>
      <c r="F4557">
        <v>42</v>
      </c>
      <c r="G4557" s="1" t="s">
        <v>314</v>
      </c>
      <c r="H4557">
        <v>42056</v>
      </c>
      <c r="I4557">
        <v>2000</v>
      </c>
      <c r="J4557">
        <v>2000</v>
      </c>
      <c r="K4557">
        <v>8000</v>
      </c>
      <c r="L4557">
        <v>4000</v>
      </c>
    </row>
    <row r="4558" spans="1:12" hidden="1" x14ac:dyDescent="0.25">
      <c r="A4558">
        <v>4557</v>
      </c>
      <c r="B4558" s="1" t="s">
        <v>12</v>
      </c>
      <c r="C4558">
        <v>2006</v>
      </c>
      <c r="D4558" s="1" t="s">
        <v>313</v>
      </c>
      <c r="E4558" s="1" t="s">
        <v>176</v>
      </c>
      <c r="F4558">
        <v>42</v>
      </c>
      <c r="G4558" s="1" t="s">
        <v>315</v>
      </c>
      <c r="H4558">
        <v>42126</v>
      </c>
      <c r="I4558">
        <v>1000</v>
      </c>
      <c r="J4558">
        <v>1000</v>
      </c>
      <c r="K4558">
        <v>3000</v>
      </c>
      <c r="L4558">
        <v>3000</v>
      </c>
    </row>
    <row r="4559" spans="1:12" hidden="1" x14ac:dyDescent="0.25">
      <c r="A4559">
        <v>4558</v>
      </c>
      <c r="B4559" s="1" t="s">
        <v>12</v>
      </c>
      <c r="C4559">
        <v>2006</v>
      </c>
      <c r="D4559" s="1" t="s">
        <v>313</v>
      </c>
      <c r="E4559" s="1" t="s">
        <v>176</v>
      </c>
      <c r="F4559">
        <v>42</v>
      </c>
      <c r="G4559" s="1" t="s">
        <v>316</v>
      </c>
      <c r="H4559">
        <v>42133</v>
      </c>
      <c r="I4559">
        <v>1500</v>
      </c>
      <c r="J4559">
        <v>1500</v>
      </c>
      <c r="K4559">
        <v>5250</v>
      </c>
      <c r="L4559">
        <v>3500</v>
      </c>
    </row>
    <row r="4560" spans="1:12" hidden="1" x14ac:dyDescent="0.25">
      <c r="A4560">
        <v>4559</v>
      </c>
      <c r="B4560" s="1" t="s">
        <v>12</v>
      </c>
      <c r="C4560">
        <v>2006</v>
      </c>
      <c r="D4560" s="1" t="s">
        <v>313</v>
      </c>
      <c r="E4560" s="1" t="s">
        <v>87</v>
      </c>
      <c r="F4560">
        <v>66</v>
      </c>
      <c r="G4560" s="1" t="s">
        <v>153</v>
      </c>
      <c r="H4560">
        <v>66007</v>
      </c>
      <c r="I4560">
        <v>600</v>
      </c>
      <c r="J4560">
        <v>600</v>
      </c>
      <c r="K4560">
        <v>900</v>
      </c>
      <c r="L4560">
        <v>1500</v>
      </c>
    </row>
    <row r="4561" spans="1:12" hidden="1" x14ac:dyDescent="0.25">
      <c r="A4561">
        <v>4560</v>
      </c>
      <c r="B4561" s="1" t="s">
        <v>12</v>
      </c>
      <c r="C4561">
        <v>2006</v>
      </c>
      <c r="D4561" s="1" t="s">
        <v>313</v>
      </c>
      <c r="E4561" s="1" t="s">
        <v>87</v>
      </c>
      <c r="F4561">
        <v>66</v>
      </c>
      <c r="G4561" s="1" t="s">
        <v>230</v>
      </c>
      <c r="H4561">
        <v>66056</v>
      </c>
      <c r="I4561">
        <v>4400</v>
      </c>
      <c r="J4561">
        <v>4400</v>
      </c>
      <c r="K4561">
        <v>6200</v>
      </c>
      <c r="L4561">
        <v>1409</v>
      </c>
    </row>
    <row r="4562" spans="1:12" hidden="1" x14ac:dyDescent="0.25">
      <c r="A4562">
        <v>4561</v>
      </c>
      <c r="B4562" s="1" t="s">
        <v>12</v>
      </c>
      <c r="C4562">
        <v>2006</v>
      </c>
      <c r="D4562" s="1" t="s">
        <v>313</v>
      </c>
      <c r="E4562" s="1" t="s">
        <v>87</v>
      </c>
      <c r="F4562">
        <v>66</v>
      </c>
      <c r="G4562" s="1" t="s">
        <v>179</v>
      </c>
      <c r="H4562">
        <v>66126</v>
      </c>
      <c r="I4562">
        <v>1000</v>
      </c>
      <c r="J4562">
        <v>1000</v>
      </c>
      <c r="K4562">
        <v>1400</v>
      </c>
      <c r="L4562">
        <v>1400</v>
      </c>
    </row>
    <row r="4563" spans="1:12" hidden="1" x14ac:dyDescent="0.25">
      <c r="A4563">
        <v>4562</v>
      </c>
      <c r="B4563" s="1" t="s">
        <v>12</v>
      </c>
      <c r="C4563">
        <v>2006</v>
      </c>
      <c r="D4563" s="1" t="s">
        <v>313</v>
      </c>
      <c r="E4563" s="1" t="s">
        <v>116</v>
      </c>
      <c r="F4563">
        <v>74</v>
      </c>
      <c r="G4563" s="1" t="s">
        <v>195</v>
      </c>
      <c r="H4563">
        <v>74007</v>
      </c>
      <c r="I4563">
        <v>250</v>
      </c>
      <c r="J4563">
        <v>250</v>
      </c>
      <c r="K4563">
        <v>530</v>
      </c>
      <c r="L4563">
        <v>2120</v>
      </c>
    </row>
    <row r="4564" spans="1:12" hidden="1" x14ac:dyDescent="0.25">
      <c r="A4564">
        <v>4563</v>
      </c>
      <c r="B4564" s="1" t="s">
        <v>12</v>
      </c>
      <c r="C4564">
        <v>2006</v>
      </c>
      <c r="D4564" s="1" t="s">
        <v>313</v>
      </c>
      <c r="E4564" s="1" t="s">
        <v>116</v>
      </c>
      <c r="F4564">
        <v>74</v>
      </c>
      <c r="G4564" s="1" t="s">
        <v>126</v>
      </c>
      <c r="H4564">
        <v>74035</v>
      </c>
      <c r="I4564">
        <v>1950</v>
      </c>
      <c r="J4564">
        <v>1950</v>
      </c>
      <c r="K4564">
        <v>4490</v>
      </c>
      <c r="L4564">
        <v>2303</v>
      </c>
    </row>
    <row r="4565" spans="1:12" hidden="1" x14ac:dyDescent="0.25">
      <c r="A4565">
        <v>4564</v>
      </c>
      <c r="B4565" s="1" t="s">
        <v>12</v>
      </c>
      <c r="C4565">
        <v>2006</v>
      </c>
      <c r="D4565" s="1" t="s">
        <v>313</v>
      </c>
      <c r="E4565" s="1" t="s">
        <v>116</v>
      </c>
      <c r="F4565">
        <v>74</v>
      </c>
      <c r="G4565" s="1" t="s">
        <v>127</v>
      </c>
      <c r="H4565">
        <v>74049</v>
      </c>
      <c r="I4565">
        <v>1600</v>
      </c>
      <c r="J4565">
        <v>1600</v>
      </c>
      <c r="K4565">
        <v>3520</v>
      </c>
      <c r="L4565">
        <v>2200</v>
      </c>
    </row>
    <row r="4566" spans="1:12" hidden="1" x14ac:dyDescent="0.25">
      <c r="A4566">
        <v>4565</v>
      </c>
      <c r="B4566" s="1" t="s">
        <v>12</v>
      </c>
      <c r="C4566">
        <v>2006</v>
      </c>
      <c r="D4566" s="1" t="s">
        <v>313</v>
      </c>
      <c r="E4566" s="1" t="s">
        <v>64</v>
      </c>
      <c r="F4566">
        <v>82</v>
      </c>
      <c r="G4566" s="1" t="s">
        <v>66</v>
      </c>
      <c r="H4566">
        <v>82035</v>
      </c>
      <c r="I4566">
        <v>700</v>
      </c>
      <c r="J4566">
        <v>250</v>
      </c>
      <c r="K4566">
        <v>750</v>
      </c>
      <c r="L4566">
        <v>3000</v>
      </c>
    </row>
    <row r="4567" spans="1:12" hidden="1" x14ac:dyDescent="0.25">
      <c r="A4567">
        <v>4566</v>
      </c>
      <c r="B4567" s="1" t="s">
        <v>12</v>
      </c>
      <c r="C4567">
        <v>2007</v>
      </c>
      <c r="D4567" s="1" t="s">
        <v>317</v>
      </c>
      <c r="E4567" s="1" t="s">
        <v>22</v>
      </c>
      <c r="F4567">
        <v>14</v>
      </c>
      <c r="G4567" s="1" t="s">
        <v>129</v>
      </c>
      <c r="H4567">
        <v>14035</v>
      </c>
      <c r="I4567">
        <v>45000</v>
      </c>
      <c r="J4567">
        <v>44700</v>
      </c>
      <c r="K4567">
        <v>111800</v>
      </c>
      <c r="L4567">
        <v>2501</v>
      </c>
    </row>
    <row r="4568" spans="1:12" hidden="1" x14ac:dyDescent="0.25">
      <c r="A4568">
        <v>4567</v>
      </c>
      <c r="B4568" s="1" t="s">
        <v>12</v>
      </c>
      <c r="C4568">
        <v>2007</v>
      </c>
      <c r="D4568" s="1" t="s">
        <v>317</v>
      </c>
      <c r="E4568" s="1" t="s">
        <v>22</v>
      </c>
      <c r="F4568">
        <v>14</v>
      </c>
      <c r="G4568" s="1" t="s">
        <v>184</v>
      </c>
      <c r="H4568">
        <v>14042</v>
      </c>
      <c r="I4568">
        <v>22900</v>
      </c>
      <c r="J4568">
        <v>22900</v>
      </c>
      <c r="K4568">
        <v>52590</v>
      </c>
      <c r="L4568">
        <v>2297</v>
      </c>
    </row>
    <row r="4569" spans="1:12" hidden="1" x14ac:dyDescent="0.25">
      <c r="A4569">
        <v>4568</v>
      </c>
      <c r="B4569" s="1" t="s">
        <v>12</v>
      </c>
      <c r="C4569">
        <v>2007</v>
      </c>
      <c r="D4569" s="1" t="s">
        <v>317</v>
      </c>
      <c r="E4569" s="1" t="s">
        <v>22</v>
      </c>
      <c r="F4569">
        <v>14</v>
      </c>
      <c r="G4569" s="1" t="s">
        <v>143</v>
      </c>
      <c r="H4569">
        <v>14056</v>
      </c>
      <c r="I4569">
        <v>20000</v>
      </c>
      <c r="J4569">
        <v>20000</v>
      </c>
      <c r="K4569">
        <v>59600</v>
      </c>
      <c r="L4569">
        <v>2980</v>
      </c>
    </row>
    <row r="4570" spans="1:12" hidden="1" x14ac:dyDescent="0.25">
      <c r="A4570">
        <v>4569</v>
      </c>
      <c r="B4570" s="1" t="s">
        <v>12</v>
      </c>
      <c r="C4570">
        <v>2007</v>
      </c>
      <c r="D4570" s="1" t="s">
        <v>317</v>
      </c>
      <c r="E4570" s="1" t="s">
        <v>22</v>
      </c>
      <c r="F4570">
        <v>14</v>
      </c>
      <c r="G4570" s="1" t="s">
        <v>194</v>
      </c>
      <c r="H4570">
        <v>14077</v>
      </c>
      <c r="I4570">
        <v>1100</v>
      </c>
      <c r="J4570">
        <v>1100</v>
      </c>
      <c r="K4570">
        <v>3080</v>
      </c>
      <c r="L4570">
        <v>2800</v>
      </c>
    </row>
    <row r="4571" spans="1:12" hidden="1" x14ac:dyDescent="0.25">
      <c r="A4571">
        <v>4570</v>
      </c>
      <c r="B4571" s="1" t="s">
        <v>12</v>
      </c>
      <c r="C4571">
        <v>2007</v>
      </c>
      <c r="D4571" s="1" t="s">
        <v>317</v>
      </c>
      <c r="E4571" s="1" t="s">
        <v>22</v>
      </c>
      <c r="F4571">
        <v>14</v>
      </c>
      <c r="G4571" s="1" t="s">
        <v>206</v>
      </c>
      <c r="H4571">
        <v>14084</v>
      </c>
      <c r="I4571">
        <v>23000</v>
      </c>
      <c r="J4571">
        <v>22800</v>
      </c>
      <c r="K4571">
        <v>59300</v>
      </c>
      <c r="L4571">
        <v>2601</v>
      </c>
    </row>
    <row r="4572" spans="1:12" hidden="1" x14ac:dyDescent="0.25">
      <c r="A4572">
        <v>4571</v>
      </c>
      <c r="B4572" s="1" t="s">
        <v>12</v>
      </c>
      <c r="C4572">
        <v>2007</v>
      </c>
      <c r="D4572" s="1" t="s">
        <v>317</v>
      </c>
      <c r="E4572" s="1" t="s">
        <v>22</v>
      </c>
      <c r="F4572">
        <v>14</v>
      </c>
      <c r="G4572" s="1" t="s">
        <v>29</v>
      </c>
      <c r="H4572">
        <v>14098</v>
      </c>
      <c r="I4572">
        <v>51800</v>
      </c>
      <c r="J4572">
        <v>51800</v>
      </c>
      <c r="K4572">
        <v>155040</v>
      </c>
      <c r="L4572">
        <v>2993</v>
      </c>
    </row>
    <row r="4573" spans="1:12" hidden="1" x14ac:dyDescent="0.25">
      <c r="A4573">
        <v>4572</v>
      </c>
      <c r="B4573" s="1" t="s">
        <v>12</v>
      </c>
      <c r="C4573">
        <v>2007</v>
      </c>
      <c r="D4573" s="1" t="s">
        <v>317</v>
      </c>
      <c r="E4573" s="1" t="s">
        <v>22</v>
      </c>
      <c r="F4573">
        <v>14</v>
      </c>
      <c r="G4573" s="1" t="s">
        <v>24</v>
      </c>
      <c r="H4573">
        <v>14119</v>
      </c>
      <c r="I4573">
        <v>11150</v>
      </c>
      <c r="J4573">
        <v>11150</v>
      </c>
      <c r="K4573">
        <v>28920</v>
      </c>
      <c r="L4573">
        <v>2594</v>
      </c>
    </row>
    <row r="4574" spans="1:12" hidden="1" x14ac:dyDescent="0.25">
      <c r="A4574">
        <v>4573</v>
      </c>
      <c r="B4574" s="1" t="s">
        <v>12</v>
      </c>
      <c r="C4574">
        <v>2007</v>
      </c>
      <c r="D4574" s="1" t="s">
        <v>317</v>
      </c>
      <c r="E4574" s="1" t="s">
        <v>22</v>
      </c>
      <c r="F4574">
        <v>14</v>
      </c>
      <c r="G4574" s="1" t="s">
        <v>23</v>
      </c>
      <c r="H4574">
        <v>14147</v>
      </c>
      <c r="I4574">
        <v>1100</v>
      </c>
      <c r="J4574">
        <v>1100</v>
      </c>
      <c r="K4574">
        <v>2420</v>
      </c>
      <c r="L4574">
        <v>2200</v>
      </c>
    </row>
    <row r="4575" spans="1:12" hidden="1" x14ac:dyDescent="0.25">
      <c r="A4575">
        <v>4574</v>
      </c>
      <c r="B4575" s="1" t="s">
        <v>12</v>
      </c>
      <c r="C4575">
        <v>2007</v>
      </c>
      <c r="D4575" s="1" t="s">
        <v>317</v>
      </c>
      <c r="E4575" s="1" t="s">
        <v>22</v>
      </c>
      <c r="F4575">
        <v>14</v>
      </c>
      <c r="G4575" s="1" t="s">
        <v>26</v>
      </c>
      <c r="H4575">
        <v>14161</v>
      </c>
      <c r="I4575">
        <v>17100</v>
      </c>
      <c r="J4575">
        <v>17100</v>
      </c>
      <c r="K4575">
        <v>44340</v>
      </c>
      <c r="L4575">
        <v>2593</v>
      </c>
    </row>
    <row r="4576" spans="1:12" hidden="1" x14ac:dyDescent="0.25">
      <c r="A4576">
        <v>4575</v>
      </c>
      <c r="B4576" s="1" t="s">
        <v>12</v>
      </c>
      <c r="C4576">
        <v>2007</v>
      </c>
      <c r="D4576" s="1" t="s">
        <v>317</v>
      </c>
      <c r="E4576" s="1" t="s">
        <v>48</v>
      </c>
      <c r="F4576">
        <v>34</v>
      </c>
      <c r="G4576" s="1" t="s">
        <v>48</v>
      </c>
      <c r="H4576">
        <v>34014</v>
      </c>
      <c r="I4576">
        <v>4</v>
      </c>
      <c r="J4576">
        <v>4</v>
      </c>
      <c r="K4576">
        <v>4</v>
      </c>
      <c r="L4576">
        <v>1000</v>
      </c>
    </row>
    <row r="4577" spans="1:12" hidden="1" x14ac:dyDescent="0.25">
      <c r="A4577">
        <v>4576</v>
      </c>
      <c r="B4577" s="1" t="s">
        <v>12</v>
      </c>
      <c r="C4577">
        <v>2007</v>
      </c>
      <c r="D4577" s="1" t="s">
        <v>317</v>
      </c>
      <c r="E4577" s="1" t="s">
        <v>48</v>
      </c>
      <c r="F4577">
        <v>34</v>
      </c>
      <c r="G4577" s="1" t="s">
        <v>50</v>
      </c>
      <c r="H4577">
        <v>34021</v>
      </c>
      <c r="I4577">
        <v>6</v>
      </c>
      <c r="J4577">
        <v>6</v>
      </c>
      <c r="K4577">
        <v>5</v>
      </c>
      <c r="L4577">
        <v>833</v>
      </c>
    </row>
    <row r="4578" spans="1:12" hidden="1" x14ac:dyDescent="0.25">
      <c r="A4578">
        <v>4577</v>
      </c>
      <c r="B4578" s="1" t="s">
        <v>12</v>
      </c>
      <c r="C4578">
        <v>2007</v>
      </c>
      <c r="D4578" s="1" t="s">
        <v>317</v>
      </c>
      <c r="E4578" s="1" t="s">
        <v>48</v>
      </c>
      <c r="F4578">
        <v>34</v>
      </c>
      <c r="G4578" s="1" t="s">
        <v>108</v>
      </c>
      <c r="H4578">
        <v>34042</v>
      </c>
      <c r="I4578">
        <v>11</v>
      </c>
      <c r="J4578">
        <v>11</v>
      </c>
      <c r="K4578">
        <v>12</v>
      </c>
      <c r="L4578">
        <v>1091</v>
      </c>
    </row>
    <row r="4579" spans="1:12" hidden="1" x14ac:dyDescent="0.25">
      <c r="A4579">
        <v>4578</v>
      </c>
      <c r="B4579" s="1" t="s">
        <v>12</v>
      </c>
      <c r="C4579">
        <v>2007</v>
      </c>
      <c r="D4579" s="1" t="s">
        <v>317</v>
      </c>
      <c r="E4579" s="1" t="s">
        <v>48</v>
      </c>
      <c r="F4579">
        <v>34</v>
      </c>
      <c r="G4579" s="1" t="s">
        <v>49</v>
      </c>
      <c r="H4579">
        <v>34049</v>
      </c>
      <c r="I4579">
        <v>18</v>
      </c>
      <c r="J4579">
        <v>18</v>
      </c>
      <c r="K4579">
        <v>18</v>
      </c>
      <c r="L4579">
        <v>1000</v>
      </c>
    </row>
    <row r="4580" spans="1:12" x14ac:dyDescent="0.25">
      <c r="A4580">
        <v>4579</v>
      </c>
      <c r="B4580" s="1" t="s">
        <v>12</v>
      </c>
      <c r="C4580">
        <v>2007</v>
      </c>
      <c r="D4580" s="1" t="s">
        <v>317</v>
      </c>
      <c r="E4580" s="1" t="s">
        <v>53</v>
      </c>
      <c r="F4580">
        <v>38</v>
      </c>
      <c r="G4580" s="1" t="s">
        <v>56</v>
      </c>
      <c r="H4580">
        <v>38063</v>
      </c>
      <c r="I4580">
        <v>400</v>
      </c>
      <c r="J4580">
        <v>400</v>
      </c>
      <c r="K4580">
        <v>520</v>
      </c>
      <c r="L4580">
        <v>1300</v>
      </c>
    </row>
    <row r="4581" spans="1:12" hidden="1" x14ac:dyDescent="0.25">
      <c r="A4581">
        <v>4580</v>
      </c>
      <c r="B4581" s="1" t="s">
        <v>12</v>
      </c>
      <c r="C4581">
        <v>2007</v>
      </c>
      <c r="D4581" s="1" t="s">
        <v>317</v>
      </c>
      <c r="E4581" s="1" t="s">
        <v>53</v>
      </c>
      <c r="F4581">
        <v>38</v>
      </c>
      <c r="G4581" s="1" t="s">
        <v>270</v>
      </c>
      <c r="H4581">
        <v>38070</v>
      </c>
      <c r="I4581">
        <v>200</v>
      </c>
      <c r="J4581">
        <v>200</v>
      </c>
      <c r="K4581">
        <v>280</v>
      </c>
      <c r="L4581">
        <v>1400</v>
      </c>
    </row>
    <row r="4582" spans="1:12" hidden="1" x14ac:dyDescent="0.25">
      <c r="A4582">
        <v>4581</v>
      </c>
      <c r="B4582" s="1" t="s">
        <v>12</v>
      </c>
      <c r="C4582">
        <v>2007</v>
      </c>
      <c r="D4582" s="1" t="s">
        <v>317</v>
      </c>
      <c r="E4582" s="1" t="s">
        <v>176</v>
      </c>
      <c r="F4582">
        <v>42</v>
      </c>
      <c r="G4582" s="1" t="s">
        <v>314</v>
      </c>
      <c r="H4582">
        <v>42056</v>
      </c>
      <c r="I4582">
        <v>5000</v>
      </c>
      <c r="J4582">
        <v>5000</v>
      </c>
      <c r="K4582">
        <v>17500</v>
      </c>
      <c r="L4582">
        <v>3500</v>
      </c>
    </row>
    <row r="4583" spans="1:12" hidden="1" x14ac:dyDescent="0.25">
      <c r="A4583">
        <v>4582</v>
      </c>
      <c r="B4583" s="1" t="s">
        <v>12</v>
      </c>
      <c r="C4583">
        <v>2007</v>
      </c>
      <c r="D4583" s="1" t="s">
        <v>317</v>
      </c>
      <c r="E4583" s="1" t="s">
        <v>176</v>
      </c>
      <c r="F4583">
        <v>42</v>
      </c>
      <c r="G4583" s="1" t="s">
        <v>315</v>
      </c>
      <c r="H4583">
        <v>42126</v>
      </c>
      <c r="I4583">
        <v>15000</v>
      </c>
      <c r="J4583">
        <v>15000</v>
      </c>
      <c r="K4583">
        <v>52500</v>
      </c>
      <c r="L4583">
        <v>3500</v>
      </c>
    </row>
    <row r="4584" spans="1:12" hidden="1" x14ac:dyDescent="0.25">
      <c r="A4584">
        <v>4583</v>
      </c>
      <c r="B4584" s="1" t="s">
        <v>12</v>
      </c>
      <c r="C4584">
        <v>2007</v>
      </c>
      <c r="D4584" s="1" t="s">
        <v>317</v>
      </c>
      <c r="E4584" s="1" t="s">
        <v>176</v>
      </c>
      <c r="F4584">
        <v>42</v>
      </c>
      <c r="G4584" s="1" t="s">
        <v>316</v>
      </c>
      <c r="H4584">
        <v>42133</v>
      </c>
      <c r="I4584">
        <v>5000</v>
      </c>
      <c r="J4584">
        <v>5000</v>
      </c>
      <c r="K4584">
        <v>20000</v>
      </c>
      <c r="L4584">
        <v>4000</v>
      </c>
    </row>
    <row r="4585" spans="1:12" hidden="1" x14ac:dyDescent="0.25">
      <c r="A4585">
        <v>4584</v>
      </c>
      <c r="B4585" s="1" t="s">
        <v>12</v>
      </c>
      <c r="C4585">
        <v>2007</v>
      </c>
      <c r="D4585" s="1" t="s">
        <v>317</v>
      </c>
      <c r="E4585" s="1" t="s">
        <v>87</v>
      </c>
      <c r="F4585">
        <v>66</v>
      </c>
      <c r="G4585" s="1" t="s">
        <v>153</v>
      </c>
      <c r="H4585">
        <v>66007</v>
      </c>
      <c r="I4585">
        <v>600</v>
      </c>
      <c r="J4585">
        <v>600</v>
      </c>
      <c r="K4585">
        <v>840</v>
      </c>
      <c r="L4585">
        <v>1400</v>
      </c>
    </row>
    <row r="4586" spans="1:12" hidden="1" x14ac:dyDescent="0.25">
      <c r="A4586">
        <v>4585</v>
      </c>
      <c r="B4586" s="1" t="s">
        <v>12</v>
      </c>
      <c r="C4586">
        <v>2007</v>
      </c>
      <c r="D4586" s="1" t="s">
        <v>317</v>
      </c>
      <c r="E4586" s="1" t="s">
        <v>87</v>
      </c>
      <c r="F4586">
        <v>66</v>
      </c>
      <c r="G4586" s="1" t="s">
        <v>230</v>
      </c>
      <c r="H4586">
        <v>66056</v>
      </c>
      <c r="I4586">
        <v>4400</v>
      </c>
      <c r="J4586">
        <v>4400</v>
      </c>
      <c r="K4586">
        <v>6160</v>
      </c>
      <c r="L4586">
        <v>1400</v>
      </c>
    </row>
    <row r="4587" spans="1:12" hidden="1" x14ac:dyDescent="0.25">
      <c r="A4587">
        <v>4586</v>
      </c>
      <c r="B4587" s="1" t="s">
        <v>12</v>
      </c>
      <c r="C4587">
        <v>2007</v>
      </c>
      <c r="D4587" s="1" t="s">
        <v>317</v>
      </c>
      <c r="E4587" s="1" t="s">
        <v>87</v>
      </c>
      <c r="F4587">
        <v>66</v>
      </c>
      <c r="G4587" s="1" t="s">
        <v>179</v>
      </c>
      <c r="H4587">
        <v>66126</v>
      </c>
      <c r="I4587">
        <v>1000</v>
      </c>
      <c r="J4587">
        <v>1000</v>
      </c>
      <c r="K4587">
        <v>1300</v>
      </c>
      <c r="L4587">
        <v>1300</v>
      </c>
    </row>
    <row r="4588" spans="1:12" hidden="1" x14ac:dyDescent="0.25">
      <c r="A4588">
        <v>4587</v>
      </c>
      <c r="B4588" s="1" t="s">
        <v>12</v>
      </c>
      <c r="C4588">
        <v>2007</v>
      </c>
      <c r="D4588" s="1" t="s">
        <v>317</v>
      </c>
      <c r="E4588" s="1" t="s">
        <v>116</v>
      </c>
      <c r="F4588">
        <v>74</v>
      </c>
      <c r="G4588" s="1" t="s">
        <v>195</v>
      </c>
      <c r="H4588">
        <v>74007</v>
      </c>
      <c r="I4588">
        <v>400</v>
      </c>
      <c r="J4588">
        <v>400</v>
      </c>
      <c r="K4588">
        <v>1080</v>
      </c>
      <c r="L4588">
        <v>2700</v>
      </c>
    </row>
    <row r="4589" spans="1:12" hidden="1" x14ac:dyDescent="0.25">
      <c r="A4589">
        <v>4588</v>
      </c>
      <c r="B4589" s="1" t="s">
        <v>12</v>
      </c>
      <c r="C4589">
        <v>2007</v>
      </c>
      <c r="D4589" s="1" t="s">
        <v>317</v>
      </c>
      <c r="E4589" s="1" t="s">
        <v>116</v>
      </c>
      <c r="F4589">
        <v>74</v>
      </c>
      <c r="G4589" s="1" t="s">
        <v>126</v>
      </c>
      <c r="H4589">
        <v>74035</v>
      </c>
      <c r="I4589">
        <v>1100</v>
      </c>
      <c r="J4589">
        <v>1100</v>
      </c>
      <c r="K4589">
        <v>3520</v>
      </c>
      <c r="L4589">
        <v>3200</v>
      </c>
    </row>
    <row r="4590" spans="1:12" hidden="1" x14ac:dyDescent="0.25">
      <c r="A4590">
        <v>4589</v>
      </c>
      <c r="B4590" s="1" t="s">
        <v>12</v>
      </c>
      <c r="C4590">
        <v>2007</v>
      </c>
      <c r="D4590" s="1" t="s">
        <v>317</v>
      </c>
      <c r="E4590" s="1" t="s">
        <v>116</v>
      </c>
      <c r="F4590">
        <v>74</v>
      </c>
      <c r="G4590" s="1" t="s">
        <v>127</v>
      </c>
      <c r="H4590">
        <v>74049</v>
      </c>
      <c r="I4590">
        <v>1200</v>
      </c>
      <c r="J4590">
        <v>1200</v>
      </c>
      <c r="K4590">
        <v>3120</v>
      </c>
      <c r="L4590">
        <v>2600</v>
      </c>
    </row>
    <row r="4591" spans="1:12" hidden="1" x14ac:dyDescent="0.25">
      <c r="A4591">
        <v>4590</v>
      </c>
      <c r="B4591" s="1" t="s">
        <v>12</v>
      </c>
      <c r="C4591">
        <v>2007</v>
      </c>
      <c r="D4591" s="1" t="s">
        <v>317</v>
      </c>
      <c r="E4591" s="1" t="s">
        <v>64</v>
      </c>
      <c r="F4591">
        <v>82</v>
      </c>
      <c r="G4591" s="1" t="s">
        <v>66</v>
      </c>
      <c r="H4591">
        <v>82035</v>
      </c>
      <c r="I4591">
        <v>400</v>
      </c>
      <c r="J4591">
        <v>400</v>
      </c>
      <c r="K4591">
        <v>1400</v>
      </c>
      <c r="L4591">
        <v>3500</v>
      </c>
    </row>
    <row r="4592" spans="1:12" hidden="1" x14ac:dyDescent="0.25">
      <c r="A4592">
        <v>4591</v>
      </c>
      <c r="B4592" s="1" t="s">
        <v>12</v>
      </c>
      <c r="C4592">
        <v>2008</v>
      </c>
      <c r="D4592" s="1" t="s">
        <v>318</v>
      </c>
      <c r="E4592" s="1" t="s">
        <v>22</v>
      </c>
      <c r="F4592">
        <v>14</v>
      </c>
      <c r="G4592" s="1" t="s">
        <v>129</v>
      </c>
      <c r="H4592">
        <v>14035</v>
      </c>
      <c r="I4592">
        <v>50000</v>
      </c>
      <c r="J4592">
        <v>47500</v>
      </c>
      <c r="K4592">
        <v>95000</v>
      </c>
      <c r="L4592">
        <v>2000</v>
      </c>
    </row>
    <row r="4593" spans="1:12" hidden="1" x14ac:dyDescent="0.25">
      <c r="A4593">
        <v>4592</v>
      </c>
      <c r="B4593" s="1" t="s">
        <v>12</v>
      </c>
      <c r="C4593">
        <v>2008</v>
      </c>
      <c r="D4593" s="1" t="s">
        <v>318</v>
      </c>
      <c r="E4593" s="1" t="s">
        <v>22</v>
      </c>
      <c r="F4593">
        <v>14</v>
      </c>
      <c r="G4593" s="1" t="s">
        <v>184</v>
      </c>
      <c r="H4593">
        <v>14042</v>
      </c>
      <c r="I4593">
        <v>27400</v>
      </c>
      <c r="J4593">
        <v>27400</v>
      </c>
      <c r="K4593">
        <v>76480</v>
      </c>
      <c r="L4593">
        <v>2791</v>
      </c>
    </row>
    <row r="4594" spans="1:12" hidden="1" x14ac:dyDescent="0.25">
      <c r="A4594">
        <v>4593</v>
      </c>
      <c r="B4594" s="1" t="s">
        <v>12</v>
      </c>
      <c r="C4594">
        <v>2008</v>
      </c>
      <c r="D4594" s="1" t="s">
        <v>318</v>
      </c>
      <c r="E4594" s="1" t="s">
        <v>22</v>
      </c>
      <c r="F4594">
        <v>14</v>
      </c>
      <c r="G4594" s="1" t="s">
        <v>170</v>
      </c>
      <c r="H4594">
        <v>14049</v>
      </c>
      <c r="I4594">
        <v>23000</v>
      </c>
      <c r="J4594">
        <v>23000</v>
      </c>
      <c r="K4594">
        <v>63800</v>
      </c>
      <c r="L4594">
        <v>2774</v>
      </c>
    </row>
    <row r="4595" spans="1:12" hidden="1" x14ac:dyDescent="0.25">
      <c r="A4595">
        <v>4594</v>
      </c>
      <c r="B4595" s="1" t="s">
        <v>12</v>
      </c>
      <c r="C4595">
        <v>2008</v>
      </c>
      <c r="D4595" s="1" t="s">
        <v>318</v>
      </c>
      <c r="E4595" s="1" t="s">
        <v>22</v>
      </c>
      <c r="F4595">
        <v>14</v>
      </c>
      <c r="G4595" s="1" t="s">
        <v>206</v>
      </c>
      <c r="H4595">
        <v>14084</v>
      </c>
      <c r="I4595">
        <v>25000</v>
      </c>
      <c r="J4595">
        <v>24800</v>
      </c>
      <c r="K4595">
        <v>54600</v>
      </c>
      <c r="L4595">
        <v>2202</v>
      </c>
    </row>
    <row r="4596" spans="1:12" hidden="1" x14ac:dyDescent="0.25">
      <c r="A4596">
        <v>4595</v>
      </c>
      <c r="B4596" s="1" t="s">
        <v>12</v>
      </c>
      <c r="C4596">
        <v>2008</v>
      </c>
      <c r="D4596" s="1" t="s">
        <v>318</v>
      </c>
      <c r="E4596" s="1" t="s">
        <v>22</v>
      </c>
      <c r="F4596">
        <v>14</v>
      </c>
      <c r="G4596" s="1" t="s">
        <v>29</v>
      </c>
      <c r="H4596">
        <v>14098</v>
      </c>
      <c r="I4596">
        <v>61800</v>
      </c>
      <c r="J4596">
        <v>61800</v>
      </c>
      <c r="K4596">
        <v>172500</v>
      </c>
      <c r="L4596">
        <v>2791</v>
      </c>
    </row>
    <row r="4597" spans="1:12" hidden="1" x14ac:dyDescent="0.25">
      <c r="A4597">
        <v>4596</v>
      </c>
      <c r="B4597" s="1" t="s">
        <v>12</v>
      </c>
      <c r="C4597">
        <v>2008</v>
      </c>
      <c r="D4597" s="1" t="s">
        <v>318</v>
      </c>
      <c r="E4597" s="1" t="s">
        <v>22</v>
      </c>
      <c r="F4597">
        <v>14</v>
      </c>
      <c r="G4597" s="1" t="s">
        <v>24</v>
      </c>
      <c r="H4597">
        <v>14119</v>
      </c>
      <c r="I4597">
        <v>13200</v>
      </c>
      <c r="J4597">
        <v>13200</v>
      </c>
      <c r="K4597">
        <v>31620</v>
      </c>
      <c r="L4597">
        <v>2395</v>
      </c>
    </row>
    <row r="4598" spans="1:12" hidden="1" x14ac:dyDescent="0.25">
      <c r="A4598">
        <v>4597</v>
      </c>
      <c r="B4598" s="1" t="s">
        <v>12</v>
      </c>
      <c r="C4598">
        <v>2008</v>
      </c>
      <c r="D4598" s="1" t="s">
        <v>318</v>
      </c>
      <c r="E4598" s="1" t="s">
        <v>22</v>
      </c>
      <c r="F4598">
        <v>14</v>
      </c>
      <c r="G4598" s="1" t="s">
        <v>62</v>
      </c>
      <c r="H4598">
        <v>14133</v>
      </c>
      <c r="I4598">
        <v>1500</v>
      </c>
      <c r="J4598">
        <v>1500</v>
      </c>
      <c r="K4598">
        <v>5250</v>
      </c>
      <c r="L4598">
        <v>3500</v>
      </c>
    </row>
    <row r="4599" spans="1:12" hidden="1" x14ac:dyDescent="0.25">
      <c r="A4599">
        <v>4598</v>
      </c>
      <c r="B4599" s="1" t="s">
        <v>12</v>
      </c>
      <c r="C4599">
        <v>2008</v>
      </c>
      <c r="D4599" s="1" t="s">
        <v>318</v>
      </c>
      <c r="E4599" s="1" t="s">
        <v>22</v>
      </c>
      <c r="F4599">
        <v>14</v>
      </c>
      <c r="G4599" s="1" t="s">
        <v>23</v>
      </c>
      <c r="H4599">
        <v>14147</v>
      </c>
      <c r="I4599">
        <v>2000</v>
      </c>
      <c r="J4599">
        <v>2000</v>
      </c>
      <c r="K4599">
        <v>4200</v>
      </c>
      <c r="L4599">
        <v>2100</v>
      </c>
    </row>
    <row r="4600" spans="1:12" hidden="1" x14ac:dyDescent="0.25">
      <c r="A4600">
        <v>4599</v>
      </c>
      <c r="B4600" s="1" t="s">
        <v>12</v>
      </c>
      <c r="C4600">
        <v>2008</v>
      </c>
      <c r="D4600" s="1" t="s">
        <v>318</v>
      </c>
      <c r="E4600" s="1" t="s">
        <v>22</v>
      </c>
      <c r="F4600">
        <v>14</v>
      </c>
      <c r="G4600" s="1" t="s">
        <v>26</v>
      </c>
      <c r="H4600">
        <v>14161</v>
      </c>
      <c r="I4600">
        <v>18500</v>
      </c>
      <c r="J4600">
        <v>18500</v>
      </c>
      <c r="K4600">
        <v>51500</v>
      </c>
      <c r="L4600">
        <v>2784</v>
      </c>
    </row>
    <row r="4601" spans="1:12" x14ac:dyDescent="0.25">
      <c r="A4601">
        <v>4600</v>
      </c>
      <c r="B4601" s="1" t="s">
        <v>12</v>
      </c>
      <c r="C4601">
        <v>2008</v>
      </c>
      <c r="D4601" s="1" t="s">
        <v>318</v>
      </c>
      <c r="E4601" s="1" t="s">
        <v>53</v>
      </c>
      <c r="F4601">
        <v>38</v>
      </c>
      <c r="G4601" s="1" t="s">
        <v>56</v>
      </c>
      <c r="H4601">
        <v>38063</v>
      </c>
      <c r="I4601">
        <v>400</v>
      </c>
      <c r="J4601">
        <v>400</v>
      </c>
      <c r="K4601">
        <v>400</v>
      </c>
      <c r="L4601">
        <v>1000</v>
      </c>
    </row>
    <row r="4602" spans="1:12" hidden="1" x14ac:dyDescent="0.25">
      <c r="A4602">
        <v>4601</v>
      </c>
      <c r="B4602" s="1" t="s">
        <v>12</v>
      </c>
      <c r="C4602">
        <v>2008</v>
      </c>
      <c r="D4602" s="1" t="s">
        <v>318</v>
      </c>
      <c r="E4602" s="1" t="s">
        <v>53</v>
      </c>
      <c r="F4602">
        <v>38</v>
      </c>
      <c r="G4602" s="1" t="s">
        <v>270</v>
      </c>
      <c r="H4602">
        <v>38070</v>
      </c>
      <c r="I4602">
        <v>200</v>
      </c>
      <c r="J4602">
        <v>200</v>
      </c>
      <c r="K4602">
        <v>180</v>
      </c>
      <c r="L4602">
        <v>900</v>
      </c>
    </row>
    <row r="4603" spans="1:12" hidden="1" x14ac:dyDescent="0.25">
      <c r="A4603">
        <v>4602</v>
      </c>
      <c r="B4603" s="1" t="s">
        <v>12</v>
      </c>
      <c r="C4603">
        <v>2008</v>
      </c>
      <c r="D4603" s="1" t="s">
        <v>318</v>
      </c>
      <c r="E4603" s="1" t="s">
        <v>176</v>
      </c>
      <c r="F4603">
        <v>42</v>
      </c>
      <c r="G4603" s="1" t="s">
        <v>28</v>
      </c>
      <c r="H4603">
        <v>42021</v>
      </c>
      <c r="I4603">
        <v>250</v>
      </c>
      <c r="J4603">
        <v>250</v>
      </c>
      <c r="K4603">
        <v>400</v>
      </c>
      <c r="L4603">
        <v>1600</v>
      </c>
    </row>
    <row r="4604" spans="1:12" hidden="1" x14ac:dyDescent="0.25">
      <c r="A4604">
        <v>4603</v>
      </c>
      <c r="B4604" s="1" t="s">
        <v>12</v>
      </c>
      <c r="C4604">
        <v>2008</v>
      </c>
      <c r="D4604" s="1" t="s">
        <v>318</v>
      </c>
      <c r="E4604" s="1" t="s">
        <v>176</v>
      </c>
      <c r="F4604">
        <v>42</v>
      </c>
      <c r="G4604" s="1" t="s">
        <v>319</v>
      </c>
      <c r="H4604">
        <v>42028</v>
      </c>
      <c r="I4604">
        <v>250</v>
      </c>
      <c r="J4604">
        <v>250</v>
      </c>
      <c r="K4604">
        <v>400</v>
      </c>
      <c r="L4604">
        <v>1600</v>
      </c>
    </row>
    <row r="4605" spans="1:12" hidden="1" x14ac:dyDescent="0.25">
      <c r="A4605">
        <v>4604</v>
      </c>
      <c r="B4605" s="1" t="s">
        <v>12</v>
      </c>
      <c r="C4605">
        <v>2008</v>
      </c>
      <c r="D4605" s="1" t="s">
        <v>318</v>
      </c>
      <c r="E4605" s="1" t="s">
        <v>176</v>
      </c>
      <c r="F4605">
        <v>42</v>
      </c>
      <c r="G4605" s="1" t="s">
        <v>314</v>
      </c>
      <c r="H4605">
        <v>42056</v>
      </c>
      <c r="I4605">
        <v>10000</v>
      </c>
      <c r="J4605">
        <v>9500</v>
      </c>
      <c r="K4605">
        <v>14300</v>
      </c>
      <c r="L4605">
        <v>1505</v>
      </c>
    </row>
    <row r="4606" spans="1:12" hidden="1" x14ac:dyDescent="0.25">
      <c r="A4606">
        <v>4605</v>
      </c>
      <c r="B4606" s="1" t="s">
        <v>12</v>
      </c>
      <c r="C4606">
        <v>2008</v>
      </c>
      <c r="D4606" s="1" t="s">
        <v>318</v>
      </c>
      <c r="E4606" s="1" t="s">
        <v>176</v>
      </c>
      <c r="F4606">
        <v>42</v>
      </c>
      <c r="G4606" s="1" t="s">
        <v>315</v>
      </c>
      <c r="H4606">
        <v>42126</v>
      </c>
      <c r="I4606">
        <v>10500</v>
      </c>
      <c r="J4606">
        <v>8400</v>
      </c>
      <c r="K4606">
        <v>6700</v>
      </c>
      <c r="L4606">
        <v>798</v>
      </c>
    </row>
    <row r="4607" spans="1:12" hidden="1" x14ac:dyDescent="0.25">
      <c r="A4607">
        <v>4606</v>
      </c>
      <c r="B4607" s="1" t="s">
        <v>12</v>
      </c>
      <c r="C4607">
        <v>2008</v>
      </c>
      <c r="D4607" s="1" t="s">
        <v>318</v>
      </c>
      <c r="E4607" s="1" t="s">
        <v>176</v>
      </c>
      <c r="F4607">
        <v>42</v>
      </c>
      <c r="G4607" s="1" t="s">
        <v>316</v>
      </c>
      <c r="H4607">
        <v>42133</v>
      </c>
      <c r="I4607">
        <v>7500</v>
      </c>
      <c r="J4607">
        <v>6000</v>
      </c>
      <c r="K4607">
        <v>7200</v>
      </c>
      <c r="L4607">
        <v>1200</v>
      </c>
    </row>
    <row r="4608" spans="1:12" hidden="1" x14ac:dyDescent="0.25">
      <c r="A4608">
        <v>4607</v>
      </c>
      <c r="B4608" s="1" t="s">
        <v>12</v>
      </c>
      <c r="C4608">
        <v>2008</v>
      </c>
      <c r="D4608" s="1" t="s">
        <v>318</v>
      </c>
      <c r="E4608" s="1" t="s">
        <v>176</v>
      </c>
      <c r="F4608">
        <v>42</v>
      </c>
      <c r="G4608" s="1" t="s">
        <v>320</v>
      </c>
      <c r="H4608">
        <v>42147</v>
      </c>
      <c r="I4608">
        <v>2000</v>
      </c>
      <c r="J4608">
        <v>1800</v>
      </c>
      <c r="K4608">
        <v>1400</v>
      </c>
      <c r="L4608">
        <v>778</v>
      </c>
    </row>
    <row r="4609" spans="1:12" hidden="1" x14ac:dyDescent="0.25">
      <c r="A4609">
        <v>4608</v>
      </c>
      <c r="B4609" s="1" t="s">
        <v>12</v>
      </c>
      <c r="C4609">
        <v>2008</v>
      </c>
      <c r="D4609" s="1" t="s">
        <v>318</v>
      </c>
      <c r="E4609" s="1" t="s">
        <v>87</v>
      </c>
      <c r="F4609">
        <v>66</v>
      </c>
      <c r="G4609" s="1" t="s">
        <v>153</v>
      </c>
      <c r="H4609">
        <v>66007</v>
      </c>
      <c r="I4609">
        <v>600</v>
      </c>
      <c r="J4609">
        <v>600</v>
      </c>
      <c r="K4609">
        <v>600</v>
      </c>
      <c r="L4609">
        <v>1000</v>
      </c>
    </row>
    <row r="4610" spans="1:12" hidden="1" x14ac:dyDescent="0.25">
      <c r="A4610">
        <v>4609</v>
      </c>
      <c r="B4610" s="1" t="s">
        <v>12</v>
      </c>
      <c r="C4610">
        <v>2008</v>
      </c>
      <c r="D4610" s="1" t="s">
        <v>318</v>
      </c>
      <c r="E4610" s="1" t="s">
        <v>87</v>
      </c>
      <c r="F4610">
        <v>66</v>
      </c>
      <c r="G4610" s="1" t="s">
        <v>230</v>
      </c>
      <c r="H4610">
        <v>66056</v>
      </c>
      <c r="I4610">
        <v>4400</v>
      </c>
      <c r="J4610">
        <v>4400</v>
      </c>
      <c r="K4610">
        <v>4400</v>
      </c>
      <c r="L4610">
        <v>1000</v>
      </c>
    </row>
    <row r="4611" spans="1:12" hidden="1" x14ac:dyDescent="0.25">
      <c r="A4611">
        <v>4610</v>
      </c>
      <c r="B4611" s="1" t="s">
        <v>12</v>
      </c>
      <c r="C4611">
        <v>2008</v>
      </c>
      <c r="D4611" s="1" t="s">
        <v>318</v>
      </c>
      <c r="E4611" s="1" t="s">
        <v>87</v>
      </c>
      <c r="F4611">
        <v>66</v>
      </c>
      <c r="G4611" s="1" t="s">
        <v>179</v>
      </c>
      <c r="H4611">
        <v>66126</v>
      </c>
      <c r="I4611">
        <v>1000</v>
      </c>
      <c r="J4611">
        <v>1000</v>
      </c>
      <c r="K4611">
        <v>900</v>
      </c>
      <c r="L4611">
        <v>900</v>
      </c>
    </row>
    <row r="4612" spans="1:12" hidden="1" x14ac:dyDescent="0.25">
      <c r="A4612">
        <v>4611</v>
      </c>
      <c r="B4612" s="1" t="s">
        <v>12</v>
      </c>
      <c r="C4612">
        <v>2008</v>
      </c>
      <c r="D4612" s="1" t="s">
        <v>318</v>
      </c>
      <c r="E4612" s="1" t="s">
        <v>116</v>
      </c>
      <c r="F4612">
        <v>74</v>
      </c>
      <c r="G4612" s="1" t="s">
        <v>195</v>
      </c>
      <c r="H4612">
        <v>74007</v>
      </c>
      <c r="I4612">
        <v>450</v>
      </c>
      <c r="J4612">
        <v>450</v>
      </c>
      <c r="K4612">
        <v>1215</v>
      </c>
      <c r="L4612">
        <v>2700</v>
      </c>
    </row>
    <row r="4613" spans="1:12" hidden="1" x14ac:dyDescent="0.25">
      <c r="A4613">
        <v>4612</v>
      </c>
      <c r="B4613" s="1" t="s">
        <v>12</v>
      </c>
      <c r="C4613">
        <v>2008</v>
      </c>
      <c r="D4613" s="1" t="s">
        <v>318</v>
      </c>
      <c r="E4613" s="1" t="s">
        <v>116</v>
      </c>
      <c r="F4613">
        <v>74</v>
      </c>
      <c r="G4613" s="1" t="s">
        <v>126</v>
      </c>
      <c r="H4613">
        <v>74035</v>
      </c>
      <c r="I4613">
        <v>2500</v>
      </c>
      <c r="J4613">
        <v>2500</v>
      </c>
      <c r="K4613">
        <v>7250</v>
      </c>
      <c r="L4613">
        <v>2900</v>
      </c>
    </row>
    <row r="4614" spans="1:12" hidden="1" x14ac:dyDescent="0.25">
      <c r="A4614">
        <v>4613</v>
      </c>
      <c r="B4614" s="1" t="s">
        <v>12</v>
      </c>
      <c r="C4614">
        <v>2008</v>
      </c>
      <c r="D4614" s="1" t="s">
        <v>318</v>
      </c>
      <c r="E4614" s="1" t="s">
        <v>116</v>
      </c>
      <c r="F4614">
        <v>74</v>
      </c>
      <c r="G4614" s="1" t="s">
        <v>127</v>
      </c>
      <c r="H4614">
        <v>74049</v>
      </c>
      <c r="I4614">
        <v>1500</v>
      </c>
      <c r="J4614">
        <v>1500</v>
      </c>
      <c r="K4614">
        <v>3900</v>
      </c>
      <c r="L4614">
        <v>2600</v>
      </c>
    </row>
    <row r="4615" spans="1:12" hidden="1" x14ac:dyDescent="0.25">
      <c r="A4615">
        <v>4614</v>
      </c>
      <c r="B4615" s="1" t="s">
        <v>12</v>
      </c>
      <c r="C4615">
        <v>2008</v>
      </c>
      <c r="D4615" s="1" t="s">
        <v>318</v>
      </c>
      <c r="E4615" s="1" t="s">
        <v>64</v>
      </c>
      <c r="F4615">
        <v>82</v>
      </c>
      <c r="G4615" s="1" t="s">
        <v>66</v>
      </c>
      <c r="H4615">
        <v>82035</v>
      </c>
      <c r="I4615">
        <v>480</v>
      </c>
      <c r="J4615">
        <v>480</v>
      </c>
      <c r="K4615">
        <v>1296</v>
      </c>
      <c r="L4615">
        <v>2700</v>
      </c>
    </row>
    <row r="4616" spans="1:12" hidden="1" x14ac:dyDescent="0.25">
      <c r="A4616">
        <v>4615</v>
      </c>
      <c r="B4616" s="1" t="s">
        <v>12</v>
      </c>
      <c r="C4616">
        <v>2009</v>
      </c>
      <c r="D4616" s="1" t="s">
        <v>321</v>
      </c>
      <c r="E4616" s="1" t="s">
        <v>22</v>
      </c>
      <c r="F4616">
        <v>14</v>
      </c>
      <c r="G4616" s="1" t="s">
        <v>129</v>
      </c>
      <c r="H4616">
        <v>14035</v>
      </c>
      <c r="I4616">
        <v>42000</v>
      </c>
      <c r="J4616">
        <v>42000</v>
      </c>
      <c r="K4616">
        <v>142800</v>
      </c>
      <c r="L4616">
        <v>3400</v>
      </c>
    </row>
    <row r="4617" spans="1:12" hidden="1" x14ac:dyDescent="0.25">
      <c r="A4617">
        <v>4616</v>
      </c>
      <c r="B4617" s="1" t="s">
        <v>12</v>
      </c>
      <c r="C4617">
        <v>2009</v>
      </c>
      <c r="D4617" s="1" t="s">
        <v>321</v>
      </c>
      <c r="E4617" s="1" t="s">
        <v>22</v>
      </c>
      <c r="F4617">
        <v>14</v>
      </c>
      <c r="G4617" s="1" t="s">
        <v>184</v>
      </c>
      <c r="H4617">
        <v>14042</v>
      </c>
      <c r="I4617">
        <v>19300</v>
      </c>
      <c r="J4617">
        <v>19300</v>
      </c>
      <c r="K4617">
        <v>44330</v>
      </c>
      <c r="L4617">
        <v>2297</v>
      </c>
    </row>
    <row r="4618" spans="1:12" hidden="1" x14ac:dyDescent="0.25">
      <c r="A4618">
        <v>4617</v>
      </c>
      <c r="B4618" s="1" t="s">
        <v>12</v>
      </c>
      <c r="C4618">
        <v>2009</v>
      </c>
      <c r="D4618" s="1" t="s">
        <v>321</v>
      </c>
      <c r="E4618" s="1" t="s">
        <v>22</v>
      </c>
      <c r="F4618">
        <v>14</v>
      </c>
      <c r="G4618" s="1" t="s">
        <v>143</v>
      </c>
      <c r="H4618">
        <v>14056</v>
      </c>
      <c r="I4618">
        <v>17000</v>
      </c>
      <c r="J4618">
        <v>16200</v>
      </c>
      <c r="K4618">
        <v>45780</v>
      </c>
      <c r="L4618">
        <v>2826</v>
      </c>
    </row>
    <row r="4619" spans="1:12" hidden="1" x14ac:dyDescent="0.25">
      <c r="A4619">
        <v>4618</v>
      </c>
      <c r="B4619" s="1" t="s">
        <v>12</v>
      </c>
      <c r="C4619">
        <v>2009</v>
      </c>
      <c r="D4619" s="1" t="s">
        <v>321</v>
      </c>
      <c r="E4619" s="1" t="s">
        <v>22</v>
      </c>
      <c r="F4619">
        <v>14</v>
      </c>
      <c r="G4619" s="1" t="s">
        <v>206</v>
      </c>
      <c r="H4619">
        <v>14084</v>
      </c>
      <c r="I4619">
        <v>20000</v>
      </c>
      <c r="J4619">
        <v>20000</v>
      </c>
      <c r="K4619">
        <v>72000</v>
      </c>
      <c r="L4619">
        <v>3600</v>
      </c>
    </row>
    <row r="4620" spans="1:12" hidden="1" x14ac:dyDescent="0.25">
      <c r="A4620">
        <v>4619</v>
      </c>
      <c r="B4620" s="1" t="s">
        <v>12</v>
      </c>
      <c r="C4620">
        <v>2009</v>
      </c>
      <c r="D4620" s="1" t="s">
        <v>321</v>
      </c>
      <c r="E4620" s="1" t="s">
        <v>22</v>
      </c>
      <c r="F4620">
        <v>14</v>
      </c>
      <c r="G4620" s="1" t="s">
        <v>29</v>
      </c>
      <c r="H4620">
        <v>14098</v>
      </c>
      <c r="I4620">
        <v>46800</v>
      </c>
      <c r="J4620">
        <v>44800</v>
      </c>
      <c r="K4620">
        <v>115400</v>
      </c>
      <c r="L4620">
        <v>2576</v>
      </c>
    </row>
    <row r="4621" spans="1:12" hidden="1" x14ac:dyDescent="0.25">
      <c r="A4621">
        <v>4620</v>
      </c>
      <c r="B4621" s="1" t="s">
        <v>12</v>
      </c>
      <c r="C4621">
        <v>2009</v>
      </c>
      <c r="D4621" s="1" t="s">
        <v>321</v>
      </c>
      <c r="E4621" s="1" t="s">
        <v>22</v>
      </c>
      <c r="F4621">
        <v>14</v>
      </c>
      <c r="G4621" s="1" t="s">
        <v>24</v>
      </c>
      <c r="H4621">
        <v>14119</v>
      </c>
      <c r="I4621">
        <v>9200</v>
      </c>
      <c r="J4621">
        <v>9200</v>
      </c>
      <c r="K4621">
        <v>19300</v>
      </c>
      <c r="L4621">
        <v>2098</v>
      </c>
    </row>
    <row r="4622" spans="1:12" hidden="1" x14ac:dyDescent="0.25">
      <c r="A4622">
        <v>4621</v>
      </c>
      <c r="B4622" s="1" t="s">
        <v>12</v>
      </c>
      <c r="C4622">
        <v>2009</v>
      </c>
      <c r="D4622" s="1" t="s">
        <v>321</v>
      </c>
      <c r="E4622" s="1" t="s">
        <v>22</v>
      </c>
      <c r="F4622">
        <v>14</v>
      </c>
      <c r="G4622" s="1" t="s">
        <v>169</v>
      </c>
      <c r="H4622">
        <v>14126</v>
      </c>
      <c r="I4622">
        <v>1500</v>
      </c>
      <c r="J4622">
        <v>1500</v>
      </c>
      <c r="K4622">
        <v>4500</v>
      </c>
      <c r="L4622">
        <v>3000</v>
      </c>
    </row>
    <row r="4623" spans="1:12" hidden="1" x14ac:dyDescent="0.25">
      <c r="A4623">
        <v>4622</v>
      </c>
      <c r="B4623" s="1" t="s">
        <v>12</v>
      </c>
      <c r="C4623">
        <v>2009</v>
      </c>
      <c r="D4623" s="1" t="s">
        <v>321</v>
      </c>
      <c r="E4623" s="1" t="s">
        <v>22</v>
      </c>
      <c r="F4623">
        <v>14</v>
      </c>
      <c r="G4623" s="1" t="s">
        <v>23</v>
      </c>
      <c r="H4623">
        <v>14147</v>
      </c>
      <c r="I4623">
        <v>1400</v>
      </c>
      <c r="J4623">
        <v>1400</v>
      </c>
      <c r="K4623">
        <v>2800</v>
      </c>
      <c r="L4623">
        <v>2000</v>
      </c>
    </row>
    <row r="4624" spans="1:12" hidden="1" x14ac:dyDescent="0.25">
      <c r="A4624">
        <v>4623</v>
      </c>
      <c r="B4624" s="1" t="s">
        <v>12</v>
      </c>
      <c r="C4624">
        <v>2009</v>
      </c>
      <c r="D4624" s="1" t="s">
        <v>321</v>
      </c>
      <c r="E4624" s="1" t="s">
        <v>22</v>
      </c>
      <c r="F4624">
        <v>14</v>
      </c>
      <c r="G4624" s="1" t="s">
        <v>26</v>
      </c>
      <c r="H4624">
        <v>14161</v>
      </c>
      <c r="I4624">
        <v>12950</v>
      </c>
      <c r="J4624">
        <v>12950</v>
      </c>
      <c r="K4624">
        <v>25900</v>
      </c>
      <c r="L4624">
        <v>2000</v>
      </c>
    </row>
    <row r="4625" spans="1:12" hidden="1" x14ac:dyDescent="0.25">
      <c r="A4625">
        <v>4624</v>
      </c>
      <c r="B4625" s="1" t="s">
        <v>12</v>
      </c>
      <c r="C4625">
        <v>2009</v>
      </c>
      <c r="D4625" s="1" t="s">
        <v>321</v>
      </c>
      <c r="E4625" s="1" t="s">
        <v>22</v>
      </c>
      <c r="F4625">
        <v>14</v>
      </c>
      <c r="G4625" s="1" t="s">
        <v>122</v>
      </c>
      <c r="H4625">
        <v>14182</v>
      </c>
      <c r="I4625">
        <v>150</v>
      </c>
      <c r="J4625">
        <v>150</v>
      </c>
      <c r="K4625">
        <v>375</v>
      </c>
      <c r="L4625">
        <v>2500</v>
      </c>
    </row>
    <row r="4626" spans="1:12" x14ac:dyDescent="0.25">
      <c r="A4626">
        <v>4625</v>
      </c>
      <c r="B4626" s="1" t="s">
        <v>12</v>
      </c>
      <c r="C4626">
        <v>2009</v>
      </c>
      <c r="D4626" s="1" t="s">
        <v>321</v>
      </c>
      <c r="E4626" s="1" t="s">
        <v>53</v>
      </c>
      <c r="F4626">
        <v>38</v>
      </c>
      <c r="G4626" s="1" t="s">
        <v>56</v>
      </c>
      <c r="H4626">
        <v>38063</v>
      </c>
      <c r="I4626">
        <v>392</v>
      </c>
      <c r="J4626">
        <v>392</v>
      </c>
      <c r="K4626">
        <v>510</v>
      </c>
      <c r="L4626">
        <v>1301</v>
      </c>
    </row>
    <row r="4627" spans="1:12" hidden="1" x14ac:dyDescent="0.25">
      <c r="A4627">
        <v>4626</v>
      </c>
      <c r="B4627" s="1" t="s">
        <v>12</v>
      </c>
      <c r="C4627">
        <v>2009</v>
      </c>
      <c r="D4627" s="1" t="s">
        <v>321</v>
      </c>
      <c r="E4627" s="1" t="s">
        <v>53</v>
      </c>
      <c r="F4627">
        <v>38</v>
      </c>
      <c r="G4627" s="1" t="s">
        <v>270</v>
      </c>
      <c r="H4627">
        <v>38070</v>
      </c>
      <c r="I4627">
        <v>196</v>
      </c>
      <c r="J4627">
        <v>196</v>
      </c>
      <c r="K4627">
        <v>235</v>
      </c>
      <c r="L4627">
        <v>1199</v>
      </c>
    </row>
    <row r="4628" spans="1:12" hidden="1" x14ac:dyDescent="0.25">
      <c r="A4628">
        <v>4627</v>
      </c>
      <c r="B4628" s="1" t="s">
        <v>12</v>
      </c>
      <c r="C4628">
        <v>2009</v>
      </c>
      <c r="D4628" s="1" t="s">
        <v>321</v>
      </c>
      <c r="E4628" s="1" t="s">
        <v>176</v>
      </c>
      <c r="F4628">
        <v>42</v>
      </c>
      <c r="G4628" s="1" t="s">
        <v>314</v>
      </c>
      <c r="H4628">
        <v>42056</v>
      </c>
      <c r="I4628">
        <v>10200</v>
      </c>
      <c r="J4628">
        <v>10000</v>
      </c>
      <c r="K4628">
        <v>32000</v>
      </c>
      <c r="L4628">
        <v>3200</v>
      </c>
    </row>
    <row r="4629" spans="1:12" hidden="1" x14ac:dyDescent="0.25">
      <c r="A4629">
        <v>4628</v>
      </c>
      <c r="B4629" s="1" t="s">
        <v>12</v>
      </c>
      <c r="C4629">
        <v>2009</v>
      </c>
      <c r="D4629" s="1" t="s">
        <v>321</v>
      </c>
      <c r="E4629" s="1" t="s">
        <v>176</v>
      </c>
      <c r="F4629">
        <v>42</v>
      </c>
      <c r="G4629" s="1" t="s">
        <v>322</v>
      </c>
      <c r="H4629">
        <v>42105</v>
      </c>
      <c r="I4629">
        <v>13000</v>
      </c>
      <c r="J4629">
        <v>13000</v>
      </c>
      <c r="K4629">
        <v>39000</v>
      </c>
      <c r="L4629">
        <v>3000</v>
      </c>
    </row>
    <row r="4630" spans="1:12" hidden="1" x14ac:dyDescent="0.25">
      <c r="A4630">
        <v>4629</v>
      </c>
      <c r="B4630" s="1" t="s">
        <v>12</v>
      </c>
      <c r="C4630">
        <v>2009</v>
      </c>
      <c r="D4630" s="1" t="s">
        <v>321</v>
      </c>
      <c r="E4630" s="1" t="s">
        <v>176</v>
      </c>
      <c r="F4630">
        <v>42</v>
      </c>
      <c r="G4630" s="1" t="s">
        <v>177</v>
      </c>
      <c r="H4630">
        <v>42119</v>
      </c>
      <c r="I4630">
        <v>1500</v>
      </c>
      <c r="J4630">
        <v>1500</v>
      </c>
      <c r="K4630">
        <v>3800</v>
      </c>
      <c r="L4630">
        <v>2533</v>
      </c>
    </row>
    <row r="4631" spans="1:12" hidden="1" x14ac:dyDescent="0.25">
      <c r="A4631">
        <v>4630</v>
      </c>
      <c r="B4631" s="1" t="s">
        <v>12</v>
      </c>
      <c r="C4631">
        <v>2009</v>
      </c>
      <c r="D4631" s="1" t="s">
        <v>321</v>
      </c>
      <c r="E4631" s="1" t="s">
        <v>176</v>
      </c>
      <c r="F4631">
        <v>42</v>
      </c>
      <c r="G4631" s="1" t="s">
        <v>315</v>
      </c>
      <c r="H4631">
        <v>42126</v>
      </c>
      <c r="I4631">
        <v>5300</v>
      </c>
      <c r="J4631">
        <v>5200</v>
      </c>
      <c r="K4631">
        <v>13000</v>
      </c>
      <c r="L4631">
        <v>2500</v>
      </c>
    </row>
    <row r="4632" spans="1:12" hidden="1" x14ac:dyDescent="0.25">
      <c r="A4632">
        <v>4631</v>
      </c>
      <c r="B4632" s="1" t="s">
        <v>12</v>
      </c>
      <c r="C4632">
        <v>2009</v>
      </c>
      <c r="D4632" s="1" t="s">
        <v>321</v>
      </c>
      <c r="E4632" s="1" t="s">
        <v>176</v>
      </c>
      <c r="F4632">
        <v>42</v>
      </c>
      <c r="G4632" s="1" t="s">
        <v>316</v>
      </c>
      <c r="H4632">
        <v>42133</v>
      </c>
      <c r="I4632">
        <v>12400</v>
      </c>
      <c r="J4632">
        <v>12300</v>
      </c>
      <c r="K4632">
        <v>34400</v>
      </c>
      <c r="L4632">
        <v>2797</v>
      </c>
    </row>
    <row r="4633" spans="1:12" hidden="1" x14ac:dyDescent="0.25">
      <c r="A4633">
        <v>4632</v>
      </c>
      <c r="B4633" s="1" t="s">
        <v>12</v>
      </c>
      <c r="C4633">
        <v>2009</v>
      </c>
      <c r="D4633" s="1" t="s">
        <v>321</v>
      </c>
      <c r="E4633" s="1" t="s">
        <v>176</v>
      </c>
      <c r="F4633">
        <v>42</v>
      </c>
      <c r="G4633" s="1" t="s">
        <v>320</v>
      </c>
      <c r="H4633">
        <v>42147</v>
      </c>
      <c r="I4633">
        <v>500</v>
      </c>
      <c r="J4633">
        <v>500</v>
      </c>
      <c r="K4633">
        <v>1300</v>
      </c>
      <c r="L4633">
        <v>2600</v>
      </c>
    </row>
    <row r="4634" spans="1:12" hidden="1" x14ac:dyDescent="0.25">
      <c r="A4634">
        <v>4633</v>
      </c>
      <c r="B4634" s="1" t="s">
        <v>12</v>
      </c>
      <c r="C4634">
        <v>2009</v>
      </c>
      <c r="D4634" s="1" t="s">
        <v>321</v>
      </c>
      <c r="E4634" s="1" t="s">
        <v>87</v>
      </c>
      <c r="F4634">
        <v>66</v>
      </c>
      <c r="G4634" s="1" t="s">
        <v>153</v>
      </c>
      <c r="H4634">
        <v>66007</v>
      </c>
      <c r="I4634">
        <v>600</v>
      </c>
      <c r="J4634">
        <v>600</v>
      </c>
      <c r="K4634">
        <v>720</v>
      </c>
      <c r="L4634">
        <v>1200</v>
      </c>
    </row>
    <row r="4635" spans="1:12" hidden="1" x14ac:dyDescent="0.25">
      <c r="A4635">
        <v>4634</v>
      </c>
      <c r="B4635" s="1" t="s">
        <v>12</v>
      </c>
      <c r="C4635">
        <v>2009</v>
      </c>
      <c r="D4635" s="1" t="s">
        <v>321</v>
      </c>
      <c r="E4635" s="1" t="s">
        <v>87</v>
      </c>
      <c r="F4635">
        <v>66</v>
      </c>
      <c r="G4635" s="1" t="s">
        <v>230</v>
      </c>
      <c r="H4635">
        <v>66056</v>
      </c>
      <c r="I4635">
        <v>5100</v>
      </c>
      <c r="J4635">
        <v>5100</v>
      </c>
      <c r="K4635">
        <v>6630</v>
      </c>
      <c r="L4635">
        <v>1300</v>
      </c>
    </row>
    <row r="4636" spans="1:12" hidden="1" x14ac:dyDescent="0.25">
      <c r="A4636">
        <v>4635</v>
      </c>
      <c r="B4636" s="1" t="s">
        <v>12</v>
      </c>
      <c r="C4636">
        <v>2009</v>
      </c>
      <c r="D4636" s="1" t="s">
        <v>321</v>
      </c>
      <c r="E4636" s="1" t="s">
        <v>87</v>
      </c>
      <c r="F4636">
        <v>66</v>
      </c>
      <c r="G4636" s="1" t="s">
        <v>179</v>
      </c>
      <c r="H4636">
        <v>66126</v>
      </c>
      <c r="I4636">
        <v>950</v>
      </c>
      <c r="J4636">
        <v>950</v>
      </c>
      <c r="K4636">
        <v>1235</v>
      </c>
      <c r="L4636">
        <v>1300</v>
      </c>
    </row>
    <row r="4637" spans="1:12" hidden="1" x14ac:dyDescent="0.25">
      <c r="A4637">
        <v>4636</v>
      </c>
      <c r="B4637" s="1" t="s">
        <v>12</v>
      </c>
      <c r="C4637">
        <v>2009</v>
      </c>
      <c r="D4637" s="1" t="s">
        <v>321</v>
      </c>
      <c r="E4637" s="1" t="s">
        <v>116</v>
      </c>
      <c r="F4637">
        <v>74</v>
      </c>
      <c r="G4637" s="1" t="s">
        <v>126</v>
      </c>
      <c r="H4637">
        <v>74035</v>
      </c>
      <c r="I4637">
        <v>1500</v>
      </c>
      <c r="J4637">
        <v>1500</v>
      </c>
      <c r="K4637">
        <v>4800</v>
      </c>
      <c r="L4637">
        <v>3200</v>
      </c>
    </row>
    <row r="4638" spans="1:12" hidden="1" x14ac:dyDescent="0.25">
      <c r="A4638">
        <v>4637</v>
      </c>
      <c r="B4638" s="1" t="s">
        <v>12</v>
      </c>
      <c r="C4638">
        <v>2009</v>
      </c>
      <c r="D4638" s="1" t="s">
        <v>321</v>
      </c>
      <c r="E4638" s="1" t="s">
        <v>64</v>
      </c>
      <c r="F4638">
        <v>82</v>
      </c>
      <c r="G4638" s="1" t="s">
        <v>66</v>
      </c>
      <c r="H4638">
        <v>82035</v>
      </c>
      <c r="I4638">
        <v>115</v>
      </c>
      <c r="J4638">
        <v>90</v>
      </c>
      <c r="K4638">
        <v>225</v>
      </c>
      <c r="L4638">
        <v>2500</v>
      </c>
    </row>
    <row r="4639" spans="1:12" hidden="1" x14ac:dyDescent="0.25">
      <c r="A4639">
        <v>4638</v>
      </c>
      <c r="B4639" s="1" t="s">
        <v>12</v>
      </c>
      <c r="C4639">
        <v>2010</v>
      </c>
      <c r="D4639" s="1" t="s">
        <v>323</v>
      </c>
      <c r="E4639" s="1" t="s">
        <v>22</v>
      </c>
      <c r="F4639">
        <v>14</v>
      </c>
      <c r="G4639" s="1" t="s">
        <v>129</v>
      </c>
      <c r="H4639">
        <v>14035</v>
      </c>
      <c r="I4639">
        <v>58000</v>
      </c>
      <c r="J4639">
        <v>58000</v>
      </c>
      <c r="K4639">
        <v>156600</v>
      </c>
      <c r="L4639">
        <v>2700</v>
      </c>
    </row>
    <row r="4640" spans="1:12" hidden="1" x14ac:dyDescent="0.25">
      <c r="A4640">
        <v>4639</v>
      </c>
      <c r="B4640" s="1" t="s">
        <v>12</v>
      </c>
      <c r="C4640">
        <v>2010</v>
      </c>
      <c r="D4640" s="1" t="s">
        <v>323</v>
      </c>
      <c r="E4640" s="1" t="s">
        <v>22</v>
      </c>
      <c r="F4640">
        <v>14</v>
      </c>
      <c r="G4640" s="1" t="s">
        <v>184</v>
      </c>
      <c r="H4640">
        <v>14042</v>
      </c>
      <c r="I4640">
        <v>15300</v>
      </c>
      <c r="J4640">
        <v>15300</v>
      </c>
      <c r="K4640">
        <v>35160</v>
      </c>
      <c r="L4640">
        <v>2298</v>
      </c>
    </row>
    <row r="4641" spans="1:12" hidden="1" x14ac:dyDescent="0.25">
      <c r="A4641">
        <v>4640</v>
      </c>
      <c r="B4641" s="1" t="s">
        <v>12</v>
      </c>
      <c r="C4641">
        <v>2010</v>
      </c>
      <c r="D4641" s="1" t="s">
        <v>323</v>
      </c>
      <c r="E4641" s="1" t="s">
        <v>22</v>
      </c>
      <c r="F4641">
        <v>14</v>
      </c>
      <c r="G4641" s="1" t="s">
        <v>143</v>
      </c>
      <c r="H4641">
        <v>14056</v>
      </c>
      <c r="I4641">
        <v>25000</v>
      </c>
      <c r="J4641">
        <v>25000</v>
      </c>
      <c r="K4641">
        <v>75000</v>
      </c>
      <c r="L4641">
        <v>3000</v>
      </c>
    </row>
    <row r="4642" spans="1:12" hidden="1" x14ac:dyDescent="0.25">
      <c r="A4642">
        <v>4641</v>
      </c>
      <c r="B4642" s="1" t="s">
        <v>12</v>
      </c>
      <c r="C4642">
        <v>2010</v>
      </c>
      <c r="D4642" s="1" t="s">
        <v>323</v>
      </c>
      <c r="E4642" s="1" t="s">
        <v>22</v>
      </c>
      <c r="F4642">
        <v>14</v>
      </c>
      <c r="G4642" s="1" t="s">
        <v>194</v>
      </c>
      <c r="H4642">
        <v>14077</v>
      </c>
      <c r="I4642">
        <v>1500</v>
      </c>
      <c r="J4642">
        <v>1500</v>
      </c>
      <c r="K4642">
        <v>4800</v>
      </c>
      <c r="L4642">
        <v>3200</v>
      </c>
    </row>
    <row r="4643" spans="1:12" hidden="1" x14ac:dyDescent="0.25">
      <c r="A4643">
        <v>4642</v>
      </c>
      <c r="B4643" s="1" t="s">
        <v>12</v>
      </c>
      <c r="C4643">
        <v>2010</v>
      </c>
      <c r="D4643" s="1" t="s">
        <v>323</v>
      </c>
      <c r="E4643" s="1" t="s">
        <v>22</v>
      </c>
      <c r="F4643">
        <v>14</v>
      </c>
      <c r="G4643" s="1" t="s">
        <v>206</v>
      </c>
      <c r="H4643">
        <v>14084</v>
      </c>
      <c r="I4643">
        <v>22000</v>
      </c>
      <c r="J4643">
        <v>22000</v>
      </c>
      <c r="K4643">
        <v>63800</v>
      </c>
      <c r="L4643">
        <v>2900</v>
      </c>
    </row>
    <row r="4644" spans="1:12" hidden="1" x14ac:dyDescent="0.25">
      <c r="A4644">
        <v>4643</v>
      </c>
      <c r="B4644" s="1" t="s">
        <v>12</v>
      </c>
      <c r="C4644">
        <v>2010</v>
      </c>
      <c r="D4644" s="1" t="s">
        <v>323</v>
      </c>
      <c r="E4644" s="1" t="s">
        <v>22</v>
      </c>
      <c r="F4644">
        <v>14</v>
      </c>
      <c r="G4644" s="1" t="s">
        <v>29</v>
      </c>
      <c r="H4644">
        <v>14098</v>
      </c>
      <c r="I4644">
        <v>65000</v>
      </c>
      <c r="J4644">
        <v>65000</v>
      </c>
      <c r="K4644">
        <v>195000</v>
      </c>
      <c r="L4644">
        <v>3000</v>
      </c>
    </row>
    <row r="4645" spans="1:12" hidden="1" x14ac:dyDescent="0.25">
      <c r="A4645">
        <v>4644</v>
      </c>
      <c r="B4645" s="1" t="s">
        <v>12</v>
      </c>
      <c r="C4645">
        <v>2010</v>
      </c>
      <c r="D4645" s="1" t="s">
        <v>323</v>
      </c>
      <c r="E4645" s="1" t="s">
        <v>22</v>
      </c>
      <c r="F4645">
        <v>14</v>
      </c>
      <c r="G4645" s="1" t="s">
        <v>24</v>
      </c>
      <c r="H4645">
        <v>14119</v>
      </c>
      <c r="I4645">
        <v>9200</v>
      </c>
      <c r="J4645">
        <v>9200</v>
      </c>
      <c r="K4645">
        <v>21140</v>
      </c>
      <c r="L4645">
        <v>2298</v>
      </c>
    </row>
    <row r="4646" spans="1:12" hidden="1" x14ac:dyDescent="0.25">
      <c r="A4646">
        <v>4645</v>
      </c>
      <c r="B4646" s="1" t="s">
        <v>12</v>
      </c>
      <c r="C4646">
        <v>2010</v>
      </c>
      <c r="D4646" s="1" t="s">
        <v>323</v>
      </c>
      <c r="E4646" s="1" t="s">
        <v>22</v>
      </c>
      <c r="F4646">
        <v>14</v>
      </c>
      <c r="G4646" s="1" t="s">
        <v>23</v>
      </c>
      <c r="H4646">
        <v>14147</v>
      </c>
      <c r="I4646">
        <v>700</v>
      </c>
      <c r="J4646">
        <v>700</v>
      </c>
      <c r="K4646">
        <v>1470</v>
      </c>
      <c r="L4646">
        <v>2100</v>
      </c>
    </row>
    <row r="4647" spans="1:12" hidden="1" x14ac:dyDescent="0.25">
      <c r="A4647">
        <v>4646</v>
      </c>
      <c r="B4647" s="1" t="s">
        <v>12</v>
      </c>
      <c r="C4647">
        <v>2010</v>
      </c>
      <c r="D4647" s="1" t="s">
        <v>323</v>
      </c>
      <c r="E4647" s="1" t="s">
        <v>22</v>
      </c>
      <c r="F4647">
        <v>14</v>
      </c>
      <c r="G4647" s="1" t="s">
        <v>26</v>
      </c>
      <c r="H4647">
        <v>14161</v>
      </c>
      <c r="I4647">
        <v>10300</v>
      </c>
      <c r="J4647">
        <v>10300</v>
      </c>
      <c r="K4647">
        <v>23660</v>
      </c>
      <c r="L4647">
        <v>2297</v>
      </c>
    </row>
    <row r="4648" spans="1:12" hidden="1" x14ac:dyDescent="0.25">
      <c r="A4648">
        <v>4647</v>
      </c>
      <c r="B4648" s="1" t="s">
        <v>12</v>
      </c>
      <c r="C4648">
        <v>2010</v>
      </c>
      <c r="D4648" s="1" t="s">
        <v>323</v>
      </c>
      <c r="E4648" s="1" t="s">
        <v>22</v>
      </c>
      <c r="F4648">
        <v>14</v>
      </c>
      <c r="G4648" s="1" t="s">
        <v>122</v>
      </c>
      <c r="H4648">
        <v>14182</v>
      </c>
      <c r="I4648">
        <v>100</v>
      </c>
      <c r="J4648">
        <v>100</v>
      </c>
      <c r="K4648">
        <v>240</v>
      </c>
      <c r="L4648">
        <v>2400</v>
      </c>
    </row>
    <row r="4649" spans="1:12" x14ac:dyDescent="0.25">
      <c r="A4649">
        <v>4648</v>
      </c>
      <c r="B4649" s="1" t="s">
        <v>12</v>
      </c>
      <c r="C4649">
        <v>2010</v>
      </c>
      <c r="D4649" s="1" t="s">
        <v>323</v>
      </c>
      <c r="E4649" s="1" t="s">
        <v>53</v>
      </c>
      <c r="F4649">
        <v>38</v>
      </c>
      <c r="G4649" s="1" t="s">
        <v>56</v>
      </c>
      <c r="H4649">
        <v>38063</v>
      </c>
      <c r="I4649">
        <v>196</v>
      </c>
      <c r="J4649">
        <v>196</v>
      </c>
      <c r="K4649">
        <v>235</v>
      </c>
      <c r="L4649">
        <v>1199</v>
      </c>
    </row>
    <row r="4650" spans="1:12" hidden="1" x14ac:dyDescent="0.25">
      <c r="A4650">
        <v>4649</v>
      </c>
      <c r="B4650" s="1" t="s">
        <v>12</v>
      </c>
      <c r="C4650">
        <v>2010</v>
      </c>
      <c r="D4650" s="1" t="s">
        <v>323</v>
      </c>
      <c r="E4650" s="1" t="s">
        <v>53</v>
      </c>
      <c r="F4650">
        <v>38</v>
      </c>
      <c r="G4650" s="1" t="s">
        <v>270</v>
      </c>
      <c r="H4650">
        <v>38070</v>
      </c>
      <c r="I4650">
        <v>392</v>
      </c>
      <c r="J4650">
        <v>392</v>
      </c>
      <c r="K4650">
        <v>431</v>
      </c>
      <c r="L4650">
        <v>1099</v>
      </c>
    </row>
    <row r="4651" spans="1:12" hidden="1" x14ac:dyDescent="0.25">
      <c r="A4651">
        <v>4650</v>
      </c>
      <c r="B4651" s="1" t="s">
        <v>12</v>
      </c>
      <c r="C4651">
        <v>2010</v>
      </c>
      <c r="D4651" s="1" t="s">
        <v>323</v>
      </c>
      <c r="E4651" s="1" t="s">
        <v>176</v>
      </c>
      <c r="F4651">
        <v>42</v>
      </c>
      <c r="G4651" s="1" t="s">
        <v>314</v>
      </c>
      <c r="H4651">
        <v>42056</v>
      </c>
      <c r="I4651">
        <v>14300</v>
      </c>
      <c r="J4651">
        <v>14300</v>
      </c>
      <c r="K4651">
        <v>35750</v>
      </c>
      <c r="L4651">
        <v>2500</v>
      </c>
    </row>
    <row r="4652" spans="1:12" hidden="1" x14ac:dyDescent="0.25">
      <c r="A4652">
        <v>4651</v>
      </c>
      <c r="B4652" s="1" t="s">
        <v>12</v>
      </c>
      <c r="C4652">
        <v>2010</v>
      </c>
      <c r="D4652" s="1" t="s">
        <v>323</v>
      </c>
      <c r="E4652" s="1" t="s">
        <v>176</v>
      </c>
      <c r="F4652">
        <v>42</v>
      </c>
      <c r="G4652" s="1" t="s">
        <v>324</v>
      </c>
      <c r="H4652">
        <v>42035</v>
      </c>
      <c r="I4652">
        <v>500</v>
      </c>
      <c r="J4652">
        <v>500</v>
      </c>
      <c r="K4652">
        <v>750</v>
      </c>
      <c r="L4652">
        <v>1500</v>
      </c>
    </row>
    <row r="4653" spans="1:12" hidden="1" x14ac:dyDescent="0.25">
      <c r="A4653">
        <v>4652</v>
      </c>
      <c r="B4653" s="1" t="s">
        <v>12</v>
      </c>
      <c r="C4653">
        <v>2010</v>
      </c>
      <c r="D4653" s="1" t="s">
        <v>323</v>
      </c>
      <c r="E4653" s="1" t="s">
        <v>176</v>
      </c>
      <c r="F4653">
        <v>42</v>
      </c>
      <c r="G4653" s="1" t="s">
        <v>322</v>
      </c>
      <c r="H4653">
        <v>42105</v>
      </c>
      <c r="I4653">
        <v>8500</v>
      </c>
      <c r="J4653">
        <v>8500</v>
      </c>
      <c r="K4653">
        <v>17000</v>
      </c>
      <c r="L4653">
        <v>2000</v>
      </c>
    </row>
    <row r="4654" spans="1:12" hidden="1" x14ac:dyDescent="0.25">
      <c r="A4654">
        <v>4653</v>
      </c>
      <c r="B4654" s="1" t="s">
        <v>12</v>
      </c>
      <c r="C4654">
        <v>2010</v>
      </c>
      <c r="D4654" s="1" t="s">
        <v>323</v>
      </c>
      <c r="E4654" s="1" t="s">
        <v>176</v>
      </c>
      <c r="F4654">
        <v>42</v>
      </c>
      <c r="G4654" s="1" t="s">
        <v>177</v>
      </c>
      <c r="H4654">
        <v>42119</v>
      </c>
      <c r="I4654">
        <v>1000</v>
      </c>
      <c r="J4654">
        <v>1000</v>
      </c>
      <c r="K4654">
        <v>1500</v>
      </c>
      <c r="L4654">
        <v>1500</v>
      </c>
    </row>
    <row r="4655" spans="1:12" hidden="1" x14ac:dyDescent="0.25">
      <c r="A4655">
        <v>4654</v>
      </c>
      <c r="B4655" s="1" t="s">
        <v>12</v>
      </c>
      <c r="C4655">
        <v>2010</v>
      </c>
      <c r="D4655" s="1" t="s">
        <v>323</v>
      </c>
      <c r="E4655" s="1" t="s">
        <v>176</v>
      </c>
      <c r="F4655">
        <v>42</v>
      </c>
      <c r="G4655" s="1" t="s">
        <v>315</v>
      </c>
      <c r="H4655">
        <v>42126</v>
      </c>
      <c r="I4655">
        <v>5300</v>
      </c>
      <c r="J4655">
        <v>5300</v>
      </c>
      <c r="K4655">
        <v>9540</v>
      </c>
      <c r="L4655">
        <v>1800</v>
      </c>
    </row>
    <row r="4656" spans="1:12" hidden="1" x14ac:dyDescent="0.25">
      <c r="A4656">
        <v>4655</v>
      </c>
      <c r="B4656" s="1" t="s">
        <v>12</v>
      </c>
      <c r="C4656">
        <v>2010</v>
      </c>
      <c r="D4656" s="1" t="s">
        <v>323</v>
      </c>
      <c r="E4656" s="1" t="s">
        <v>176</v>
      </c>
      <c r="F4656">
        <v>42</v>
      </c>
      <c r="G4656" s="1" t="s">
        <v>316</v>
      </c>
      <c r="H4656">
        <v>42133</v>
      </c>
      <c r="I4656">
        <v>14300</v>
      </c>
      <c r="J4656">
        <v>14300</v>
      </c>
      <c r="K4656">
        <v>28600</v>
      </c>
      <c r="L4656">
        <v>2000</v>
      </c>
    </row>
    <row r="4657" spans="1:12" hidden="1" x14ac:dyDescent="0.25">
      <c r="A4657">
        <v>4656</v>
      </c>
      <c r="B4657" s="1" t="s">
        <v>12</v>
      </c>
      <c r="C4657">
        <v>2010</v>
      </c>
      <c r="D4657" s="1" t="s">
        <v>323</v>
      </c>
      <c r="E4657" s="1" t="s">
        <v>176</v>
      </c>
      <c r="F4657">
        <v>42</v>
      </c>
      <c r="G4657" s="1" t="s">
        <v>320</v>
      </c>
      <c r="H4657">
        <v>42147</v>
      </c>
      <c r="I4657">
        <v>500</v>
      </c>
      <c r="J4657">
        <v>500</v>
      </c>
      <c r="K4657">
        <v>900</v>
      </c>
      <c r="L4657">
        <v>1800</v>
      </c>
    </row>
    <row r="4658" spans="1:12" hidden="1" x14ac:dyDescent="0.25">
      <c r="A4658">
        <v>4657</v>
      </c>
      <c r="B4658" s="1" t="s">
        <v>12</v>
      </c>
      <c r="C4658">
        <v>2010</v>
      </c>
      <c r="D4658" s="1" t="s">
        <v>323</v>
      </c>
      <c r="E4658" s="1" t="s">
        <v>87</v>
      </c>
      <c r="F4658">
        <v>66</v>
      </c>
      <c r="G4658" s="1" t="s">
        <v>153</v>
      </c>
      <c r="H4658">
        <v>66007</v>
      </c>
      <c r="I4658">
        <v>600</v>
      </c>
      <c r="J4658">
        <v>600</v>
      </c>
      <c r="K4658">
        <v>660</v>
      </c>
      <c r="L4658">
        <v>1100</v>
      </c>
    </row>
    <row r="4659" spans="1:12" hidden="1" x14ac:dyDescent="0.25">
      <c r="A4659">
        <v>4658</v>
      </c>
      <c r="B4659" s="1" t="s">
        <v>12</v>
      </c>
      <c r="C4659">
        <v>2010</v>
      </c>
      <c r="D4659" s="1" t="s">
        <v>323</v>
      </c>
      <c r="E4659" s="1" t="s">
        <v>87</v>
      </c>
      <c r="F4659">
        <v>66</v>
      </c>
      <c r="G4659" s="1" t="s">
        <v>230</v>
      </c>
      <c r="H4659">
        <v>66056</v>
      </c>
      <c r="I4659">
        <v>5100</v>
      </c>
      <c r="J4659">
        <v>5100</v>
      </c>
      <c r="K4659">
        <v>6120</v>
      </c>
      <c r="L4659">
        <v>1200</v>
      </c>
    </row>
    <row r="4660" spans="1:12" hidden="1" x14ac:dyDescent="0.25">
      <c r="A4660">
        <v>4659</v>
      </c>
      <c r="B4660" s="1" t="s">
        <v>12</v>
      </c>
      <c r="C4660">
        <v>2010</v>
      </c>
      <c r="D4660" s="1" t="s">
        <v>323</v>
      </c>
      <c r="E4660" s="1" t="s">
        <v>87</v>
      </c>
      <c r="F4660">
        <v>66</v>
      </c>
      <c r="G4660" s="1" t="s">
        <v>179</v>
      </c>
      <c r="H4660">
        <v>66126</v>
      </c>
      <c r="I4660">
        <v>950</v>
      </c>
      <c r="J4660">
        <v>950</v>
      </c>
      <c r="K4660">
        <v>1140</v>
      </c>
      <c r="L4660">
        <v>1200</v>
      </c>
    </row>
    <row r="4661" spans="1:12" hidden="1" x14ac:dyDescent="0.25">
      <c r="A4661">
        <v>4660</v>
      </c>
      <c r="B4661" s="1" t="s">
        <v>12</v>
      </c>
      <c r="C4661">
        <v>2010</v>
      </c>
      <c r="D4661" s="1" t="s">
        <v>323</v>
      </c>
      <c r="E4661" s="1" t="s">
        <v>116</v>
      </c>
      <c r="F4661">
        <v>74</v>
      </c>
      <c r="G4661" s="1" t="s">
        <v>195</v>
      </c>
      <c r="H4661">
        <v>74007</v>
      </c>
      <c r="I4661">
        <v>200</v>
      </c>
      <c r="J4661">
        <v>200</v>
      </c>
      <c r="K4661">
        <v>840</v>
      </c>
      <c r="L4661">
        <v>4200</v>
      </c>
    </row>
    <row r="4662" spans="1:12" hidden="1" x14ac:dyDescent="0.25">
      <c r="A4662">
        <v>4661</v>
      </c>
      <c r="B4662" s="1" t="s">
        <v>12</v>
      </c>
      <c r="C4662">
        <v>2010</v>
      </c>
      <c r="D4662" s="1" t="s">
        <v>323</v>
      </c>
      <c r="E4662" s="1" t="s">
        <v>116</v>
      </c>
      <c r="F4662">
        <v>74</v>
      </c>
      <c r="G4662" s="1" t="s">
        <v>126</v>
      </c>
      <c r="H4662">
        <v>74035</v>
      </c>
      <c r="I4662">
        <v>5500</v>
      </c>
      <c r="J4662">
        <v>5500</v>
      </c>
      <c r="K4662">
        <v>20900</v>
      </c>
      <c r="L4662">
        <v>3800</v>
      </c>
    </row>
    <row r="4663" spans="1:12" hidden="1" x14ac:dyDescent="0.25">
      <c r="A4663">
        <v>4662</v>
      </c>
      <c r="B4663" s="1" t="s">
        <v>12</v>
      </c>
      <c r="C4663">
        <v>2010</v>
      </c>
      <c r="D4663" s="1" t="s">
        <v>323</v>
      </c>
      <c r="E4663" s="1" t="s">
        <v>64</v>
      </c>
      <c r="F4663">
        <v>82</v>
      </c>
      <c r="G4663" s="1" t="s">
        <v>66</v>
      </c>
      <c r="H4663">
        <v>82035</v>
      </c>
      <c r="I4663">
        <v>130</v>
      </c>
      <c r="J4663">
        <v>130</v>
      </c>
      <c r="K4663">
        <v>299</v>
      </c>
      <c r="L4663">
        <v>2300</v>
      </c>
    </row>
    <row r="4664" spans="1:12" hidden="1" x14ac:dyDescent="0.25">
      <c r="A4664">
        <v>4663</v>
      </c>
      <c r="B4664" s="1" t="s">
        <v>12</v>
      </c>
      <c r="C4664">
        <v>2011</v>
      </c>
      <c r="D4664" s="1" t="s">
        <v>325</v>
      </c>
      <c r="E4664" s="1" t="s">
        <v>22</v>
      </c>
      <c r="F4664">
        <v>14</v>
      </c>
      <c r="G4664" s="1" t="s">
        <v>129</v>
      </c>
      <c r="H4664">
        <v>14035</v>
      </c>
      <c r="I4664">
        <v>115000</v>
      </c>
      <c r="J4664">
        <v>115000</v>
      </c>
      <c r="K4664">
        <v>276000</v>
      </c>
      <c r="L4664">
        <v>2400</v>
      </c>
    </row>
    <row r="4665" spans="1:12" hidden="1" x14ac:dyDescent="0.25">
      <c r="A4665">
        <v>4664</v>
      </c>
      <c r="B4665" s="1" t="s">
        <v>12</v>
      </c>
      <c r="C4665">
        <v>2011</v>
      </c>
      <c r="D4665" s="1" t="s">
        <v>325</v>
      </c>
      <c r="E4665" s="1" t="s">
        <v>22</v>
      </c>
      <c r="F4665">
        <v>14</v>
      </c>
      <c r="G4665" s="1" t="s">
        <v>184</v>
      </c>
      <c r="H4665">
        <v>14042</v>
      </c>
      <c r="I4665">
        <v>16800</v>
      </c>
      <c r="J4665">
        <v>16800</v>
      </c>
      <c r="K4665">
        <v>33570</v>
      </c>
      <c r="L4665">
        <v>1998</v>
      </c>
    </row>
    <row r="4666" spans="1:12" hidden="1" x14ac:dyDescent="0.25">
      <c r="A4666">
        <v>4665</v>
      </c>
      <c r="B4666" s="1" t="s">
        <v>12</v>
      </c>
      <c r="C4666">
        <v>2011</v>
      </c>
      <c r="D4666" s="1" t="s">
        <v>325</v>
      </c>
      <c r="E4666" s="1" t="s">
        <v>22</v>
      </c>
      <c r="F4666">
        <v>14</v>
      </c>
      <c r="G4666" s="1" t="s">
        <v>143</v>
      </c>
      <c r="H4666">
        <v>14056</v>
      </c>
      <c r="I4666">
        <v>25500</v>
      </c>
      <c r="J4666">
        <v>25500</v>
      </c>
      <c r="K4666">
        <v>56100</v>
      </c>
      <c r="L4666">
        <v>2200</v>
      </c>
    </row>
    <row r="4667" spans="1:12" hidden="1" x14ac:dyDescent="0.25">
      <c r="A4667">
        <v>4666</v>
      </c>
      <c r="B4667" s="1" t="s">
        <v>12</v>
      </c>
      <c r="C4667">
        <v>2011</v>
      </c>
      <c r="D4667" s="1" t="s">
        <v>325</v>
      </c>
      <c r="E4667" s="1" t="s">
        <v>22</v>
      </c>
      <c r="F4667">
        <v>14</v>
      </c>
      <c r="G4667" s="1" t="s">
        <v>206</v>
      </c>
      <c r="H4667">
        <v>14084</v>
      </c>
      <c r="I4667">
        <v>30000</v>
      </c>
      <c r="J4667">
        <v>30000</v>
      </c>
      <c r="K4667">
        <v>69000</v>
      </c>
      <c r="L4667">
        <v>2300</v>
      </c>
    </row>
    <row r="4668" spans="1:12" hidden="1" x14ac:dyDescent="0.25">
      <c r="A4668">
        <v>4667</v>
      </c>
      <c r="B4668" s="1" t="s">
        <v>12</v>
      </c>
      <c r="C4668">
        <v>2011</v>
      </c>
      <c r="D4668" s="1" t="s">
        <v>325</v>
      </c>
      <c r="E4668" s="1" t="s">
        <v>22</v>
      </c>
      <c r="F4668">
        <v>14</v>
      </c>
      <c r="G4668" s="1" t="s">
        <v>29</v>
      </c>
      <c r="H4668">
        <v>14098</v>
      </c>
      <c r="I4668">
        <v>66000</v>
      </c>
      <c r="J4668">
        <v>66000</v>
      </c>
      <c r="K4668">
        <v>138600</v>
      </c>
      <c r="L4668">
        <v>2100</v>
      </c>
    </row>
    <row r="4669" spans="1:12" hidden="1" x14ac:dyDescent="0.25">
      <c r="A4669">
        <v>4668</v>
      </c>
      <c r="B4669" s="1" t="s">
        <v>12</v>
      </c>
      <c r="C4669">
        <v>2011</v>
      </c>
      <c r="D4669" s="1" t="s">
        <v>325</v>
      </c>
      <c r="E4669" s="1" t="s">
        <v>22</v>
      </c>
      <c r="F4669">
        <v>14</v>
      </c>
      <c r="G4669" s="1" t="s">
        <v>24</v>
      </c>
      <c r="H4669">
        <v>14119</v>
      </c>
      <c r="I4669">
        <v>9200</v>
      </c>
      <c r="J4669">
        <v>9200</v>
      </c>
      <c r="K4669">
        <v>19300</v>
      </c>
      <c r="L4669">
        <v>2098</v>
      </c>
    </row>
    <row r="4670" spans="1:12" hidden="1" x14ac:dyDescent="0.25">
      <c r="A4670">
        <v>4669</v>
      </c>
      <c r="B4670" s="1" t="s">
        <v>12</v>
      </c>
      <c r="C4670">
        <v>2011</v>
      </c>
      <c r="D4670" s="1" t="s">
        <v>325</v>
      </c>
      <c r="E4670" s="1" t="s">
        <v>22</v>
      </c>
      <c r="F4670">
        <v>14</v>
      </c>
      <c r="G4670" s="1" t="s">
        <v>62</v>
      </c>
      <c r="H4670">
        <v>14133</v>
      </c>
      <c r="I4670">
        <v>1500</v>
      </c>
      <c r="J4670">
        <v>1500</v>
      </c>
      <c r="K4670">
        <v>4500</v>
      </c>
      <c r="L4670">
        <v>3000</v>
      </c>
    </row>
    <row r="4671" spans="1:12" hidden="1" x14ac:dyDescent="0.25">
      <c r="A4671">
        <v>4670</v>
      </c>
      <c r="B4671" s="1" t="s">
        <v>12</v>
      </c>
      <c r="C4671">
        <v>2011</v>
      </c>
      <c r="D4671" s="1" t="s">
        <v>325</v>
      </c>
      <c r="E4671" s="1" t="s">
        <v>22</v>
      </c>
      <c r="F4671">
        <v>14</v>
      </c>
      <c r="G4671" s="1" t="s">
        <v>23</v>
      </c>
      <c r="H4671">
        <v>14147</v>
      </c>
      <c r="I4671">
        <v>700</v>
      </c>
      <c r="J4671">
        <v>700</v>
      </c>
      <c r="K4671">
        <v>1470</v>
      </c>
      <c r="L4671">
        <v>2100</v>
      </c>
    </row>
    <row r="4672" spans="1:12" hidden="1" x14ac:dyDescent="0.25">
      <c r="A4672">
        <v>4671</v>
      </c>
      <c r="B4672" s="1" t="s">
        <v>12</v>
      </c>
      <c r="C4672">
        <v>2011</v>
      </c>
      <c r="D4672" s="1" t="s">
        <v>325</v>
      </c>
      <c r="E4672" s="1" t="s">
        <v>22</v>
      </c>
      <c r="F4672">
        <v>14</v>
      </c>
      <c r="G4672" s="1" t="s">
        <v>26</v>
      </c>
      <c r="H4672">
        <v>14161</v>
      </c>
      <c r="I4672">
        <v>13300</v>
      </c>
      <c r="J4672">
        <v>13300</v>
      </c>
      <c r="K4672">
        <v>27930</v>
      </c>
      <c r="L4672">
        <v>2100</v>
      </c>
    </row>
    <row r="4673" spans="1:12" x14ac:dyDescent="0.25">
      <c r="A4673">
        <v>4672</v>
      </c>
      <c r="B4673" s="1" t="s">
        <v>12</v>
      </c>
      <c r="C4673">
        <v>2011</v>
      </c>
      <c r="D4673" s="1" t="s">
        <v>325</v>
      </c>
      <c r="E4673" s="1" t="s">
        <v>53</v>
      </c>
      <c r="F4673">
        <v>38</v>
      </c>
      <c r="G4673" s="1" t="s">
        <v>56</v>
      </c>
      <c r="H4673">
        <v>38063</v>
      </c>
      <c r="I4673">
        <v>196</v>
      </c>
      <c r="J4673">
        <v>196</v>
      </c>
      <c r="K4673">
        <v>235</v>
      </c>
      <c r="L4673">
        <v>1199</v>
      </c>
    </row>
    <row r="4674" spans="1:12" hidden="1" x14ac:dyDescent="0.25">
      <c r="A4674">
        <v>4673</v>
      </c>
      <c r="B4674" s="1" t="s">
        <v>12</v>
      </c>
      <c r="C4674">
        <v>2011</v>
      </c>
      <c r="D4674" s="1" t="s">
        <v>325</v>
      </c>
      <c r="E4674" s="1" t="s">
        <v>53</v>
      </c>
      <c r="F4674">
        <v>38</v>
      </c>
      <c r="G4674" s="1" t="s">
        <v>270</v>
      </c>
      <c r="H4674">
        <v>38070</v>
      </c>
      <c r="I4674">
        <v>392</v>
      </c>
      <c r="J4674">
        <v>392</v>
      </c>
      <c r="K4674">
        <v>510</v>
      </c>
      <c r="L4674">
        <v>1301</v>
      </c>
    </row>
    <row r="4675" spans="1:12" hidden="1" x14ac:dyDescent="0.25">
      <c r="A4675">
        <v>4674</v>
      </c>
      <c r="B4675" s="1" t="s">
        <v>12</v>
      </c>
      <c r="C4675">
        <v>2011</v>
      </c>
      <c r="D4675" s="1" t="s">
        <v>325</v>
      </c>
      <c r="E4675" s="1" t="s">
        <v>176</v>
      </c>
      <c r="F4675">
        <v>42</v>
      </c>
      <c r="G4675" s="1" t="s">
        <v>314</v>
      </c>
      <c r="H4675">
        <v>42056</v>
      </c>
      <c r="I4675">
        <v>2000</v>
      </c>
      <c r="J4675">
        <v>2000</v>
      </c>
      <c r="K4675">
        <v>7000</v>
      </c>
      <c r="L4675">
        <v>3500</v>
      </c>
    </row>
    <row r="4676" spans="1:12" hidden="1" x14ac:dyDescent="0.25">
      <c r="A4676">
        <v>4675</v>
      </c>
      <c r="B4676" s="1" t="s">
        <v>12</v>
      </c>
      <c r="C4676">
        <v>2011</v>
      </c>
      <c r="D4676" s="1" t="s">
        <v>325</v>
      </c>
      <c r="E4676" s="1" t="s">
        <v>176</v>
      </c>
      <c r="F4676">
        <v>42</v>
      </c>
      <c r="G4676" s="1" t="s">
        <v>324</v>
      </c>
      <c r="H4676">
        <v>42035</v>
      </c>
      <c r="I4676">
        <v>1100</v>
      </c>
      <c r="J4676">
        <v>1100</v>
      </c>
      <c r="K4676">
        <v>3300</v>
      </c>
      <c r="L4676">
        <v>3000</v>
      </c>
    </row>
    <row r="4677" spans="1:12" hidden="1" x14ac:dyDescent="0.25">
      <c r="A4677">
        <v>4676</v>
      </c>
      <c r="B4677" s="1" t="s">
        <v>12</v>
      </c>
      <c r="C4677">
        <v>2011</v>
      </c>
      <c r="D4677" s="1" t="s">
        <v>325</v>
      </c>
      <c r="E4677" s="1" t="s">
        <v>176</v>
      </c>
      <c r="F4677">
        <v>42</v>
      </c>
      <c r="G4677" s="1" t="s">
        <v>322</v>
      </c>
      <c r="H4677">
        <v>42105</v>
      </c>
      <c r="I4677">
        <v>1200</v>
      </c>
      <c r="J4677">
        <v>1200</v>
      </c>
      <c r="K4677">
        <v>4200</v>
      </c>
      <c r="L4677">
        <v>3500</v>
      </c>
    </row>
    <row r="4678" spans="1:12" hidden="1" x14ac:dyDescent="0.25">
      <c r="A4678">
        <v>4677</v>
      </c>
      <c r="B4678" s="1" t="s">
        <v>12</v>
      </c>
      <c r="C4678">
        <v>2011</v>
      </c>
      <c r="D4678" s="1" t="s">
        <v>325</v>
      </c>
      <c r="E4678" s="1" t="s">
        <v>176</v>
      </c>
      <c r="F4678">
        <v>42</v>
      </c>
      <c r="G4678" s="1" t="s">
        <v>315</v>
      </c>
      <c r="H4678">
        <v>42126</v>
      </c>
      <c r="I4678">
        <v>1600</v>
      </c>
      <c r="J4678">
        <v>1600</v>
      </c>
      <c r="K4678">
        <v>4800</v>
      </c>
      <c r="L4678">
        <v>3000</v>
      </c>
    </row>
    <row r="4679" spans="1:12" hidden="1" x14ac:dyDescent="0.25">
      <c r="A4679">
        <v>4678</v>
      </c>
      <c r="B4679" s="1" t="s">
        <v>12</v>
      </c>
      <c r="C4679">
        <v>2011</v>
      </c>
      <c r="D4679" s="1" t="s">
        <v>325</v>
      </c>
      <c r="E4679" s="1" t="s">
        <v>176</v>
      </c>
      <c r="F4679">
        <v>42</v>
      </c>
      <c r="G4679" s="1" t="s">
        <v>316</v>
      </c>
      <c r="H4679">
        <v>42133</v>
      </c>
      <c r="I4679">
        <v>2400</v>
      </c>
      <c r="J4679">
        <v>2400</v>
      </c>
      <c r="K4679">
        <v>9600</v>
      </c>
      <c r="L4679">
        <v>4000</v>
      </c>
    </row>
    <row r="4680" spans="1:12" hidden="1" x14ac:dyDescent="0.25">
      <c r="A4680">
        <v>4679</v>
      </c>
      <c r="B4680" s="1" t="s">
        <v>12</v>
      </c>
      <c r="C4680">
        <v>2011</v>
      </c>
      <c r="D4680" s="1" t="s">
        <v>325</v>
      </c>
      <c r="E4680" s="1" t="s">
        <v>176</v>
      </c>
      <c r="F4680">
        <v>42</v>
      </c>
      <c r="G4680" s="1" t="s">
        <v>320</v>
      </c>
      <c r="H4680">
        <v>42147</v>
      </c>
      <c r="I4680">
        <v>500</v>
      </c>
      <c r="J4680">
        <v>500</v>
      </c>
      <c r="K4680">
        <v>1500</v>
      </c>
      <c r="L4680">
        <v>3000</v>
      </c>
    </row>
    <row r="4681" spans="1:12" hidden="1" x14ac:dyDescent="0.25">
      <c r="A4681">
        <v>4680</v>
      </c>
      <c r="B4681" s="1" t="s">
        <v>12</v>
      </c>
      <c r="C4681">
        <v>2011</v>
      </c>
      <c r="D4681" s="1" t="s">
        <v>325</v>
      </c>
      <c r="E4681" s="1" t="s">
        <v>87</v>
      </c>
      <c r="F4681">
        <v>66</v>
      </c>
      <c r="G4681" s="1" t="s">
        <v>153</v>
      </c>
      <c r="H4681">
        <v>66007</v>
      </c>
      <c r="I4681">
        <v>600</v>
      </c>
      <c r="J4681">
        <v>528</v>
      </c>
      <c r="K4681">
        <v>317</v>
      </c>
      <c r="L4681">
        <v>600</v>
      </c>
    </row>
    <row r="4682" spans="1:12" hidden="1" x14ac:dyDescent="0.25">
      <c r="A4682">
        <v>4681</v>
      </c>
      <c r="B4682" s="1" t="s">
        <v>12</v>
      </c>
      <c r="C4682">
        <v>2011</v>
      </c>
      <c r="D4682" s="1" t="s">
        <v>325</v>
      </c>
      <c r="E4682" s="1" t="s">
        <v>87</v>
      </c>
      <c r="F4682">
        <v>66</v>
      </c>
      <c r="G4682" s="1" t="s">
        <v>230</v>
      </c>
      <c r="H4682">
        <v>66056</v>
      </c>
      <c r="I4682">
        <v>5100</v>
      </c>
      <c r="J4682">
        <v>5100</v>
      </c>
      <c r="K4682">
        <v>4080</v>
      </c>
      <c r="L4682">
        <v>800</v>
      </c>
    </row>
    <row r="4683" spans="1:12" hidden="1" x14ac:dyDescent="0.25">
      <c r="A4683">
        <v>4682</v>
      </c>
      <c r="B4683" s="1" t="s">
        <v>12</v>
      </c>
      <c r="C4683">
        <v>2011</v>
      </c>
      <c r="D4683" s="1" t="s">
        <v>325</v>
      </c>
      <c r="E4683" s="1" t="s">
        <v>87</v>
      </c>
      <c r="F4683">
        <v>66</v>
      </c>
      <c r="G4683" s="1" t="s">
        <v>179</v>
      </c>
      <c r="H4683">
        <v>66126</v>
      </c>
      <c r="I4683">
        <v>950</v>
      </c>
      <c r="J4683">
        <v>950</v>
      </c>
      <c r="K4683">
        <v>760</v>
      </c>
      <c r="L4683">
        <v>800</v>
      </c>
    </row>
    <row r="4684" spans="1:12" hidden="1" x14ac:dyDescent="0.25">
      <c r="A4684">
        <v>4683</v>
      </c>
      <c r="B4684" s="1" t="s">
        <v>12</v>
      </c>
      <c r="C4684">
        <v>2011</v>
      </c>
      <c r="D4684" s="1" t="s">
        <v>325</v>
      </c>
      <c r="E4684" s="1" t="s">
        <v>116</v>
      </c>
      <c r="F4684">
        <v>74</v>
      </c>
      <c r="G4684" s="1" t="s">
        <v>195</v>
      </c>
      <c r="H4684">
        <v>74007</v>
      </c>
      <c r="I4684">
        <v>2200</v>
      </c>
      <c r="J4684">
        <v>2200</v>
      </c>
      <c r="K4684">
        <v>6600</v>
      </c>
      <c r="L4684">
        <v>3000</v>
      </c>
    </row>
    <row r="4685" spans="1:12" hidden="1" x14ac:dyDescent="0.25">
      <c r="A4685">
        <v>4684</v>
      </c>
      <c r="B4685" s="1" t="s">
        <v>12</v>
      </c>
      <c r="C4685">
        <v>2011</v>
      </c>
      <c r="D4685" s="1" t="s">
        <v>325</v>
      </c>
      <c r="E4685" s="1" t="s">
        <v>116</v>
      </c>
      <c r="F4685">
        <v>74</v>
      </c>
      <c r="G4685" s="1" t="s">
        <v>126</v>
      </c>
      <c r="H4685">
        <v>74035</v>
      </c>
      <c r="I4685">
        <v>9000</v>
      </c>
      <c r="J4685">
        <v>9000</v>
      </c>
      <c r="K4685">
        <v>13500</v>
      </c>
      <c r="L4685">
        <v>1500</v>
      </c>
    </row>
    <row r="4686" spans="1:12" hidden="1" x14ac:dyDescent="0.25">
      <c r="A4686">
        <v>4685</v>
      </c>
      <c r="B4686" s="1" t="s">
        <v>12</v>
      </c>
      <c r="C4686">
        <v>2011</v>
      </c>
      <c r="D4686" s="1" t="s">
        <v>325</v>
      </c>
      <c r="E4686" s="1" t="s">
        <v>116</v>
      </c>
      <c r="F4686">
        <v>74</v>
      </c>
      <c r="G4686" s="1" t="s">
        <v>326</v>
      </c>
      <c r="H4686">
        <v>74042</v>
      </c>
      <c r="I4686">
        <v>900</v>
      </c>
      <c r="J4686">
        <v>900</v>
      </c>
      <c r="K4686">
        <v>1080</v>
      </c>
      <c r="L4686">
        <v>1200</v>
      </c>
    </row>
    <row r="4687" spans="1:12" hidden="1" x14ac:dyDescent="0.25">
      <c r="A4687">
        <v>4686</v>
      </c>
      <c r="B4687" s="1" t="s">
        <v>12</v>
      </c>
      <c r="C4687">
        <v>2011</v>
      </c>
      <c r="D4687" s="1" t="s">
        <v>325</v>
      </c>
      <c r="E4687" s="1" t="s">
        <v>116</v>
      </c>
      <c r="F4687">
        <v>74</v>
      </c>
      <c r="G4687" s="1" t="s">
        <v>327</v>
      </c>
      <c r="H4687">
        <v>74056</v>
      </c>
      <c r="I4687">
        <v>900</v>
      </c>
      <c r="J4687">
        <v>900</v>
      </c>
      <c r="K4687">
        <v>1170</v>
      </c>
      <c r="L4687">
        <v>1300</v>
      </c>
    </row>
    <row r="4688" spans="1:12" hidden="1" x14ac:dyDescent="0.25">
      <c r="A4688">
        <v>4687</v>
      </c>
      <c r="B4688" s="1" t="s">
        <v>12</v>
      </c>
      <c r="C4688">
        <v>2011</v>
      </c>
      <c r="D4688" s="1" t="s">
        <v>325</v>
      </c>
      <c r="E4688" s="1" t="s">
        <v>64</v>
      </c>
      <c r="F4688">
        <v>82</v>
      </c>
      <c r="G4688" s="1" t="s">
        <v>66</v>
      </c>
      <c r="H4688">
        <v>82035</v>
      </c>
      <c r="I4688">
        <v>200</v>
      </c>
      <c r="J4688">
        <v>200</v>
      </c>
      <c r="K4688">
        <v>600</v>
      </c>
      <c r="L4688">
        <v>3000</v>
      </c>
    </row>
    <row r="4689" spans="1:12" hidden="1" x14ac:dyDescent="0.25">
      <c r="A4689">
        <v>4688</v>
      </c>
      <c r="B4689" s="1" t="s">
        <v>12</v>
      </c>
      <c r="C4689">
        <v>2012</v>
      </c>
      <c r="D4689" s="1" t="s">
        <v>328</v>
      </c>
      <c r="E4689" s="1" t="s">
        <v>158</v>
      </c>
      <c r="F4689">
        <v>6</v>
      </c>
      <c r="G4689" s="1" t="s">
        <v>257</v>
      </c>
      <c r="H4689">
        <v>6392</v>
      </c>
      <c r="I4689">
        <v>1500</v>
      </c>
      <c r="J4689">
        <v>1500</v>
      </c>
      <c r="K4689">
        <v>3600</v>
      </c>
      <c r="L4689">
        <v>2400</v>
      </c>
    </row>
    <row r="4690" spans="1:12" hidden="1" x14ac:dyDescent="0.25">
      <c r="A4690">
        <v>4689</v>
      </c>
      <c r="B4690" s="1" t="s">
        <v>12</v>
      </c>
      <c r="C4690">
        <v>2012</v>
      </c>
      <c r="D4690" s="1" t="s">
        <v>328</v>
      </c>
      <c r="E4690" s="1" t="s">
        <v>22</v>
      </c>
      <c r="F4690">
        <v>14</v>
      </c>
      <c r="G4690" s="1" t="s">
        <v>129</v>
      </c>
      <c r="H4690">
        <v>14035</v>
      </c>
      <c r="I4690">
        <v>116650</v>
      </c>
      <c r="J4690">
        <v>115050</v>
      </c>
      <c r="K4690">
        <v>276120</v>
      </c>
      <c r="L4690">
        <v>2400</v>
      </c>
    </row>
    <row r="4691" spans="1:12" hidden="1" x14ac:dyDescent="0.25">
      <c r="A4691">
        <v>4690</v>
      </c>
      <c r="B4691" s="1" t="s">
        <v>12</v>
      </c>
      <c r="C4691">
        <v>2012</v>
      </c>
      <c r="D4691" s="1" t="s">
        <v>328</v>
      </c>
      <c r="E4691" s="1" t="s">
        <v>22</v>
      </c>
      <c r="F4691">
        <v>14</v>
      </c>
      <c r="G4691" s="1" t="s">
        <v>184</v>
      </c>
      <c r="H4691">
        <v>14042</v>
      </c>
      <c r="I4691">
        <v>19300</v>
      </c>
      <c r="J4691">
        <v>19300</v>
      </c>
      <c r="K4691">
        <v>42460</v>
      </c>
      <c r="L4691">
        <v>2200</v>
      </c>
    </row>
    <row r="4692" spans="1:12" hidden="1" x14ac:dyDescent="0.25">
      <c r="A4692">
        <v>4691</v>
      </c>
      <c r="B4692" s="1" t="s">
        <v>12</v>
      </c>
      <c r="C4692">
        <v>2012</v>
      </c>
      <c r="D4692" s="1" t="s">
        <v>328</v>
      </c>
      <c r="E4692" s="1" t="s">
        <v>22</v>
      </c>
      <c r="F4692">
        <v>14</v>
      </c>
      <c r="G4692" s="1" t="s">
        <v>143</v>
      </c>
      <c r="H4692">
        <v>14056</v>
      </c>
      <c r="I4692">
        <v>53300</v>
      </c>
      <c r="J4692">
        <v>52300</v>
      </c>
      <c r="K4692">
        <v>146440</v>
      </c>
      <c r="L4692">
        <v>2800</v>
      </c>
    </row>
    <row r="4693" spans="1:12" hidden="1" x14ac:dyDescent="0.25">
      <c r="A4693">
        <v>4692</v>
      </c>
      <c r="B4693" s="1" t="s">
        <v>12</v>
      </c>
      <c r="C4693">
        <v>2012</v>
      </c>
      <c r="D4693" s="1" t="s">
        <v>328</v>
      </c>
      <c r="E4693" s="1" t="s">
        <v>22</v>
      </c>
      <c r="F4693">
        <v>14</v>
      </c>
      <c r="G4693" s="1" t="s">
        <v>206</v>
      </c>
      <c r="H4693">
        <v>14084</v>
      </c>
      <c r="I4693">
        <v>28200</v>
      </c>
      <c r="J4693">
        <v>25700</v>
      </c>
      <c r="K4693">
        <v>64250</v>
      </c>
      <c r="L4693">
        <v>2500</v>
      </c>
    </row>
    <row r="4694" spans="1:12" hidden="1" x14ac:dyDescent="0.25">
      <c r="A4694">
        <v>4693</v>
      </c>
      <c r="B4694" s="1" t="s">
        <v>12</v>
      </c>
      <c r="C4694">
        <v>2012</v>
      </c>
      <c r="D4694" s="1" t="s">
        <v>328</v>
      </c>
      <c r="E4694" s="1" t="s">
        <v>22</v>
      </c>
      <c r="F4694">
        <v>14</v>
      </c>
      <c r="G4694" s="1" t="s">
        <v>29</v>
      </c>
      <c r="H4694">
        <v>14098</v>
      </c>
      <c r="I4694">
        <v>122150</v>
      </c>
      <c r="J4694">
        <v>119650</v>
      </c>
      <c r="K4694">
        <v>335020</v>
      </c>
      <c r="L4694">
        <v>2800</v>
      </c>
    </row>
    <row r="4695" spans="1:12" hidden="1" x14ac:dyDescent="0.25">
      <c r="A4695">
        <v>4694</v>
      </c>
      <c r="B4695" s="1" t="s">
        <v>12</v>
      </c>
      <c r="C4695">
        <v>2012</v>
      </c>
      <c r="D4695" s="1" t="s">
        <v>328</v>
      </c>
      <c r="E4695" s="1" t="s">
        <v>22</v>
      </c>
      <c r="F4695">
        <v>14</v>
      </c>
      <c r="G4695" s="1" t="s">
        <v>24</v>
      </c>
      <c r="H4695">
        <v>14119</v>
      </c>
      <c r="I4695">
        <v>11200</v>
      </c>
      <c r="J4695">
        <v>11200</v>
      </c>
      <c r="K4695">
        <v>25740</v>
      </c>
      <c r="L4695">
        <v>2298</v>
      </c>
    </row>
    <row r="4696" spans="1:12" hidden="1" x14ac:dyDescent="0.25">
      <c r="A4696">
        <v>4695</v>
      </c>
      <c r="B4696" s="1" t="s">
        <v>12</v>
      </c>
      <c r="C4696">
        <v>2012</v>
      </c>
      <c r="D4696" s="1" t="s">
        <v>328</v>
      </c>
      <c r="E4696" s="1" t="s">
        <v>22</v>
      </c>
      <c r="F4696">
        <v>14</v>
      </c>
      <c r="G4696" s="1" t="s">
        <v>62</v>
      </c>
      <c r="H4696">
        <v>14133</v>
      </c>
      <c r="I4696">
        <v>1500</v>
      </c>
      <c r="J4696">
        <v>1500</v>
      </c>
      <c r="K4696">
        <v>5250</v>
      </c>
      <c r="L4696">
        <v>3500</v>
      </c>
    </row>
    <row r="4697" spans="1:12" hidden="1" x14ac:dyDescent="0.25">
      <c r="A4697">
        <v>4696</v>
      </c>
      <c r="B4697" s="1" t="s">
        <v>12</v>
      </c>
      <c r="C4697">
        <v>2012</v>
      </c>
      <c r="D4697" s="1" t="s">
        <v>328</v>
      </c>
      <c r="E4697" s="1" t="s">
        <v>22</v>
      </c>
      <c r="F4697">
        <v>14</v>
      </c>
      <c r="G4697" s="1" t="s">
        <v>23</v>
      </c>
      <c r="H4697">
        <v>14147</v>
      </c>
      <c r="I4697">
        <v>700</v>
      </c>
      <c r="J4697">
        <v>700</v>
      </c>
      <c r="K4697">
        <v>1470</v>
      </c>
      <c r="L4697">
        <v>2100</v>
      </c>
    </row>
    <row r="4698" spans="1:12" hidden="1" x14ac:dyDescent="0.25">
      <c r="A4698">
        <v>4697</v>
      </c>
      <c r="B4698" s="1" t="s">
        <v>12</v>
      </c>
      <c r="C4698">
        <v>2012</v>
      </c>
      <c r="D4698" s="1" t="s">
        <v>328</v>
      </c>
      <c r="E4698" s="1" t="s">
        <v>22</v>
      </c>
      <c r="F4698">
        <v>14</v>
      </c>
      <c r="G4698" s="1" t="s">
        <v>26</v>
      </c>
      <c r="H4698">
        <v>14161</v>
      </c>
      <c r="I4698">
        <v>18300</v>
      </c>
      <c r="J4698">
        <v>18300</v>
      </c>
      <c r="K4698">
        <v>38430</v>
      </c>
      <c r="L4698">
        <v>2100</v>
      </c>
    </row>
    <row r="4699" spans="1:12" x14ac:dyDescent="0.25">
      <c r="A4699">
        <v>4698</v>
      </c>
      <c r="B4699" s="1" t="s">
        <v>12</v>
      </c>
      <c r="C4699">
        <v>2012</v>
      </c>
      <c r="D4699" s="1" t="s">
        <v>328</v>
      </c>
      <c r="E4699" s="1" t="s">
        <v>53</v>
      </c>
      <c r="F4699">
        <v>38</v>
      </c>
      <c r="G4699" s="1" t="s">
        <v>56</v>
      </c>
      <c r="H4699">
        <v>38063</v>
      </c>
      <c r="I4699">
        <v>392</v>
      </c>
      <c r="J4699">
        <v>374</v>
      </c>
      <c r="K4699">
        <v>299</v>
      </c>
      <c r="L4699">
        <v>799</v>
      </c>
    </row>
    <row r="4700" spans="1:12" hidden="1" x14ac:dyDescent="0.25">
      <c r="A4700">
        <v>4699</v>
      </c>
      <c r="B4700" s="1" t="s">
        <v>12</v>
      </c>
      <c r="C4700">
        <v>2012</v>
      </c>
      <c r="D4700" s="1" t="s">
        <v>328</v>
      </c>
      <c r="E4700" s="1" t="s">
        <v>53</v>
      </c>
      <c r="F4700">
        <v>38</v>
      </c>
      <c r="G4700" s="1" t="s">
        <v>270</v>
      </c>
      <c r="H4700">
        <v>38070</v>
      </c>
      <c r="I4700">
        <v>196</v>
      </c>
      <c r="J4700">
        <v>184</v>
      </c>
      <c r="K4700">
        <v>129</v>
      </c>
      <c r="L4700">
        <v>701</v>
      </c>
    </row>
    <row r="4701" spans="1:12" hidden="1" x14ac:dyDescent="0.25">
      <c r="A4701">
        <v>4700</v>
      </c>
      <c r="B4701" s="1" t="s">
        <v>12</v>
      </c>
      <c r="C4701">
        <v>2012</v>
      </c>
      <c r="D4701" s="1" t="s">
        <v>328</v>
      </c>
      <c r="E4701" s="1" t="s">
        <v>176</v>
      </c>
      <c r="F4701">
        <v>42</v>
      </c>
      <c r="G4701" s="1" t="s">
        <v>319</v>
      </c>
      <c r="H4701">
        <v>42028</v>
      </c>
      <c r="I4701">
        <v>2090</v>
      </c>
      <c r="J4701">
        <v>2090</v>
      </c>
      <c r="K4701">
        <v>4180</v>
      </c>
      <c r="L4701">
        <v>2000</v>
      </c>
    </row>
    <row r="4702" spans="1:12" hidden="1" x14ac:dyDescent="0.25">
      <c r="A4702">
        <v>4701</v>
      </c>
      <c r="B4702" s="1" t="s">
        <v>12</v>
      </c>
      <c r="C4702">
        <v>2012</v>
      </c>
      <c r="D4702" s="1" t="s">
        <v>328</v>
      </c>
      <c r="E4702" s="1" t="s">
        <v>176</v>
      </c>
      <c r="F4702">
        <v>42</v>
      </c>
      <c r="G4702" s="1" t="s">
        <v>314</v>
      </c>
      <c r="H4702">
        <v>42056</v>
      </c>
      <c r="I4702">
        <v>6600</v>
      </c>
      <c r="J4702">
        <v>6600</v>
      </c>
      <c r="K4702">
        <v>16500</v>
      </c>
      <c r="L4702">
        <v>2500</v>
      </c>
    </row>
    <row r="4703" spans="1:12" hidden="1" x14ac:dyDescent="0.25">
      <c r="A4703">
        <v>4702</v>
      </c>
      <c r="B4703" s="1" t="s">
        <v>12</v>
      </c>
      <c r="C4703">
        <v>2012</v>
      </c>
      <c r="D4703" s="1" t="s">
        <v>328</v>
      </c>
      <c r="E4703" s="1" t="s">
        <v>176</v>
      </c>
      <c r="F4703">
        <v>42</v>
      </c>
      <c r="G4703" s="1" t="s">
        <v>324</v>
      </c>
      <c r="H4703">
        <v>42035</v>
      </c>
      <c r="I4703">
        <v>900</v>
      </c>
      <c r="J4703">
        <v>900</v>
      </c>
      <c r="K4703">
        <v>1800</v>
      </c>
      <c r="L4703">
        <v>2000</v>
      </c>
    </row>
    <row r="4704" spans="1:12" hidden="1" x14ac:dyDescent="0.25">
      <c r="A4704">
        <v>4703</v>
      </c>
      <c r="B4704" s="1" t="s">
        <v>12</v>
      </c>
      <c r="C4704">
        <v>2012</v>
      </c>
      <c r="D4704" s="1" t="s">
        <v>328</v>
      </c>
      <c r="E4704" s="1" t="s">
        <v>176</v>
      </c>
      <c r="F4704">
        <v>42</v>
      </c>
      <c r="G4704" s="1" t="s">
        <v>322</v>
      </c>
      <c r="H4704">
        <v>42105</v>
      </c>
      <c r="I4704">
        <v>3000</v>
      </c>
      <c r="J4704">
        <v>3000</v>
      </c>
      <c r="K4704">
        <v>6000</v>
      </c>
      <c r="L4704">
        <v>2000</v>
      </c>
    </row>
    <row r="4705" spans="1:12" hidden="1" x14ac:dyDescent="0.25">
      <c r="A4705">
        <v>4704</v>
      </c>
      <c r="B4705" s="1" t="s">
        <v>12</v>
      </c>
      <c r="C4705">
        <v>2012</v>
      </c>
      <c r="D4705" s="1" t="s">
        <v>328</v>
      </c>
      <c r="E4705" s="1" t="s">
        <v>176</v>
      </c>
      <c r="F4705">
        <v>42</v>
      </c>
      <c r="G4705" s="1" t="s">
        <v>177</v>
      </c>
      <c r="H4705">
        <v>42119</v>
      </c>
      <c r="I4705">
        <v>70</v>
      </c>
      <c r="J4705">
        <v>70</v>
      </c>
      <c r="K4705">
        <v>140</v>
      </c>
      <c r="L4705">
        <v>2000</v>
      </c>
    </row>
    <row r="4706" spans="1:12" hidden="1" x14ac:dyDescent="0.25">
      <c r="A4706">
        <v>4705</v>
      </c>
      <c r="B4706" s="1" t="s">
        <v>12</v>
      </c>
      <c r="C4706">
        <v>2012</v>
      </c>
      <c r="D4706" s="1" t="s">
        <v>328</v>
      </c>
      <c r="E4706" s="1" t="s">
        <v>176</v>
      </c>
      <c r="F4706">
        <v>42</v>
      </c>
      <c r="G4706" s="1" t="s">
        <v>315</v>
      </c>
      <c r="H4706">
        <v>42126</v>
      </c>
      <c r="I4706">
        <v>500</v>
      </c>
      <c r="J4706">
        <v>500</v>
      </c>
      <c r="K4706">
        <v>1000</v>
      </c>
      <c r="L4706">
        <v>2000</v>
      </c>
    </row>
    <row r="4707" spans="1:12" hidden="1" x14ac:dyDescent="0.25">
      <c r="A4707">
        <v>4706</v>
      </c>
      <c r="B4707" s="1" t="s">
        <v>12</v>
      </c>
      <c r="C4707">
        <v>2012</v>
      </c>
      <c r="D4707" s="1" t="s">
        <v>328</v>
      </c>
      <c r="E4707" s="1" t="s">
        <v>176</v>
      </c>
      <c r="F4707">
        <v>42</v>
      </c>
      <c r="G4707" s="1" t="s">
        <v>316</v>
      </c>
      <c r="H4707">
        <v>42133</v>
      </c>
      <c r="I4707">
        <v>2000</v>
      </c>
      <c r="J4707">
        <v>2000</v>
      </c>
      <c r="K4707">
        <v>5000</v>
      </c>
      <c r="L4707">
        <v>2500</v>
      </c>
    </row>
    <row r="4708" spans="1:12" hidden="1" x14ac:dyDescent="0.25">
      <c r="A4708">
        <v>4707</v>
      </c>
      <c r="B4708" s="1" t="s">
        <v>12</v>
      </c>
      <c r="C4708">
        <v>2012</v>
      </c>
      <c r="D4708" s="1" t="s">
        <v>328</v>
      </c>
      <c r="E4708" s="1" t="s">
        <v>176</v>
      </c>
      <c r="F4708">
        <v>42</v>
      </c>
      <c r="G4708" s="1" t="s">
        <v>320</v>
      </c>
      <c r="H4708">
        <v>42147</v>
      </c>
      <c r="I4708">
        <v>700</v>
      </c>
      <c r="J4708">
        <v>700</v>
      </c>
      <c r="K4708">
        <v>1400</v>
      </c>
      <c r="L4708">
        <v>2000</v>
      </c>
    </row>
    <row r="4709" spans="1:12" hidden="1" x14ac:dyDescent="0.25">
      <c r="A4709">
        <v>4708</v>
      </c>
      <c r="B4709" s="1" t="s">
        <v>12</v>
      </c>
      <c r="C4709">
        <v>2012</v>
      </c>
      <c r="D4709" s="1" t="s">
        <v>328</v>
      </c>
      <c r="E4709" s="1" t="s">
        <v>87</v>
      </c>
      <c r="F4709">
        <v>66</v>
      </c>
      <c r="G4709" s="1" t="s">
        <v>153</v>
      </c>
      <c r="H4709">
        <v>66007</v>
      </c>
      <c r="I4709">
        <v>3000</v>
      </c>
      <c r="J4709">
        <v>1500</v>
      </c>
      <c r="K4709">
        <v>900</v>
      </c>
      <c r="L4709">
        <v>600</v>
      </c>
    </row>
    <row r="4710" spans="1:12" hidden="1" x14ac:dyDescent="0.25">
      <c r="A4710">
        <v>4709</v>
      </c>
      <c r="B4710" s="1" t="s">
        <v>12</v>
      </c>
      <c r="C4710">
        <v>2012</v>
      </c>
      <c r="D4710" s="1" t="s">
        <v>328</v>
      </c>
      <c r="E4710" s="1" t="s">
        <v>87</v>
      </c>
      <c r="F4710">
        <v>66</v>
      </c>
      <c r="G4710" s="1" t="s">
        <v>230</v>
      </c>
      <c r="H4710">
        <v>66056</v>
      </c>
      <c r="I4710">
        <v>5100</v>
      </c>
      <c r="J4710">
        <v>4860</v>
      </c>
      <c r="K4710">
        <v>2916</v>
      </c>
      <c r="L4710">
        <v>600</v>
      </c>
    </row>
    <row r="4711" spans="1:12" hidden="1" x14ac:dyDescent="0.25">
      <c r="A4711">
        <v>4710</v>
      </c>
      <c r="B4711" s="1" t="s">
        <v>12</v>
      </c>
      <c r="C4711">
        <v>2012</v>
      </c>
      <c r="D4711" s="1" t="s">
        <v>328</v>
      </c>
      <c r="E4711" s="1" t="s">
        <v>87</v>
      </c>
      <c r="F4711">
        <v>66</v>
      </c>
      <c r="G4711" s="1" t="s">
        <v>179</v>
      </c>
      <c r="H4711">
        <v>66126</v>
      </c>
      <c r="I4711">
        <v>950</v>
      </c>
      <c r="J4711">
        <v>794</v>
      </c>
      <c r="K4711">
        <v>476</v>
      </c>
      <c r="L4711">
        <v>600</v>
      </c>
    </row>
    <row r="4712" spans="1:12" hidden="1" x14ac:dyDescent="0.25">
      <c r="A4712">
        <v>4711</v>
      </c>
      <c r="B4712" s="1" t="s">
        <v>12</v>
      </c>
      <c r="C4712">
        <v>2012</v>
      </c>
      <c r="D4712" s="1" t="s">
        <v>328</v>
      </c>
      <c r="E4712" s="1" t="s">
        <v>116</v>
      </c>
      <c r="F4712">
        <v>74</v>
      </c>
      <c r="G4712" s="1" t="s">
        <v>195</v>
      </c>
      <c r="H4712">
        <v>74007</v>
      </c>
      <c r="I4712">
        <v>2530</v>
      </c>
      <c r="J4712">
        <v>2530</v>
      </c>
      <c r="K4712">
        <v>11385</v>
      </c>
      <c r="L4712">
        <v>4500</v>
      </c>
    </row>
    <row r="4713" spans="1:12" hidden="1" x14ac:dyDescent="0.25">
      <c r="A4713">
        <v>4712</v>
      </c>
      <c r="B4713" s="1" t="s">
        <v>12</v>
      </c>
      <c r="C4713">
        <v>2012</v>
      </c>
      <c r="D4713" s="1" t="s">
        <v>328</v>
      </c>
      <c r="E4713" s="1" t="s">
        <v>116</v>
      </c>
      <c r="F4713">
        <v>74</v>
      </c>
      <c r="G4713" s="1" t="s">
        <v>126</v>
      </c>
      <c r="H4713">
        <v>74035</v>
      </c>
      <c r="I4713">
        <v>12400</v>
      </c>
      <c r="J4713">
        <v>10350</v>
      </c>
      <c r="K4713">
        <v>28980</v>
      </c>
      <c r="L4713">
        <v>2800</v>
      </c>
    </row>
    <row r="4714" spans="1:12" hidden="1" x14ac:dyDescent="0.25">
      <c r="A4714">
        <v>4713</v>
      </c>
      <c r="B4714" s="1" t="s">
        <v>12</v>
      </c>
      <c r="C4714">
        <v>2012</v>
      </c>
      <c r="D4714" s="1" t="s">
        <v>328</v>
      </c>
      <c r="E4714" s="1" t="s">
        <v>116</v>
      </c>
      <c r="F4714">
        <v>74</v>
      </c>
      <c r="G4714" s="1" t="s">
        <v>326</v>
      </c>
      <c r="H4714">
        <v>74042</v>
      </c>
      <c r="I4714">
        <v>3500</v>
      </c>
      <c r="J4714">
        <v>1035</v>
      </c>
      <c r="K4714">
        <v>1967</v>
      </c>
      <c r="L4714">
        <v>1900</v>
      </c>
    </row>
    <row r="4715" spans="1:12" hidden="1" x14ac:dyDescent="0.25">
      <c r="A4715">
        <v>4714</v>
      </c>
      <c r="B4715" s="1" t="s">
        <v>12</v>
      </c>
      <c r="C4715">
        <v>2012</v>
      </c>
      <c r="D4715" s="1" t="s">
        <v>328</v>
      </c>
      <c r="E4715" s="1" t="s">
        <v>116</v>
      </c>
      <c r="F4715">
        <v>74</v>
      </c>
      <c r="G4715" s="1" t="s">
        <v>327</v>
      </c>
      <c r="H4715">
        <v>74056</v>
      </c>
      <c r="I4715">
        <v>1035</v>
      </c>
      <c r="J4715">
        <v>1035</v>
      </c>
      <c r="K4715">
        <v>3105</v>
      </c>
      <c r="L4715">
        <v>3000</v>
      </c>
    </row>
    <row r="4716" spans="1:12" hidden="1" x14ac:dyDescent="0.25">
      <c r="A4716">
        <v>4715</v>
      </c>
      <c r="B4716" s="1" t="s">
        <v>12</v>
      </c>
      <c r="C4716">
        <v>2012</v>
      </c>
      <c r="D4716" s="1" t="s">
        <v>328</v>
      </c>
      <c r="E4716" s="1" t="s">
        <v>64</v>
      </c>
      <c r="F4716">
        <v>82</v>
      </c>
      <c r="G4716" s="1" t="s">
        <v>66</v>
      </c>
      <c r="H4716">
        <v>82035</v>
      </c>
      <c r="I4716">
        <v>300</v>
      </c>
      <c r="J4716">
        <v>300</v>
      </c>
      <c r="K4716">
        <v>900</v>
      </c>
      <c r="L4716">
        <v>3000</v>
      </c>
    </row>
    <row r="4717" spans="1:12" hidden="1" x14ac:dyDescent="0.25">
      <c r="A4717">
        <v>4716</v>
      </c>
      <c r="B4717" s="1" t="s">
        <v>12</v>
      </c>
      <c r="C4717">
        <v>2013</v>
      </c>
      <c r="D4717" s="1" t="s">
        <v>329</v>
      </c>
      <c r="E4717" s="1" t="s">
        <v>158</v>
      </c>
      <c r="F4717">
        <v>6</v>
      </c>
      <c r="G4717" s="1" t="s">
        <v>257</v>
      </c>
      <c r="H4717">
        <v>6392</v>
      </c>
      <c r="I4717">
        <v>1500</v>
      </c>
      <c r="J4717">
        <v>1500</v>
      </c>
      <c r="K4717">
        <v>3600</v>
      </c>
      <c r="L4717">
        <v>2400</v>
      </c>
    </row>
    <row r="4718" spans="1:12" hidden="1" x14ac:dyDescent="0.25">
      <c r="A4718">
        <v>4717</v>
      </c>
      <c r="B4718" s="1" t="s">
        <v>12</v>
      </c>
      <c r="C4718">
        <v>2013</v>
      </c>
      <c r="D4718" s="1" t="s">
        <v>329</v>
      </c>
      <c r="E4718" s="1" t="s">
        <v>22</v>
      </c>
      <c r="F4718">
        <v>14</v>
      </c>
      <c r="G4718" s="1" t="s">
        <v>129</v>
      </c>
      <c r="H4718">
        <v>14035</v>
      </c>
      <c r="I4718">
        <v>133000</v>
      </c>
      <c r="J4718">
        <v>133000</v>
      </c>
      <c r="K4718">
        <v>399000</v>
      </c>
      <c r="L4718">
        <v>3000</v>
      </c>
    </row>
    <row r="4719" spans="1:12" hidden="1" x14ac:dyDescent="0.25">
      <c r="A4719">
        <v>4718</v>
      </c>
      <c r="B4719" s="1" t="s">
        <v>12</v>
      </c>
      <c r="C4719">
        <v>2013</v>
      </c>
      <c r="D4719" s="1" t="s">
        <v>329</v>
      </c>
      <c r="E4719" s="1" t="s">
        <v>22</v>
      </c>
      <c r="F4719">
        <v>14</v>
      </c>
      <c r="G4719" s="1" t="s">
        <v>184</v>
      </c>
      <c r="H4719">
        <v>14042</v>
      </c>
      <c r="I4719">
        <v>30850</v>
      </c>
      <c r="J4719">
        <v>30600</v>
      </c>
      <c r="K4719">
        <v>61200</v>
      </c>
      <c r="L4719">
        <v>2000</v>
      </c>
    </row>
    <row r="4720" spans="1:12" hidden="1" x14ac:dyDescent="0.25">
      <c r="A4720">
        <v>4719</v>
      </c>
      <c r="B4720" s="1" t="s">
        <v>12</v>
      </c>
      <c r="C4720">
        <v>2013</v>
      </c>
      <c r="D4720" s="1" t="s">
        <v>329</v>
      </c>
      <c r="E4720" s="1" t="s">
        <v>22</v>
      </c>
      <c r="F4720">
        <v>14</v>
      </c>
      <c r="G4720" s="1" t="s">
        <v>143</v>
      </c>
      <c r="H4720">
        <v>14056</v>
      </c>
      <c r="I4720">
        <v>45000</v>
      </c>
      <c r="J4720">
        <v>45000</v>
      </c>
      <c r="K4720">
        <v>148500</v>
      </c>
      <c r="L4720">
        <v>3300</v>
      </c>
    </row>
    <row r="4721" spans="1:12" hidden="1" x14ac:dyDescent="0.25">
      <c r="A4721">
        <v>4720</v>
      </c>
      <c r="B4721" s="1" t="s">
        <v>12</v>
      </c>
      <c r="C4721">
        <v>2013</v>
      </c>
      <c r="D4721" s="1" t="s">
        <v>329</v>
      </c>
      <c r="E4721" s="1" t="s">
        <v>22</v>
      </c>
      <c r="F4721">
        <v>14</v>
      </c>
      <c r="G4721" s="1" t="s">
        <v>206</v>
      </c>
      <c r="H4721">
        <v>14084</v>
      </c>
      <c r="I4721">
        <v>21000</v>
      </c>
      <c r="J4721">
        <v>21000</v>
      </c>
      <c r="K4721">
        <v>63000</v>
      </c>
      <c r="L4721">
        <v>3000</v>
      </c>
    </row>
    <row r="4722" spans="1:12" hidden="1" x14ac:dyDescent="0.25">
      <c r="A4722">
        <v>4721</v>
      </c>
      <c r="B4722" s="1" t="s">
        <v>12</v>
      </c>
      <c r="C4722">
        <v>2013</v>
      </c>
      <c r="D4722" s="1" t="s">
        <v>329</v>
      </c>
      <c r="E4722" s="1" t="s">
        <v>22</v>
      </c>
      <c r="F4722">
        <v>14</v>
      </c>
      <c r="G4722" s="1" t="s">
        <v>29</v>
      </c>
      <c r="H4722">
        <v>14098</v>
      </c>
      <c r="I4722">
        <v>110000</v>
      </c>
      <c r="J4722">
        <v>110000</v>
      </c>
      <c r="K4722">
        <v>330000</v>
      </c>
      <c r="L4722">
        <v>3000</v>
      </c>
    </row>
    <row r="4723" spans="1:12" hidden="1" x14ac:dyDescent="0.25">
      <c r="A4723">
        <v>4722</v>
      </c>
      <c r="B4723" s="1" t="s">
        <v>12</v>
      </c>
      <c r="C4723">
        <v>2013</v>
      </c>
      <c r="D4723" s="1" t="s">
        <v>329</v>
      </c>
      <c r="E4723" s="1" t="s">
        <v>22</v>
      </c>
      <c r="F4723">
        <v>14</v>
      </c>
      <c r="G4723" s="1" t="s">
        <v>24</v>
      </c>
      <c r="H4723">
        <v>14119</v>
      </c>
      <c r="I4723">
        <v>11100</v>
      </c>
      <c r="J4723">
        <v>10950</v>
      </c>
      <c r="K4723">
        <v>20805</v>
      </c>
      <c r="L4723">
        <v>1900</v>
      </c>
    </row>
    <row r="4724" spans="1:12" hidden="1" x14ac:dyDescent="0.25">
      <c r="A4724">
        <v>4723</v>
      </c>
      <c r="B4724" s="1" t="s">
        <v>12</v>
      </c>
      <c r="C4724">
        <v>2013</v>
      </c>
      <c r="D4724" s="1" t="s">
        <v>329</v>
      </c>
      <c r="E4724" s="1" t="s">
        <v>22</v>
      </c>
      <c r="F4724">
        <v>14</v>
      </c>
      <c r="G4724" s="1" t="s">
        <v>169</v>
      </c>
      <c r="H4724">
        <v>14126</v>
      </c>
      <c r="I4724">
        <v>2500</v>
      </c>
      <c r="J4724">
        <v>2500</v>
      </c>
      <c r="K4724">
        <v>8250</v>
      </c>
      <c r="L4724">
        <v>3300</v>
      </c>
    </row>
    <row r="4725" spans="1:12" hidden="1" x14ac:dyDescent="0.25">
      <c r="A4725">
        <v>4724</v>
      </c>
      <c r="B4725" s="1" t="s">
        <v>12</v>
      </c>
      <c r="C4725">
        <v>2013</v>
      </c>
      <c r="D4725" s="1" t="s">
        <v>329</v>
      </c>
      <c r="E4725" s="1" t="s">
        <v>22</v>
      </c>
      <c r="F4725">
        <v>14</v>
      </c>
      <c r="G4725" s="1" t="s">
        <v>23</v>
      </c>
      <c r="H4725">
        <v>14147</v>
      </c>
      <c r="I4725">
        <v>700</v>
      </c>
      <c r="J4725">
        <v>700</v>
      </c>
      <c r="K4725">
        <v>1470</v>
      </c>
      <c r="L4725">
        <v>2100</v>
      </c>
    </row>
    <row r="4726" spans="1:12" hidden="1" x14ac:dyDescent="0.25">
      <c r="A4726">
        <v>4725</v>
      </c>
      <c r="B4726" s="1" t="s">
        <v>12</v>
      </c>
      <c r="C4726">
        <v>2013</v>
      </c>
      <c r="D4726" s="1" t="s">
        <v>329</v>
      </c>
      <c r="E4726" s="1" t="s">
        <v>22</v>
      </c>
      <c r="F4726">
        <v>14</v>
      </c>
      <c r="G4726" s="1" t="s">
        <v>26</v>
      </c>
      <c r="H4726">
        <v>14161</v>
      </c>
      <c r="I4726">
        <v>18200</v>
      </c>
      <c r="J4726">
        <v>18120</v>
      </c>
      <c r="K4726">
        <v>36220</v>
      </c>
      <c r="L4726">
        <v>1999</v>
      </c>
    </row>
    <row r="4727" spans="1:12" hidden="1" x14ac:dyDescent="0.25">
      <c r="A4727">
        <v>4726</v>
      </c>
      <c r="B4727" s="1" t="s">
        <v>12</v>
      </c>
      <c r="C4727">
        <v>2013</v>
      </c>
      <c r="D4727" s="1" t="s">
        <v>329</v>
      </c>
      <c r="E4727" s="1" t="s">
        <v>22</v>
      </c>
      <c r="F4727">
        <v>14</v>
      </c>
      <c r="G4727" s="1" t="s">
        <v>122</v>
      </c>
      <c r="H4727">
        <v>14182</v>
      </c>
      <c r="I4727">
        <v>2500</v>
      </c>
      <c r="J4727">
        <v>2500</v>
      </c>
      <c r="K4727">
        <v>6750</v>
      </c>
      <c r="L4727">
        <v>2700</v>
      </c>
    </row>
    <row r="4728" spans="1:12" x14ac:dyDescent="0.25">
      <c r="A4728">
        <v>4727</v>
      </c>
      <c r="B4728" s="1" t="s">
        <v>12</v>
      </c>
      <c r="C4728">
        <v>2013</v>
      </c>
      <c r="D4728" s="1" t="s">
        <v>329</v>
      </c>
      <c r="E4728" s="1" t="s">
        <v>53</v>
      </c>
      <c r="F4728">
        <v>38</v>
      </c>
      <c r="G4728" s="1" t="s">
        <v>56</v>
      </c>
      <c r="H4728">
        <v>38063</v>
      </c>
      <c r="I4728">
        <v>196</v>
      </c>
      <c r="J4728">
        <v>196</v>
      </c>
      <c r="K4728">
        <v>235</v>
      </c>
      <c r="L4728">
        <v>1199</v>
      </c>
    </row>
    <row r="4729" spans="1:12" hidden="1" x14ac:dyDescent="0.25">
      <c r="A4729">
        <v>4728</v>
      </c>
      <c r="B4729" s="1" t="s">
        <v>12</v>
      </c>
      <c r="C4729">
        <v>2013</v>
      </c>
      <c r="D4729" s="1" t="s">
        <v>329</v>
      </c>
      <c r="E4729" s="1" t="s">
        <v>53</v>
      </c>
      <c r="F4729">
        <v>38</v>
      </c>
      <c r="G4729" s="1" t="s">
        <v>270</v>
      </c>
      <c r="H4729">
        <v>38070</v>
      </c>
      <c r="I4729">
        <v>392</v>
      </c>
      <c r="J4729">
        <v>392</v>
      </c>
      <c r="K4729">
        <v>470</v>
      </c>
      <c r="L4729">
        <v>1199</v>
      </c>
    </row>
    <row r="4730" spans="1:12" hidden="1" x14ac:dyDescent="0.25">
      <c r="A4730">
        <v>4729</v>
      </c>
      <c r="B4730" s="1" t="s">
        <v>12</v>
      </c>
      <c r="C4730">
        <v>2013</v>
      </c>
      <c r="D4730" s="1" t="s">
        <v>329</v>
      </c>
      <c r="E4730" s="1" t="s">
        <v>176</v>
      </c>
      <c r="F4730">
        <v>42</v>
      </c>
      <c r="G4730" s="1" t="s">
        <v>314</v>
      </c>
      <c r="H4730">
        <v>42056</v>
      </c>
      <c r="I4730">
        <v>6400</v>
      </c>
      <c r="J4730">
        <v>6400</v>
      </c>
      <c r="K4730">
        <v>19200</v>
      </c>
      <c r="L4730">
        <v>3000</v>
      </c>
    </row>
    <row r="4731" spans="1:12" hidden="1" x14ac:dyDescent="0.25">
      <c r="A4731">
        <v>4730</v>
      </c>
      <c r="B4731" s="1" t="s">
        <v>12</v>
      </c>
      <c r="C4731">
        <v>2013</v>
      </c>
      <c r="D4731" s="1" t="s">
        <v>329</v>
      </c>
      <c r="E4731" s="1" t="s">
        <v>176</v>
      </c>
      <c r="F4731">
        <v>42</v>
      </c>
      <c r="G4731" s="1" t="s">
        <v>324</v>
      </c>
      <c r="H4731">
        <v>42035</v>
      </c>
      <c r="I4731">
        <v>450</v>
      </c>
      <c r="J4731">
        <v>450</v>
      </c>
      <c r="K4731">
        <v>1125</v>
      </c>
      <c r="L4731">
        <v>2500</v>
      </c>
    </row>
    <row r="4732" spans="1:12" hidden="1" x14ac:dyDescent="0.25">
      <c r="A4732">
        <v>4731</v>
      </c>
      <c r="B4732" s="1" t="s">
        <v>12</v>
      </c>
      <c r="C4732">
        <v>2013</v>
      </c>
      <c r="D4732" s="1" t="s">
        <v>329</v>
      </c>
      <c r="E4732" s="1" t="s">
        <v>176</v>
      </c>
      <c r="F4732">
        <v>42</v>
      </c>
      <c r="G4732" s="1" t="s">
        <v>322</v>
      </c>
      <c r="H4732">
        <v>42105</v>
      </c>
      <c r="I4732">
        <v>1950</v>
      </c>
      <c r="J4732">
        <v>1950</v>
      </c>
      <c r="K4732">
        <v>5850</v>
      </c>
      <c r="L4732">
        <v>3000</v>
      </c>
    </row>
    <row r="4733" spans="1:12" hidden="1" x14ac:dyDescent="0.25">
      <c r="A4733">
        <v>4732</v>
      </c>
      <c r="B4733" s="1" t="s">
        <v>12</v>
      </c>
      <c r="C4733">
        <v>2013</v>
      </c>
      <c r="D4733" s="1" t="s">
        <v>329</v>
      </c>
      <c r="E4733" s="1" t="s">
        <v>176</v>
      </c>
      <c r="F4733">
        <v>42</v>
      </c>
      <c r="G4733" s="1" t="s">
        <v>315</v>
      </c>
      <c r="H4733">
        <v>42126</v>
      </c>
      <c r="I4733">
        <v>1900</v>
      </c>
      <c r="J4733">
        <v>1900</v>
      </c>
      <c r="K4733">
        <v>4750</v>
      </c>
      <c r="L4733">
        <v>2500</v>
      </c>
    </row>
    <row r="4734" spans="1:12" hidden="1" x14ac:dyDescent="0.25">
      <c r="A4734">
        <v>4733</v>
      </c>
      <c r="B4734" s="1" t="s">
        <v>12</v>
      </c>
      <c r="C4734">
        <v>2013</v>
      </c>
      <c r="D4734" s="1" t="s">
        <v>329</v>
      </c>
      <c r="E4734" s="1" t="s">
        <v>176</v>
      </c>
      <c r="F4734">
        <v>42</v>
      </c>
      <c r="G4734" s="1" t="s">
        <v>316</v>
      </c>
      <c r="H4734">
        <v>42133</v>
      </c>
      <c r="I4734">
        <v>2900</v>
      </c>
      <c r="J4734">
        <v>2900</v>
      </c>
      <c r="K4734">
        <v>5800</v>
      </c>
      <c r="L4734">
        <v>2000</v>
      </c>
    </row>
    <row r="4735" spans="1:12" hidden="1" x14ac:dyDescent="0.25">
      <c r="A4735">
        <v>4734</v>
      </c>
      <c r="B4735" s="1" t="s">
        <v>12</v>
      </c>
      <c r="C4735">
        <v>2013</v>
      </c>
      <c r="D4735" s="1" t="s">
        <v>329</v>
      </c>
      <c r="E4735" s="1" t="s">
        <v>87</v>
      </c>
      <c r="F4735">
        <v>66</v>
      </c>
      <c r="G4735" s="1" t="s">
        <v>153</v>
      </c>
      <c r="H4735">
        <v>66007</v>
      </c>
      <c r="I4735">
        <v>3000</v>
      </c>
      <c r="J4735">
        <v>1500</v>
      </c>
      <c r="K4735">
        <v>1800</v>
      </c>
      <c r="L4735">
        <v>1200</v>
      </c>
    </row>
    <row r="4736" spans="1:12" hidden="1" x14ac:dyDescent="0.25">
      <c r="A4736">
        <v>4735</v>
      </c>
      <c r="B4736" s="1" t="s">
        <v>12</v>
      </c>
      <c r="C4736">
        <v>2013</v>
      </c>
      <c r="D4736" s="1" t="s">
        <v>329</v>
      </c>
      <c r="E4736" s="1" t="s">
        <v>87</v>
      </c>
      <c r="F4736">
        <v>66</v>
      </c>
      <c r="G4736" s="1" t="s">
        <v>230</v>
      </c>
      <c r="H4736">
        <v>66056</v>
      </c>
      <c r="I4736">
        <v>5100</v>
      </c>
      <c r="J4736">
        <v>4860</v>
      </c>
      <c r="K4736">
        <v>5346</v>
      </c>
      <c r="L4736">
        <v>1100</v>
      </c>
    </row>
    <row r="4737" spans="1:12" hidden="1" x14ac:dyDescent="0.25">
      <c r="A4737">
        <v>4736</v>
      </c>
      <c r="B4737" s="1" t="s">
        <v>12</v>
      </c>
      <c r="C4737">
        <v>2013</v>
      </c>
      <c r="D4737" s="1" t="s">
        <v>329</v>
      </c>
      <c r="E4737" s="1" t="s">
        <v>87</v>
      </c>
      <c r="F4737">
        <v>66</v>
      </c>
      <c r="G4737" s="1" t="s">
        <v>179</v>
      </c>
      <c r="H4737">
        <v>66126</v>
      </c>
      <c r="I4737">
        <v>950</v>
      </c>
      <c r="J4737">
        <v>794</v>
      </c>
      <c r="K4737">
        <v>953</v>
      </c>
      <c r="L4737">
        <v>1200</v>
      </c>
    </row>
    <row r="4738" spans="1:12" hidden="1" x14ac:dyDescent="0.25">
      <c r="A4738">
        <v>4737</v>
      </c>
      <c r="B4738" s="1" t="s">
        <v>12</v>
      </c>
      <c r="C4738">
        <v>2013</v>
      </c>
      <c r="D4738" s="1" t="s">
        <v>329</v>
      </c>
      <c r="E4738" s="1" t="s">
        <v>116</v>
      </c>
      <c r="F4738">
        <v>74</v>
      </c>
      <c r="G4738" s="1" t="s">
        <v>195</v>
      </c>
      <c r="H4738">
        <v>74007</v>
      </c>
      <c r="I4738">
        <v>1500</v>
      </c>
      <c r="J4738">
        <v>1500</v>
      </c>
      <c r="K4738">
        <v>6000</v>
      </c>
      <c r="L4738">
        <v>4000</v>
      </c>
    </row>
    <row r="4739" spans="1:12" hidden="1" x14ac:dyDescent="0.25">
      <c r="A4739">
        <v>4738</v>
      </c>
      <c r="B4739" s="1" t="s">
        <v>12</v>
      </c>
      <c r="C4739">
        <v>2013</v>
      </c>
      <c r="D4739" s="1" t="s">
        <v>329</v>
      </c>
      <c r="E4739" s="1" t="s">
        <v>116</v>
      </c>
      <c r="F4739">
        <v>74</v>
      </c>
      <c r="G4739" s="1" t="s">
        <v>126</v>
      </c>
      <c r="H4739">
        <v>74035</v>
      </c>
      <c r="I4739">
        <v>7300</v>
      </c>
      <c r="J4739">
        <v>7300</v>
      </c>
      <c r="K4739">
        <v>25550</v>
      </c>
      <c r="L4739">
        <v>3500</v>
      </c>
    </row>
    <row r="4740" spans="1:12" hidden="1" x14ac:dyDescent="0.25">
      <c r="A4740">
        <v>4739</v>
      </c>
      <c r="B4740" s="1" t="s">
        <v>12</v>
      </c>
      <c r="C4740">
        <v>2013</v>
      </c>
      <c r="D4740" s="1" t="s">
        <v>329</v>
      </c>
      <c r="E4740" s="1" t="s">
        <v>116</v>
      </c>
      <c r="F4740">
        <v>74</v>
      </c>
      <c r="G4740" s="1" t="s">
        <v>326</v>
      </c>
      <c r="H4740">
        <v>74042</v>
      </c>
      <c r="I4740">
        <v>2000</v>
      </c>
      <c r="J4740">
        <v>2000</v>
      </c>
      <c r="K4740">
        <v>5800</v>
      </c>
      <c r="L4740">
        <v>2900</v>
      </c>
    </row>
    <row r="4741" spans="1:12" hidden="1" x14ac:dyDescent="0.25">
      <c r="A4741">
        <v>4740</v>
      </c>
      <c r="B4741" s="1" t="s">
        <v>12</v>
      </c>
      <c r="C4741">
        <v>2013</v>
      </c>
      <c r="D4741" s="1" t="s">
        <v>329</v>
      </c>
      <c r="E4741" s="1" t="s">
        <v>116</v>
      </c>
      <c r="F4741">
        <v>74</v>
      </c>
      <c r="G4741" s="1" t="s">
        <v>327</v>
      </c>
      <c r="H4741">
        <v>74056</v>
      </c>
      <c r="I4741">
        <v>1000</v>
      </c>
      <c r="J4741">
        <v>1000</v>
      </c>
      <c r="K4741">
        <v>3500</v>
      </c>
      <c r="L4741">
        <v>3500</v>
      </c>
    </row>
    <row r="4742" spans="1:12" hidden="1" x14ac:dyDescent="0.25">
      <c r="A4742">
        <v>4741</v>
      </c>
      <c r="B4742" s="1" t="s">
        <v>12</v>
      </c>
      <c r="C4742">
        <v>2013</v>
      </c>
      <c r="D4742" s="1" t="s">
        <v>329</v>
      </c>
      <c r="E4742" s="1" t="s">
        <v>64</v>
      </c>
      <c r="F4742">
        <v>82</v>
      </c>
      <c r="G4742" s="1" t="s">
        <v>66</v>
      </c>
      <c r="H4742">
        <v>82035</v>
      </c>
      <c r="I4742">
        <v>300</v>
      </c>
      <c r="J4742">
        <v>300</v>
      </c>
      <c r="K4742">
        <v>750</v>
      </c>
      <c r="L4742">
        <v>2500</v>
      </c>
    </row>
    <row r="4743" spans="1:12" hidden="1" x14ac:dyDescent="0.25">
      <c r="A4743">
        <v>4742</v>
      </c>
      <c r="B4743" s="1" t="s">
        <v>12</v>
      </c>
      <c r="C4743">
        <v>2014</v>
      </c>
      <c r="D4743" s="1" t="s">
        <v>330</v>
      </c>
      <c r="E4743" s="1" t="s">
        <v>158</v>
      </c>
      <c r="F4743">
        <v>6</v>
      </c>
      <c r="G4743" s="1" t="s">
        <v>257</v>
      </c>
      <c r="H4743">
        <v>6392</v>
      </c>
      <c r="I4743">
        <v>1500</v>
      </c>
      <c r="J4743">
        <v>1500</v>
      </c>
      <c r="K4743">
        <v>3300</v>
      </c>
      <c r="L4743">
        <v>2200</v>
      </c>
    </row>
    <row r="4744" spans="1:12" hidden="1" x14ac:dyDescent="0.25">
      <c r="A4744">
        <v>4743</v>
      </c>
      <c r="B4744" s="1" t="s">
        <v>12</v>
      </c>
      <c r="C4744">
        <v>2014</v>
      </c>
      <c r="D4744" s="1" t="s">
        <v>330</v>
      </c>
      <c r="E4744" s="1" t="s">
        <v>158</v>
      </c>
      <c r="F4744">
        <v>6</v>
      </c>
      <c r="G4744" s="1" t="s">
        <v>161</v>
      </c>
      <c r="H4744">
        <v>6679</v>
      </c>
      <c r="I4744">
        <v>2480</v>
      </c>
      <c r="J4744">
        <v>2480</v>
      </c>
      <c r="K4744">
        <v>5952</v>
      </c>
      <c r="L4744">
        <v>2400</v>
      </c>
    </row>
    <row r="4745" spans="1:12" hidden="1" x14ac:dyDescent="0.25">
      <c r="A4745">
        <v>4744</v>
      </c>
      <c r="B4745" s="1" t="s">
        <v>12</v>
      </c>
      <c r="C4745">
        <v>2014</v>
      </c>
      <c r="D4745" s="1" t="s">
        <v>330</v>
      </c>
      <c r="E4745" s="1" t="s">
        <v>22</v>
      </c>
      <c r="F4745">
        <v>14</v>
      </c>
      <c r="G4745" s="1" t="s">
        <v>129</v>
      </c>
      <c r="H4745">
        <v>14035</v>
      </c>
      <c r="I4745">
        <v>115000</v>
      </c>
      <c r="J4745">
        <v>114700</v>
      </c>
      <c r="K4745">
        <v>275280</v>
      </c>
      <c r="L4745">
        <v>2400</v>
      </c>
    </row>
    <row r="4746" spans="1:12" hidden="1" x14ac:dyDescent="0.25">
      <c r="A4746">
        <v>4745</v>
      </c>
      <c r="B4746" s="1" t="s">
        <v>12</v>
      </c>
      <c r="C4746">
        <v>2014</v>
      </c>
      <c r="D4746" s="1" t="s">
        <v>330</v>
      </c>
      <c r="E4746" s="1" t="s">
        <v>22</v>
      </c>
      <c r="F4746">
        <v>14</v>
      </c>
      <c r="G4746" s="1" t="s">
        <v>184</v>
      </c>
      <c r="H4746">
        <v>14042</v>
      </c>
      <c r="I4746">
        <v>30100</v>
      </c>
      <c r="J4746">
        <v>29600</v>
      </c>
      <c r="K4746">
        <v>68050</v>
      </c>
      <c r="L4746">
        <v>2299</v>
      </c>
    </row>
    <row r="4747" spans="1:12" hidden="1" x14ac:dyDescent="0.25">
      <c r="A4747">
        <v>4746</v>
      </c>
      <c r="B4747" s="1" t="s">
        <v>12</v>
      </c>
      <c r="C4747">
        <v>2014</v>
      </c>
      <c r="D4747" s="1" t="s">
        <v>330</v>
      </c>
      <c r="E4747" s="1" t="s">
        <v>22</v>
      </c>
      <c r="F4747">
        <v>14</v>
      </c>
      <c r="G4747" s="1" t="s">
        <v>143</v>
      </c>
      <c r="H4747">
        <v>14056</v>
      </c>
      <c r="I4747">
        <v>50850</v>
      </c>
      <c r="J4747">
        <v>50850</v>
      </c>
      <c r="K4747">
        <v>122040</v>
      </c>
      <c r="L4747">
        <v>2400</v>
      </c>
    </row>
    <row r="4748" spans="1:12" hidden="1" x14ac:dyDescent="0.25">
      <c r="A4748">
        <v>4747</v>
      </c>
      <c r="B4748" s="1" t="s">
        <v>12</v>
      </c>
      <c r="C4748">
        <v>2014</v>
      </c>
      <c r="D4748" s="1" t="s">
        <v>330</v>
      </c>
      <c r="E4748" s="1" t="s">
        <v>22</v>
      </c>
      <c r="F4748">
        <v>14</v>
      </c>
      <c r="G4748" s="1" t="s">
        <v>206</v>
      </c>
      <c r="H4748">
        <v>14084</v>
      </c>
      <c r="I4748">
        <v>25000</v>
      </c>
      <c r="J4748">
        <v>24800</v>
      </c>
      <c r="K4748">
        <v>59520</v>
      </c>
      <c r="L4748">
        <v>2400</v>
      </c>
    </row>
    <row r="4749" spans="1:12" hidden="1" x14ac:dyDescent="0.25">
      <c r="A4749">
        <v>4748</v>
      </c>
      <c r="B4749" s="1" t="s">
        <v>12</v>
      </c>
      <c r="C4749">
        <v>2014</v>
      </c>
      <c r="D4749" s="1" t="s">
        <v>330</v>
      </c>
      <c r="E4749" s="1" t="s">
        <v>22</v>
      </c>
      <c r="F4749">
        <v>14</v>
      </c>
      <c r="G4749" s="1" t="s">
        <v>29</v>
      </c>
      <c r="H4749">
        <v>14098</v>
      </c>
      <c r="I4749">
        <v>124300</v>
      </c>
      <c r="J4749">
        <v>124300</v>
      </c>
      <c r="K4749">
        <v>298320</v>
      </c>
      <c r="L4749">
        <v>2400</v>
      </c>
    </row>
    <row r="4750" spans="1:12" hidden="1" x14ac:dyDescent="0.25">
      <c r="A4750">
        <v>4749</v>
      </c>
      <c r="B4750" s="1" t="s">
        <v>12</v>
      </c>
      <c r="C4750">
        <v>2014</v>
      </c>
      <c r="D4750" s="1" t="s">
        <v>330</v>
      </c>
      <c r="E4750" s="1" t="s">
        <v>22</v>
      </c>
      <c r="F4750">
        <v>14</v>
      </c>
      <c r="G4750" s="1" t="s">
        <v>24</v>
      </c>
      <c r="H4750">
        <v>14119</v>
      </c>
      <c r="I4750">
        <v>13100</v>
      </c>
      <c r="J4750">
        <v>13100</v>
      </c>
      <c r="K4750">
        <v>30090</v>
      </c>
      <c r="L4750">
        <v>2297</v>
      </c>
    </row>
    <row r="4751" spans="1:12" hidden="1" x14ac:dyDescent="0.25">
      <c r="A4751">
        <v>4750</v>
      </c>
      <c r="B4751" s="1" t="s">
        <v>12</v>
      </c>
      <c r="C4751">
        <v>2014</v>
      </c>
      <c r="D4751" s="1" t="s">
        <v>330</v>
      </c>
      <c r="E4751" s="1" t="s">
        <v>22</v>
      </c>
      <c r="F4751">
        <v>14</v>
      </c>
      <c r="G4751" s="1" t="s">
        <v>62</v>
      </c>
      <c r="H4751">
        <v>14133</v>
      </c>
      <c r="I4751">
        <v>2800</v>
      </c>
      <c r="J4751">
        <v>2800</v>
      </c>
      <c r="K4751">
        <v>6720</v>
      </c>
      <c r="L4751">
        <v>2400</v>
      </c>
    </row>
    <row r="4752" spans="1:12" hidden="1" x14ac:dyDescent="0.25">
      <c r="A4752">
        <v>4751</v>
      </c>
      <c r="B4752" s="1" t="s">
        <v>12</v>
      </c>
      <c r="C4752">
        <v>2014</v>
      </c>
      <c r="D4752" s="1" t="s">
        <v>330</v>
      </c>
      <c r="E4752" s="1" t="s">
        <v>22</v>
      </c>
      <c r="F4752">
        <v>14</v>
      </c>
      <c r="G4752" s="1" t="s">
        <v>23</v>
      </c>
      <c r="H4752">
        <v>14147</v>
      </c>
      <c r="I4752">
        <v>700</v>
      </c>
      <c r="J4752">
        <v>700</v>
      </c>
      <c r="K4752">
        <v>1540</v>
      </c>
      <c r="L4752">
        <v>2200</v>
      </c>
    </row>
    <row r="4753" spans="1:12" hidden="1" x14ac:dyDescent="0.25">
      <c r="A4753">
        <v>4752</v>
      </c>
      <c r="B4753" s="1" t="s">
        <v>12</v>
      </c>
      <c r="C4753">
        <v>2014</v>
      </c>
      <c r="D4753" s="1" t="s">
        <v>330</v>
      </c>
      <c r="E4753" s="1" t="s">
        <v>22</v>
      </c>
      <c r="F4753">
        <v>14</v>
      </c>
      <c r="G4753" s="1" t="s">
        <v>26</v>
      </c>
      <c r="H4753">
        <v>14161</v>
      </c>
      <c r="I4753">
        <v>25280</v>
      </c>
      <c r="J4753">
        <v>25280</v>
      </c>
      <c r="K4753">
        <v>58084</v>
      </c>
      <c r="L4753">
        <v>2298</v>
      </c>
    </row>
    <row r="4754" spans="1:12" hidden="1" x14ac:dyDescent="0.25">
      <c r="A4754">
        <v>4753</v>
      </c>
      <c r="B4754" s="1" t="s">
        <v>12</v>
      </c>
      <c r="C4754">
        <v>2014</v>
      </c>
      <c r="D4754" s="1" t="s">
        <v>330</v>
      </c>
      <c r="E4754" s="1" t="s">
        <v>22</v>
      </c>
      <c r="F4754">
        <v>14</v>
      </c>
      <c r="G4754" s="1" t="s">
        <v>122</v>
      </c>
      <c r="H4754">
        <v>14182</v>
      </c>
      <c r="I4754">
        <v>5000</v>
      </c>
      <c r="J4754">
        <v>5000</v>
      </c>
      <c r="K4754">
        <v>12000</v>
      </c>
      <c r="L4754">
        <v>2400</v>
      </c>
    </row>
    <row r="4755" spans="1:12" x14ac:dyDescent="0.25">
      <c r="A4755">
        <v>4754</v>
      </c>
      <c r="B4755" s="1" t="s">
        <v>12</v>
      </c>
      <c r="C4755">
        <v>2014</v>
      </c>
      <c r="D4755" s="1" t="s">
        <v>330</v>
      </c>
      <c r="E4755" s="1" t="s">
        <v>53</v>
      </c>
      <c r="F4755">
        <v>38</v>
      </c>
      <c r="G4755" s="1" t="s">
        <v>56</v>
      </c>
      <c r="H4755">
        <v>38063</v>
      </c>
      <c r="I4755">
        <v>392</v>
      </c>
      <c r="J4755">
        <v>392</v>
      </c>
      <c r="K4755">
        <v>588</v>
      </c>
      <c r="L4755">
        <v>1500</v>
      </c>
    </row>
    <row r="4756" spans="1:12" hidden="1" x14ac:dyDescent="0.25">
      <c r="A4756">
        <v>4755</v>
      </c>
      <c r="B4756" s="1" t="s">
        <v>12</v>
      </c>
      <c r="C4756">
        <v>2014</v>
      </c>
      <c r="D4756" s="1" t="s">
        <v>330</v>
      </c>
      <c r="E4756" s="1" t="s">
        <v>53</v>
      </c>
      <c r="F4756">
        <v>38</v>
      </c>
      <c r="G4756" s="1" t="s">
        <v>270</v>
      </c>
      <c r="H4756">
        <v>38070</v>
      </c>
      <c r="I4756">
        <v>196</v>
      </c>
      <c r="J4756">
        <v>196</v>
      </c>
      <c r="K4756">
        <v>294</v>
      </c>
      <c r="L4756">
        <v>1500</v>
      </c>
    </row>
    <row r="4757" spans="1:12" hidden="1" x14ac:dyDescent="0.25">
      <c r="A4757">
        <v>4756</v>
      </c>
      <c r="B4757" s="1" t="s">
        <v>12</v>
      </c>
      <c r="C4757">
        <v>2014</v>
      </c>
      <c r="D4757" s="1" t="s">
        <v>330</v>
      </c>
      <c r="E4757" s="1" t="s">
        <v>176</v>
      </c>
      <c r="F4757">
        <v>42</v>
      </c>
      <c r="G4757" s="1" t="s">
        <v>314</v>
      </c>
      <c r="H4757">
        <v>42056</v>
      </c>
      <c r="I4757">
        <v>3800</v>
      </c>
      <c r="J4757">
        <v>3800</v>
      </c>
      <c r="K4757">
        <v>10260</v>
      </c>
      <c r="L4757">
        <v>2700</v>
      </c>
    </row>
    <row r="4758" spans="1:12" hidden="1" x14ac:dyDescent="0.25">
      <c r="A4758">
        <v>4757</v>
      </c>
      <c r="B4758" s="1" t="s">
        <v>12</v>
      </c>
      <c r="C4758">
        <v>2014</v>
      </c>
      <c r="D4758" s="1" t="s">
        <v>330</v>
      </c>
      <c r="E4758" s="1" t="s">
        <v>176</v>
      </c>
      <c r="F4758">
        <v>42</v>
      </c>
      <c r="G4758" s="1" t="s">
        <v>322</v>
      </c>
      <c r="H4758">
        <v>42105</v>
      </c>
      <c r="I4758">
        <v>2500</v>
      </c>
      <c r="J4758">
        <v>2500</v>
      </c>
      <c r="K4758">
        <v>6250</v>
      </c>
      <c r="L4758">
        <v>2500</v>
      </c>
    </row>
    <row r="4759" spans="1:12" hidden="1" x14ac:dyDescent="0.25">
      <c r="A4759">
        <v>4758</v>
      </c>
      <c r="B4759" s="1" t="s">
        <v>12</v>
      </c>
      <c r="C4759">
        <v>2014</v>
      </c>
      <c r="D4759" s="1" t="s">
        <v>330</v>
      </c>
      <c r="E4759" s="1" t="s">
        <v>176</v>
      </c>
      <c r="F4759">
        <v>42</v>
      </c>
      <c r="G4759" s="1" t="s">
        <v>315</v>
      </c>
      <c r="H4759">
        <v>42126</v>
      </c>
      <c r="I4759">
        <v>400</v>
      </c>
      <c r="J4759">
        <v>400</v>
      </c>
      <c r="K4759">
        <v>880</v>
      </c>
      <c r="L4759">
        <v>2200</v>
      </c>
    </row>
    <row r="4760" spans="1:12" hidden="1" x14ac:dyDescent="0.25">
      <c r="A4760">
        <v>4759</v>
      </c>
      <c r="B4760" s="1" t="s">
        <v>12</v>
      </c>
      <c r="C4760">
        <v>2014</v>
      </c>
      <c r="D4760" s="1" t="s">
        <v>330</v>
      </c>
      <c r="E4760" s="1" t="s">
        <v>176</v>
      </c>
      <c r="F4760">
        <v>42</v>
      </c>
      <c r="G4760" s="1" t="s">
        <v>316</v>
      </c>
      <c r="H4760">
        <v>42133</v>
      </c>
      <c r="I4760">
        <v>2100</v>
      </c>
      <c r="J4760">
        <v>2100</v>
      </c>
      <c r="K4760">
        <v>4830</v>
      </c>
      <c r="L4760">
        <v>2300</v>
      </c>
    </row>
    <row r="4761" spans="1:12" hidden="1" x14ac:dyDescent="0.25">
      <c r="A4761">
        <v>4760</v>
      </c>
      <c r="B4761" s="1" t="s">
        <v>12</v>
      </c>
      <c r="C4761">
        <v>2014</v>
      </c>
      <c r="D4761" s="1" t="s">
        <v>330</v>
      </c>
      <c r="E4761" s="1" t="s">
        <v>87</v>
      </c>
      <c r="F4761">
        <v>66</v>
      </c>
      <c r="G4761" s="1" t="s">
        <v>153</v>
      </c>
      <c r="H4761">
        <v>66007</v>
      </c>
      <c r="I4761">
        <v>2450</v>
      </c>
      <c r="J4761">
        <v>2450</v>
      </c>
      <c r="K4761">
        <v>3185</v>
      </c>
      <c r="L4761">
        <v>1300</v>
      </c>
    </row>
    <row r="4762" spans="1:12" hidden="1" x14ac:dyDescent="0.25">
      <c r="A4762">
        <v>4761</v>
      </c>
      <c r="B4762" s="1" t="s">
        <v>12</v>
      </c>
      <c r="C4762">
        <v>2014</v>
      </c>
      <c r="D4762" s="1" t="s">
        <v>330</v>
      </c>
      <c r="E4762" s="1" t="s">
        <v>87</v>
      </c>
      <c r="F4762">
        <v>66</v>
      </c>
      <c r="G4762" s="1" t="s">
        <v>230</v>
      </c>
      <c r="H4762">
        <v>66056</v>
      </c>
      <c r="I4762">
        <v>5100</v>
      </c>
      <c r="J4762">
        <v>5100</v>
      </c>
      <c r="K4762">
        <v>7140</v>
      </c>
      <c r="L4762">
        <v>1400</v>
      </c>
    </row>
    <row r="4763" spans="1:12" hidden="1" x14ac:dyDescent="0.25">
      <c r="A4763">
        <v>4762</v>
      </c>
      <c r="B4763" s="1" t="s">
        <v>12</v>
      </c>
      <c r="C4763">
        <v>2014</v>
      </c>
      <c r="D4763" s="1" t="s">
        <v>330</v>
      </c>
      <c r="E4763" s="1" t="s">
        <v>87</v>
      </c>
      <c r="F4763">
        <v>66</v>
      </c>
      <c r="G4763" s="1" t="s">
        <v>179</v>
      </c>
      <c r="H4763">
        <v>66126</v>
      </c>
      <c r="I4763">
        <v>580</v>
      </c>
      <c r="J4763">
        <v>580</v>
      </c>
      <c r="K4763">
        <v>754</v>
      </c>
      <c r="L4763">
        <v>1300</v>
      </c>
    </row>
    <row r="4764" spans="1:12" hidden="1" x14ac:dyDescent="0.25">
      <c r="A4764">
        <v>4763</v>
      </c>
      <c r="B4764" s="1" t="s">
        <v>12</v>
      </c>
      <c r="C4764">
        <v>2014</v>
      </c>
      <c r="D4764" s="1" t="s">
        <v>330</v>
      </c>
      <c r="E4764" s="1" t="s">
        <v>116</v>
      </c>
      <c r="F4764">
        <v>74</v>
      </c>
      <c r="G4764" s="1" t="s">
        <v>195</v>
      </c>
      <c r="H4764">
        <v>74007</v>
      </c>
      <c r="I4764">
        <v>1500</v>
      </c>
      <c r="J4764">
        <v>1500</v>
      </c>
      <c r="K4764">
        <v>4500</v>
      </c>
      <c r="L4764">
        <v>3000</v>
      </c>
    </row>
    <row r="4765" spans="1:12" hidden="1" x14ac:dyDescent="0.25">
      <c r="A4765">
        <v>4764</v>
      </c>
      <c r="B4765" s="1" t="s">
        <v>12</v>
      </c>
      <c r="C4765">
        <v>2014</v>
      </c>
      <c r="D4765" s="1" t="s">
        <v>330</v>
      </c>
      <c r="E4765" s="1" t="s">
        <v>116</v>
      </c>
      <c r="F4765">
        <v>74</v>
      </c>
      <c r="G4765" s="1" t="s">
        <v>126</v>
      </c>
      <c r="H4765">
        <v>74035</v>
      </c>
      <c r="I4765">
        <v>7700</v>
      </c>
      <c r="J4765">
        <v>7700</v>
      </c>
      <c r="K4765">
        <v>23870</v>
      </c>
      <c r="L4765">
        <v>3100</v>
      </c>
    </row>
    <row r="4766" spans="1:12" hidden="1" x14ac:dyDescent="0.25">
      <c r="A4766">
        <v>4765</v>
      </c>
      <c r="B4766" s="1" t="s">
        <v>12</v>
      </c>
      <c r="C4766">
        <v>2014</v>
      </c>
      <c r="D4766" s="1" t="s">
        <v>330</v>
      </c>
      <c r="E4766" s="1" t="s">
        <v>116</v>
      </c>
      <c r="F4766">
        <v>74</v>
      </c>
      <c r="G4766" s="1" t="s">
        <v>326</v>
      </c>
      <c r="H4766">
        <v>74042</v>
      </c>
      <c r="I4766">
        <v>600</v>
      </c>
      <c r="J4766">
        <v>600</v>
      </c>
      <c r="K4766">
        <v>1620</v>
      </c>
      <c r="L4766">
        <v>2700</v>
      </c>
    </row>
    <row r="4767" spans="1:12" hidden="1" x14ac:dyDescent="0.25">
      <c r="A4767">
        <v>4766</v>
      </c>
      <c r="B4767" s="1" t="s">
        <v>12</v>
      </c>
      <c r="C4767">
        <v>2014</v>
      </c>
      <c r="D4767" s="1" t="s">
        <v>330</v>
      </c>
      <c r="E4767" s="1" t="s">
        <v>116</v>
      </c>
      <c r="F4767">
        <v>74</v>
      </c>
      <c r="G4767" s="1" t="s">
        <v>327</v>
      </c>
      <c r="H4767">
        <v>74056</v>
      </c>
      <c r="I4767">
        <v>1100</v>
      </c>
      <c r="J4767">
        <v>1100</v>
      </c>
      <c r="K4767">
        <v>3190</v>
      </c>
      <c r="L4767">
        <v>2900</v>
      </c>
    </row>
    <row r="4768" spans="1:12" hidden="1" x14ac:dyDescent="0.25">
      <c r="A4768">
        <v>4767</v>
      </c>
      <c r="B4768" s="1" t="s">
        <v>12</v>
      </c>
      <c r="C4768">
        <v>2014</v>
      </c>
      <c r="D4768" s="1" t="s">
        <v>330</v>
      </c>
      <c r="E4768" s="1" t="s">
        <v>64</v>
      </c>
      <c r="F4768">
        <v>82</v>
      </c>
      <c r="G4768" s="1" t="s">
        <v>66</v>
      </c>
      <c r="H4768">
        <v>82035</v>
      </c>
      <c r="I4768">
        <v>300</v>
      </c>
      <c r="J4768">
        <v>300</v>
      </c>
      <c r="K4768">
        <v>600</v>
      </c>
      <c r="L4768">
        <v>2000</v>
      </c>
    </row>
    <row r="4769" spans="1:12" hidden="1" x14ac:dyDescent="0.25">
      <c r="A4769">
        <v>4768</v>
      </c>
      <c r="B4769" s="1" t="s">
        <v>12</v>
      </c>
      <c r="C4769">
        <v>2014</v>
      </c>
      <c r="D4769" s="1" t="s">
        <v>330</v>
      </c>
      <c r="E4769" s="1" t="s">
        <v>64</v>
      </c>
      <c r="F4769">
        <v>82</v>
      </c>
      <c r="G4769" s="1" t="s">
        <v>272</v>
      </c>
      <c r="H4769">
        <v>82042</v>
      </c>
      <c r="I4769">
        <v>800</v>
      </c>
      <c r="J4769">
        <v>800</v>
      </c>
      <c r="K4769">
        <v>1920</v>
      </c>
      <c r="L4769">
        <v>2400</v>
      </c>
    </row>
    <row r="4770" spans="1:12" hidden="1" x14ac:dyDescent="0.25">
      <c r="A4770">
        <v>4769</v>
      </c>
      <c r="B4770" s="1" t="s">
        <v>12</v>
      </c>
      <c r="C4770">
        <v>2015</v>
      </c>
      <c r="D4770" s="1" t="s">
        <v>331</v>
      </c>
      <c r="E4770" s="1" t="s">
        <v>158</v>
      </c>
      <c r="F4770">
        <v>6</v>
      </c>
      <c r="G4770" s="1" t="s">
        <v>257</v>
      </c>
      <c r="H4770">
        <v>6392</v>
      </c>
      <c r="I4770">
        <v>1500</v>
      </c>
      <c r="J4770">
        <v>1500</v>
      </c>
      <c r="K4770">
        <v>3000</v>
      </c>
      <c r="L4770">
        <v>2000</v>
      </c>
    </row>
    <row r="4771" spans="1:12" hidden="1" x14ac:dyDescent="0.25">
      <c r="A4771">
        <v>4770</v>
      </c>
      <c r="B4771" s="1" t="s">
        <v>12</v>
      </c>
      <c r="C4771">
        <v>2015</v>
      </c>
      <c r="D4771" s="1" t="s">
        <v>331</v>
      </c>
      <c r="E4771" s="1" t="s">
        <v>22</v>
      </c>
      <c r="F4771">
        <v>14</v>
      </c>
      <c r="G4771" s="1" t="s">
        <v>129</v>
      </c>
      <c r="H4771">
        <v>14035</v>
      </c>
      <c r="I4771">
        <v>108000</v>
      </c>
      <c r="J4771">
        <v>105500</v>
      </c>
      <c r="K4771">
        <v>316500</v>
      </c>
      <c r="L4771">
        <v>3000</v>
      </c>
    </row>
    <row r="4772" spans="1:12" hidden="1" x14ac:dyDescent="0.25">
      <c r="A4772">
        <v>4771</v>
      </c>
      <c r="B4772" s="1" t="s">
        <v>12</v>
      </c>
      <c r="C4772">
        <v>2015</v>
      </c>
      <c r="D4772" s="1" t="s">
        <v>331</v>
      </c>
      <c r="E4772" s="1" t="s">
        <v>22</v>
      </c>
      <c r="F4772">
        <v>14</v>
      </c>
      <c r="G4772" s="1" t="s">
        <v>184</v>
      </c>
      <c r="H4772">
        <v>14042</v>
      </c>
      <c r="I4772">
        <v>8800</v>
      </c>
      <c r="J4772">
        <v>8400</v>
      </c>
      <c r="K4772">
        <v>17640</v>
      </c>
      <c r="L4772">
        <v>2100</v>
      </c>
    </row>
    <row r="4773" spans="1:12" hidden="1" x14ac:dyDescent="0.25">
      <c r="A4773">
        <v>4772</v>
      </c>
      <c r="B4773" s="1" t="s">
        <v>12</v>
      </c>
      <c r="C4773">
        <v>2015</v>
      </c>
      <c r="D4773" s="1" t="s">
        <v>331</v>
      </c>
      <c r="E4773" s="1" t="s">
        <v>22</v>
      </c>
      <c r="F4773">
        <v>14</v>
      </c>
      <c r="G4773" s="1" t="s">
        <v>143</v>
      </c>
      <c r="H4773">
        <v>14056</v>
      </c>
      <c r="I4773">
        <v>65450</v>
      </c>
      <c r="J4773">
        <v>55450</v>
      </c>
      <c r="K4773">
        <v>177440</v>
      </c>
      <c r="L4773">
        <v>3200</v>
      </c>
    </row>
    <row r="4774" spans="1:12" hidden="1" x14ac:dyDescent="0.25">
      <c r="A4774">
        <v>4773</v>
      </c>
      <c r="B4774" s="1" t="s">
        <v>12</v>
      </c>
      <c r="C4774">
        <v>2015</v>
      </c>
      <c r="D4774" s="1" t="s">
        <v>331</v>
      </c>
      <c r="E4774" s="1" t="s">
        <v>22</v>
      </c>
      <c r="F4774">
        <v>14</v>
      </c>
      <c r="G4774" s="1" t="s">
        <v>247</v>
      </c>
      <c r="H4774">
        <v>14063</v>
      </c>
      <c r="I4774">
        <v>3020</v>
      </c>
      <c r="J4774">
        <v>2820</v>
      </c>
      <c r="K4774">
        <v>10434</v>
      </c>
      <c r="L4774">
        <v>3700</v>
      </c>
    </row>
    <row r="4775" spans="1:12" hidden="1" x14ac:dyDescent="0.25">
      <c r="A4775">
        <v>4774</v>
      </c>
      <c r="B4775" s="1" t="s">
        <v>12</v>
      </c>
      <c r="C4775">
        <v>2015</v>
      </c>
      <c r="D4775" s="1" t="s">
        <v>331</v>
      </c>
      <c r="E4775" s="1" t="s">
        <v>22</v>
      </c>
      <c r="F4775">
        <v>14</v>
      </c>
      <c r="G4775" s="1" t="s">
        <v>206</v>
      </c>
      <c r="H4775">
        <v>14084</v>
      </c>
      <c r="I4775">
        <v>18000</v>
      </c>
      <c r="J4775">
        <v>16000</v>
      </c>
      <c r="K4775">
        <v>48000</v>
      </c>
      <c r="L4775">
        <v>3000</v>
      </c>
    </row>
    <row r="4776" spans="1:12" hidden="1" x14ac:dyDescent="0.25">
      <c r="A4776">
        <v>4775</v>
      </c>
      <c r="B4776" s="1" t="s">
        <v>12</v>
      </c>
      <c r="C4776">
        <v>2015</v>
      </c>
      <c r="D4776" s="1" t="s">
        <v>331</v>
      </c>
      <c r="E4776" s="1" t="s">
        <v>22</v>
      </c>
      <c r="F4776">
        <v>14</v>
      </c>
      <c r="G4776" s="1" t="s">
        <v>29</v>
      </c>
      <c r="H4776">
        <v>14098</v>
      </c>
      <c r="I4776">
        <v>74100</v>
      </c>
      <c r="J4776">
        <v>66100</v>
      </c>
      <c r="K4776">
        <v>198300</v>
      </c>
      <c r="L4776">
        <v>3000</v>
      </c>
    </row>
    <row r="4777" spans="1:12" hidden="1" x14ac:dyDescent="0.25">
      <c r="A4777">
        <v>4776</v>
      </c>
      <c r="B4777" s="1" t="s">
        <v>12</v>
      </c>
      <c r="C4777">
        <v>2015</v>
      </c>
      <c r="D4777" s="1" t="s">
        <v>331</v>
      </c>
      <c r="E4777" s="1" t="s">
        <v>22</v>
      </c>
      <c r="F4777">
        <v>14</v>
      </c>
      <c r="G4777" s="1" t="s">
        <v>24</v>
      </c>
      <c r="H4777">
        <v>14119</v>
      </c>
      <c r="I4777">
        <v>10000</v>
      </c>
      <c r="J4777">
        <v>9400</v>
      </c>
      <c r="K4777">
        <v>19740</v>
      </c>
      <c r="L4777">
        <v>2100</v>
      </c>
    </row>
    <row r="4778" spans="1:12" hidden="1" x14ac:dyDescent="0.25">
      <c r="A4778">
        <v>4777</v>
      </c>
      <c r="B4778" s="1" t="s">
        <v>12</v>
      </c>
      <c r="C4778">
        <v>2015</v>
      </c>
      <c r="D4778" s="1" t="s">
        <v>331</v>
      </c>
      <c r="E4778" s="1" t="s">
        <v>22</v>
      </c>
      <c r="F4778">
        <v>14</v>
      </c>
      <c r="G4778" s="1" t="s">
        <v>62</v>
      </c>
      <c r="H4778">
        <v>14133</v>
      </c>
      <c r="I4778">
        <v>2800</v>
      </c>
      <c r="J4778">
        <v>2800</v>
      </c>
      <c r="K4778">
        <v>9520</v>
      </c>
      <c r="L4778">
        <v>3400</v>
      </c>
    </row>
    <row r="4779" spans="1:12" hidden="1" x14ac:dyDescent="0.25">
      <c r="A4779">
        <v>4778</v>
      </c>
      <c r="B4779" s="1" t="s">
        <v>12</v>
      </c>
      <c r="C4779">
        <v>2015</v>
      </c>
      <c r="D4779" s="1" t="s">
        <v>331</v>
      </c>
      <c r="E4779" s="1" t="s">
        <v>22</v>
      </c>
      <c r="F4779">
        <v>14</v>
      </c>
      <c r="G4779" s="1" t="s">
        <v>23</v>
      </c>
      <c r="H4779">
        <v>14147</v>
      </c>
      <c r="I4779">
        <v>2400</v>
      </c>
      <c r="J4779">
        <v>2400</v>
      </c>
      <c r="K4779">
        <v>5280</v>
      </c>
      <c r="L4779">
        <v>2200</v>
      </c>
    </row>
    <row r="4780" spans="1:12" hidden="1" x14ac:dyDescent="0.25">
      <c r="A4780">
        <v>4779</v>
      </c>
      <c r="B4780" s="1" t="s">
        <v>12</v>
      </c>
      <c r="C4780">
        <v>2015</v>
      </c>
      <c r="D4780" s="1" t="s">
        <v>331</v>
      </c>
      <c r="E4780" s="1" t="s">
        <v>22</v>
      </c>
      <c r="F4780">
        <v>14</v>
      </c>
      <c r="G4780" s="1" t="s">
        <v>26</v>
      </c>
      <c r="H4780">
        <v>14161</v>
      </c>
      <c r="I4780">
        <v>32200</v>
      </c>
      <c r="J4780">
        <v>32200</v>
      </c>
      <c r="K4780">
        <v>67620</v>
      </c>
      <c r="L4780">
        <v>2100</v>
      </c>
    </row>
    <row r="4781" spans="1:12" hidden="1" x14ac:dyDescent="0.25">
      <c r="A4781">
        <v>4780</v>
      </c>
      <c r="B4781" s="1" t="s">
        <v>12</v>
      </c>
      <c r="C4781">
        <v>2015</v>
      </c>
      <c r="D4781" s="1" t="s">
        <v>331</v>
      </c>
      <c r="E4781" s="1" t="s">
        <v>22</v>
      </c>
      <c r="F4781">
        <v>14</v>
      </c>
      <c r="G4781" s="1" t="s">
        <v>122</v>
      </c>
      <c r="H4781">
        <v>14182</v>
      </c>
      <c r="I4781">
        <v>9000</v>
      </c>
      <c r="J4781">
        <v>8600</v>
      </c>
      <c r="K4781">
        <v>31820</v>
      </c>
      <c r="L4781">
        <v>3700</v>
      </c>
    </row>
    <row r="4782" spans="1:12" x14ac:dyDescent="0.25">
      <c r="A4782">
        <v>4781</v>
      </c>
      <c r="B4782" s="1" t="s">
        <v>12</v>
      </c>
      <c r="C4782">
        <v>2015</v>
      </c>
      <c r="D4782" s="1" t="s">
        <v>331</v>
      </c>
      <c r="E4782" s="1" t="s">
        <v>53</v>
      </c>
      <c r="F4782">
        <v>38</v>
      </c>
      <c r="G4782" s="1" t="s">
        <v>56</v>
      </c>
      <c r="H4782">
        <v>38063</v>
      </c>
      <c r="I4782">
        <v>196</v>
      </c>
      <c r="J4782">
        <v>196</v>
      </c>
      <c r="K4782">
        <v>235</v>
      </c>
      <c r="L4782">
        <v>1199</v>
      </c>
    </row>
    <row r="4783" spans="1:12" hidden="1" x14ac:dyDescent="0.25">
      <c r="A4783">
        <v>4782</v>
      </c>
      <c r="B4783" s="1" t="s">
        <v>12</v>
      </c>
      <c r="C4783">
        <v>2015</v>
      </c>
      <c r="D4783" s="1" t="s">
        <v>331</v>
      </c>
      <c r="E4783" s="1" t="s">
        <v>53</v>
      </c>
      <c r="F4783">
        <v>38</v>
      </c>
      <c r="G4783" s="1" t="s">
        <v>270</v>
      </c>
      <c r="H4783">
        <v>38070</v>
      </c>
      <c r="I4783">
        <v>392</v>
      </c>
      <c r="J4783">
        <v>392</v>
      </c>
      <c r="K4783">
        <v>470</v>
      </c>
      <c r="L4783">
        <v>1199</v>
      </c>
    </row>
    <row r="4784" spans="1:12" hidden="1" x14ac:dyDescent="0.25">
      <c r="A4784">
        <v>4783</v>
      </c>
      <c r="B4784" s="1" t="s">
        <v>12</v>
      </c>
      <c r="C4784">
        <v>2015</v>
      </c>
      <c r="D4784" s="1" t="s">
        <v>331</v>
      </c>
      <c r="E4784" s="1" t="s">
        <v>176</v>
      </c>
      <c r="F4784">
        <v>42</v>
      </c>
      <c r="G4784" s="1" t="s">
        <v>314</v>
      </c>
      <c r="H4784">
        <v>42056</v>
      </c>
      <c r="I4784">
        <v>8200</v>
      </c>
      <c r="J4784">
        <v>7000</v>
      </c>
      <c r="K4784">
        <v>28000</v>
      </c>
      <c r="L4784">
        <v>4000</v>
      </c>
    </row>
    <row r="4785" spans="1:12" hidden="1" x14ac:dyDescent="0.25">
      <c r="A4785">
        <v>4784</v>
      </c>
      <c r="B4785" s="1" t="s">
        <v>12</v>
      </c>
      <c r="C4785">
        <v>2015</v>
      </c>
      <c r="D4785" s="1" t="s">
        <v>331</v>
      </c>
      <c r="E4785" s="1" t="s">
        <v>176</v>
      </c>
      <c r="F4785">
        <v>42</v>
      </c>
      <c r="G4785" s="1" t="s">
        <v>324</v>
      </c>
      <c r="H4785">
        <v>42035</v>
      </c>
      <c r="I4785">
        <v>300</v>
      </c>
      <c r="J4785">
        <v>300</v>
      </c>
      <c r="K4785">
        <v>900</v>
      </c>
      <c r="L4785">
        <v>3000</v>
      </c>
    </row>
    <row r="4786" spans="1:12" hidden="1" x14ac:dyDescent="0.25">
      <c r="A4786">
        <v>4785</v>
      </c>
      <c r="B4786" s="1" t="s">
        <v>12</v>
      </c>
      <c r="C4786">
        <v>2015</v>
      </c>
      <c r="D4786" s="1" t="s">
        <v>331</v>
      </c>
      <c r="E4786" s="1" t="s">
        <v>176</v>
      </c>
      <c r="F4786">
        <v>42</v>
      </c>
      <c r="G4786" s="1" t="s">
        <v>322</v>
      </c>
      <c r="H4786">
        <v>42105</v>
      </c>
      <c r="I4786">
        <v>2500</v>
      </c>
      <c r="J4786">
        <v>2000</v>
      </c>
      <c r="K4786">
        <v>8000</v>
      </c>
      <c r="L4786">
        <v>4000</v>
      </c>
    </row>
    <row r="4787" spans="1:12" hidden="1" x14ac:dyDescent="0.25">
      <c r="A4787">
        <v>4786</v>
      </c>
      <c r="B4787" s="1" t="s">
        <v>12</v>
      </c>
      <c r="C4787">
        <v>2015</v>
      </c>
      <c r="D4787" s="1" t="s">
        <v>331</v>
      </c>
      <c r="E4787" s="1" t="s">
        <v>176</v>
      </c>
      <c r="F4787">
        <v>42</v>
      </c>
      <c r="G4787" s="1" t="s">
        <v>316</v>
      </c>
      <c r="H4787">
        <v>42133</v>
      </c>
      <c r="I4787">
        <v>3100</v>
      </c>
      <c r="J4787">
        <v>2500</v>
      </c>
      <c r="K4787">
        <v>8750</v>
      </c>
      <c r="L4787">
        <v>3500</v>
      </c>
    </row>
    <row r="4788" spans="1:12" hidden="1" x14ac:dyDescent="0.25">
      <c r="A4788">
        <v>4787</v>
      </c>
      <c r="B4788" s="1" t="s">
        <v>12</v>
      </c>
      <c r="C4788">
        <v>2015</v>
      </c>
      <c r="D4788" s="1" t="s">
        <v>331</v>
      </c>
      <c r="E4788" s="1" t="s">
        <v>87</v>
      </c>
      <c r="F4788">
        <v>66</v>
      </c>
      <c r="G4788" s="1" t="s">
        <v>153</v>
      </c>
      <c r="H4788">
        <v>66007</v>
      </c>
      <c r="I4788">
        <v>2450</v>
      </c>
      <c r="J4788">
        <v>2450</v>
      </c>
      <c r="K4788">
        <v>2205</v>
      </c>
      <c r="L4788">
        <v>900</v>
      </c>
    </row>
    <row r="4789" spans="1:12" hidden="1" x14ac:dyDescent="0.25">
      <c r="A4789">
        <v>4788</v>
      </c>
      <c r="B4789" s="1" t="s">
        <v>12</v>
      </c>
      <c r="C4789">
        <v>2015</v>
      </c>
      <c r="D4789" s="1" t="s">
        <v>331</v>
      </c>
      <c r="E4789" s="1" t="s">
        <v>87</v>
      </c>
      <c r="F4789">
        <v>66</v>
      </c>
      <c r="G4789" s="1" t="s">
        <v>230</v>
      </c>
      <c r="H4789">
        <v>66056</v>
      </c>
      <c r="I4789">
        <v>5100</v>
      </c>
      <c r="J4789">
        <v>5100</v>
      </c>
      <c r="K4789">
        <v>4080</v>
      </c>
      <c r="L4789">
        <v>800</v>
      </c>
    </row>
    <row r="4790" spans="1:12" hidden="1" x14ac:dyDescent="0.25">
      <c r="A4790">
        <v>4789</v>
      </c>
      <c r="B4790" s="1" t="s">
        <v>12</v>
      </c>
      <c r="C4790">
        <v>2015</v>
      </c>
      <c r="D4790" s="1" t="s">
        <v>331</v>
      </c>
      <c r="E4790" s="1" t="s">
        <v>87</v>
      </c>
      <c r="F4790">
        <v>66</v>
      </c>
      <c r="G4790" s="1" t="s">
        <v>179</v>
      </c>
      <c r="H4790">
        <v>66126</v>
      </c>
      <c r="I4790">
        <v>580</v>
      </c>
      <c r="J4790">
        <v>580</v>
      </c>
      <c r="K4790">
        <v>464</v>
      </c>
      <c r="L4790">
        <v>800</v>
      </c>
    </row>
    <row r="4791" spans="1:12" hidden="1" x14ac:dyDescent="0.25">
      <c r="A4791">
        <v>4790</v>
      </c>
      <c r="B4791" s="1" t="s">
        <v>12</v>
      </c>
      <c r="C4791">
        <v>2015</v>
      </c>
      <c r="D4791" s="1" t="s">
        <v>331</v>
      </c>
      <c r="E4791" s="1" t="s">
        <v>116</v>
      </c>
      <c r="F4791">
        <v>74</v>
      </c>
      <c r="G4791" s="1" t="s">
        <v>195</v>
      </c>
      <c r="H4791">
        <v>74007</v>
      </c>
      <c r="I4791">
        <v>1000</v>
      </c>
      <c r="J4791">
        <v>1000</v>
      </c>
      <c r="K4791">
        <v>4800</v>
      </c>
      <c r="L4791">
        <v>4800</v>
      </c>
    </row>
    <row r="4792" spans="1:12" hidden="1" x14ac:dyDescent="0.25">
      <c r="A4792">
        <v>4791</v>
      </c>
      <c r="B4792" s="1" t="s">
        <v>12</v>
      </c>
      <c r="C4792">
        <v>2015</v>
      </c>
      <c r="D4792" s="1" t="s">
        <v>331</v>
      </c>
      <c r="E4792" s="1" t="s">
        <v>116</v>
      </c>
      <c r="F4792">
        <v>74</v>
      </c>
      <c r="G4792" s="1" t="s">
        <v>126</v>
      </c>
      <c r="H4792">
        <v>74035</v>
      </c>
      <c r="I4792">
        <v>7700</v>
      </c>
      <c r="J4792">
        <v>7700</v>
      </c>
      <c r="K4792">
        <v>32340</v>
      </c>
      <c r="L4792">
        <v>4200</v>
      </c>
    </row>
    <row r="4793" spans="1:12" hidden="1" x14ac:dyDescent="0.25">
      <c r="A4793">
        <v>4792</v>
      </c>
      <c r="B4793" s="1" t="s">
        <v>12</v>
      </c>
      <c r="C4793">
        <v>2015</v>
      </c>
      <c r="D4793" s="1" t="s">
        <v>331</v>
      </c>
      <c r="E4793" s="1" t="s">
        <v>116</v>
      </c>
      <c r="F4793">
        <v>74</v>
      </c>
      <c r="G4793" s="1" t="s">
        <v>326</v>
      </c>
      <c r="H4793">
        <v>74042</v>
      </c>
      <c r="I4793">
        <v>600</v>
      </c>
      <c r="J4793">
        <v>600</v>
      </c>
      <c r="K4793">
        <v>2100</v>
      </c>
      <c r="L4793">
        <v>3500</v>
      </c>
    </row>
    <row r="4794" spans="1:12" hidden="1" x14ac:dyDescent="0.25">
      <c r="A4794">
        <v>4793</v>
      </c>
      <c r="B4794" s="1" t="s">
        <v>12</v>
      </c>
      <c r="C4794">
        <v>2015</v>
      </c>
      <c r="D4794" s="1" t="s">
        <v>331</v>
      </c>
      <c r="E4794" s="1" t="s">
        <v>116</v>
      </c>
      <c r="F4794">
        <v>74</v>
      </c>
      <c r="G4794" s="1" t="s">
        <v>327</v>
      </c>
      <c r="H4794">
        <v>74056</v>
      </c>
      <c r="I4794">
        <v>300</v>
      </c>
      <c r="J4794">
        <v>300</v>
      </c>
      <c r="K4794">
        <v>1260</v>
      </c>
      <c r="L4794">
        <v>4200</v>
      </c>
    </row>
    <row r="4795" spans="1:12" hidden="1" x14ac:dyDescent="0.25">
      <c r="A4795">
        <v>4794</v>
      </c>
      <c r="B4795" s="1" t="s">
        <v>12</v>
      </c>
      <c r="C4795">
        <v>2015</v>
      </c>
      <c r="D4795" s="1" t="s">
        <v>331</v>
      </c>
      <c r="E4795" s="1" t="s">
        <v>116</v>
      </c>
      <c r="F4795">
        <v>74</v>
      </c>
      <c r="G4795" s="1" t="s">
        <v>127</v>
      </c>
      <c r="H4795">
        <v>74049</v>
      </c>
      <c r="I4795">
        <v>350</v>
      </c>
      <c r="J4795">
        <v>350</v>
      </c>
      <c r="K4795">
        <v>1575</v>
      </c>
      <c r="L4795">
        <v>4500</v>
      </c>
    </row>
    <row r="4796" spans="1:12" hidden="1" x14ac:dyDescent="0.25">
      <c r="A4796">
        <v>4795</v>
      </c>
      <c r="B4796" s="1" t="s">
        <v>12</v>
      </c>
      <c r="C4796">
        <v>2015</v>
      </c>
      <c r="D4796" s="1" t="s">
        <v>331</v>
      </c>
      <c r="E4796" s="1" t="s">
        <v>64</v>
      </c>
      <c r="F4796">
        <v>82</v>
      </c>
      <c r="G4796" s="1" t="s">
        <v>66</v>
      </c>
      <c r="H4796">
        <v>82035</v>
      </c>
      <c r="I4796">
        <v>200</v>
      </c>
      <c r="J4796">
        <v>0</v>
      </c>
      <c r="K4796">
        <v>0</v>
      </c>
      <c r="L4796">
        <v>0</v>
      </c>
    </row>
    <row r="4797" spans="1:12" hidden="1" x14ac:dyDescent="0.25">
      <c r="A4797">
        <v>4796</v>
      </c>
      <c r="B4797" s="1" t="s">
        <v>12</v>
      </c>
      <c r="C4797">
        <v>2015</v>
      </c>
      <c r="D4797" s="1" t="s">
        <v>331</v>
      </c>
      <c r="E4797" s="1" t="s">
        <v>64</v>
      </c>
      <c r="F4797">
        <v>82</v>
      </c>
      <c r="G4797" s="1" t="s">
        <v>272</v>
      </c>
      <c r="H4797">
        <v>82042</v>
      </c>
      <c r="I4797">
        <v>200</v>
      </c>
      <c r="J4797">
        <v>200</v>
      </c>
      <c r="K4797">
        <v>640</v>
      </c>
      <c r="L4797">
        <v>3200</v>
      </c>
    </row>
    <row r="4798" spans="1:12" hidden="1" x14ac:dyDescent="0.25">
      <c r="A4798">
        <v>4797</v>
      </c>
      <c r="B4798" s="1" t="s">
        <v>12</v>
      </c>
      <c r="C4798">
        <v>2016</v>
      </c>
      <c r="D4798" s="1" t="s">
        <v>332</v>
      </c>
      <c r="E4798" s="1" t="s">
        <v>158</v>
      </c>
      <c r="F4798">
        <v>6</v>
      </c>
      <c r="G4798" s="1" t="s">
        <v>257</v>
      </c>
      <c r="H4798">
        <v>6392</v>
      </c>
      <c r="I4798">
        <v>300</v>
      </c>
      <c r="J4798">
        <v>300</v>
      </c>
      <c r="K4798">
        <v>600</v>
      </c>
      <c r="L4798">
        <v>2000</v>
      </c>
    </row>
    <row r="4799" spans="1:12" hidden="1" x14ac:dyDescent="0.25">
      <c r="A4799">
        <v>4798</v>
      </c>
      <c r="B4799" s="1" t="s">
        <v>12</v>
      </c>
      <c r="C4799">
        <v>2016</v>
      </c>
      <c r="D4799" s="1" t="s">
        <v>332</v>
      </c>
      <c r="E4799" s="1" t="s">
        <v>158</v>
      </c>
      <c r="F4799">
        <v>6</v>
      </c>
      <c r="G4799" s="1" t="s">
        <v>164</v>
      </c>
      <c r="H4799">
        <v>6469</v>
      </c>
      <c r="I4799">
        <v>490</v>
      </c>
      <c r="J4799">
        <v>490</v>
      </c>
      <c r="K4799">
        <v>1274</v>
      </c>
      <c r="L4799">
        <v>2600</v>
      </c>
    </row>
    <row r="4800" spans="1:12" hidden="1" x14ac:dyDescent="0.25">
      <c r="A4800">
        <v>4799</v>
      </c>
      <c r="B4800" s="1" t="s">
        <v>12</v>
      </c>
      <c r="C4800">
        <v>2016</v>
      </c>
      <c r="D4800" s="1" t="s">
        <v>332</v>
      </c>
      <c r="E4800" s="1" t="s">
        <v>22</v>
      </c>
      <c r="F4800">
        <v>14</v>
      </c>
      <c r="G4800" s="1" t="s">
        <v>97</v>
      </c>
      <c r="H4800">
        <v>14007</v>
      </c>
      <c r="I4800">
        <v>500</v>
      </c>
      <c r="J4800">
        <v>500</v>
      </c>
      <c r="K4800">
        <v>1750</v>
      </c>
      <c r="L4800">
        <v>3500</v>
      </c>
    </row>
    <row r="4801" spans="1:12" hidden="1" x14ac:dyDescent="0.25">
      <c r="A4801">
        <v>4800</v>
      </c>
      <c r="B4801" s="1" t="s">
        <v>12</v>
      </c>
      <c r="C4801">
        <v>2016</v>
      </c>
      <c r="D4801" s="1" t="s">
        <v>332</v>
      </c>
      <c r="E4801" s="1" t="s">
        <v>22</v>
      </c>
      <c r="F4801">
        <v>14</v>
      </c>
      <c r="G4801" s="1" t="s">
        <v>129</v>
      </c>
      <c r="H4801">
        <v>14035</v>
      </c>
      <c r="I4801">
        <v>95000</v>
      </c>
      <c r="J4801">
        <v>85500</v>
      </c>
      <c r="K4801">
        <v>265050</v>
      </c>
      <c r="L4801">
        <v>3100</v>
      </c>
    </row>
    <row r="4802" spans="1:12" hidden="1" x14ac:dyDescent="0.25">
      <c r="A4802">
        <v>4801</v>
      </c>
      <c r="B4802" s="1" t="s">
        <v>12</v>
      </c>
      <c r="C4802">
        <v>2016</v>
      </c>
      <c r="D4802" s="1" t="s">
        <v>332</v>
      </c>
      <c r="E4802" s="1" t="s">
        <v>22</v>
      </c>
      <c r="F4802">
        <v>14</v>
      </c>
      <c r="G4802" s="1" t="s">
        <v>184</v>
      </c>
      <c r="H4802">
        <v>14042</v>
      </c>
      <c r="I4802">
        <v>16000</v>
      </c>
      <c r="J4802">
        <v>16000</v>
      </c>
      <c r="K4802">
        <v>43200</v>
      </c>
      <c r="L4802">
        <v>2700</v>
      </c>
    </row>
    <row r="4803" spans="1:12" hidden="1" x14ac:dyDescent="0.25">
      <c r="A4803">
        <v>4802</v>
      </c>
      <c r="B4803" s="1" t="s">
        <v>12</v>
      </c>
      <c r="C4803">
        <v>2016</v>
      </c>
      <c r="D4803" s="1" t="s">
        <v>332</v>
      </c>
      <c r="E4803" s="1" t="s">
        <v>22</v>
      </c>
      <c r="F4803">
        <v>14</v>
      </c>
      <c r="G4803" s="1" t="s">
        <v>143</v>
      </c>
      <c r="H4803">
        <v>14056</v>
      </c>
      <c r="I4803">
        <v>54286</v>
      </c>
      <c r="J4803">
        <v>50086</v>
      </c>
      <c r="K4803">
        <v>175301</v>
      </c>
      <c r="L4803">
        <v>3500</v>
      </c>
    </row>
    <row r="4804" spans="1:12" hidden="1" x14ac:dyDescent="0.25">
      <c r="A4804">
        <v>4803</v>
      </c>
      <c r="B4804" s="1" t="s">
        <v>12</v>
      </c>
      <c r="C4804">
        <v>2016</v>
      </c>
      <c r="D4804" s="1" t="s">
        <v>332</v>
      </c>
      <c r="E4804" s="1" t="s">
        <v>22</v>
      </c>
      <c r="F4804">
        <v>14</v>
      </c>
      <c r="G4804" s="1" t="s">
        <v>247</v>
      </c>
      <c r="H4804">
        <v>14063</v>
      </c>
      <c r="I4804">
        <v>662</v>
      </c>
      <c r="J4804">
        <v>512</v>
      </c>
      <c r="K4804">
        <v>1997</v>
      </c>
      <c r="L4804">
        <v>3900</v>
      </c>
    </row>
    <row r="4805" spans="1:12" hidden="1" x14ac:dyDescent="0.25">
      <c r="A4805">
        <v>4804</v>
      </c>
      <c r="B4805" s="1" t="s">
        <v>12</v>
      </c>
      <c r="C4805">
        <v>2016</v>
      </c>
      <c r="D4805" s="1" t="s">
        <v>332</v>
      </c>
      <c r="E4805" s="1" t="s">
        <v>22</v>
      </c>
      <c r="F4805">
        <v>14</v>
      </c>
      <c r="G4805" s="1" t="s">
        <v>206</v>
      </c>
      <c r="H4805">
        <v>14084</v>
      </c>
      <c r="I4805">
        <v>21000</v>
      </c>
      <c r="J4805">
        <v>18000</v>
      </c>
      <c r="K4805">
        <v>55800</v>
      </c>
      <c r="L4805">
        <v>3100</v>
      </c>
    </row>
    <row r="4806" spans="1:12" hidden="1" x14ac:dyDescent="0.25">
      <c r="A4806">
        <v>4805</v>
      </c>
      <c r="B4806" s="1" t="s">
        <v>12</v>
      </c>
      <c r="C4806">
        <v>2016</v>
      </c>
      <c r="D4806" s="1" t="s">
        <v>332</v>
      </c>
      <c r="E4806" s="1" t="s">
        <v>22</v>
      </c>
      <c r="F4806">
        <v>14</v>
      </c>
      <c r="G4806" s="1" t="s">
        <v>29</v>
      </c>
      <c r="H4806">
        <v>14098</v>
      </c>
      <c r="I4806">
        <v>91619</v>
      </c>
      <c r="J4806">
        <v>85419</v>
      </c>
      <c r="K4806">
        <v>298967</v>
      </c>
      <c r="L4806">
        <v>3500</v>
      </c>
    </row>
    <row r="4807" spans="1:12" hidden="1" x14ac:dyDescent="0.25">
      <c r="A4807">
        <v>4806</v>
      </c>
      <c r="B4807" s="1" t="s">
        <v>12</v>
      </c>
      <c r="C4807">
        <v>2016</v>
      </c>
      <c r="D4807" s="1" t="s">
        <v>332</v>
      </c>
      <c r="E4807" s="1" t="s">
        <v>22</v>
      </c>
      <c r="F4807">
        <v>14</v>
      </c>
      <c r="G4807" s="1" t="s">
        <v>25</v>
      </c>
      <c r="H4807">
        <v>14105</v>
      </c>
      <c r="I4807">
        <v>4637</v>
      </c>
      <c r="J4807">
        <v>4637</v>
      </c>
      <c r="K4807">
        <v>17621</v>
      </c>
      <c r="L4807">
        <v>3800</v>
      </c>
    </row>
    <row r="4808" spans="1:12" hidden="1" x14ac:dyDescent="0.25">
      <c r="A4808">
        <v>4807</v>
      </c>
      <c r="B4808" s="1" t="s">
        <v>12</v>
      </c>
      <c r="C4808">
        <v>2016</v>
      </c>
      <c r="D4808" s="1" t="s">
        <v>332</v>
      </c>
      <c r="E4808" s="1" t="s">
        <v>22</v>
      </c>
      <c r="F4808">
        <v>14</v>
      </c>
      <c r="G4808" s="1" t="s">
        <v>24</v>
      </c>
      <c r="H4808">
        <v>14119</v>
      </c>
      <c r="I4808">
        <v>4500</v>
      </c>
      <c r="J4808">
        <v>4500</v>
      </c>
      <c r="K4808">
        <v>11250</v>
      </c>
      <c r="L4808">
        <v>2500</v>
      </c>
    </row>
    <row r="4809" spans="1:12" hidden="1" x14ac:dyDescent="0.25">
      <c r="A4809">
        <v>4808</v>
      </c>
      <c r="B4809" s="1" t="s">
        <v>12</v>
      </c>
      <c r="C4809">
        <v>2016</v>
      </c>
      <c r="D4809" s="1" t="s">
        <v>332</v>
      </c>
      <c r="E4809" s="1" t="s">
        <v>22</v>
      </c>
      <c r="F4809">
        <v>14</v>
      </c>
      <c r="G4809" s="1" t="s">
        <v>62</v>
      </c>
      <c r="H4809">
        <v>14133</v>
      </c>
      <c r="I4809">
        <v>2900</v>
      </c>
      <c r="J4809">
        <v>2900</v>
      </c>
      <c r="K4809">
        <v>11020</v>
      </c>
      <c r="L4809">
        <v>3800</v>
      </c>
    </row>
    <row r="4810" spans="1:12" hidden="1" x14ac:dyDescent="0.25">
      <c r="A4810">
        <v>4809</v>
      </c>
      <c r="B4810" s="1" t="s">
        <v>12</v>
      </c>
      <c r="C4810">
        <v>2016</v>
      </c>
      <c r="D4810" s="1" t="s">
        <v>332</v>
      </c>
      <c r="E4810" s="1" t="s">
        <v>22</v>
      </c>
      <c r="F4810">
        <v>14</v>
      </c>
      <c r="G4810" s="1" t="s">
        <v>67</v>
      </c>
      <c r="H4810">
        <v>14140</v>
      </c>
      <c r="I4810">
        <v>809</v>
      </c>
      <c r="J4810">
        <v>809</v>
      </c>
      <c r="K4810">
        <v>3074</v>
      </c>
      <c r="L4810">
        <v>3800</v>
      </c>
    </row>
    <row r="4811" spans="1:12" hidden="1" x14ac:dyDescent="0.25">
      <c r="A4811">
        <v>4810</v>
      </c>
      <c r="B4811" s="1" t="s">
        <v>12</v>
      </c>
      <c r="C4811">
        <v>2016</v>
      </c>
      <c r="D4811" s="1" t="s">
        <v>332</v>
      </c>
      <c r="E4811" s="1" t="s">
        <v>22</v>
      </c>
      <c r="F4811">
        <v>14</v>
      </c>
      <c r="G4811" s="1" t="s">
        <v>23</v>
      </c>
      <c r="H4811">
        <v>14147</v>
      </c>
      <c r="I4811">
        <v>500</v>
      </c>
      <c r="J4811">
        <v>500</v>
      </c>
      <c r="K4811">
        <v>1100</v>
      </c>
      <c r="L4811">
        <v>2200</v>
      </c>
    </row>
    <row r="4812" spans="1:12" hidden="1" x14ac:dyDescent="0.25">
      <c r="A4812">
        <v>4811</v>
      </c>
      <c r="B4812" s="1" t="s">
        <v>12</v>
      </c>
      <c r="C4812">
        <v>2016</v>
      </c>
      <c r="D4812" s="1" t="s">
        <v>332</v>
      </c>
      <c r="E4812" s="1" t="s">
        <v>22</v>
      </c>
      <c r="F4812">
        <v>14</v>
      </c>
      <c r="G4812" s="1" t="s">
        <v>26</v>
      </c>
      <c r="H4812">
        <v>14161</v>
      </c>
      <c r="I4812">
        <v>18000</v>
      </c>
      <c r="J4812">
        <v>18000</v>
      </c>
      <c r="K4812">
        <v>48600</v>
      </c>
      <c r="L4812">
        <v>2700</v>
      </c>
    </row>
    <row r="4813" spans="1:12" hidden="1" x14ac:dyDescent="0.25">
      <c r="A4813">
        <v>4812</v>
      </c>
      <c r="B4813" s="1" t="s">
        <v>12</v>
      </c>
      <c r="C4813">
        <v>2016</v>
      </c>
      <c r="D4813" s="1" t="s">
        <v>332</v>
      </c>
      <c r="E4813" s="1" t="s">
        <v>22</v>
      </c>
      <c r="F4813">
        <v>14</v>
      </c>
      <c r="G4813" s="1" t="s">
        <v>122</v>
      </c>
      <c r="H4813">
        <v>14182</v>
      </c>
      <c r="I4813">
        <v>5629</v>
      </c>
      <c r="J4813">
        <v>5329</v>
      </c>
      <c r="K4813">
        <v>20783</v>
      </c>
      <c r="L4813">
        <v>3900</v>
      </c>
    </row>
    <row r="4814" spans="1:12" x14ac:dyDescent="0.25">
      <c r="A4814">
        <v>4813</v>
      </c>
      <c r="B4814" s="1" t="s">
        <v>12</v>
      </c>
      <c r="C4814">
        <v>2016</v>
      </c>
      <c r="D4814" s="1" t="s">
        <v>332</v>
      </c>
      <c r="E4814" s="1" t="s">
        <v>53</v>
      </c>
      <c r="F4814">
        <v>38</v>
      </c>
      <c r="G4814" s="1" t="s">
        <v>56</v>
      </c>
      <c r="H4814">
        <v>38063</v>
      </c>
      <c r="I4814">
        <v>196</v>
      </c>
      <c r="J4814">
        <v>196</v>
      </c>
      <c r="K4814">
        <v>196</v>
      </c>
      <c r="L4814">
        <v>1000</v>
      </c>
    </row>
    <row r="4815" spans="1:12" hidden="1" x14ac:dyDescent="0.25">
      <c r="A4815">
        <v>4814</v>
      </c>
      <c r="B4815" s="1" t="s">
        <v>12</v>
      </c>
      <c r="C4815">
        <v>2016</v>
      </c>
      <c r="D4815" s="1" t="s">
        <v>332</v>
      </c>
      <c r="E4815" s="1" t="s">
        <v>53</v>
      </c>
      <c r="F4815">
        <v>38</v>
      </c>
      <c r="G4815" s="1" t="s">
        <v>270</v>
      </c>
      <c r="H4815">
        <v>38070</v>
      </c>
      <c r="I4815">
        <v>392</v>
      </c>
      <c r="J4815">
        <v>392</v>
      </c>
      <c r="K4815">
        <v>392</v>
      </c>
      <c r="L4815">
        <v>1000</v>
      </c>
    </row>
    <row r="4816" spans="1:12" hidden="1" x14ac:dyDescent="0.25">
      <c r="A4816">
        <v>4815</v>
      </c>
      <c r="B4816" s="1" t="s">
        <v>12</v>
      </c>
      <c r="C4816">
        <v>2016</v>
      </c>
      <c r="D4816" s="1" t="s">
        <v>332</v>
      </c>
      <c r="E4816" s="1" t="s">
        <v>176</v>
      </c>
      <c r="F4816">
        <v>42</v>
      </c>
      <c r="G4816" s="1" t="s">
        <v>314</v>
      </c>
      <c r="H4816">
        <v>42056</v>
      </c>
      <c r="I4816">
        <v>5400</v>
      </c>
      <c r="J4816">
        <v>3800</v>
      </c>
      <c r="K4816">
        <v>12160</v>
      </c>
      <c r="L4816">
        <v>3200</v>
      </c>
    </row>
    <row r="4817" spans="1:12" hidden="1" x14ac:dyDescent="0.25">
      <c r="A4817">
        <v>4816</v>
      </c>
      <c r="B4817" s="1" t="s">
        <v>12</v>
      </c>
      <c r="C4817">
        <v>2016</v>
      </c>
      <c r="D4817" s="1" t="s">
        <v>332</v>
      </c>
      <c r="E4817" s="1" t="s">
        <v>176</v>
      </c>
      <c r="F4817">
        <v>42</v>
      </c>
      <c r="G4817" s="1" t="s">
        <v>324</v>
      </c>
      <c r="H4817">
        <v>42035</v>
      </c>
      <c r="I4817">
        <v>600</v>
      </c>
      <c r="J4817">
        <v>600</v>
      </c>
      <c r="K4817">
        <v>1800</v>
      </c>
      <c r="L4817">
        <v>3000</v>
      </c>
    </row>
    <row r="4818" spans="1:12" hidden="1" x14ac:dyDescent="0.25">
      <c r="A4818">
        <v>4817</v>
      </c>
      <c r="B4818" s="1" t="s">
        <v>12</v>
      </c>
      <c r="C4818">
        <v>2016</v>
      </c>
      <c r="D4818" s="1" t="s">
        <v>332</v>
      </c>
      <c r="E4818" s="1" t="s">
        <v>176</v>
      </c>
      <c r="F4818">
        <v>42</v>
      </c>
      <c r="G4818" s="1" t="s">
        <v>322</v>
      </c>
      <c r="H4818">
        <v>42105</v>
      </c>
      <c r="I4818">
        <v>4700</v>
      </c>
      <c r="J4818">
        <v>3800</v>
      </c>
      <c r="K4818">
        <v>12160</v>
      </c>
      <c r="L4818">
        <v>3200</v>
      </c>
    </row>
    <row r="4819" spans="1:12" hidden="1" x14ac:dyDescent="0.25">
      <c r="A4819">
        <v>4818</v>
      </c>
      <c r="B4819" s="1" t="s">
        <v>12</v>
      </c>
      <c r="C4819">
        <v>2016</v>
      </c>
      <c r="D4819" s="1" t="s">
        <v>332</v>
      </c>
      <c r="E4819" s="1" t="s">
        <v>176</v>
      </c>
      <c r="F4819">
        <v>42</v>
      </c>
      <c r="G4819" s="1" t="s">
        <v>177</v>
      </c>
      <c r="H4819">
        <v>42119</v>
      </c>
      <c r="I4819">
        <v>350</v>
      </c>
      <c r="J4819">
        <v>350</v>
      </c>
      <c r="K4819">
        <v>1050</v>
      </c>
      <c r="L4819">
        <v>3000</v>
      </c>
    </row>
    <row r="4820" spans="1:12" hidden="1" x14ac:dyDescent="0.25">
      <c r="A4820">
        <v>4819</v>
      </c>
      <c r="B4820" s="1" t="s">
        <v>12</v>
      </c>
      <c r="C4820">
        <v>2016</v>
      </c>
      <c r="D4820" s="1" t="s">
        <v>332</v>
      </c>
      <c r="E4820" s="1" t="s">
        <v>176</v>
      </c>
      <c r="F4820">
        <v>42</v>
      </c>
      <c r="G4820" s="1" t="s">
        <v>315</v>
      </c>
      <c r="H4820">
        <v>42126</v>
      </c>
      <c r="I4820">
        <v>500</v>
      </c>
      <c r="J4820">
        <v>500</v>
      </c>
      <c r="K4820">
        <v>1500</v>
      </c>
      <c r="L4820">
        <v>3000</v>
      </c>
    </row>
    <row r="4821" spans="1:12" hidden="1" x14ac:dyDescent="0.25">
      <c r="A4821">
        <v>4820</v>
      </c>
      <c r="B4821" s="1" t="s">
        <v>12</v>
      </c>
      <c r="C4821">
        <v>2016</v>
      </c>
      <c r="D4821" s="1" t="s">
        <v>332</v>
      </c>
      <c r="E4821" s="1" t="s">
        <v>176</v>
      </c>
      <c r="F4821">
        <v>42</v>
      </c>
      <c r="G4821" s="1" t="s">
        <v>316</v>
      </c>
      <c r="H4821">
        <v>42133</v>
      </c>
      <c r="I4821">
        <v>2800</v>
      </c>
      <c r="J4821">
        <v>2000</v>
      </c>
      <c r="K4821">
        <v>6400</v>
      </c>
      <c r="L4821">
        <v>3200</v>
      </c>
    </row>
    <row r="4822" spans="1:12" hidden="1" x14ac:dyDescent="0.25">
      <c r="A4822">
        <v>4821</v>
      </c>
      <c r="B4822" s="1" t="s">
        <v>12</v>
      </c>
      <c r="C4822">
        <v>2016</v>
      </c>
      <c r="D4822" s="1" t="s">
        <v>332</v>
      </c>
      <c r="E4822" s="1" t="s">
        <v>87</v>
      </c>
      <c r="F4822">
        <v>66</v>
      </c>
      <c r="G4822" s="1" t="s">
        <v>153</v>
      </c>
      <c r="H4822">
        <v>66007</v>
      </c>
      <c r="I4822">
        <v>2450</v>
      </c>
      <c r="J4822">
        <v>650</v>
      </c>
      <c r="K4822">
        <v>455</v>
      </c>
      <c r="L4822">
        <v>700</v>
      </c>
    </row>
    <row r="4823" spans="1:12" hidden="1" x14ac:dyDescent="0.25">
      <c r="A4823">
        <v>4822</v>
      </c>
      <c r="B4823" s="1" t="s">
        <v>12</v>
      </c>
      <c r="C4823">
        <v>2016</v>
      </c>
      <c r="D4823" s="1" t="s">
        <v>332</v>
      </c>
      <c r="E4823" s="1" t="s">
        <v>87</v>
      </c>
      <c r="F4823">
        <v>66</v>
      </c>
      <c r="G4823" s="1" t="s">
        <v>230</v>
      </c>
      <c r="H4823">
        <v>66056</v>
      </c>
      <c r="I4823">
        <v>5100</v>
      </c>
      <c r="J4823">
        <v>5100</v>
      </c>
      <c r="K4823">
        <v>4590</v>
      </c>
      <c r="L4823">
        <v>900</v>
      </c>
    </row>
    <row r="4824" spans="1:12" hidden="1" x14ac:dyDescent="0.25">
      <c r="A4824">
        <v>4823</v>
      </c>
      <c r="B4824" s="1" t="s">
        <v>12</v>
      </c>
      <c r="C4824">
        <v>2016</v>
      </c>
      <c r="D4824" s="1" t="s">
        <v>332</v>
      </c>
      <c r="E4824" s="1" t="s">
        <v>87</v>
      </c>
      <c r="F4824">
        <v>66</v>
      </c>
      <c r="G4824" s="1" t="s">
        <v>179</v>
      </c>
      <c r="H4824">
        <v>66126</v>
      </c>
      <c r="I4824">
        <v>580</v>
      </c>
      <c r="J4824">
        <v>580</v>
      </c>
      <c r="K4824">
        <v>522</v>
      </c>
      <c r="L4824">
        <v>900</v>
      </c>
    </row>
    <row r="4825" spans="1:12" hidden="1" x14ac:dyDescent="0.25">
      <c r="A4825">
        <v>4824</v>
      </c>
      <c r="B4825" s="1" t="s">
        <v>12</v>
      </c>
      <c r="C4825">
        <v>2016</v>
      </c>
      <c r="D4825" s="1" t="s">
        <v>332</v>
      </c>
      <c r="E4825" s="1" t="s">
        <v>116</v>
      </c>
      <c r="F4825">
        <v>74</v>
      </c>
      <c r="G4825" s="1" t="s">
        <v>195</v>
      </c>
      <c r="H4825">
        <v>74007</v>
      </c>
      <c r="I4825">
        <v>1500</v>
      </c>
      <c r="J4825">
        <v>1500</v>
      </c>
      <c r="K4825">
        <v>6750</v>
      </c>
      <c r="L4825">
        <v>4500</v>
      </c>
    </row>
    <row r="4826" spans="1:12" hidden="1" x14ac:dyDescent="0.25">
      <c r="A4826">
        <v>4825</v>
      </c>
      <c r="B4826" s="1" t="s">
        <v>12</v>
      </c>
      <c r="C4826">
        <v>2016</v>
      </c>
      <c r="D4826" s="1" t="s">
        <v>332</v>
      </c>
      <c r="E4826" s="1" t="s">
        <v>116</v>
      </c>
      <c r="F4826">
        <v>74</v>
      </c>
      <c r="G4826" s="1" t="s">
        <v>126</v>
      </c>
      <c r="H4826">
        <v>74035</v>
      </c>
      <c r="I4826">
        <v>15000</v>
      </c>
      <c r="J4826">
        <v>15000</v>
      </c>
      <c r="K4826">
        <v>57000</v>
      </c>
      <c r="L4826">
        <v>3800</v>
      </c>
    </row>
    <row r="4827" spans="1:12" hidden="1" x14ac:dyDescent="0.25">
      <c r="A4827">
        <v>4826</v>
      </c>
      <c r="B4827" s="1" t="s">
        <v>12</v>
      </c>
      <c r="C4827">
        <v>2016</v>
      </c>
      <c r="D4827" s="1" t="s">
        <v>332</v>
      </c>
      <c r="E4827" s="1" t="s">
        <v>116</v>
      </c>
      <c r="F4827">
        <v>74</v>
      </c>
      <c r="G4827" s="1" t="s">
        <v>326</v>
      </c>
      <c r="H4827">
        <v>74042</v>
      </c>
      <c r="I4827">
        <v>1500</v>
      </c>
      <c r="J4827">
        <v>1500</v>
      </c>
      <c r="K4827">
        <v>5550</v>
      </c>
      <c r="L4827">
        <v>3700</v>
      </c>
    </row>
    <row r="4828" spans="1:12" hidden="1" x14ac:dyDescent="0.25">
      <c r="A4828">
        <v>4827</v>
      </c>
      <c r="B4828" s="1" t="s">
        <v>12</v>
      </c>
      <c r="C4828">
        <v>2016</v>
      </c>
      <c r="D4828" s="1" t="s">
        <v>332</v>
      </c>
      <c r="E4828" s="1" t="s">
        <v>116</v>
      </c>
      <c r="F4828">
        <v>74</v>
      </c>
      <c r="G4828" s="1" t="s">
        <v>327</v>
      </c>
      <c r="H4828">
        <v>74056</v>
      </c>
      <c r="I4828">
        <v>300</v>
      </c>
      <c r="J4828">
        <v>300</v>
      </c>
      <c r="K4828">
        <v>1170</v>
      </c>
      <c r="L4828">
        <v>3900</v>
      </c>
    </row>
    <row r="4829" spans="1:12" hidden="1" x14ac:dyDescent="0.25">
      <c r="A4829">
        <v>4828</v>
      </c>
      <c r="B4829" s="1" t="s">
        <v>12</v>
      </c>
      <c r="C4829">
        <v>2016</v>
      </c>
      <c r="D4829" s="1" t="s">
        <v>332</v>
      </c>
      <c r="E4829" s="1" t="s">
        <v>116</v>
      </c>
      <c r="F4829">
        <v>74</v>
      </c>
      <c r="G4829" s="1" t="s">
        <v>127</v>
      </c>
      <c r="H4829">
        <v>74049</v>
      </c>
      <c r="I4829">
        <v>350</v>
      </c>
      <c r="J4829">
        <v>350</v>
      </c>
      <c r="K4829">
        <v>1680</v>
      </c>
      <c r="L4829">
        <v>4800</v>
      </c>
    </row>
    <row r="4830" spans="1:12" hidden="1" x14ac:dyDescent="0.25">
      <c r="A4830">
        <v>4829</v>
      </c>
      <c r="B4830" s="1" t="s">
        <v>12</v>
      </c>
      <c r="C4830">
        <v>2016</v>
      </c>
      <c r="D4830" s="1" t="s">
        <v>332</v>
      </c>
      <c r="E4830" s="1" t="s">
        <v>64</v>
      </c>
      <c r="F4830">
        <v>82</v>
      </c>
      <c r="G4830" s="1" t="s">
        <v>272</v>
      </c>
      <c r="H4830">
        <v>82042</v>
      </c>
      <c r="I4830">
        <v>5641</v>
      </c>
      <c r="J4830">
        <v>3950</v>
      </c>
      <c r="K4830">
        <v>10270</v>
      </c>
      <c r="L4830">
        <v>2600</v>
      </c>
    </row>
    <row r="4831" spans="1:12" hidden="1" x14ac:dyDescent="0.25">
      <c r="A4831">
        <v>4830</v>
      </c>
      <c r="B4831" s="1" t="s">
        <v>12</v>
      </c>
      <c r="C4831">
        <v>2017</v>
      </c>
      <c r="D4831" s="1" t="s">
        <v>333</v>
      </c>
      <c r="E4831" s="1" t="s">
        <v>158</v>
      </c>
      <c r="F4831">
        <v>6</v>
      </c>
      <c r="G4831" s="1" t="s">
        <v>334</v>
      </c>
      <c r="H4831">
        <v>6007</v>
      </c>
      <c r="I4831">
        <v>1300</v>
      </c>
      <c r="J4831">
        <v>1300</v>
      </c>
      <c r="K4831">
        <v>4160</v>
      </c>
      <c r="L4831">
        <v>3200</v>
      </c>
    </row>
    <row r="4832" spans="1:12" hidden="1" x14ac:dyDescent="0.25">
      <c r="A4832">
        <v>4831</v>
      </c>
      <c r="B4832" s="1" t="s">
        <v>12</v>
      </c>
      <c r="C4832">
        <v>2017</v>
      </c>
      <c r="D4832" s="1" t="s">
        <v>333</v>
      </c>
      <c r="E4832" s="1" t="s">
        <v>158</v>
      </c>
      <c r="F4832">
        <v>6</v>
      </c>
      <c r="G4832" s="1" t="s">
        <v>160</v>
      </c>
      <c r="H4832">
        <v>6351</v>
      </c>
      <c r="I4832">
        <v>600</v>
      </c>
      <c r="J4832">
        <v>600</v>
      </c>
      <c r="K4832">
        <v>2280</v>
      </c>
      <c r="L4832">
        <v>3800</v>
      </c>
    </row>
    <row r="4833" spans="1:12" hidden="1" x14ac:dyDescent="0.25">
      <c r="A4833">
        <v>4832</v>
      </c>
      <c r="B4833" s="1" t="s">
        <v>12</v>
      </c>
      <c r="C4833">
        <v>2017</v>
      </c>
      <c r="D4833" s="1" t="s">
        <v>333</v>
      </c>
      <c r="E4833" s="1" t="s">
        <v>158</v>
      </c>
      <c r="F4833">
        <v>6</v>
      </c>
      <c r="G4833" s="1" t="s">
        <v>257</v>
      </c>
      <c r="H4833">
        <v>6392</v>
      </c>
      <c r="I4833">
        <v>2000</v>
      </c>
      <c r="J4833">
        <v>2000</v>
      </c>
      <c r="K4833">
        <v>8400</v>
      </c>
      <c r="L4833">
        <v>4200</v>
      </c>
    </row>
    <row r="4834" spans="1:12" hidden="1" x14ac:dyDescent="0.25">
      <c r="A4834">
        <v>4833</v>
      </c>
      <c r="B4834" s="1" t="s">
        <v>12</v>
      </c>
      <c r="C4834">
        <v>2017</v>
      </c>
      <c r="D4834" s="1" t="s">
        <v>333</v>
      </c>
      <c r="E4834" s="1" t="s">
        <v>158</v>
      </c>
      <c r="F4834">
        <v>6</v>
      </c>
      <c r="G4834" s="1" t="s">
        <v>135</v>
      </c>
      <c r="H4834">
        <v>6616</v>
      </c>
      <c r="I4834">
        <v>2800</v>
      </c>
      <c r="J4834">
        <v>2800</v>
      </c>
      <c r="K4834">
        <v>8960</v>
      </c>
      <c r="L4834">
        <v>3200</v>
      </c>
    </row>
    <row r="4835" spans="1:12" hidden="1" x14ac:dyDescent="0.25">
      <c r="A4835">
        <v>4834</v>
      </c>
      <c r="B4835" s="1" t="s">
        <v>12</v>
      </c>
      <c r="C4835">
        <v>2017</v>
      </c>
      <c r="D4835" s="1" t="s">
        <v>333</v>
      </c>
      <c r="E4835" s="1" t="s">
        <v>158</v>
      </c>
      <c r="F4835">
        <v>6</v>
      </c>
      <c r="G4835" s="1" t="s">
        <v>161</v>
      </c>
      <c r="H4835">
        <v>6679</v>
      </c>
      <c r="I4835">
        <v>1710</v>
      </c>
      <c r="J4835">
        <v>1710</v>
      </c>
      <c r="K4835">
        <v>5472</v>
      </c>
      <c r="L4835">
        <v>3200</v>
      </c>
    </row>
    <row r="4836" spans="1:12" hidden="1" x14ac:dyDescent="0.25">
      <c r="A4836">
        <v>4835</v>
      </c>
      <c r="B4836" s="1" t="s">
        <v>12</v>
      </c>
      <c r="C4836">
        <v>2017</v>
      </c>
      <c r="D4836" s="1" t="s">
        <v>333</v>
      </c>
      <c r="E4836" s="1" t="s">
        <v>22</v>
      </c>
      <c r="F4836">
        <v>14</v>
      </c>
      <c r="G4836" s="1" t="s">
        <v>97</v>
      </c>
      <c r="H4836">
        <v>14007</v>
      </c>
      <c r="I4836">
        <v>6526</v>
      </c>
      <c r="J4836">
        <v>6526</v>
      </c>
      <c r="K4836">
        <v>19578</v>
      </c>
      <c r="L4836">
        <v>3000</v>
      </c>
    </row>
    <row r="4837" spans="1:12" hidden="1" x14ac:dyDescent="0.25">
      <c r="A4837">
        <v>4836</v>
      </c>
      <c r="B4837" s="1" t="s">
        <v>12</v>
      </c>
      <c r="C4837">
        <v>2017</v>
      </c>
      <c r="D4837" s="1" t="s">
        <v>333</v>
      </c>
      <c r="E4837" s="1" t="s">
        <v>22</v>
      </c>
      <c r="F4837">
        <v>14</v>
      </c>
      <c r="G4837" s="1" t="s">
        <v>129</v>
      </c>
      <c r="H4837">
        <v>14035</v>
      </c>
      <c r="I4837">
        <v>55000</v>
      </c>
      <c r="J4837">
        <v>52000</v>
      </c>
      <c r="K4837">
        <v>130000</v>
      </c>
      <c r="L4837">
        <v>2500</v>
      </c>
    </row>
    <row r="4838" spans="1:12" hidden="1" x14ac:dyDescent="0.25">
      <c r="A4838">
        <v>4837</v>
      </c>
      <c r="B4838" s="1" t="s">
        <v>12</v>
      </c>
      <c r="C4838">
        <v>2017</v>
      </c>
      <c r="D4838" s="1" t="s">
        <v>333</v>
      </c>
      <c r="E4838" s="1" t="s">
        <v>22</v>
      </c>
      <c r="F4838">
        <v>14</v>
      </c>
      <c r="G4838" s="1" t="s">
        <v>184</v>
      </c>
      <c r="H4838">
        <v>14042</v>
      </c>
      <c r="I4838">
        <v>22000</v>
      </c>
      <c r="J4838">
        <v>22000</v>
      </c>
      <c r="K4838">
        <v>39600</v>
      </c>
      <c r="L4838">
        <v>1800</v>
      </c>
    </row>
    <row r="4839" spans="1:12" hidden="1" x14ac:dyDescent="0.25">
      <c r="A4839">
        <v>4838</v>
      </c>
      <c r="B4839" s="1" t="s">
        <v>12</v>
      </c>
      <c r="C4839">
        <v>2017</v>
      </c>
      <c r="D4839" s="1" t="s">
        <v>333</v>
      </c>
      <c r="E4839" s="1" t="s">
        <v>22</v>
      </c>
      <c r="F4839">
        <v>14</v>
      </c>
      <c r="G4839" s="1" t="s">
        <v>143</v>
      </c>
      <c r="H4839">
        <v>14056</v>
      </c>
      <c r="I4839">
        <v>69329</v>
      </c>
      <c r="J4839">
        <v>69329</v>
      </c>
      <c r="K4839">
        <v>124792</v>
      </c>
      <c r="L4839">
        <v>1800</v>
      </c>
    </row>
    <row r="4840" spans="1:12" hidden="1" x14ac:dyDescent="0.25">
      <c r="A4840">
        <v>4839</v>
      </c>
      <c r="B4840" s="1" t="s">
        <v>12</v>
      </c>
      <c r="C4840">
        <v>2017</v>
      </c>
      <c r="D4840" s="1" t="s">
        <v>333</v>
      </c>
      <c r="E4840" s="1" t="s">
        <v>22</v>
      </c>
      <c r="F4840">
        <v>14</v>
      </c>
      <c r="G4840" s="1" t="s">
        <v>247</v>
      </c>
      <c r="H4840">
        <v>14063</v>
      </c>
      <c r="I4840">
        <v>2955</v>
      </c>
      <c r="J4840">
        <v>2555</v>
      </c>
      <c r="K4840">
        <v>4855</v>
      </c>
      <c r="L4840">
        <v>1900</v>
      </c>
    </row>
    <row r="4841" spans="1:12" hidden="1" x14ac:dyDescent="0.25">
      <c r="A4841">
        <v>4840</v>
      </c>
      <c r="B4841" s="1" t="s">
        <v>12</v>
      </c>
      <c r="C4841">
        <v>2017</v>
      </c>
      <c r="D4841" s="1" t="s">
        <v>333</v>
      </c>
      <c r="E4841" s="1" t="s">
        <v>22</v>
      </c>
      <c r="F4841">
        <v>14</v>
      </c>
      <c r="G4841" s="1" t="s">
        <v>206</v>
      </c>
      <c r="H4841">
        <v>14084</v>
      </c>
      <c r="I4841">
        <v>18000</v>
      </c>
      <c r="J4841">
        <v>15000</v>
      </c>
      <c r="K4841">
        <v>37500</v>
      </c>
      <c r="L4841">
        <v>2500</v>
      </c>
    </row>
    <row r="4842" spans="1:12" hidden="1" x14ac:dyDescent="0.25">
      <c r="A4842">
        <v>4841</v>
      </c>
      <c r="B4842" s="1" t="s">
        <v>12</v>
      </c>
      <c r="C4842">
        <v>2017</v>
      </c>
      <c r="D4842" s="1" t="s">
        <v>333</v>
      </c>
      <c r="E4842" s="1" t="s">
        <v>22</v>
      </c>
      <c r="F4842">
        <v>14</v>
      </c>
      <c r="G4842" s="1" t="s">
        <v>29</v>
      </c>
      <c r="H4842">
        <v>14098</v>
      </c>
      <c r="I4842">
        <v>163000</v>
      </c>
      <c r="J4842">
        <v>163000</v>
      </c>
      <c r="K4842">
        <v>293400</v>
      </c>
      <c r="L4842">
        <v>1800</v>
      </c>
    </row>
    <row r="4843" spans="1:12" hidden="1" x14ac:dyDescent="0.25">
      <c r="A4843">
        <v>4842</v>
      </c>
      <c r="B4843" s="1" t="s">
        <v>12</v>
      </c>
      <c r="C4843">
        <v>2017</v>
      </c>
      <c r="D4843" s="1" t="s">
        <v>333</v>
      </c>
      <c r="E4843" s="1" t="s">
        <v>22</v>
      </c>
      <c r="F4843">
        <v>14</v>
      </c>
      <c r="G4843" s="1" t="s">
        <v>25</v>
      </c>
      <c r="H4843">
        <v>14105</v>
      </c>
      <c r="I4843">
        <v>5907</v>
      </c>
      <c r="J4843">
        <v>5671</v>
      </c>
      <c r="K4843">
        <v>15312</v>
      </c>
      <c r="L4843">
        <v>2700</v>
      </c>
    </row>
    <row r="4844" spans="1:12" hidden="1" x14ac:dyDescent="0.25">
      <c r="A4844">
        <v>4843</v>
      </c>
      <c r="B4844" s="1" t="s">
        <v>12</v>
      </c>
      <c r="C4844">
        <v>2017</v>
      </c>
      <c r="D4844" s="1" t="s">
        <v>333</v>
      </c>
      <c r="E4844" s="1" t="s">
        <v>22</v>
      </c>
      <c r="F4844">
        <v>14</v>
      </c>
      <c r="G4844" s="1" t="s">
        <v>24</v>
      </c>
      <c r="H4844">
        <v>14119</v>
      </c>
      <c r="I4844">
        <v>13500</v>
      </c>
      <c r="J4844">
        <v>13500</v>
      </c>
      <c r="K4844">
        <v>31050</v>
      </c>
      <c r="L4844">
        <v>2300</v>
      </c>
    </row>
    <row r="4845" spans="1:12" hidden="1" x14ac:dyDescent="0.25">
      <c r="A4845">
        <v>4844</v>
      </c>
      <c r="B4845" s="1" t="s">
        <v>12</v>
      </c>
      <c r="C4845">
        <v>2017</v>
      </c>
      <c r="D4845" s="1" t="s">
        <v>333</v>
      </c>
      <c r="E4845" s="1" t="s">
        <v>22</v>
      </c>
      <c r="F4845">
        <v>14</v>
      </c>
      <c r="G4845" s="1" t="s">
        <v>62</v>
      </c>
      <c r="H4845">
        <v>14133</v>
      </c>
      <c r="I4845">
        <v>3500</v>
      </c>
      <c r="J4845">
        <v>3500</v>
      </c>
      <c r="K4845">
        <v>13300</v>
      </c>
      <c r="L4845">
        <v>3800</v>
      </c>
    </row>
    <row r="4846" spans="1:12" hidden="1" x14ac:dyDescent="0.25">
      <c r="A4846">
        <v>4845</v>
      </c>
      <c r="B4846" s="1" t="s">
        <v>12</v>
      </c>
      <c r="C4846">
        <v>2017</v>
      </c>
      <c r="D4846" s="1" t="s">
        <v>333</v>
      </c>
      <c r="E4846" s="1" t="s">
        <v>22</v>
      </c>
      <c r="F4846">
        <v>14</v>
      </c>
      <c r="G4846" s="1" t="s">
        <v>67</v>
      </c>
      <c r="H4846">
        <v>14140</v>
      </c>
      <c r="I4846">
        <v>12</v>
      </c>
      <c r="J4846">
        <v>12</v>
      </c>
      <c r="K4846">
        <v>32</v>
      </c>
      <c r="L4846">
        <v>2667</v>
      </c>
    </row>
    <row r="4847" spans="1:12" hidden="1" x14ac:dyDescent="0.25">
      <c r="A4847">
        <v>4846</v>
      </c>
      <c r="B4847" s="1" t="s">
        <v>12</v>
      </c>
      <c r="C4847">
        <v>2017</v>
      </c>
      <c r="D4847" s="1" t="s">
        <v>333</v>
      </c>
      <c r="E4847" s="1" t="s">
        <v>22</v>
      </c>
      <c r="F4847">
        <v>14</v>
      </c>
      <c r="G4847" s="1" t="s">
        <v>23</v>
      </c>
      <c r="H4847">
        <v>14147</v>
      </c>
      <c r="I4847">
        <v>1600</v>
      </c>
      <c r="J4847">
        <v>1600</v>
      </c>
      <c r="K4847">
        <v>3520</v>
      </c>
      <c r="L4847">
        <v>2200</v>
      </c>
    </row>
    <row r="4848" spans="1:12" hidden="1" x14ac:dyDescent="0.25">
      <c r="A4848">
        <v>4847</v>
      </c>
      <c r="B4848" s="1" t="s">
        <v>12</v>
      </c>
      <c r="C4848">
        <v>2017</v>
      </c>
      <c r="D4848" s="1" t="s">
        <v>333</v>
      </c>
      <c r="E4848" s="1" t="s">
        <v>22</v>
      </c>
      <c r="F4848">
        <v>14</v>
      </c>
      <c r="G4848" s="1" t="s">
        <v>26</v>
      </c>
      <c r="H4848">
        <v>14161</v>
      </c>
      <c r="I4848">
        <v>20000</v>
      </c>
      <c r="J4848">
        <v>20000</v>
      </c>
      <c r="K4848">
        <v>44000</v>
      </c>
      <c r="L4848">
        <v>2200</v>
      </c>
    </row>
    <row r="4849" spans="1:12" hidden="1" x14ac:dyDescent="0.25">
      <c r="A4849">
        <v>4848</v>
      </c>
      <c r="B4849" s="1" t="s">
        <v>12</v>
      </c>
      <c r="C4849">
        <v>2017</v>
      </c>
      <c r="D4849" s="1" t="s">
        <v>333</v>
      </c>
      <c r="E4849" s="1" t="s">
        <v>22</v>
      </c>
      <c r="F4849">
        <v>14</v>
      </c>
      <c r="G4849" s="1" t="s">
        <v>122</v>
      </c>
      <c r="H4849">
        <v>14182</v>
      </c>
      <c r="I4849">
        <v>12811</v>
      </c>
      <c r="J4849">
        <v>11311</v>
      </c>
      <c r="K4849">
        <v>21491</v>
      </c>
      <c r="L4849">
        <v>1900</v>
      </c>
    </row>
    <row r="4850" spans="1:12" x14ac:dyDescent="0.25">
      <c r="A4850">
        <v>4849</v>
      </c>
      <c r="B4850" s="1" t="s">
        <v>12</v>
      </c>
      <c r="C4850">
        <v>2017</v>
      </c>
      <c r="D4850" s="1" t="s">
        <v>333</v>
      </c>
      <c r="E4850" s="1" t="s">
        <v>53</v>
      </c>
      <c r="F4850">
        <v>38</v>
      </c>
      <c r="G4850" s="1" t="s">
        <v>56</v>
      </c>
      <c r="H4850">
        <v>38063</v>
      </c>
      <c r="I4850">
        <v>196</v>
      </c>
      <c r="J4850">
        <v>190</v>
      </c>
      <c r="K4850">
        <v>190</v>
      </c>
      <c r="L4850">
        <v>1000</v>
      </c>
    </row>
    <row r="4851" spans="1:12" hidden="1" x14ac:dyDescent="0.25">
      <c r="A4851">
        <v>4850</v>
      </c>
      <c r="B4851" s="1" t="s">
        <v>12</v>
      </c>
      <c r="C4851">
        <v>2017</v>
      </c>
      <c r="D4851" s="1" t="s">
        <v>333</v>
      </c>
      <c r="E4851" s="1" t="s">
        <v>53</v>
      </c>
      <c r="F4851">
        <v>38</v>
      </c>
      <c r="G4851" s="1" t="s">
        <v>270</v>
      </c>
      <c r="H4851">
        <v>38070</v>
      </c>
      <c r="I4851">
        <v>392</v>
      </c>
      <c r="J4851">
        <v>380</v>
      </c>
      <c r="K4851">
        <v>380</v>
      </c>
      <c r="L4851">
        <v>1000</v>
      </c>
    </row>
    <row r="4852" spans="1:12" hidden="1" x14ac:dyDescent="0.25">
      <c r="A4852">
        <v>4851</v>
      </c>
      <c r="B4852" s="1" t="s">
        <v>12</v>
      </c>
      <c r="C4852">
        <v>2017</v>
      </c>
      <c r="D4852" s="1" t="s">
        <v>333</v>
      </c>
      <c r="E4852" s="1" t="s">
        <v>176</v>
      </c>
      <c r="F4852">
        <v>42</v>
      </c>
      <c r="G4852" s="1" t="s">
        <v>314</v>
      </c>
      <c r="H4852">
        <v>42056</v>
      </c>
      <c r="I4852">
        <v>2950</v>
      </c>
      <c r="J4852">
        <v>2850</v>
      </c>
      <c r="K4852">
        <v>7980</v>
      </c>
      <c r="L4852">
        <v>2800</v>
      </c>
    </row>
    <row r="4853" spans="1:12" hidden="1" x14ac:dyDescent="0.25">
      <c r="A4853">
        <v>4852</v>
      </c>
      <c r="B4853" s="1" t="s">
        <v>12</v>
      </c>
      <c r="C4853">
        <v>2017</v>
      </c>
      <c r="D4853" s="1" t="s">
        <v>333</v>
      </c>
      <c r="E4853" s="1" t="s">
        <v>176</v>
      </c>
      <c r="F4853">
        <v>42</v>
      </c>
      <c r="G4853" s="1" t="s">
        <v>324</v>
      </c>
      <c r="H4853">
        <v>42035</v>
      </c>
      <c r="I4853">
        <v>260</v>
      </c>
      <c r="J4853">
        <v>260</v>
      </c>
      <c r="K4853">
        <v>676</v>
      </c>
      <c r="L4853">
        <v>2600</v>
      </c>
    </row>
    <row r="4854" spans="1:12" hidden="1" x14ac:dyDescent="0.25">
      <c r="A4854">
        <v>4853</v>
      </c>
      <c r="B4854" s="1" t="s">
        <v>12</v>
      </c>
      <c r="C4854">
        <v>2017</v>
      </c>
      <c r="D4854" s="1" t="s">
        <v>333</v>
      </c>
      <c r="E4854" s="1" t="s">
        <v>176</v>
      </c>
      <c r="F4854">
        <v>42</v>
      </c>
      <c r="G4854" s="1" t="s">
        <v>322</v>
      </c>
      <c r="H4854">
        <v>42105</v>
      </c>
      <c r="I4854">
        <v>4310</v>
      </c>
      <c r="J4854">
        <v>4310</v>
      </c>
      <c r="K4854">
        <v>12068</v>
      </c>
      <c r="L4854">
        <v>2800</v>
      </c>
    </row>
    <row r="4855" spans="1:12" hidden="1" x14ac:dyDescent="0.25">
      <c r="A4855">
        <v>4854</v>
      </c>
      <c r="B4855" s="1" t="s">
        <v>12</v>
      </c>
      <c r="C4855">
        <v>2017</v>
      </c>
      <c r="D4855" s="1" t="s">
        <v>333</v>
      </c>
      <c r="E4855" s="1" t="s">
        <v>176</v>
      </c>
      <c r="F4855">
        <v>42</v>
      </c>
      <c r="G4855" s="1" t="s">
        <v>177</v>
      </c>
      <c r="H4855">
        <v>42119</v>
      </c>
      <c r="I4855">
        <v>1570</v>
      </c>
      <c r="J4855">
        <v>1570</v>
      </c>
      <c r="K4855">
        <v>4082</v>
      </c>
      <c r="L4855">
        <v>2600</v>
      </c>
    </row>
    <row r="4856" spans="1:12" hidden="1" x14ac:dyDescent="0.25">
      <c r="A4856">
        <v>4855</v>
      </c>
      <c r="B4856" s="1" t="s">
        <v>12</v>
      </c>
      <c r="C4856">
        <v>2017</v>
      </c>
      <c r="D4856" s="1" t="s">
        <v>333</v>
      </c>
      <c r="E4856" s="1" t="s">
        <v>176</v>
      </c>
      <c r="F4856">
        <v>42</v>
      </c>
      <c r="G4856" s="1" t="s">
        <v>315</v>
      </c>
      <c r="H4856">
        <v>42126</v>
      </c>
      <c r="I4856">
        <v>880</v>
      </c>
      <c r="J4856">
        <v>880</v>
      </c>
      <c r="K4856">
        <v>2288</v>
      </c>
      <c r="L4856">
        <v>2600</v>
      </c>
    </row>
    <row r="4857" spans="1:12" hidden="1" x14ac:dyDescent="0.25">
      <c r="A4857">
        <v>4856</v>
      </c>
      <c r="B4857" s="1" t="s">
        <v>12</v>
      </c>
      <c r="C4857">
        <v>2017</v>
      </c>
      <c r="D4857" s="1" t="s">
        <v>333</v>
      </c>
      <c r="E4857" s="1" t="s">
        <v>176</v>
      </c>
      <c r="F4857">
        <v>42</v>
      </c>
      <c r="G4857" s="1" t="s">
        <v>316</v>
      </c>
      <c r="H4857">
        <v>42133</v>
      </c>
      <c r="I4857">
        <v>1430</v>
      </c>
      <c r="J4857">
        <v>1430</v>
      </c>
      <c r="K4857">
        <v>4004</v>
      </c>
      <c r="L4857">
        <v>2800</v>
      </c>
    </row>
    <row r="4858" spans="1:12" hidden="1" x14ac:dyDescent="0.25">
      <c r="A4858">
        <v>4857</v>
      </c>
      <c r="B4858" s="1" t="s">
        <v>12</v>
      </c>
      <c r="C4858">
        <v>2017</v>
      </c>
      <c r="D4858" s="1" t="s">
        <v>333</v>
      </c>
      <c r="E4858" s="1" t="s">
        <v>87</v>
      </c>
      <c r="F4858">
        <v>66</v>
      </c>
      <c r="G4858" s="1" t="s">
        <v>153</v>
      </c>
      <c r="H4858">
        <v>66007</v>
      </c>
      <c r="I4858">
        <v>2450</v>
      </c>
      <c r="J4858">
        <v>2450</v>
      </c>
      <c r="K4858">
        <v>1960</v>
      </c>
      <c r="L4858">
        <v>800</v>
      </c>
    </row>
    <row r="4859" spans="1:12" hidden="1" x14ac:dyDescent="0.25">
      <c r="A4859">
        <v>4858</v>
      </c>
      <c r="B4859" s="1" t="s">
        <v>12</v>
      </c>
      <c r="C4859">
        <v>2017</v>
      </c>
      <c r="D4859" s="1" t="s">
        <v>333</v>
      </c>
      <c r="E4859" s="1" t="s">
        <v>87</v>
      </c>
      <c r="F4859">
        <v>66</v>
      </c>
      <c r="G4859" s="1" t="s">
        <v>230</v>
      </c>
      <c r="H4859">
        <v>66056</v>
      </c>
      <c r="I4859">
        <v>5100</v>
      </c>
      <c r="J4859">
        <v>5100</v>
      </c>
      <c r="K4859">
        <v>5100</v>
      </c>
      <c r="L4859">
        <v>1000</v>
      </c>
    </row>
    <row r="4860" spans="1:12" hidden="1" x14ac:dyDescent="0.25">
      <c r="A4860">
        <v>4859</v>
      </c>
      <c r="B4860" s="1" t="s">
        <v>12</v>
      </c>
      <c r="C4860">
        <v>2017</v>
      </c>
      <c r="D4860" s="1" t="s">
        <v>333</v>
      </c>
      <c r="E4860" s="1" t="s">
        <v>87</v>
      </c>
      <c r="F4860">
        <v>66</v>
      </c>
      <c r="G4860" s="1" t="s">
        <v>179</v>
      </c>
      <c r="H4860">
        <v>66126</v>
      </c>
      <c r="I4860">
        <v>580</v>
      </c>
      <c r="J4860">
        <v>580</v>
      </c>
      <c r="K4860">
        <v>522</v>
      </c>
      <c r="L4860">
        <v>900</v>
      </c>
    </row>
    <row r="4861" spans="1:12" hidden="1" x14ac:dyDescent="0.25">
      <c r="A4861">
        <v>4860</v>
      </c>
      <c r="B4861" s="1" t="s">
        <v>12</v>
      </c>
      <c r="C4861">
        <v>2017</v>
      </c>
      <c r="D4861" s="1" t="s">
        <v>333</v>
      </c>
      <c r="E4861" s="1" t="s">
        <v>116</v>
      </c>
      <c r="F4861">
        <v>74</v>
      </c>
      <c r="G4861" s="1" t="s">
        <v>195</v>
      </c>
      <c r="H4861">
        <v>74007</v>
      </c>
      <c r="I4861">
        <v>1460</v>
      </c>
      <c r="J4861">
        <v>1460</v>
      </c>
      <c r="K4861">
        <v>4234</v>
      </c>
      <c r="L4861">
        <v>2900</v>
      </c>
    </row>
    <row r="4862" spans="1:12" hidden="1" x14ac:dyDescent="0.25">
      <c r="A4862">
        <v>4861</v>
      </c>
      <c r="B4862" s="1" t="s">
        <v>12</v>
      </c>
      <c r="C4862">
        <v>2017</v>
      </c>
      <c r="D4862" s="1" t="s">
        <v>333</v>
      </c>
      <c r="E4862" s="1" t="s">
        <v>116</v>
      </c>
      <c r="F4862">
        <v>74</v>
      </c>
      <c r="G4862" s="1" t="s">
        <v>126</v>
      </c>
      <c r="H4862">
        <v>74035</v>
      </c>
      <c r="I4862">
        <v>22790</v>
      </c>
      <c r="J4862">
        <v>22790</v>
      </c>
      <c r="K4862">
        <v>56975</v>
      </c>
      <c r="L4862">
        <v>2500</v>
      </c>
    </row>
    <row r="4863" spans="1:12" hidden="1" x14ac:dyDescent="0.25">
      <c r="A4863">
        <v>4862</v>
      </c>
      <c r="B4863" s="1" t="s">
        <v>12</v>
      </c>
      <c r="C4863">
        <v>2017</v>
      </c>
      <c r="D4863" s="1" t="s">
        <v>333</v>
      </c>
      <c r="E4863" s="1" t="s">
        <v>116</v>
      </c>
      <c r="F4863">
        <v>74</v>
      </c>
      <c r="G4863" s="1" t="s">
        <v>326</v>
      </c>
      <c r="H4863">
        <v>74042</v>
      </c>
      <c r="I4863">
        <v>3350</v>
      </c>
      <c r="J4863">
        <v>3350</v>
      </c>
      <c r="K4863">
        <v>7705</v>
      </c>
      <c r="L4863">
        <v>2300</v>
      </c>
    </row>
    <row r="4864" spans="1:12" hidden="1" x14ac:dyDescent="0.25">
      <c r="A4864">
        <v>4863</v>
      </c>
      <c r="B4864" s="1" t="s">
        <v>12</v>
      </c>
      <c r="C4864">
        <v>2017</v>
      </c>
      <c r="D4864" s="1" t="s">
        <v>333</v>
      </c>
      <c r="E4864" s="1" t="s">
        <v>116</v>
      </c>
      <c r="F4864">
        <v>74</v>
      </c>
      <c r="G4864" s="1" t="s">
        <v>327</v>
      </c>
      <c r="H4864">
        <v>74056</v>
      </c>
      <c r="I4864">
        <v>300</v>
      </c>
      <c r="J4864">
        <v>300</v>
      </c>
      <c r="K4864">
        <v>750</v>
      </c>
      <c r="L4864">
        <v>2500</v>
      </c>
    </row>
    <row r="4865" spans="1:12" hidden="1" x14ac:dyDescent="0.25">
      <c r="A4865">
        <v>4864</v>
      </c>
      <c r="B4865" s="1" t="s">
        <v>12</v>
      </c>
      <c r="C4865">
        <v>2017</v>
      </c>
      <c r="D4865" s="1" t="s">
        <v>333</v>
      </c>
      <c r="E4865" s="1" t="s">
        <v>116</v>
      </c>
      <c r="F4865">
        <v>74</v>
      </c>
      <c r="G4865" s="1" t="s">
        <v>127</v>
      </c>
      <c r="H4865">
        <v>74049</v>
      </c>
      <c r="I4865">
        <v>350</v>
      </c>
      <c r="J4865">
        <v>350</v>
      </c>
      <c r="K4865">
        <v>1015</v>
      </c>
      <c r="L4865">
        <v>2900</v>
      </c>
    </row>
    <row r="4866" spans="1:12" hidden="1" x14ac:dyDescent="0.25">
      <c r="A4866">
        <v>4865</v>
      </c>
      <c r="B4866" s="1" t="s">
        <v>12</v>
      </c>
      <c r="C4866">
        <v>2017</v>
      </c>
      <c r="D4866" s="1" t="s">
        <v>333</v>
      </c>
      <c r="E4866" s="1" t="s">
        <v>64</v>
      </c>
      <c r="F4866">
        <v>82</v>
      </c>
      <c r="G4866" s="1" t="s">
        <v>272</v>
      </c>
      <c r="H4866">
        <v>82042</v>
      </c>
      <c r="I4866">
        <v>1200</v>
      </c>
      <c r="J4866">
        <v>1200</v>
      </c>
      <c r="K4866">
        <v>3600</v>
      </c>
      <c r="L4866">
        <v>3000</v>
      </c>
    </row>
    <row r="4867" spans="1:12" hidden="1" x14ac:dyDescent="0.25">
      <c r="A4867">
        <v>4866</v>
      </c>
      <c r="B4867" s="1" t="s">
        <v>12</v>
      </c>
      <c r="C4867">
        <v>2018</v>
      </c>
      <c r="D4867" s="1" t="s">
        <v>335</v>
      </c>
      <c r="E4867" s="1" t="s">
        <v>158</v>
      </c>
      <c r="F4867">
        <v>6</v>
      </c>
      <c r="G4867" s="1" t="s">
        <v>336</v>
      </c>
      <c r="H4867">
        <v>6154</v>
      </c>
      <c r="I4867">
        <v>300</v>
      </c>
      <c r="J4867">
        <v>300</v>
      </c>
      <c r="K4867">
        <v>1020</v>
      </c>
      <c r="L4867">
        <v>3400</v>
      </c>
    </row>
    <row r="4868" spans="1:12" hidden="1" x14ac:dyDescent="0.25">
      <c r="A4868">
        <v>4867</v>
      </c>
      <c r="B4868" s="1" t="s">
        <v>12</v>
      </c>
      <c r="C4868">
        <v>2018</v>
      </c>
      <c r="D4868" s="1" t="s">
        <v>335</v>
      </c>
      <c r="E4868" s="1" t="s">
        <v>158</v>
      </c>
      <c r="F4868">
        <v>6</v>
      </c>
      <c r="G4868" s="1" t="s">
        <v>337</v>
      </c>
      <c r="H4868">
        <v>6277</v>
      </c>
      <c r="I4868">
        <v>450</v>
      </c>
      <c r="J4868">
        <v>430</v>
      </c>
      <c r="K4868">
        <v>1419</v>
      </c>
      <c r="L4868">
        <v>3300</v>
      </c>
    </row>
    <row r="4869" spans="1:12" hidden="1" x14ac:dyDescent="0.25">
      <c r="A4869">
        <v>4868</v>
      </c>
      <c r="B4869" s="1" t="s">
        <v>12</v>
      </c>
      <c r="C4869">
        <v>2018</v>
      </c>
      <c r="D4869" s="1" t="s">
        <v>335</v>
      </c>
      <c r="E4869" s="1" t="s">
        <v>158</v>
      </c>
      <c r="F4869">
        <v>6</v>
      </c>
      <c r="G4869" s="1" t="s">
        <v>160</v>
      </c>
      <c r="H4869">
        <v>6351</v>
      </c>
      <c r="I4869">
        <v>1100</v>
      </c>
      <c r="J4869">
        <v>1070</v>
      </c>
      <c r="K4869">
        <v>3745</v>
      </c>
      <c r="L4869">
        <v>3500</v>
      </c>
    </row>
    <row r="4870" spans="1:12" hidden="1" x14ac:dyDescent="0.25">
      <c r="A4870">
        <v>4869</v>
      </c>
      <c r="B4870" s="1" t="s">
        <v>12</v>
      </c>
      <c r="C4870">
        <v>2018</v>
      </c>
      <c r="D4870" s="1" t="s">
        <v>335</v>
      </c>
      <c r="E4870" s="1" t="s">
        <v>158</v>
      </c>
      <c r="F4870">
        <v>6</v>
      </c>
      <c r="G4870" s="1" t="s">
        <v>257</v>
      </c>
      <c r="H4870">
        <v>6392</v>
      </c>
      <c r="I4870">
        <v>4700</v>
      </c>
      <c r="J4870">
        <v>4660</v>
      </c>
      <c r="K4870">
        <v>16776</v>
      </c>
      <c r="L4870">
        <v>3600</v>
      </c>
    </row>
    <row r="4871" spans="1:12" hidden="1" x14ac:dyDescent="0.25">
      <c r="A4871">
        <v>4870</v>
      </c>
      <c r="B4871" s="1" t="s">
        <v>12</v>
      </c>
      <c r="C4871">
        <v>2018</v>
      </c>
      <c r="D4871" s="1" t="s">
        <v>335</v>
      </c>
      <c r="E4871" s="1" t="s">
        <v>158</v>
      </c>
      <c r="F4871">
        <v>6</v>
      </c>
      <c r="G4871" s="1" t="s">
        <v>135</v>
      </c>
      <c r="H4871">
        <v>6616</v>
      </c>
      <c r="I4871">
        <v>1200</v>
      </c>
      <c r="J4871">
        <v>1200</v>
      </c>
      <c r="K4871">
        <v>3840</v>
      </c>
      <c r="L4871">
        <v>3200</v>
      </c>
    </row>
    <row r="4872" spans="1:12" hidden="1" x14ac:dyDescent="0.25">
      <c r="A4872">
        <v>4871</v>
      </c>
      <c r="B4872" s="1" t="s">
        <v>12</v>
      </c>
      <c r="C4872">
        <v>2018</v>
      </c>
      <c r="D4872" s="1" t="s">
        <v>335</v>
      </c>
      <c r="E4872" s="1" t="s">
        <v>158</v>
      </c>
      <c r="F4872">
        <v>6</v>
      </c>
      <c r="G4872" s="1" t="s">
        <v>161</v>
      </c>
      <c r="H4872">
        <v>6679</v>
      </c>
      <c r="I4872">
        <v>3000</v>
      </c>
      <c r="J4872">
        <v>3000</v>
      </c>
      <c r="K4872">
        <v>10500</v>
      </c>
      <c r="L4872">
        <v>3500</v>
      </c>
    </row>
    <row r="4873" spans="1:12" hidden="1" x14ac:dyDescent="0.25">
      <c r="A4873">
        <v>4872</v>
      </c>
      <c r="B4873" s="1" t="s">
        <v>12</v>
      </c>
      <c r="C4873">
        <v>2018</v>
      </c>
      <c r="D4873" s="1" t="s">
        <v>335</v>
      </c>
      <c r="E4873" s="1" t="s">
        <v>158</v>
      </c>
      <c r="F4873">
        <v>6</v>
      </c>
      <c r="G4873" s="1" t="s">
        <v>338</v>
      </c>
      <c r="H4873">
        <v>6721</v>
      </c>
      <c r="I4873">
        <v>700</v>
      </c>
      <c r="J4873">
        <v>700</v>
      </c>
      <c r="K4873">
        <v>2100</v>
      </c>
      <c r="L4873">
        <v>3000</v>
      </c>
    </row>
    <row r="4874" spans="1:12" hidden="1" x14ac:dyDescent="0.25">
      <c r="A4874">
        <v>4873</v>
      </c>
      <c r="B4874" s="1" t="s">
        <v>12</v>
      </c>
      <c r="C4874">
        <v>2018</v>
      </c>
      <c r="D4874" s="1" t="s">
        <v>335</v>
      </c>
      <c r="E4874" s="1" t="s">
        <v>158</v>
      </c>
      <c r="F4874">
        <v>6</v>
      </c>
      <c r="G4874" s="1" t="s">
        <v>167</v>
      </c>
      <c r="H4874">
        <v>6826</v>
      </c>
      <c r="I4874">
        <v>2000</v>
      </c>
      <c r="J4874">
        <v>2000</v>
      </c>
      <c r="K4874">
        <v>6800</v>
      </c>
      <c r="L4874">
        <v>3400</v>
      </c>
    </row>
    <row r="4875" spans="1:12" hidden="1" x14ac:dyDescent="0.25">
      <c r="A4875">
        <v>4874</v>
      </c>
      <c r="B4875" s="1" t="s">
        <v>12</v>
      </c>
      <c r="C4875">
        <v>2018</v>
      </c>
      <c r="D4875" s="1" t="s">
        <v>335</v>
      </c>
      <c r="E4875" s="1" t="s">
        <v>22</v>
      </c>
      <c r="F4875">
        <v>14</v>
      </c>
      <c r="G4875" s="1" t="s">
        <v>97</v>
      </c>
      <c r="H4875">
        <v>14007</v>
      </c>
      <c r="I4875">
        <v>3300</v>
      </c>
      <c r="J4875">
        <v>3300</v>
      </c>
      <c r="K4875">
        <v>10890</v>
      </c>
      <c r="L4875">
        <v>3300</v>
      </c>
    </row>
    <row r="4876" spans="1:12" hidden="1" x14ac:dyDescent="0.25">
      <c r="A4876">
        <v>4875</v>
      </c>
      <c r="B4876" s="1" t="s">
        <v>12</v>
      </c>
      <c r="C4876">
        <v>2018</v>
      </c>
      <c r="D4876" s="1" t="s">
        <v>335</v>
      </c>
      <c r="E4876" s="1" t="s">
        <v>22</v>
      </c>
      <c r="F4876">
        <v>14</v>
      </c>
      <c r="G4876" s="1" t="s">
        <v>129</v>
      </c>
      <c r="H4876">
        <v>14035</v>
      </c>
      <c r="I4876">
        <v>95000</v>
      </c>
      <c r="J4876">
        <v>94500</v>
      </c>
      <c r="K4876">
        <v>330750</v>
      </c>
      <c r="L4876">
        <v>3500</v>
      </c>
    </row>
    <row r="4877" spans="1:12" hidden="1" x14ac:dyDescent="0.25">
      <c r="A4877">
        <v>4876</v>
      </c>
      <c r="B4877" s="1" t="s">
        <v>12</v>
      </c>
      <c r="C4877">
        <v>2018</v>
      </c>
      <c r="D4877" s="1" t="s">
        <v>335</v>
      </c>
      <c r="E4877" s="1" t="s">
        <v>22</v>
      </c>
      <c r="F4877">
        <v>14</v>
      </c>
      <c r="G4877" s="1" t="s">
        <v>184</v>
      </c>
      <c r="H4877">
        <v>14042</v>
      </c>
      <c r="I4877">
        <v>12300</v>
      </c>
      <c r="J4877">
        <v>12300</v>
      </c>
      <c r="K4877">
        <v>44280</v>
      </c>
      <c r="L4877">
        <v>3600</v>
      </c>
    </row>
    <row r="4878" spans="1:12" hidden="1" x14ac:dyDescent="0.25">
      <c r="A4878">
        <v>4877</v>
      </c>
      <c r="B4878" s="1" t="s">
        <v>12</v>
      </c>
      <c r="C4878">
        <v>2018</v>
      </c>
      <c r="D4878" s="1" t="s">
        <v>335</v>
      </c>
      <c r="E4878" s="1" t="s">
        <v>22</v>
      </c>
      <c r="F4878">
        <v>14</v>
      </c>
      <c r="G4878" s="1" t="s">
        <v>143</v>
      </c>
      <c r="H4878">
        <v>14056</v>
      </c>
      <c r="I4878">
        <v>35500</v>
      </c>
      <c r="J4878">
        <v>35500</v>
      </c>
      <c r="K4878">
        <v>124250</v>
      </c>
      <c r="L4878">
        <v>3500</v>
      </c>
    </row>
    <row r="4879" spans="1:12" hidden="1" x14ac:dyDescent="0.25">
      <c r="A4879">
        <v>4878</v>
      </c>
      <c r="B4879" s="1" t="s">
        <v>12</v>
      </c>
      <c r="C4879">
        <v>2018</v>
      </c>
      <c r="D4879" s="1" t="s">
        <v>335</v>
      </c>
      <c r="E4879" s="1" t="s">
        <v>22</v>
      </c>
      <c r="F4879">
        <v>14</v>
      </c>
      <c r="G4879" s="1" t="s">
        <v>247</v>
      </c>
      <c r="H4879">
        <v>14063</v>
      </c>
      <c r="I4879">
        <v>12047</v>
      </c>
      <c r="J4879">
        <v>11697</v>
      </c>
      <c r="K4879">
        <v>37430</v>
      </c>
      <c r="L4879">
        <v>3200</v>
      </c>
    </row>
    <row r="4880" spans="1:12" hidden="1" x14ac:dyDescent="0.25">
      <c r="A4880">
        <v>4879</v>
      </c>
      <c r="B4880" s="1" t="s">
        <v>12</v>
      </c>
      <c r="C4880">
        <v>2018</v>
      </c>
      <c r="D4880" s="1" t="s">
        <v>335</v>
      </c>
      <c r="E4880" s="1" t="s">
        <v>22</v>
      </c>
      <c r="F4880">
        <v>14</v>
      </c>
      <c r="G4880" s="1" t="s">
        <v>206</v>
      </c>
      <c r="H4880">
        <v>14084</v>
      </c>
      <c r="I4880">
        <v>25000</v>
      </c>
      <c r="J4880">
        <v>24500</v>
      </c>
      <c r="K4880">
        <v>85750</v>
      </c>
      <c r="L4880">
        <v>3500</v>
      </c>
    </row>
    <row r="4881" spans="1:12" hidden="1" x14ac:dyDescent="0.25">
      <c r="A4881">
        <v>4880</v>
      </c>
      <c r="B4881" s="1" t="s">
        <v>12</v>
      </c>
      <c r="C4881">
        <v>2018</v>
      </c>
      <c r="D4881" s="1" t="s">
        <v>335</v>
      </c>
      <c r="E4881" s="1" t="s">
        <v>22</v>
      </c>
      <c r="F4881">
        <v>14</v>
      </c>
      <c r="G4881" s="1" t="s">
        <v>29</v>
      </c>
      <c r="H4881">
        <v>14098</v>
      </c>
      <c r="I4881">
        <v>96000</v>
      </c>
      <c r="J4881">
        <v>96000</v>
      </c>
      <c r="K4881">
        <v>336000</v>
      </c>
      <c r="L4881">
        <v>3500</v>
      </c>
    </row>
    <row r="4882" spans="1:12" hidden="1" x14ac:dyDescent="0.25">
      <c r="A4882">
        <v>4881</v>
      </c>
      <c r="B4882" s="1" t="s">
        <v>12</v>
      </c>
      <c r="C4882">
        <v>2018</v>
      </c>
      <c r="D4882" s="1" t="s">
        <v>335</v>
      </c>
      <c r="E4882" s="1" t="s">
        <v>22</v>
      </c>
      <c r="F4882">
        <v>14</v>
      </c>
      <c r="G4882" s="1" t="s">
        <v>25</v>
      </c>
      <c r="H4882">
        <v>14105</v>
      </c>
      <c r="I4882">
        <v>3343</v>
      </c>
      <c r="J4882">
        <v>3343</v>
      </c>
      <c r="K4882">
        <v>11366</v>
      </c>
      <c r="L4882">
        <v>3400</v>
      </c>
    </row>
    <row r="4883" spans="1:12" hidden="1" x14ac:dyDescent="0.25">
      <c r="A4883">
        <v>4882</v>
      </c>
      <c r="B4883" s="1" t="s">
        <v>12</v>
      </c>
      <c r="C4883">
        <v>2018</v>
      </c>
      <c r="D4883" s="1" t="s">
        <v>335</v>
      </c>
      <c r="E4883" s="1" t="s">
        <v>22</v>
      </c>
      <c r="F4883">
        <v>14</v>
      </c>
      <c r="G4883" s="1" t="s">
        <v>24</v>
      </c>
      <c r="H4883">
        <v>14119</v>
      </c>
      <c r="I4883">
        <v>10000</v>
      </c>
      <c r="J4883">
        <v>10000</v>
      </c>
      <c r="K4883">
        <v>34000</v>
      </c>
      <c r="L4883">
        <v>3400</v>
      </c>
    </row>
    <row r="4884" spans="1:12" hidden="1" x14ac:dyDescent="0.25">
      <c r="A4884">
        <v>4883</v>
      </c>
      <c r="B4884" s="1" t="s">
        <v>12</v>
      </c>
      <c r="C4884">
        <v>2018</v>
      </c>
      <c r="D4884" s="1" t="s">
        <v>335</v>
      </c>
      <c r="E4884" s="1" t="s">
        <v>22</v>
      </c>
      <c r="F4884">
        <v>14</v>
      </c>
      <c r="G4884" s="1" t="s">
        <v>62</v>
      </c>
      <c r="H4884">
        <v>14133</v>
      </c>
      <c r="I4884">
        <v>3500</v>
      </c>
      <c r="J4884">
        <v>3500</v>
      </c>
      <c r="K4884">
        <v>11900</v>
      </c>
      <c r="L4884">
        <v>3400</v>
      </c>
    </row>
    <row r="4885" spans="1:12" hidden="1" x14ac:dyDescent="0.25">
      <c r="A4885">
        <v>4884</v>
      </c>
      <c r="B4885" s="1" t="s">
        <v>12</v>
      </c>
      <c r="C4885">
        <v>2018</v>
      </c>
      <c r="D4885" s="1" t="s">
        <v>335</v>
      </c>
      <c r="E4885" s="1" t="s">
        <v>22</v>
      </c>
      <c r="F4885">
        <v>14</v>
      </c>
      <c r="G4885" s="1" t="s">
        <v>67</v>
      </c>
      <c r="H4885">
        <v>14140</v>
      </c>
      <c r="I4885">
        <v>914</v>
      </c>
      <c r="J4885">
        <v>914</v>
      </c>
      <c r="K4885">
        <v>3290</v>
      </c>
      <c r="L4885">
        <v>3600</v>
      </c>
    </row>
    <row r="4886" spans="1:12" hidden="1" x14ac:dyDescent="0.25">
      <c r="A4886">
        <v>4885</v>
      </c>
      <c r="B4886" s="1" t="s">
        <v>12</v>
      </c>
      <c r="C4886">
        <v>2018</v>
      </c>
      <c r="D4886" s="1" t="s">
        <v>335</v>
      </c>
      <c r="E4886" s="1" t="s">
        <v>22</v>
      </c>
      <c r="F4886">
        <v>14</v>
      </c>
      <c r="G4886" s="1" t="s">
        <v>23</v>
      </c>
      <c r="H4886">
        <v>14147</v>
      </c>
      <c r="I4886">
        <v>4500</v>
      </c>
      <c r="J4886">
        <v>4500</v>
      </c>
      <c r="K4886">
        <v>14400</v>
      </c>
      <c r="L4886">
        <v>3200</v>
      </c>
    </row>
    <row r="4887" spans="1:12" hidden="1" x14ac:dyDescent="0.25">
      <c r="A4887">
        <v>4886</v>
      </c>
      <c r="B4887" s="1" t="s">
        <v>12</v>
      </c>
      <c r="C4887">
        <v>2018</v>
      </c>
      <c r="D4887" s="1" t="s">
        <v>335</v>
      </c>
      <c r="E4887" s="1" t="s">
        <v>22</v>
      </c>
      <c r="F4887">
        <v>14</v>
      </c>
      <c r="G4887" s="1" t="s">
        <v>26</v>
      </c>
      <c r="H4887">
        <v>14161</v>
      </c>
      <c r="I4887">
        <v>22700</v>
      </c>
      <c r="J4887">
        <v>22700</v>
      </c>
      <c r="K4887">
        <v>81720</v>
      </c>
      <c r="L4887">
        <v>3600</v>
      </c>
    </row>
    <row r="4888" spans="1:12" hidden="1" x14ac:dyDescent="0.25">
      <c r="A4888">
        <v>4887</v>
      </c>
      <c r="B4888" s="1" t="s">
        <v>12</v>
      </c>
      <c r="C4888">
        <v>2018</v>
      </c>
      <c r="D4888" s="1" t="s">
        <v>335</v>
      </c>
      <c r="E4888" s="1" t="s">
        <v>22</v>
      </c>
      <c r="F4888">
        <v>14</v>
      </c>
      <c r="G4888" s="1" t="s">
        <v>122</v>
      </c>
      <c r="H4888">
        <v>14182</v>
      </c>
      <c r="I4888">
        <v>10922</v>
      </c>
      <c r="J4888">
        <v>10322</v>
      </c>
      <c r="K4888">
        <v>34063</v>
      </c>
      <c r="L4888">
        <v>3300</v>
      </c>
    </row>
    <row r="4889" spans="1:12" x14ac:dyDescent="0.25">
      <c r="A4889">
        <v>4888</v>
      </c>
      <c r="B4889" s="1" t="s">
        <v>12</v>
      </c>
      <c r="C4889">
        <v>2018</v>
      </c>
      <c r="D4889" s="1" t="s">
        <v>335</v>
      </c>
      <c r="E4889" s="1" t="s">
        <v>53</v>
      </c>
      <c r="F4889">
        <v>38</v>
      </c>
      <c r="G4889" s="1" t="s">
        <v>56</v>
      </c>
      <c r="H4889">
        <v>38063</v>
      </c>
      <c r="I4889">
        <v>196</v>
      </c>
      <c r="J4889">
        <v>196</v>
      </c>
      <c r="K4889">
        <v>196</v>
      </c>
      <c r="L4889">
        <v>1000</v>
      </c>
    </row>
    <row r="4890" spans="1:12" hidden="1" x14ac:dyDescent="0.25">
      <c r="A4890">
        <v>4889</v>
      </c>
      <c r="B4890" s="1" t="s">
        <v>12</v>
      </c>
      <c r="C4890">
        <v>2018</v>
      </c>
      <c r="D4890" s="1" t="s">
        <v>335</v>
      </c>
      <c r="E4890" s="1" t="s">
        <v>53</v>
      </c>
      <c r="F4890">
        <v>38</v>
      </c>
      <c r="G4890" s="1" t="s">
        <v>270</v>
      </c>
      <c r="H4890">
        <v>38070</v>
      </c>
      <c r="I4890">
        <v>392</v>
      </c>
      <c r="J4890">
        <v>392</v>
      </c>
      <c r="K4890">
        <v>392</v>
      </c>
      <c r="L4890">
        <v>1000</v>
      </c>
    </row>
    <row r="4891" spans="1:12" hidden="1" x14ac:dyDescent="0.25">
      <c r="A4891">
        <v>4890</v>
      </c>
      <c r="B4891" s="1" t="s">
        <v>12</v>
      </c>
      <c r="C4891">
        <v>2018</v>
      </c>
      <c r="D4891" s="1" t="s">
        <v>335</v>
      </c>
      <c r="E4891" s="1" t="s">
        <v>176</v>
      </c>
      <c r="F4891">
        <v>42</v>
      </c>
      <c r="G4891" s="1" t="s">
        <v>314</v>
      </c>
      <c r="H4891">
        <v>42056</v>
      </c>
      <c r="I4891">
        <v>3500</v>
      </c>
      <c r="J4891">
        <v>3500</v>
      </c>
      <c r="K4891">
        <v>14000</v>
      </c>
      <c r="L4891">
        <v>4000</v>
      </c>
    </row>
    <row r="4892" spans="1:12" hidden="1" x14ac:dyDescent="0.25">
      <c r="A4892">
        <v>4891</v>
      </c>
      <c r="B4892" s="1" t="s">
        <v>12</v>
      </c>
      <c r="C4892">
        <v>2018</v>
      </c>
      <c r="D4892" s="1" t="s">
        <v>335</v>
      </c>
      <c r="E4892" s="1" t="s">
        <v>176</v>
      </c>
      <c r="F4892">
        <v>42</v>
      </c>
      <c r="G4892" s="1" t="s">
        <v>324</v>
      </c>
      <c r="H4892">
        <v>42035</v>
      </c>
      <c r="I4892">
        <v>300</v>
      </c>
      <c r="J4892">
        <v>300</v>
      </c>
      <c r="K4892">
        <v>1200</v>
      </c>
      <c r="L4892">
        <v>4000</v>
      </c>
    </row>
    <row r="4893" spans="1:12" hidden="1" x14ac:dyDescent="0.25">
      <c r="A4893">
        <v>4892</v>
      </c>
      <c r="B4893" s="1" t="s">
        <v>12</v>
      </c>
      <c r="C4893">
        <v>2018</v>
      </c>
      <c r="D4893" s="1" t="s">
        <v>335</v>
      </c>
      <c r="E4893" s="1" t="s">
        <v>176</v>
      </c>
      <c r="F4893">
        <v>42</v>
      </c>
      <c r="G4893" s="1" t="s">
        <v>322</v>
      </c>
      <c r="H4893">
        <v>42105</v>
      </c>
      <c r="I4893">
        <v>3500</v>
      </c>
      <c r="J4893">
        <v>3500</v>
      </c>
      <c r="K4893">
        <v>14000</v>
      </c>
      <c r="L4893">
        <v>4000</v>
      </c>
    </row>
    <row r="4894" spans="1:12" hidden="1" x14ac:dyDescent="0.25">
      <c r="A4894">
        <v>4893</v>
      </c>
      <c r="B4894" s="1" t="s">
        <v>12</v>
      </c>
      <c r="C4894">
        <v>2018</v>
      </c>
      <c r="D4894" s="1" t="s">
        <v>335</v>
      </c>
      <c r="E4894" s="1" t="s">
        <v>176</v>
      </c>
      <c r="F4894">
        <v>42</v>
      </c>
      <c r="G4894" s="1" t="s">
        <v>177</v>
      </c>
      <c r="H4894">
        <v>42119</v>
      </c>
      <c r="I4894">
        <v>3200</v>
      </c>
      <c r="J4894">
        <v>3200</v>
      </c>
      <c r="K4894">
        <v>11840</v>
      </c>
      <c r="L4894">
        <v>3700</v>
      </c>
    </row>
    <row r="4895" spans="1:12" hidden="1" x14ac:dyDescent="0.25">
      <c r="A4895">
        <v>4894</v>
      </c>
      <c r="B4895" s="1" t="s">
        <v>12</v>
      </c>
      <c r="C4895">
        <v>2018</v>
      </c>
      <c r="D4895" s="1" t="s">
        <v>335</v>
      </c>
      <c r="E4895" s="1" t="s">
        <v>176</v>
      </c>
      <c r="F4895">
        <v>42</v>
      </c>
      <c r="G4895" s="1" t="s">
        <v>315</v>
      </c>
      <c r="H4895">
        <v>42126</v>
      </c>
      <c r="I4895">
        <v>800</v>
      </c>
      <c r="J4895">
        <v>800</v>
      </c>
      <c r="K4895">
        <v>3040</v>
      </c>
      <c r="L4895">
        <v>3800</v>
      </c>
    </row>
    <row r="4896" spans="1:12" hidden="1" x14ac:dyDescent="0.25">
      <c r="A4896">
        <v>4895</v>
      </c>
      <c r="B4896" s="1" t="s">
        <v>12</v>
      </c>
      <c r="C4896">
        <v>2018</v>
      </c>
      <c r="D4896" s="1" t="s">
        <v>335</v>
      </c>
      <c r="E4896" s="1" t="s">
        <v>176</v>
      </c>
      <c r="F4896">
        <v>42</v>
      </c>
      <c r="G4896" s="1" t="s">
        <v>316</v>
      </c>
      <c r="H4896">
        <v>42133</v>
      </c>
      <c r="I4896">
        <v>1600</v>
      </c>
      <c r="J4896">
        <v>1600</v>
      </c>
      <c r="K4896">
        <v>5920</v>
      </c>
      <c r="L4896">
        <v>3700</v>
      </c>
    </row>
    <row r="4897" spans="1:12" hidden="1" x14ac:dyDescent="0.25">
      <c r="A4897">
        <v>4896</v>
      </c>
      <c r="B4897" s="1" t="s">
        <v>12</v>
      </c>
      <c r="C4897">
        <v>2018</v>
      </c>
      <c r="D4897" s="1" t="s">
        <v>335</v>
      </c>
      <c r="E4897" s="1" t="s">
        <v>87</v>
      </c>
      <c r="F4897">
        <v>66</v>
      </c>
      <c r="G4897" s="1" t="s">
        <v>153</v>
      </c>
      <c r="H4897">
        <v>66007</v>
      </c>
      <c r="I4897">
        <v>2450</v>
      </c>
      <c r="J4897">
        <v>2450</v>
      </c>
      <c r="K4897">
        <v>2940</v>
      </c>
      <c r="L4897">
        <v>1200</v>
      </c>
    </row>
    <row r="4898" spans="1:12" hidden="1" x14ac:dyDescent="0.25">
      <c r="A4898">
        <v>4897</v>
      </c>
      <c r="B4898" s="1" t="s">
        <v>12</v>
      </c>
      <c r="C4898">
        <v>2018</v>
      </c>
      <c r="D4898" s="1" t="s">
        <v>335</v>
      </c>
      <c r="E4898" s="1" t="s">
        <v>87</v>
      </c>
      <c r="F4898">
        <v>66</v>
      </c>
      <c r="G4898" s="1" t="s">
        <v>230</v>
      </c>
      <c r="H4898">
        <v>66056</v>
      </c>
      <c r="I4898">
        <v>5100</v>
      </c>
      <c r="J4898">
        <v>5100</v>
      </c>
      <c r="K4898">
        <v>6630</v>
      </c>
      <c r="L4898">
        <v>1300</v>
      </c>
    </row>
    <row r="4899" spans="1:12" hidden="1" x14ac:dyDescent="0.25">
      <c r="A4899">
        <v>4898</v>
      </c>
      <c r="B4899" s="1" t="s">
        <v>12</v>
      </c>
      <c r="C4899">
        <v>2018</v>
      </c>
      <c r="D4899" s="1" t="s">
        <v>335</v>
      </c>
      <c r="E4899" s="1" t="s">
        <v>87</v>
      </c>
      <c r="F4899">
        <v>66</v>
      </c>
      <c r="G4899" s="1" t="s">
        <v>179</v>
      </c>
      <c r="H4899">
        <v>66126</v>
      </c>
      <c r="I4899">
        <v>580</v>
      </c>
      <c r="J4899">
        <v>580</v>
      </c>
      <c r="K4899">
        <v>754</v>
      </c>
      <c r="L4899">
        <v>1300</v>
      </c>
    </row>
    <row r="4900" spans="1:12" hidden="1" x14ac:dyDescent="0.25">
      <c r="A4900">
        <v>4899</v>
      </c>
      <c r="B4900" s="1" t="s">
        <v>12</v>
      </c>
      <c r="C4900">
        <v>2018</v>
      </c>
      <c r="D4900" s="1" t="s">
        <v>335</v>
      </c>
      <c r="E4900" s="1" t="s">
        <v>116</v>
      </c>
      <c r="F4900">
        <v>74</v>
      </c>
      <c r="G4900" s="1" t="s">
        <v>195</v>
      </c>
      <c r="H4900">
        <v>74007</v>
      </c>
      <c r="I4900">
        <v>800</v>
      </c>
      <c r="J4900">
        <v>800</v>
      </c>
      <c r="K4900">
        <v>3360</v>
      </c>
      <c r="L4900">
        <v>4200</v>
      </c>
    </row>
    <row r="4901" spans="1:12" hidden="1" x14ac:dyDescent="0.25">
      <c r="A4901">
        <v>4900</v>
      </c>
      <c r="B4901" s="1" t="s">
        <v>12</v>
      </c>
      <c r="C4901">
        <v>2018</v>
      </c>
      <c r="D4901" s="1" t="s">
        <v>335</v>
      </c>
      <c r="E4901" s="1" t="s">
        <v>116</v>
      </c>
      <c r="F4901">
        <v>74</v>
      </c>
      <c r="G4901" s="1" t="s">
        <v>126</v>
      </c>
      <c r="H4901">
        <v>74035</v>
      </c>
      <c r="I4901">
        <v>11000</v>
      </c>
      <c r="J4901">
        <v>11000</v>
      </c>
      <c r="K4901">
        <v>38500</v>
      </c>
      <c r="L4901">
        <v>3500</v>
      </c>
    </row>
    <row r="4902" spans="1:12" hidden="1" x14ac:dyDescent="0.25">
      <c r="A4902">
        <v>4901</v>
      </c>
      <c r="B4902" s="1" t="s">
        <v>12</v>
      </c>
      <c r="C4902">
        <v>2018</v>
      </c>
      <c r="D4902" s="1" t="s">
        <v>335</v>
      </c>
      <c r="E4902" s="1" t="s">
        <v>116</v>
      </c>
      <c r="F4902">
        <v>74</v>
      </c>
      <c r="G4902" s="1" t="s">
        <v>326</v>
      </c>
      <c r="H4902">
        <v>74042</v>
      </c>
      <c r="I4902">
        <v>800</v>
      </c>
      <c r="J4902">
        <v>800</v>
      </c>
      <c r="K4902">
        <v>2800</v>
      </c>
      <c r="L4902">
        <v>3500</v>
      </c>
    </row>
    <row r="4903" spans="1:12" hidden="1" x14ac:dyDescent="0.25">
      <c r="A4903">
        <v>4902</v>
      </c>
      <c r="B4903" s="1" t="s">
        <v>12</v>
      </c>
      <c r="C4903">
        <v>2018</v>
      </c>
      <c r="D4903" s="1" t="s">
        <v>335</v>
      </c>
      <c r="E4903" s="1" t="s">
        <v>116</v>
      </c>
      <c r="F4903">
        <v>74</v>
      </c>
      <c r="G4903" s="1" t="s">
        <v>127</v>
      </c>
      <c r="H4903">
        <v>74049</v>
      </c>
      <c r="I4903">
        <v>360</v>
      </c>
      <c r="J4903">
        <v>360</v>
      </c>
      <c r="K4903">
        <v>1368</v>
      </c>
      <c r="L4903">
        <v>3800</v>
      </c>
    </row>
    <row r="4904" spans="1:12" hidden="1" x14ac:dyDescent="0.25">
      <c r="A4904">
        <v>4903</v>
      </c>
      <c r="B4904" s="1" t="s">
        <v>12</v>
      </c>
      <c r="C4904">
        <v>2018</v>
      </c>
      <c r="D4904" s="1" t="s">
        <v>335</v>
      </c>
      <c r="E4904" s="1" t="s">
        <v>64</v>
      </c>
      <c r="F4904">
        <v>82</v>
      </c>
      <c r="G4904" s="1" t="s">
        <v>272</v>
      </c>
      <c r="H4904">
        <v>82042</v>
      </c>
      <c r="I4904">
        <v>6000</v>
      </c>
      <c r="J4904">
        <v>6000</v>
      </c>
      <c r="K4904">
        <v>24000</v>
      </c>
      <c r="L4904">
        <v>4000</v>
      </c>
    </row>
    <row r="4905" spans="1:12" hidden="1" x14ac:dyDescent="0.25">
      <c r="A4905">
        <v>4904</v>
      </c>
      <c r="B4905" s="1" t="s">
        <v>12</v>
      </c>
      <c r="C4905">
        <v>2019</v>
      </c>
      <c r="D4905" s="1" t="s">
        <v>339</v>
      </c>
      <c r="E4905" s="1" t="s">
        <v>158</v>
      </c>
      <c r="F4905">
        <v>6</v>
      </c>
      <c r="G4905" s="1" t="s">
        <v>336</v>
      </c>
      <c r="H4905">
        <v>6154</v>
      </c>
      <c r="I4905">
        <v>1400</v>
      </c>
      <c r="J4905">
        <v>1400</v>
      </c>
      <c r="K4905">
        <v>6160</v>
      </c>
      <c r="L4905">
        <v>4400</v>
      </c>
    </row>
    <row r="4906" spans="1:12" hidden="1" x14ac:dyDescent="0.25">
      <c r="A4906">
        <v>4905</v>
      </c>
      <c r="B4906" s="1" t="s">
        <v>12</v>
      </c>
      <c r="C4906">
        <v>2019</v>
      </c>
      <c r="D4906" s="1" t="s">
        <v>339</v>
      </c>
      <c r="E4906" s="1" t="s">
        <v>158</v>
      </c>
      <c r="F4906">
        <v>6</v>
      </c>
      <c r="G4906" s="1" t="s">
        <v>337</v>
      </c>
      <c r="H4906">
        <v>6277</v>
      </c>
      <c r="I4906">
        <v>450</v>
      </c>
      <c r="J4906">
        <v>432</v>
      </c>
      <c r="K4906">
        <v>1598</v>
      </c>
      <c r="L4906">
        <v>3699</v>
      </c>
    </row>
    <row r="4907" spans="1:12" hidden="1" x14ac:dyDescent="0.25">
      <c r="A4907">
        <v>4906</v>
      </c>
      <c r="B4907" s="1" t="s">
        <v>12</v>
      </c>
      <c r="C4907">
        <v>2019</v>
      </c>
      <c r="D4907" s="1" t="s">
        <v>339</v>
      </c>
      <c r="E4907" s="1" t="s">
        <v>158</v>
      </c>
      <c r="F4907">
        <v>6</v>
      </c>
      <c r="G4907" s="1" t="s">
        <v>160</v>
      </c>
      <c r="H4907">
        <v>6351</v>
      </c>
      <c r="I4907">
        <v>1100</v>
      </c>
      <c r="J4907">
        <v>1067</v>
      </c>
      <c r="K4907">
        <v>4268</v>
      </c>
      <c r="L4907">
        <v>4000</v>
      </c>
    </row>
    <row r="4908" spans="1:12" hidden="1" x14ac:dyDescent="0.25">
      <c r="A4908">
        <v>4907</v>
      </c>
      <c r="B4908" s="1" t="s">
        <v>12</v>
      </c>
      <c r="C4908">
        <v>2019</v>
      </c>
      <c r="D4908" s="1" t="s">
        <v>339</v>
      </c>
      <c r="E4908" s="1" t="s">
        <v>158</v>
      </c>
      <c r="F4908">
        <v>6</v>
      </c>
      <c r="G4908" s="1" t="s">
        <v>257</v>
      </c>
      <c r="H4908">
        <v>6392</v>
      </c>
      <c r="I4908">
        <v>5450</v>
      </c>
      <c r="J4908">
        <v>5395</v>
      </c>
      <c r="K4908">
        <v>18883</v>
      </c>
      <c r="L4908">
        <v>3500</v>
      </c>
    </row>
    <row r="4909" spans="1:12" hidden="1" x14ac:dyDescent="0.25">
      <c r="A4909">
        <v>4908</v>
      </c>
      <c r="B4909" s="1" t="s">
        <v>12</v>
      </c>
      <c r="C4909">
        <v>2019</v>
      </c>
      <c r="D4909" s="1" t="s">
        <v>339</v>
      </c>
      <c r="E4909" s="1" t="s">
        <v>158</v>
      </c>
      <c r="F4909">
        <v>6</v>
      </c>
      <c r="G4909" s="1" t="s">
        <v>243</v>
      </c>
      <c r="H4909">
        <v>6462</v>
      </c>
      <c r="I4909">
        <v>200</v>
      </c>
      <c r="J4909">
        <v>198</v>
      </c>
      <c r="K4909">
        <v>693</v>
      </c>
      <c r="L4909">
        <v>3500</v>
      </c>
    </row>
    <row r="4910" spans="1:12" hidden="1" x14ac:dyDescent="0.25">
      <c r="A4910">
        <v>4909</v>
      </c>
      <c r="B4910" s="1" t="s">
        <v>12</v>
      </c>
      <c r="C4910">
        <v>2019</v>
      </c>
      <c r="D4910" s="1" t="s">
        <v>339</v>
      </c>
      <c r="E4910" s="1" t="s">
        <v>158</v>
      </c>
      <c r="F4910">
        <v>6</v>
      </c>
      <c r="G4910" s="1" t="s">
        <v>165</v>
      </c>
      <c r="H4910">
        <v>6609</v>
      </c>
      <c r="I4910">
        <v>410</v>
      </c>
      <c r="J4910">
        <v>410</v>
      </c>
      <c r="K4910">
        <v>1804</v>
      </c>
      <c r="L4910">
        <v>4400</v>
      </c>
    </row>
    <row r="4911" spans="1:12" hidden="1" x14ac:dyDescent="0.25">
      <c r="A4911">
        <v>4910</v>
      </c>
      <c r="B4911" s="1" t="s">
        <v>12</v>
      </c>
      <c r="C4911">
        <v>2019</v>
      </c>
      <c r="D4911" s="1" t="s">
        <v>339</v>
      </c>
      <c r="E4911" s="1" t="s">
        <v>158</v>
      </c>
      <c r="F4911">
        <v>6</v>
      </c>
      <c r="G4911" s="1" t="s">
        <v>135</v>
      </c>
      <c r="H4911">
        <v>6616</v>
      </c>
      <c r="I4911">
        <v>2500</v>
      </c>
      <c r="J4911">
        <v>2500</v>
      </c>
      <c r="K4911">
        <v>7750</v>
      </c>
      <c r="L4911">
        <v>3100</v>
      </c>
    </row>
    <row r="4912" spans="1:12" hidden="1" x14ac:dyDescent="0.25">
      <c r="A4912">
        <v>4911</v>
      </c>
      <c r="B4912" s="1" t="s">
        <v>12</v>
      </c>
      <c r="C4912">
        <v>2019</v>
      </c>
      <c r="D4912" s="1" t="s">
        <v>339</v>
      </c>
      <c r="E4912" s="1" t="s">
        <v>158</v>
      </c>
      <c r="F4912">
        <v>6</v>
      </c>
      <c r="G4912" s="1" t="s">
        <v>161</v>
      </c>
      <c r="H4912">
        <v>6679</v>
      </c>
      <c r="I4912">
        <v>6000</v>
      </c>
      <c r="J4912">
        <v>6000</v>
      </c>
      <c r="K4912">
        <v>25200</v>
      </c>
      <c r="L4912">
        <v>4200</v>
      </c>
    </row>
    <row r="4913" spans="1:12" hidden="1" x14ac:dyDescent="0.25">
      <c r="A4913">
        <v>4912</v>
      </c>
      <c r="B4913" s="1" t="s">
        <v>12</v>
      </c>
      <c r="C4913">
        <v>2019</v>
      </c>
      <c r="D4913" s="1" t="s">
        <v>339</v>
      </c>
      <c r="E4913" s="1" t="s">
        <v>158</v>
      </c>
      <c r="F4913">
        <v>6</v>
      </c>
      <c r="G4913" s="1" t="s">
        <v>338</v>
      </c>
      <c r="H4913">
        <v>6721</v>
      </c>
      <c r="I4913">
        <v>1000</v>
      </c>
      <c r="J4913">
        <v>1000</v>
      </c>
      <c r="K4913">
        <v>3100</v>
      </c>
      <c r="L4913">
        <v>3100</v>
      </c>
    </row>
    <row r="4914" spans="1:12" hidden="1" x14ac:dyDescent="0.25">
      <c r="A4914">
        <v>4913</v>
      </c>
      <c r="B4914" s="1" t="s">
        <v>12</v>
      </c>
      <c r="C4914">
        <v>2019</v>
      </c>
      <c r="D4914" s="1" t="s">
        <v>339</v>
      </c>
      <c r="E4914" s="1" t="s">
        <v>158</v>
      </c>
      <c r="F4914">
        <v>6</v>
      </c>
      <c r="G4914" s="1" t="s">
        <v>167</v>
      </c>
      <c r="H4914">
        <v>6826</v>
      </c>
      <c r="I4914">
        <v>2000</v>
      </c>
      <c r="J4914">
        <v>2000</v>
      </c>
      <c r="K4914">
        <v>8000</v>
      </c>
      <c r="L4914">
        <v>4000</v>
      </c>
    </row>
    <row r="4915" spans="1:12" hidden="1" x14ac:dyDescent="0.25">
      <c r="A4915">
        <v>4914</v>
      </c>
      <c r="B4915" s="1" t="s">
        <v>12</v>
      </c>
      <c r="C4915">
        <v>2019</v>
      </c>
      <c r="D4915" s="1" t="s">
        <v>339</v>
      </c>
      <c r="E4915" s="1" t="s">
        <v>80</v>
      </c>
      <c r="F4915">
        <v>10</v>
      </c>
      <c r="G4915" s="1" t="s">
        <v>83</v>
      </c>
      <c r="H4915">
        <v>10098</v>
      </c>
      <c r="I4915">
        <v>2200</v>
      </c>
      <c r="J4915">
        <v>2090</v>
      </c>
      <c r="K4915">
        <v>2090</v>
      </c>
      <c r="L4915">
        <v>1000</v>
      </c>
    </row>
    <row r="4916" spans="1:12" hidden="1" x14ac:dyDescent="0.25">
      <c r="A4916">
        <v>4915</v>
      </c>
      <c r="B4916" s="1" t="s">
        <v>12</v>
      </c>
      <c r="C4916">
        <v>2019</v>
      </c>
      <c r="D4916" s="1" t="s">
        <v>339</v>
      </c>
      <c r="E4916" s="1" t="s">
        <v>22</v>
      </c>
      <c r="F4916">
        <v>14</v>
      </c>
      <c r="G4916" s="1" t="s">
        <v>97</v>
      </c>
      <c r="H4916">
        <v>14007</v>
      </c>
      <c r="I4916">
        <v>3300</v>
      </c>
      <c r="J4916">
        <v>3300</v>
      </c>
      <c r="K4916">
        <v>10890</v>
      </c>
      <c r="L4916">
        <v>3300</v>
      </c>
    </row>
    <row r="4917" spans="1:12" hidden="1" x14ac:dyDescent="0.25">
      <c r="A4917">
        <v>4916</v>
      </c>
      <c r="B4917" s="1" t="s">
        <v>12</v>
      </c>
      <c r="C4917">
        <v>2019</v>
      </c>
      <c r="D4917" s="1" t="s">
        <v>339</v>
      </c>
      <c r="E4917" s="1" t="s">
        <v>22</v>
      </c>
      <c r="F4917">
        <v>14</v>
      </c>
      <c r="G4917" s="1" t="s">
        <v>129</v>
      </c>
      <c r="H4917">
        <v>14035</v>
      </c>
      <c r="I4917">
        <v>90060</v>
      </c>
      <c r="J4917">
        <v>89878</v>
      </c>
      <c r="K4917">
        <v>314573</v>
      </c>
      <c r="L4917">
        <v>3500</v>
      </c>
    </row>
    <row r="4918" spans="1:12" hidden="1" x14ac:dyDescent="0.25">
      <c r="A4918">
        <v>4917</v>
      </c>
      <c r="B4918" s="1" t="s">
        <v>12</v>
      </c>
      <c r="C4918">
        <v>2019</v>
      </c>
      <c r="D4918" s="1" t="s">
        <v>339</v>
      </c>
      <c r="E4918" s="1" t="s">
        <v>22</v>
      </c>
      <c r="F4918">
        <v>14</v>
      </c>
      <c r="G4918" s="1" t="s">
        <v>184</v>
      </c>
      <c r="H4918">
        <v>14042</v>
      </c>
      <c r="I4918">
        <v>8000</v>
      </c>
      <c r="J4918">
        <v>8000</v>
      </c>
      <c r="K4918">
        <v>30400</v>
      </c>
      <c r="L4918">
        <v>3800</v>
      </c>
    </row>
    <row r="4919" spans="1:12" hidden="1" x14ac:dyDescent="0.25">
      <c r="A4919">
        <v>4918</v>
      </c>
      <c r="B4919" s="1" t="s">
        <v>12</v>
      </c>
      <c r="C4919">
        <v>2019</v>
      </c>
      <c r="D4919" s="1" t="s">
        <v>339</v>
      </c>
      <c r="E4919" s="1" t="s">
        <v>22</v>
      </c>
      <c r="F4919">
        <v>14</v>
      </c>
      <c r="G4919" s="1" t="s">
        <v>143</v>
      </c>
      <c r="H4919">
        <v>14056</v>
      </c>
      <c r="I4919">
        <v>32500</v>
      </c>
      <c r="J4919">
        <v>32500</v>
      </c>
      <c r="K4919">
        <v>116675</v>
      </c>
      <c r="L4919">
        <v>3590</v>
      </c>
    </row>
    <row r="4920" spans="1:12" hidden="1" x14ac:dyDescent="0.25">
      <c r="A4920">
        <v>4919</v>
      </c>
      <c r="B4920" s="1" t="s">
        <v>12</v>
      </c>
      <c r="C4920">
        <v>2019</v>
      </c>
      <c r="D4920" s="1" t="s">
        <v>339</v>
      </c>
      <c r="E4920" s="1" t="s">
        <v>22</v>
      </c>
      <c r="F4920">
        <v>14</v>
      </c>
      <c r="G4920" s="1" t="s">
        <v>247</v>
      </c>
      <c r="H4920">
        <v>14063</v>
      </c>
      <c r="I4920">
        <v>8908</v>
      </c>
      <c r="J4920">
        <v>8808</v>
      </c>
      <c r="K4920">
        <v>37874</v>
      </c>
      <c r="L4920">
        <v>4300</v>
      </c>
    </row>
    <row r="4921" spans="1:12" hidden="1" x14ac:dyDescent="0.25">
      <c r="A4921">
        <v>4920</v>
      </c>
      <c r="B4921" s="1" t="s">
        <v>12</v>
      </c>
      <c r="C4921">
        <v>2019</v>
      </c>
      <c r="D4921" s="1" t="s">
        <v>339</v>
      </c>
      <c r="E4921" s="1" t="s">
        <v>22</v>
      </c>
      <c r="F4921">
        <v>14</v>
      </c>
      <c r="G4921" s="1" t="s">
        <v>206</v>
      </c>
      <c r="H4921">
        <v>14084</v>
      </c>
      <c r="I4921">
        <v>23940</v>
      </c>
      <c r="J4921">
        <v>23666</v>
      </c>
      <c r="K4921">
        <v>82831</v>
      </c>
      <c r="L4921">
        <v>3500</v>
      </c>
    </row>
    <row r="4922" spans="1:12" hidden="1" x14ac:dyDescent="0.25">
      <c r="A4922">
        <v>4921</v>
      </c>
      <c r="B4922" s="1" t="s">
        <v>12</v>
      </c>
      <c r="C4922">
        <v>2019</v>
      </c>
      <c r="D4922" s="1" t="s">
        <v>339</v>
      </c>
      <c r="E4922" s="1" t="s">
        <v>22</v>
      </c>
      <c r="F4922">
        <v>14</v>
      </c>
      <c r="G4922" s="1" t="s">
        <v>29</v>
      </c>
      <c r="H4922">
        <v>14098</v>
      </c>
      <c r="I4922">
        <v>89000</v>
      </c>
      <c r="J4922">
        <v>89000</v>
      </c>
      <c r="K4922">
        <v>319510</v>
      </c>
      <c r="L4922">
        <v>3590</v>
      </c>
    </row>
    <row r="4923" spans="1:12" hidden="1" x14ac:dyDescent="0.25">
      <c r="A4923">
        <v>4922</v>
      </c>
      <c r="B4923" s="1" t="s">
        <v>12</v>
      </c>
      <c r="C4923">
        <v>2019</v>
      </c>
      <c r="D4923" s="1" t="s">
        <v>339</v>
      </c>
      <c r="E4923" s="1" t="s">
        <v>22</v>
      </c>
      <c r="F4923">
        <v>14</v>
      </c>
      <c r="G4923" s="1" t="s">
        <v>25</v>
      </c>
      <c r="H4923">
        <v>14105</v>
      </c>
      <c r="I4923">
        <v>4882</v>
      </c>
      <c r="J4923">
        <v>4882</v>
      </c>
      <c r="K4923">
        <v>14646</v>
      </c>
      <c r="L4923">
        <v>3000</v>
      </c>
    </row>
    <row r="4924" spans="1:12" hidden="1" x14ac:dyDescent="0.25">
      <c r="A4924">
        <v>4923</v>
      </c>
      <c r="B4924" s="1" t="s">
        <v>12</v>
      </c>
      <c r="C4924">
        <v>2019</v>
      </c>
      <c r="D4924" s="1" t="s">
        <v>339</v>
      </c>
      <c r="E4924" s="1" t="s">
        <v>22</v>
      </c>
      <c r="F4924">
        <v>14</v>
      </c>
      <c r="G4924" s="1" t="s">
        <v>24</v>
      </c>
      <c r="H4924">
        <v>14119</v>
      </c>
      <c r="I4924">
        <v>9300</v>
      </c>
      <c r="J4924">
        <v>9300</v>
      </c>
      <c r="K4924">
        <v>34410</v>
      </c>
      <c r="L4924">
        <v>3700</v>
      </c>
    </row>
    <row r="4925" spans="1:12" hidden="1" x14ac:dyDescent="0.25">
      <c r="A4925">
        <v>4924</v>
      </c>
      <c r="B4925" s="1" t="s">
        <v>12</v>
      </c>
      <c r="C4925">
        <v>2019</v>
      </c>
      <c r="D4925" s="1" t="s">
        <v>339</v>
      </c>
      <c r="E4925" s="1" t="s">
        <v>22</v>
      </c>
      <c r="F4925">
        <v>14</v>
      </c>
      <c r="G4925" s="1" t="s">
        <v>62</v>
      </c>
      <c r="H4925">
        <v>14133</v>
      </c>
      <c r="I4925">
        <v>3500</v>
      </c>
      <c r="J4925">
        <v>3500</v>
      </c>
      <c r="K4925">
        <v>11865</v>
      </c>
      <c r="L4925">
        <v>3390</v>
      </c>
    </row>
    <row r="4926" spans="1:12" hidden="1" x14ac:dyDescent="0.25">
      <c r="A4926">
        <v>4925</v>
      </c>
      <c r="B4926" s="1" t="s">
        <v>12</v>
      </c>
      <c r="C4926">
        <v>2019</v>
      </c>
      <c r="D4926" s="1" t="s">
        <v>339</v>
      </c>
      <c r="E4926" s="1" t="s">
        <v>22</v>
      </c>
      <c r="F4926">
        <v>14</v>
      </c>
      <c r="G4926" s="1" t="s">
        <v>67</v>
      </c>
      <c r="H4926">
        <v>14140</v>
      </c>
      <c r="I4926">
        <v>1364</v>
      </c>
      <c r="J4926">
        <v>1364</v>
      </c>
      <c r="K4926">
        <v>4228</v>
      </c>
      <c r="L4926">
        <v>3100</v>
      </c>
    </row>
    <row r="4927" spans="1:12" hidden="1" x14ac:dyDescent="0.25">
      <c r="A4927">
        <v>4926</v>
      </c>
      <c r="B4927" s="1" t="s">
        <v>12</v>
      </c>
      <c r="C4927">
        <v>2019</v>
      </c>
      <c r="D4927" s="1" t="s">
        <v>339</v>
      </c>
      <c r="E4927" s="1" t="s">
        <v>22</v>
      </c>
      <c r="F4927">
        <v>14</v>
      </c>
      <c r="G4927" s="1" t="s">
        <v>23</v>
      </c>
      <c r="H4927">
        <v>14147</v>
      </c>
      <c r="I4927">
        <v>4100</v>
      </c>
      <c r="J4927">
        <v>4100</v>
      </c>
      <c r="K4927">
        <v>13940</v>
      </c>
      <c r="L4927">
        <v>3400</v>
      </c>
    </row>
    <row r="4928" spans="1:12" hidden="1" x14ac:dyDescent="0.25">
      <c r="A4928">
        <v>4927</v>
      </c>
      <c r="B4928" s="1" t="s">
        <v>12</v>
      </c>
      <c r="C4928">
        <v>2019</v>
      </c>
      <c r="D4928" s="1" t="s">
        <v>339</v>
      </c>
      <c r="E4928" s="1" t="s">
        <v>22</v>
      </c>
      <c r="F4928">
        <v>14</v>
      </c>
      <c r="G4928" s="1" t="s">
        <v>26</v>
      </c>
      <c r="H4928">
        <v>14161</v>
      </c>
      <c r="I4928">
        <v>18000</v>
      </c>
      <c r="J4928">
        <v>18000</v>
      </c>
      <c r="K4928">
        <v>63000</v>
      </c>
      <c r="L4928">
        <v>3500</v>
      </c>
    </row>
    <row r="4929" spans="1:12" hidden="1" x14ac:dyDescent="0.25">
      <c r="A4929">
        <v>4928</v>
      </c>
      <c r="B4929" s="1" t="s">
        <v>12</v>
      </c>
      <c r="C4929">
        <v>2019</v>
      </c>
      <c r="D4929" s="1" t="s">
        <v>339</v>
      </c>
      <c r="E4929" s="1" t="s">
        <v>22</v>
      </c>
      <c r="F4929">
        <v>14</v>
      </c>
      <c r="G4929" s="1" t="s">
        <v>122</v>
      </c>
      <c r="H4929">
        <v>14182</v>
      </c>
      <c r="I4929">
        <v>9674</v>
      </c>
      <c r="J4929">
        <v>9474</v>
      </c>
      <c r="K4929">
        <v>42065</v>
      </c>
      <c r="L4929">
        <v>4440</v>
      </c>
    </row>
    <row r="4930" spans="1:12" x14ac:dyDescent="0.25">
      <c r="A4930">
        <v>4929</v>
      </c>
      <c r="B4930" s="1" t="s">
        <v>12</v>
      </c>
      <c r="C4930">
        <v>2019</v>
      </c>
      <c r="D4930" s="1" t="s">
        <v>339</v>
      </c>
      <c r="E4930" s="1" t="s">
        <v>53</v>
      </c>
      <c r="F4930">
        <v>38</v>
      </c>
      <c r="G4930" s="1" t="s">
        <v>56</v>
      </c>
      <c r="H4930">
        <v>38063</v>
      </c>
      <c r="I4930">
        <v>196</v>
      </c>
      <c r="J4930">
        <v>196</v>
      </c>
      <c r="K4930">
        <v>196</v>
      </c>
      <c r="L4930">
        <v>1000</v>
      </c>
    </row>
    <row r="4931" spans="1:12" hidden="1" x14ac:dyDescent="0.25">
      <c r="A4931">
        <v>4930</v>
      </c>
      <c r="B4931" s="1" t="s">
        <v>12</v>
      </c>
      <c r="C4931">
        <v>2019</v>
      </c>
      <c r="D4931" s="1" t="s">
        <v>339</v>
      </c>
      <c r="E4931" s="1" t="s">
        <v>53</v>
      </c>
      <c r="F4931">
        <v>38</v>
      </c>
      <c r="G4931" s="1" t="s">
        <v>270</v>
      </c>
      <c r="H4931">
        <v>38070</v>
      </c>
      <c r="I4931">
        <v>392</v>
      </c>
      <c r="J4931">
        <v>392</v>
      </c>
      <c r="K4931">
        <v>392</v>
      </c>
      <c r="L4931">
        <v>1000</v>
      </c>
    </row>
    <row r="4932" spans="1:12" hidden="1" x14ac:dyDescent="0.25">
      <c r="A4932">
        <v>4931</v>
      </c>
      <c r="B4932" s="1" t="s">
        <v>12</v>
      </c>
      <c r="C4932">
        <v>2019</v>
      </c>
      <c r="D4932" s="1" t="s">
        <v>339</v>
      </c>
      <c r="E4932" s="1" t="s">
        <v>176</v>
      </c>
      <c r="F4932">
        <v>42</v>
      </c>
      <c r="G4932" s="1" t="s">
        <v>319</v>
      </c>
      <c r="H4932">
        <v>42028</v>
      </c>
      <c r="I4932">
        <v>750</v>
      </c>
      <c r="J4932">
        <v>750</v>
      </c>
      <c r="K4932">
        <v>1875</v>
      </c>
      <c r="L4932">
        <v>2500</v>
      </c>
    </row>
    <row r="4933" spans="1:12" hidden="1" x14ac:dyDescent="0.25">
      <c r="A4933">
        <v>4932</v>
      </c>
      <c r="B4933" s="1" t="s">
        <v>12</v>
      </c>
      <c r="C4933">
        <v>2019</v>
      </c>
      <c r="D4933" s="1" t="s">
        <v>339</v>
      </c>
      <c r="E4933" s="1" t="s">
        <v>176</v>
      </c>
      <c r="F4933">
        <v>42</v>
      </c>
      <c r="G4933" s="1" t="s">
        <v>314</v>
      </c>
      <c r="H4933">
        <v>42056</v>
      </c>
      <c r="I4933">
        <v>3700</v>
      </c>
      <c r="J4933">
        <v>3600</v>
      </c>
      <c r="K4933">
        <v>13680</v>
      </c>
      <c r="L4933">
        <v>3800</v>
      </c>
    </row>
    <row r="4934" spans="1:12" hidden="1" x14ac:dyDescent="0.25">
      <c r="A4934">
        <v>4933</v>
      </c>
      <c r="B4934" s="1" t="s">
        <v>12</v>
      </c>
      <c r="C4934">
        <v>2019</v>
      </c>
      <c r="D4934" s="1" t="s">
        <v>339</v>
      </c>
      <c r="E4934" s="1" t="s">
        <v>176</v>
      </c>
      <c r="F4934">
        <v>42</v>
      </c>
      <c r="G4934" s="1" t="s">
        <v>324</v>
      </c>
      <c r="H4934">
        <v>42035</v>
      </c>
      <c r="I4934">
        <v>450</v>
      </c>
      <c r="J4934">
        <v>450</v>
      </c>
      <c r="K4934">
        <v>1575</v>
      </c>
      <c r="L4934">
        <v>3500</v>
      </c>
    </row>
    <row r="4935" spans="1:12" hidden="1" x14ac:dyDescent="0.25">
      <c r="A4935">
        <v>4934</v>
      </c>
      <c r="B4935" s="1" t="s">
        <v>12</v>
      </c>
      <c r="C4935">
        <v>2019</v>
      </c>
      <c r="D4935" s="1" t="s">
        <v>339</v>
      </c>
      <c r="E4935" s="1" t="s">
        <v>176</v>
      </c>
      <c r="F4935">
        <v>42</v>
      </c>
      <c r="G4935" s="1" t="s">
        <v>322</v>
      </c>
      <c r="H4935">
        <v>42105</v>
      </c>
      <c r="I4935">
        <v>4600</v>
      </c>
      <c r="J4935">
        <v>4500</v>
      </c>
      <c r="K4935">
        <v>17100</v>
      </c>
      <c r="L4935">
        <v>3800</v>
      </c>
    </row>
    <row r="4936" spans="1:12" hidden="1" x14ac:dyDescent="0.25">
      <c r="A4936">
        <v>4935</v>
      </c>
      <c r="B4936" s="1" t="s">
        <v>12</v>
      </c>
      <c r="C4936">
        <v>2019</v>
      </c>
      <c r="D4936" s="1" t="s">
        <v>339</v>
      </c>
      <c r="E4936" s="1" t="s">
        <v>176</v>
      </c>
      <c r="F4936">
        <v>42</v>
      </c>
      <c r="G4936" s="1" t="s">
        <v>177</v>
      </c>
      <c r="H4936">
        <v>42119</v>
      </c>
      <c r="I4936">
        <v>3600</v>
      </c>
      <c r="J4936">
        <v>3500</v>
      </c>
      <c r="K4936">
        <v>12250</v>
      </c>
      <c r="L4936">
        <v>3500</v>
      </c>
    </row>
    <row r="4937" spans="1:12" hidden="1" x14ac:dyDescent="0.25">
      <c r="A4937">
        <v>4936</v>
      </c>
      <c r="B4937" s="1" t="s">
        <v>12</v>
      </c>
      <c r="C4937">
        <v>2019</v>
      </c>
      <c r="D4937" s="1" t="s">
        <v>339</v>
      </c>
      <c r="E4937" s="1" t="s">
        <v>176</v>
      </c>
      <c r="F4937">
        <v>42</v>
      </c>
      <c r="G4937" s="1" t="s">
        <v>315</v>
      </c>
      <c r="H4937">
        <v>42126</v>
      </c>
      <c r="I4937">
        <v>600</v>
      </c>
      <c r="J4937">
        <v>600</v>
      </c>
      <c r="K4937">
        <v>2100</v>
      </c>
      <c r="L4937">
        <v>3500</v>
      </c>
    </row>
    <row r="4938" spans="1:12" hidden="1" x14ac:dyDescent="0.25">
      <c r="A4938">
        <v>4937</v>
      </c>
      <c r="B4938" s="1" t="s">
        <v>12</v>
      </c>
      <c r="C4938">
        <v>2019</v>
      </c>
      <c r="D4938" s="1" t="s">
        <v>339</v>
      </c>
      <c r="E4938" s="1" t="s">
        <v>176</v>
      </c>
      <c r="F4938">
        <v>42</v>
      </c>
      <c r="G4938" s="1" t="s">
        <v>316</v>
      </c>
      <c r="H4938">
        <v>42133</v>
      </c>
      <c r="I4938">
        <v>1700</v>
      </c>
      <c r="J4938">
        <v>1700</v>
      </c>
      <c r="K4938">
        <v>5950</v>
      </c>
      <c r="L4938">
        <v>3500</v>
      </c>
    </row>
    <row r="4939" spans="1:12" hidden="1" x14ac:dyDescent="0.25">
      <c r="A4939">
        <v>4938</v>
      </c>
      <c r="B4939" s="1" t="s">
        <v>12</v>
      </c>
      <c r="C4939">
        <v>2019</v>
      </c>
      <c r="D4939" s="1" t="s">
        <v>339</v>
      </c>
      <c r="E4939" s="1" t="s">
        <v>176</v>
      </c>
      <c r="F4939">
        <v>42</v>
      </c>
      <c r="G4939" s="1" t="s">
        <v>320</v>
      </c>
      <c r="H4939">
        <v>42147</v>
      </c>
      <c r="I4939">
        <v>450</v>
      </c>
      <c r="J4939">
        <v>450</v>
      </c>
      <c r="K4939">
        <v>1575</v>
      </c>
      <c r="L4939">
        <v>3500</v>
      </c>
    </row>
    <row r="4940" spans="1:12" hidden="1" x14ac:dyDescent="0.25">
      <c r="A4940">
        <v>4939</v>
      </c>
      <c r="B4940" s="1" t="s">
        <v>12</v>
      </c>
      <c r="C4940">
        <v>2019</v>
      </c>
      <c r="D4940" s="1" t="s">
        <v>339</v>
      </c>
      <c r="E4940" s="1" t="s">
        <v>87</v>
      </c>
      <c r="F4940">
        <v>66</v>
      </c>
      <c r="G4940" s="1" t="s">
        <v>153</v>
      </c>
      <c r="H4940">
        <v>66007</v>
      </c>
      <c r="I4940">
        <v>2212</v>
      </c>
      <c r="J4940">
        <v>2212</v>
      </c>
      <c r="K4940">
        <v>1991</v>
      </c>
      <c r="L4940">
        <v>900</v>
      </c>
    </row>
    <row r="4941" spans="1:12" hidden="1" x14ac:dyDescent="0.25">
      <c r="A4941">
        <v>4940</v>
      </c>
      <c r="B4941" s="1" t="s">
        <v>12</v>
      </c>
      <c r="C4941">
        <v>2019</v>
      </c>
      <c r="D4941" s="1" t="s">
        <v>339</v>
      </c>
      <c r="E4941" s="1" t="s">
        <v>87</v>
      </c>
      <c r="F4941">
        <v>66</v>
      </c>
      <c r="G4941" s="1" t="s">
        <v>230</v>
      </c>
      <c r="H4941">
        <v>66056</v>
      </c>
      <c r="I4941">
        <v>3271</v>
      </c>
      <c r="J4941">
        <v>3271</v>
      </c>
      <c r="K4941">
        <v>2617</v>
      </c>
      <c r="L4941">
        <v>800</v>
      </c>
    </row>
    <row r="4942" spans="1:12" hidden="1" x14ac:dyDescent="0.25">
      <c r="A4942">
        <v>4941</v>
      </c>
      <c r="B4942" s="1" t="s">
        <v>12</v>
      </c>
      <c r="C4942">
        <v>2019</v>
      </c>
      <c r="D4942" s="1" t="s">
        <v>339</v>
      </c>
      <c r="E4942" s="1" t="s">
        <v>87</v>
      </c>
      <c r="F4942">
        <v>66</v>
      </c>
      <c r="G4942" s="1" t="s">
        <v>179</v>
      </c>
      <c r="H4942">
        <v>66126</v>
      </c>
      <c r="I4942">
        <v>392</v>
      </c>
      <c r="J4942">
        <v>392</v>
      </c>
      <c r="K4942">
        <v>314</v>
      </c>
      <c r="L4942">
        <v>801</v>
      </c>
    </row>
    <row r="4943" spans="1:12" hidden="1" x14ac:dyDescent="0.25">
      <c r="A4943">
        <v>4942</v>
      </c>
      <c r="B4943" s="1" t="s">
        <v>12</v>
      </c>
      <c r="C4943">
        <v>2019</v>
      </c>
      <c r="D4943" s="1" t="s">
        <v>339</v>
      </c>
      <c r="E4943" s="1" t="s">
        <v>116</v>
      </c>
      <c r="F4943">
        <v>74</v>
      </c>
      <c r="G4943" s="1" t="s">
        <v>195</v>
      </c>
      <c r="H4943">
        <v>74007</v>
      </c>
      <c r="I4943">
        <v>2400</v>
      </c>
      <c r="J4943">
        <v>2400</v>
      </c>
      <c r="K4943">
        <v>8640</v>
      </c>
      <c r="L4943">
        <v>3600</v>
      </c>
    </row>
    <row r="4944" spans="1:12" hidden="1" x14ac:dyDescent="0.25">
      <c r="A4944">
        <v>4943</v>
      </c>
      <c r="B4944" s="1" t="s">
        <v>12</v>
      </c>
      <c r="C4944">
        <v>2019</v>
      </c>
      <c r="D4944" s="1" t="s">
        <v>339</v>
      </c>
      <c r="E4944" s="1" t="s">
        <v>116</v>
      </c>
      <c r="F4944">
        <v>74</v>
      </c>
      <c r="G4944" s="1" t="s">
        <v>126</v>
      </c>
      <c r="H4944">
        <v>74035</v>
      </c>
      <c r="I4944">
        <v>7000</v>
      </c>
      <c r="J4944">
        <v>7000</v>
      </c>
      <c r="K4944">
        <v>15400</v>
      </c>
      <c r="L4944">
        <v>2200</v>
      </c>
    </row>
    <row r="4945" spans="1:12" hidden="1" x14ac:dyDescent="0.25">
      <c r="A4945">
        <v>4944</v>
      </c>
      <c r="B4945" s="1" t="s">
        <v>12</v>
      </c>
      <c r="C4945">
        <v>2019</v>
      </c>
      <c r="D4945" s="1" t="s">
        <v>339</v>
      </c>
      <c r="E4945" s="1" t="s">
        <v>116</v>
      </c>
      <c r="F4945">
        <v>74</v>
      </c>
      <c r="G4945" s="1" t="s">
        <v>326</v>
      </c>
      <c r="H4945">
        <v>74042</v>
      </c>
      <c r="I4945">
        <v>600</v>
      </c>
      <c r="J4945">
        <v>600</v>
      </c>
      <c r="K4945">
        <v>1248</v>
      </c>
      <c r="L4945">
        <v>2080</v>
      </c>
    </row>
    <row r="4946" spans="1:12" hidden="1" x14ac:dyDescent="0.25">
      <c r="A4946">
        <v>4945</v>
      </c>
      <c r="B4946" s="1" t="s">
        <v>12</v>
      </c>
      <c r="C4946">
        <v>2019</v>
      </c>
      <c r="D4946" s="1" t="s">
        <v>339</v>
      </c>
      <c r="E4946" s="1" t="s">
        <v>116</v>
      </c>
      <c r="F4946">
        <v>74</v>
      </c>
      <c r="G4946" s="1" t="s">
        <v>127</v>
      </c>
      <c r="H4946">
        <v>74049</v>
      </c>
      <c r="I4946">
        <v>450</v>
      </c>
      <c r="J4946">
        <v>450</v>
      </c>
      <c r="K4946">
        <v>1125</v>
      </c>
      <c r="L4946">
        <v>2500</v>
      </c>
    </row>
    <row r="4947" spans="1:12" hidden="1" x14ac:dyDescent="0.25">
      <c r="A4947">
        <v>4946</v>
      </c>
      <c r="B4947" s="1" t="s">
        <v>12</v>
      </c>
      <c r="C4947">
        <v>2019</v>
      </c>
      <c r="D4947" s="1" t="s">
        <v>339</v>
      </c>
      <c r="E4947" s="1" t="s">
        <v>64</v>
      </c>
      <c r="F4947">
        <v>82</v>
      </c>
      <c r="G4947" s="1" t="s">
        <v>272</v>
      </c>
      <c r="H4947">
        <v>82042</v>
      </c>
      <c r="I4947">
        <v>6500</v>
      </c>
      <c r="J4947">
        <v>6500</v>
      </c>
      <c r="K4947">
        <v>20800</v>
      </c>
      <c r="L4947">
        <v>3200</v>
      </c>
    </row>
    <row r="4948" spans="1:12" hidden="1" x14ac:dyDescent="0.25">
      <c r="A4948">
        <v>4947</v>
      </c>
      <c r="B4948" s="1" t="s">
        <v>12</v>
      </c>
      <c r="C4948">
        <v>2019</v>
      </c>
      <c r="D4948" s="1" t="s">
        <v>339</v>
      </c>
      <c r="E4948" s="1" t="s">
        <v>77</v>
      </c>
      <c r="F4948">
        <v>90</v>
      </c>
      <c r="G4948" s="1" t="s">
        <v>95</v>
      </c>
      <c r="H4948">
        <v>90035</v>
      </c>
      <c r="I4948">
        <v>150</v>
      </c>
      <c r="J4948">
        <v>150</v>
      </c>
      <c r="K4948">
        <v>150</v>
      </c>
      <c r="L4948">
        <v>1000</v>
      </c>
    </row>
    <row r="4949" spans="1:12" hidden="1" x14ac:dyDescent="0.25">
      <c r="A4949">
        <v>4948</v>
      </c>
      <c r="B4949" s="1" t="s">
        <v>12</v>
      </c>
      <c r="C4949">
        <v>2020</v>
      </c>
      <c r="D4949" s="1" t="s">
        <v>340</v>
      </c>
      <c r="E4949" s="1" t="s">
        <v>158</v>
      </c>
      <c r="F4949">
        <v>6</v>
      </c>
      <c r="G4949" s="1" t="s">
        <v>334</v>
      </c>
      <c r="H4949">
        <v>6007</v>
      </c>
      <c r="I4949">
        <v>1500</v>
      </c>
      <c r="J4949">
        <v>1500</v>
      </c>
      <c r="K4949">
        <v>4200</v>
      </c>
      <c r="L4949">
        <v>2800</v>
      </c>
    </row>
    <row r="4950" spans="1:12" hidden="1" x14ac:dyDescent="0.25">
      <c r="A4950">
        <v>4949</v>
      </c>
      <c r="B4950" s="1" t="s">
        <v>12</v>
      </c>
      <c r="C4950">
        <v>2020</v>
      </c>
      <c r="D4950" s="1" t="s">
        <v>340</v>
      </c>
      <c r="E4950" s="1" t="s">
        <v>158</v>
      </c>
      <c r="F4950">
        <v>6</v>
      </c>
      <c r="G4950" s="1" t="s">
        <v>336</v>
      </c>
      <c r="H4950">
        <v>6154</v>
      </c>
      <c r="I4950">
        <v>4800</v>
      </c>
      <c r="J4950">
        <v>4800</v>
      </c>
      <c r="K4950">
        <v>12000</v>
      </c>
      <c r="L4950">
        <v>2500</v>
      </c>
    </row>
    <row r="4951" spans="1:12" hidden="1" x14ac:dyDescent="0.25">
      <c r="A4951">
        <v>4950</v>
      </c>
      <c r="B4951" s="1" t="s">
        <v>12</v>
      </c>
      <c r="C4951">
        <v>2020</v>
      </c>
      <c r="D4951" s="1" t="s">
        <v>340</v>
      </c>
      <c r="E4951" s="1" t="s">
        <v>158</v>
      </c>
      <c r="F4951">
        <v>6</v>
      </c>
      <c r="G4951" s="1" t="s">
        <v>337</v>
      </c>
      <c r="H4951">
        <v>6277</v>
      </c>
      <c r="I4951">
        <v>500</v>
      </c>
      <c r="J4951">
        <v>500</v>
      </c>
      <c r="K4951">
        <v>1450</v>
      </c>
      <c r="L4951">
        <v>2900</v>
      </c>
    </row>
    <row r="4952" spans="1:12" hidden="1" x14ac:dyDescent="0.25">
      <c r="A4952">
        <v>4951</v>
      </c>
      <c r="B4952" s="1" t="s">
        <v>12</v>
      </c>
      <c r="C4952">
        <v>2020</v>
      </c>
      <c r="D4952" s="1" t="s">
        <v>340</v>
      </c>
      <c r="E4952" s="1" t="s">
        <v>158</v>
      </c>
      <c r="F4952">
        <v>6</v>
      </c>
      <c r="G4952" s="1" t="s">
        <v>341</v>
      </c>
      <c r="H4952">
        <v>6294</v>
      </c>
      <c r="I4952">
        <v>2000</v>
      </c>
      <c r="J4952">
        <v>2000</v>
      </c>
      <c r="K4952">
        <v>6600</v>
      </c>
      <c r="L4952">
        <v>3300</v>
      </c>
    </row>
    <row r="4953" spans="1:12" hidden="1" x14ac:dyDescent="0.25">
      <c r="A4953">
        <v>4952</v>
      </c>
      <c r="B4953" s="1" t="s">
        <v>12</v>
      </c>
      <c r="C4953">
        <v>2020</v>
      </c>
      <c r="D4953" s="1" t="s">
        <v>340</v>
      </c>
      <c r="E4953" s="1" t="s">
        <v>158</v>
      </c>
      <c r="F4953">
        <v>6</v>
      </c>
      <c r="G4953" s="1" t="s">
        <v>160</v>
      </c>
      <c r="H4953">
        <v>6351</v>
      </c>
      <c r="I4953">
        <v>1500</v>
      </c>
      <c r="J4953">
        <v>1500</v>
      </c>
      <c r="K4953">
        <v>4650</v>
      </c>
      <c r="L4953">
        <v>3100</v>
      </c>
    </row>
    <row r="4954" spans="1:12" hidden="1" x14ac:dyDescent="0.25">
      <c r="A4954">
        <v>4953</v>
      </c>
      <c r="B4954" s="1" t="s">
        <v>12</v>
      </c>
      <c r="C4954">
        <v>2020</v>
      </c>
      <c r="D4954" s="1" t="s">
        <v>340</v>
      </c>
      <c r="E4954" s="1" t="s">
        <v>158</v>
      </c>
      <c r="F4954">
        <v>6</v>
      </c>
      <c r="G4954" s="1" t="s">
        <v>257</v>
      </c>
      <c r="H4954">
        <v>6392</v>
      </c>
      <c r="I4954">
        <v>10000</v>
      </c>
      <c r="J4954">
        <v>10000</v>
      </c>
      <c r="K4954">
        <v>28000</v>
      </c>
      <c r="L4954">
        <v>2800</v>
      </c>
    </row>
    <row r="4955" spans="1:12" hidden="1" x14ac:dyDescent="0.25">
      <c r="A4955">
        <v>4954</v>
      </c>
      <c r="B4955" s="1" t="s">
        <v>12</v>
      </c>
      <c r="C4955">
        <v>2020</v>
      </c>
      <c r="D4955" s="1" t="s">
        <v>340</v>
      </c>
      <c r="E4955" s="1" t="s">
        <v>158</v>
      </c>
      <c r="F4955">
        <v>6</v>
      </c>
      <c r="G4955" s="1" t="s">
        <v>342</v>
      </c>
      <c r="H4955">
        <v>6399</v>
      </c>
      <c r="I4955">
        <v>500</v>
      </c>
      <c r="J4955">
        <v>500</v>
      </c>
      <c r="K4955">
        <v>1400</v>
      </c>
      <c r="L4955">
        <v>2800</v>
      </c>
    </row>
    <row r="4956" spans="1:12" hidden="1" x14ac:dyDescent="0.25">
      <c r="A4956">
        <v>4955</v>
      </c>
      <c r="B4956" s="1" t="s">
        <v>12</v>
      </c>
      <c r="C4956">
        <v>2020</v>
      </c>
      <c r="D4956" s="1" t="s">
        <v>340</v>
      </c>
      <c r="E4956" s="1" t="s">
        <v>158</v>
      </c>
      <c r="F4956">
        <v>6</v>
      </c>
      <c r="G4956" s="1" t="s">
        <v>127</v>
      </c>
      <c r="H4956">
        <v>6413</v>
      </c>
      <c r="I4956">
        <v>1800</v>
      </c>
      <c r="J4956">
        <v>1800</v>
      </c>
      <c r="K4956">
        <v>5760</v>
      </c>
      <c r="L4956">
        <v>3200</v>
      </c>
    </row>
    <row r="4957" spans="1:12" hidden="1" x14ac:dyDescent="0.25">
      <c r="A4957">
        <v>4956</v>
      </c>
      <c r="B4957" s="1" t="s">
        <v>12</v>
      </c>
      <c r="C4957">
        <v>2020</v>
      </c>
      <c r="D4957" s="1" t="s">
        <v>340</v>
      </c>
      <c r="E4957" s="1" t="s">
        <v>158</v>
      </c>
      <c r="F4957">
        <v>6</v>
      </c>
      <c r="G4957" s="1" t="s">
        <v>243</v>
      </c>
      <c r="H4957">
        <v>6462</v>
      </c>
      <c r="I4957">
        <v>250</v>
      </c>
      <c r="J4957">
        <v>250</v>
      </c>
      <c r="K4957">
        <v>800</v>
      </c>
      <c r="L4957">
        <v>3200</v>
      </c>
    </row>
    <row r="4958" spans="1:12" hidden="1" x14ac:dyDescent="0.25">
      <c r="A4958">
        <v>4957</v>
      </c>
      <c r="B4958" s="1" t="s">
        <v>12</v>
      </c>
      <c r="C4958">
        <v>2020</v>
      </c>
      <c r="D4958" s="1" t="s">
        <v>340</v>
      </c>
      <c r="E4958" s="1" t="s">
        <v>158</v>
      </c>
      <c r="F4958">
        <v>6</v>
      </c>
      <c r="G4958" s="1" t="s">
        <v>165</v>
      </c>
      <c r="H4958">
        <v>6609</v>
      </c>
      <c r="I4958">
        <v>2500</v>
      </c>
      <c r="J4958">
        <v>2500</v>
      </c>
      <c r="K4958">
        <v>7750</v>
      </c>
      <c r="L4958">
        <v>3100</v>
      </c>
    </row>
    <row r="4959" spans="1:12" hidden="1" x14ac:dyDescent="0.25">
      <c r="A4959">
        <v>4958</v>
      </c>
      <c r="B4959" s="1" t="s">
        <v>12</v>
      </c>
      <c r="C4959">
        <v>2020</v>
      </c>
      <c r="D4959" s="1" t="s">
        <v>340</v>
      </c>
      <c r="E4959" s="1" t="s">
        <v>158</v>
      </c>
      <c r="F4959">
        <v>6</v>
      </c>
      <c r="G4959" s="1" t="s">
        <v>135</v>
      </c>
      <c r="H4959">
        <v>6616</v>
      </c>
      <c r="I4959">
        <v>2000</v>
      </c>
      <c r="J4959">
        <v>2000</v>
      </c>
      <c r="K4959">
        <v>5600</v>
      </c>
      <c r="L4959">
        <v>2800</v>
      </c>
    </row>
    <row r="4960" spans="1:12" hidden="1" x14ac:dyDescent="0.25">
      <c r="A4960">
        <v>4959</v>
      </c>
      <c r="B4960" s="1" t="s">
        <v>12</v>
      </c>
      <c r="C4960">
        <v>2020</v>
      </c>
      <c r="D4960" s="1" t="s">
        <v>340</v>
      </c>
      <c r="E4960" s="1" t="s">
        <v>158</v>
      </c>
      <c r="F4960">
        <v>6</v>
      </c>
      <c r="G4960" s="1" t="s">
        <v>161</v>
      </c>
      <c r="H4960">
        <v>6679</v>
      </c>
      <c r="I4960">
        <v>8159</v>
      </c>
      <c r="J4960">
        <v>8159</v>
      </c>
      <c r="K4960">
        <v>23661</v>
      </c>
      <c r="L4960">
        <v>2900</v>
      </c>
    </row>
    <row r="4961" spans="1:12" hidden="1" x14ac:dyDescent="0.25">
      <c r="A4961">
        <v>4960</v>
      </c>
      <c r="B4961" s="1" t="s">
        <v>12</v>
      </c>
      <c r="C4961">
        <v>2020</v>
      </c>
      <c r="D4961" s="1" t="s">
        <v>340</v>
      </c>
      <c r="E4961" s="1" t="s">
        <v>158</v>
      </c>
      <c r="F4961">
        <v>6</v>
      </c>
      <c r="G4961" s="1" t="s">
        <v>338</v>
      </c>
      <c r="H4961">
        <v>6721</v>
      </c>
      <c r="I4961">
        <v>1000</v>
      </c>
      <c r="J4961">
        <v>1000</v>
      </c>
      <c r="K4961">
        <v>2800</v>
      </c>
      <c r="L4961">
        <v>2800</v>
      </c>
    </row>
    <row r="4962" spans="1:12" hidden="1" x14ac:dyDescent="0.25">
      <c r="A4962">
        <v>4961</v>
      </c>
      <c r="B4962" s="1" t="s">
        <v>12</v>
      </c>
      <c r="C4962">
        <v>2020</v>
      </c>
      <c r="D4962" s="1" t="s">
        <v>340</v>
      </c>
      <c r="E4962" s="1" t="s">
        <v>158</v>
      </c>
      <c r="F4962">
        <v>6</v>
      </c>
      <c r="G4962" s="1" t="s">
        <v>167</v>
      </c>
      <c r="H4962">
        <v>6826</v>
      </c>
      <c r="I4962">
        <v>2500</v>
      </c>
      <c r="J4962">
        <v>2500</v>
      </c>
      <c r="K4962">
        <v>6500</v>
      </c>
      <c r="L4962">
        <v>2600</v>
      </c>
    </row>
    <row r="4963" spans="1:12" hidden="1" x14ac:dyDescent="0.25">
      <c r="A4963">
        <v>4962</v>
      </c>
      <c r="B4963" s="1" t="s">
        <v>12</v>
      </c>
      <c r="C4963">
        <v>2020</v>
      </c>
      <c r="D4963" s="1" t="s">
        <v>340</v>
      </c>
      <c r="E4963" s="1" t="s">
        <v>80</v>
      </c>
      <c r="F4963">
        <v>10</v>
      </c>
      <c r="G4963" s="1" t="s">
        <v>83</v>
      </c>
      <c r="H4963">
        <v>10098</v>
      </c>
      <c r="I4963">
        <v>1100</v>
      </c>
      <c r="J4963">
        <v>1100</v>
      </c>
      <c r="K4963">
        <v>2090</v>
      </c>
      <c r="L4963">
        <v>1900</v>
      </c>
    </row>
    <row r="4964" spans="1:12" hidden="1" x14ac:dyDescent="0.25">
      <c r="A4964">
        <v>4963</v>
      </c>
      <c r="B4964" s="1" t="s">
        <v>12</v>
      </c>
      <c r="C4964">
        <v>2020</v>
      </c>
      <c r="D4964" s="1" t="s">
        <v>340</v>
      </c>
      <c r="E4964" s="1" t="s">
        <v>22</v>
      </c>
      <c r="F4964">
        <v>14</v>
      </c>
      <c r="G4964" s="1" t="s">
        <v>97</v>
      </c>
      <c r="H4964">
        <v>14007</v>
      </c>
      <c r="I4964">
        <v>3300</v>
      </c>
      <c r="J4964">
        <v>3300</v>
      </c>
      <c r="K4964">
        <v>11550</v>
      </c>
      <c r="L4964">
        <v>3500</v>
      </c>
    </row>
    <row r="4965" spans="1:12" hidden="1" x14ac:dyDescent="0.25">
      <c r="A4965">
        <v>4964</v>
      </c>
      <c r="B4965" s="1" t="s">
        <v>12</v>
      </c>
      <c r="C4965">
        <v>2020</v>
      </c>
      <c r="D4965" s="1" t="s">
        <v>340</v>
      </c>
      <c r="E4965" s="1" t="s">
        <v>22</v>
      </c>
      <c r="F4965">
        <v>14</v>
      </c>
      <c r="G4965" s="1" t="s">
        <v>28</v>
      </c>
      <c r="H4965">
        <v>14014</v>
      </c>
      <c r="I4965">
        <v>350</v>
      </c>
      <c r="J4965">
        <v>350</v>
      </c>
      <c r="K4965">
        <v>1225</v>
      </c>
      <c r="L4965">
        <v>3500</v>
      </c>
    </row>
    <row r="4966" spans="1:12" hidden="1" x14ac:dyDescent="0.25">
      <c r="A4966">
        <v>4965</v>
      </c>
      <c r="B4966" s="1" t="s">
        <v>12</v>
      </c>
      <c r="C4966">
        <v>2020</v>
      </c>
      <c r="D4966" s="1" t="s">
        <v>340</v>
      </c>
      <c r="E4966" s="1" t="s">
        <v>22</v>
      </c>
      <c r="F4966">
        <v>14</v>
      </c>
      <c r="G4966" s="1" t="s">
        <v>27</v>
      </c>
      <c r="H4966">
        <v>14021</v>
      </c>
      <c r="I4966">
        <v>2200</v>
      </c>
      <c r="J4966">
        <v>2200</v>
      </c>
      <c r="K4966">
        <v>7700</v>
      </c>
      <c r="L4966">
        <v>3500</v>
      </c>
    </row>
    <row r="4967" spans="1:12" hidden="1" x14ac:dyDescent="0.25">
      <c r="A4967">
        <v>4966</v>
      </c>
      <c r="B4967" s="1" t="s">
        <v>12</v>
      </c>
      <c r="C4967">
        <v>2020</v>
      </c>
      <c r="D4967" s="1" t="s">
        <v>340</v>
      </c>
      <c r="E4967" s="1" t="s">
        <v>22</v>
      </c>
      <c r="F4967">
        <v>14</v>
      </c>
      <c r="G4967" s="1" t="s">
        <v>129</v>
      </c>
      <c r="H4967">
        <v>14035</v>
      </c>
      <c r="I4967">
        <v>78800</v>
      </c>
      <c r="J4967">
        <v>75648</v>
      </c>
      <c r="K4967">
        <v>234509</v>
      </c>
      <c r="L4967">
        <v>3100</v>
      </c>
    </row>
    <row r="4968" spans="1:12" hidden="1" x14ac:dyDescent="0.25">
      <c r="A4968">
        <v>4967</v>
      </c>
      <c r="B4968" s="1" t="s">
        <v>12</v>
      </c>
      <c r="C4968">
        <v>2020</v>
      </c>
      <c r="D4968" s="1" t="s">
        <v>340</v>
      </c>
      <c r="E4968" s="1" t="s">
        <v>22</v>
      </c>
      <c r="F4968">
        <v>14</v>
      </c>
      <c r="G4968" s="1" t="s">
        <v>184</v>
      </c>
      <c r="H4968">
        <v>14042</v>
      </c>
      <c r="I4968">
        <v>8000</v>
      </c>
      <c r="J4968">
        <v>8000</v>
      </c>
      <c r="K4968">
        <v>28000</v>
      </c>
      <c r="L4968">
        <v>3500</v>
      </c>
    </row>
    <row r="4969" spans="1:12" hidden="1" x14ac:dyDescent="0.25">
      <c r="A4969">
        <v>4968</v>
      </c>
      <c r="B4969" s="1" t="s">
        <v>12</v>
      </c>
      <c r="C4969">
        <v>2020</v>
      </c>
      <c r="D4969" s="1" t="s">
        <v>340</v>
      </c>
      <c r="E4969" s="1" t="s">
        <v>22</v>
      </c>
      <c r="F4969">
        <v>14</v>
      </c>
      <c r="G4969" s="1" t="s">
        <v>143</v>
      </c>
      <c r="H4969">
        <v>14056</v>
      </c>
      <c r="I4969">
        <v>42500</v>
      </c>
      <c r="J4969">
        <v>42500</v>
      </c>
      <c r="K4969">
        <v>136000</v>
      </c>
      <c r="L4969">
        <v>3200</v>
      </c>
    </row>
    <row r="4970" spans="1:12" hidden="1" x14ac:dyDescent="0.25">
      <c r="A4970">
        <v>4969</v>
      </c>
      <c r="B4970" s="1" t="s">
        <v>12</v>
      </c>
      <c r="C4970">
        <v>2020</v>
      </c>
      <c r="D4970" s="1" t="s">
        <v>340</v>
      </c>
      <c r="E4970" s="1" t="s">
        <v>22</v>
      </c>
      <c r="F4970">
        <v>14</v>
      </c>
      <c r="G4970" s="1" t="s">
        <v>247</v>
      </c>
      <c r="H4970">
        <v>14063</v>
      </c>
      <c r="I4970">
        <v>3900</v>
      </c>
      <c r="J4970">
        <v>3870</v>
      </c>
      <c r="K4970">
        <v>14706</v>
      </c>
      <c r="L4970">
        <v>3800</v>
      </c>
    </row>
    <row r="4971" spans="1:12" hidden="1" x14ac:dyDescent="0.25">
      <c r="A4971">
        <v>4970</v>
      </c>
      <c r="B4971" s="1" t="s">
        <v>12</v>
      </c>
      <c r="C4971">
        <v>2020</v>
      </c>
      <c r="D4971" s="1" t="s">
        <v>340</v>
      </c>
      <c r="E4971" s="1" t="s">
        <v>22</v>
      </c>
      <c r="F4971">
        <v>14</v>
      </c>
      <c r="G4971" s="1" t="s">
        <v>206</v>
      </c>
      <c r="H4971">
        <v>14084</v>
      </c>
      <c r="I4971">
        <v>19700</v>
      </c>
      <c r="J4971">
        <v>18912</v>
      </c>
      <c r="K4971">
        <v>64301</v>
      </c>
      <c r="L4971">
        <v>3400</v>
      </c>
    </row>
    <row r="4972" spans="1:12" hidden="1" x14ac:dyDescent="0.25">
      <c r="A4972">
        <v>4971</v>
      </c>
      <c r="B4972" s="1" t="s">
        <v>12</v>
      </c>
      <c r="C4972">
        <v>2020</v>
      </c>
      <c r="D4972" s="1" t="s">
        <v>340</v>
      </c>
      <c r="E4972" s="1" t="s">
        <v>22</v>
      </c>
      <c r="F4972">
        <v>14</v>
      </c>
      <c r="G4972" s="1" t="s">
        <v>29</v>
      </c>
      <c r="H4972">
        <v>14098</v>
      </c>
      <c r="I4972">
        <v>89000</v>
      </c>
      <c r="J4972">
        <v>89000</v>
      </c>
      <c r="K4972">
        <v>268958</v>
      </c>
      <c r="L4972">
        <v>3022</v>
      </c>
    </row>
    <row r="4973" spans="1:12" hidden="1" x14ac:dyDescent="0.25">
      <c r="A4973">
        <v>4972</v>
      </c>
      <c r="B4973" s="1" t="s">
        <v>12</v>
      </c>
      <c r="C4973">
        <v>2020</v>
      </c>
      <c r="D4973" s="1" t="s">
        <v>340</v>
      </c>
      <c r="E4973" s="1" t="s">
        <v>22</v>
      </c>
      <c r="F4973">
        <v>14</v>
      </c>
      <c r="G4973" s="1" t="s">
        <v>25</v>
      </c>
      <c r="H4973">
        <v>14105</v>
      </c>
      <c r="I4973">
        <v>3530</v>
      </c>
      <c r="J4973">
        <v>3530</v>
      </c>
      <c r="K4973">
        <v>12355</v>
      </c>
      <c r="L4973">
        <v>3500</v>
      </c>
    </row>
    <row r="4974" spans="1:12" hidden="1" x14ac:dyDescent="0.25">
      <c r="A4974">
        <v>4973</v>
      </c>
      <c r="B4974" s="1" t="s">
        <v>12</v>
      </c>
      <c r="C4974">
        <v>2020</v>
      </c>
      <c r="D4974" s="1" t="s">
        <v>340</v>
      </c>
      <c r="E4974" s="1" t="s">
        <v>22</v>
      </c>
      <c r="F4974">
        <v>14</v>
      </c>
      <c r="G4974" s="1" t="s">
        <v>171</v>
      </c>
      <c r="H4974">
        <v>14112</v>
      </c>
      <c r="I4974">
        <v>1885</v>
      </c>
      <c r="J4974">
        <v>1885</v>
      </c>
      <c r="K4974">
        <v>5655</v>
      </c>
      <c r="L4974">
        <v>3000</v>
      </c>
    </row>
    <row r="4975" spans="1:12" hidden="1" x14ac:dyDescent="0.25">
      <c r="A4975">
        <v>4974</v>
      </c>
      <c r="B4975" s="1" t="s">
        <v>12</v>
      </c>
      <c r="C4975">
        <v>2020</v>
      </c>
      <c r="D4975" s="1" t="s">
        <v>340</v>
      </c>
      <c r="E4975" s="1" t="s">
        <v>22</v>
      </c>
      <c r="F4975">
        <v>14</v>
      </c>
      <c r="G4975" s="1" t="s">
        <v>24</v>
      </c>
      <c r="H4975">
        <v>14119</v>
      </c>
      <c r="I4975">
        <v>16000</v>
      </c>
      <c r="J4975">
        <v>16000</v>
      </c>
      <c r="K4975">
        <v>56000</v>
      </c>
      <c r="L4975">
        <v>3500</v>
      </c>
    </row>
    <row r="4976" spans="1:12" hidden="1" x14ac:dyDescent="0.25">
      <c r="A4976">
        <v>4975</v>
      </c>
      <c r="B4976" s="1" t="s">
        <v>12</v>
      </c>
      <c r="C4976">
        <v>2020</v>
      </c>
      <c r="D4976" s="1" t="s">
        <v>340</v>
      </c>
      <c r="E4976" s="1" t="s">
        <v>22</v>
      </c>
      <c r="F4976">
        <v>14</v>
      </c>
      <c r="G4976" s="1" t="s">
        <v>62</v>
      </c>
      <c r="H4976">
        <v>14133</v>
      </c>
      <c r="I4976">
        <v>3500</v>
      </c>
      <c r="J4976">
        <v>3500</v>
      </c>
      <c r="K4976">
        <v>12250</v>
      </c>
      <c r="L4976">
        <v>3500</v>
      </c>
    </row>
    <row r="4977" spans="1:12" hidden="1" x14ac:dyDescent="0.25">
      <c r="A4977">
        <v>4976</v>
      </c>
      <c r="B4977" s="1" t="s">
        <v>12</v>
      </c>
      <c r="C4977">
        <v>2020</v>
      </c>
      <c r="D4977" s="1" t="s">
        <v>340</v>
      </c>
      <c r="E4977" s="1" t="s">
        <v>22</v>
      </c>
      <c r="F4977">
        <v>14</v>
      </c>
      <c r="G4977" s="1" t="s">
        <v>67</v>
      </c>
      <c r="H4977">
        <v>14140</v>
      </c>
      <c r="I4977">
        <v>1150</v>
      </c>
      <c r="J4977">
        <v>1150</v>
      </c>
      <c r="K4977">
        <v>4025</v>
      </c>
      <c r="L4977">
        <v>3500</v>
      </c>
    </row>
    <row r="4978" spans="1:12" hidden="1" x14ac:dyDescent="0.25">
      <c r="A4978">
        <v>4977</v>
      </c>
      <c r="B4978" s="1" t="s">
        <v>12</v>
      </c>
      <c r="C4978">
        <v>2020</v>
      </c>
      <c r="D4978" s="1" t="s">
        <v>340</v>
      </c>
      <c r="E4978" s="1" t="s">
        <v>22</v>
      </c>
      <c r="F4978">
        <v>14</v>
      </c>
      <c r="G4978" s="1" t="s">
        <v>23</v>
      </c>
      <c r="H4978">
        <v>14147</v>
      </c>
      <c r="I4978">
        <v>2700</v>
      </c>
      <c r="J4978">
        <v>2700</v>
      </c>
      <c r="K4978">
        <v>8910</v>
      </c>
      <c r="L4978">
        <v>3300</v>
      </c>
    </row>
    <row r="4979" spans="1:12" hidden="1" x14ac:dyDescent="0.25">
      <c r="A4979">
        <v>4978</v>
      </c>
      <c r="B4979" s="1" t="s">
        <v>12</v>
      </c>
      <c r="C4979">
        <v>2020</v>
      </c>
      <c r="D4979" s="1" t="s">
        <v>340</v>
      </c>
      <c r="E4979" s="1" t="s">
        <v>22</v>
      </c>
      <c r="F4979">
        <v>14</v>
      </c>
      <c r="G4979" s="1" t="s">
        <v>26</v>
      </c>
      <c r="H4979">
        <v>14161</v>
      </c>
      <c r="I4979">
        <v>21000</v>
      </c>
      <c r="J4979">
        <v>21000</v>
      </c>
      <c r="K4979">
        <v>73500</v>
      </c>
      <c r="L4979">
        <v>3500</v>
      </c>
    </row>
    <row r="4980" spans="1:12" hidden="1" x14ac:dyDescent="0.25">
      <c r="A4980">
        <v>4979</v>
      </c>
      <c r="B4980" s="1" t="s">
        <v>12</v>
      </c>
      <c r="C4980">
        <v>2020</v>
      </c>
      <c r="D4980" s="1" t="s">
        <v>340</v>
      </c>
      <c r="E4980" s="1" t="s">
        <v>22</v>
      </c>
      <c r="F4980">
        <v>14</v>
      </c>
      <c r="G4980" s="1" t="s">
        <v>114</v>
      </c>
      <c r="H4980">
        <v>14168</v>
      </c>
      <c r="I4980">
        <v>2119</v>
      </c>
      <c r="J4980">
        <v>2119</v>
      </c>
      <c r="K4980">
        <v>7417</v>
      </c>
      <c r="L4980">
        <v>3500</v>
      </c>
    </row>
    <row r="4981" spans="1:12" hidden="1" x14ac:dyDescent="0.25">
      <c r="A4981">
        <v>4980</v>
      </c>
      <c r="B4981" s="1" t="s">
        <v>12</v>
      </c>
      <c r="C4981">
        <v>2020</v>
      </c>
      <c r="D4981" s="1" t="s">
        <v>340</v>
      </c>
      <c r="E4981" s="1" t="s">
        <v>22</v>
      </c>
      <c r="F4981">
        <v>14</v>
      </c>
      <c r="G4981" s="1" t="s">
        <v>186</v>
      </c>
      <c r="H4981">
        <v>14175</v>
      </c>
      <c r="I4981">
        <v>450</v>
      </c>
      <c r="J4981">
        <v>450</v>
      </c>
      <c r="K4981">
        <v>1575</v>
      </c>
      <c r="L4981">
        <v>3500</v>
      </c>
    </row>
    <row r="4982" spans="1:12" hidden="1" x14ac:dyDescent="0.25">
      <c r="A4982">
        <v>4981</v>
      </c>
      <c r="B4982" s="1" t="s">
        <v>12</v>
      </c>
      <c r="C4982">
        <v>2020</v>
      </c>
      <c r="D4982" s="1" t="s">
        <v>340</v>
      </c>
      <c r="E4982" s="1" t="s">
        <v>22</v>
      </c>
      <c r="F4982">
        <v>14</v>
      </c>
      <c r="G4982" s="1" t="s">
        <v>122</v>
      </c>
      <c r="H4982">
        <v>14182</v>
      </c>
      <c r="I4982">
        <v>18200</v>
      </c>
      <c r="J4982">
        <v>18100</v>
      </c>
      <c r="K4982">
        <v>72400</v>
      </c>
      <c r="L4982">
        <v>4000</v>
      </c>
    </row>
    <row r="4983" spans="1:12" x14ac:dyDescent="0.25">
      <c r="A4983">
        <v>4982</v>
      </c>
      <c r="B4983" s="1" t="s">
        <v>12</v>
      </c>
      <c r="C4983">
        <v>2020</v>
      </c>
      <c r="D4983" s="1" t="s">
        <v>340</v>
      </c>
      <c r="E4983" s="1" t="s">
        <v>53</v>
      </c>
      <c r="F4983">
        <v>38</v>
      </c>
      <c r="G4983" s="1" t="s">
        <v>56</v>
      </c>
      <c r="H4983">
        <v>38063</v>
      </c>
      <c r="I4983">
        <v>100</v>
      </c>
      <c r="J4983">
        <v>100</v>
      </c>
      <c r="K4983">
        <v>120</v>
      </c>
      <c r="L4983">
        <v>1200</v>
      </c>
    </row>
    <row r="4984" spans="1:12" hidden="1" x14ac:dyDescent="0.25">
      <c r="A4984">
        <v>4983</v>
      </c>
      <c r="B4984" s="1" t="s">
        <v>12</v>
      </c>
      <c r="C4984">
        <v>2020</v>
      </c>
      <c r="D4984" s="1" t="s">
        <v>340</v>
      </c>
      <c r="E4984" s="1" t="s">
        <v>53</v>
      </c>
      <c r="F4984">
        <v>38</v>
      </c>
      <c r="G4984" s="1" t="s">
        <v>270</v>
      </c>
      <c r="H4984">
        <v>38070</v>
      </c>
      <c r="I4984">
        <v>100</v>
      </c>
      <c r="J4984">
        <v>100</v>
      </c>
      <c r="K4984">
        <v>120</v>
      </c>
      <c r="L4984">
        <v>1200</v>
      </c>
    </row>
    <row r="4985" spans="1:12" hidden="1" x14ac:dyDescent="0.25">
      <c r="A4985">
        <v>4984</v>
      </c>
      <c r="B4985" s="1" t="s">
        <v>12</v>
      </c>
      <c r="C4985">
        <v>2020</v>
      </c>
      <c r="D4985" s="1" t="s">
        <v>340</v>
      </c>
      <c r="E4985" s="1" t="s">
        <v>176</v>
      </c>
      <c r="F4985">
        <v>42</v>
      </c>
      <c r="G4985" s="1" t="s">
        <v>319</v>
      </c>
      <c r="H4985">
        <v>42028</v>
      </c>
      <c r="I4985">
        <v>772</v>
      </c>
      <c r="J4985">
        <v>772</v>
      </c>
      <c r="K4985">
        <v>2316</v>
      </c>
      <c r="L4985">
        <v>3000</v>
      </c>
    </row>
    <row r="4986" spans="1:12" hidden="1" x14ac:dyDescent="0.25">
      <c r="A4986">
        <v>4985</v>
      </c>
      <c r="B4986" s="1" t="s">
        <v>12</v>
      </c>
      <c r="C4986">
        <v>2020</v>
      </c>
      <c r="D4986" s="1" t="s">
        <v>340</v>
      </c>
      <c r="E4986" s="1" t="s">
        <v>176</v>
      </c>
      <c r="F4986">
        <v>42</v>
      </c>
      <c r="G4986" s="1" t="s">
        <v>314</v>
      </c>
      <c r="H4986">
        <v>42056</v>
      </c>
      <c r="I4986">
        <v>7950</v>
      </c>
      <c r="J4986">
        <v>7850</v>
      </c>
      <c r="K4986">
        <v>23550</v>
      </c>
      <c r="L4986">
        <v>3000</v>
      </c>
    </row>
    <row r="4987" spans="1:12" hidden="1" x14ac:dyDescent="0.25">
      <c r="A4987">
        <v>4986</v>
      </c>
      <c r="B4987" s="1" t="s">
        <v>12</v>
      </c>
      <c r="C4987">
        <v>2020</v>
      </c>
      <c r="D4987" s="1" t="s">
        <v>340</v>
      </c>
      <c r="E4987" s="1" t="s">
        <v>176</v>
      </c>
      <c r="F4987">
        <v>42</v>
      </c>
      <c r="G4987" s="1" t="s">
        <v>324</v>
      </c>
      <c r="H4987">
        <v>42035</v>
      </c>
      <c r="I4987">
        <v>700</v>
      </c>
      <c r="J4987">
        <v>700</v>
      </c>
      <c r="K4987">
        <v>1540</v>
      </c>
      <c r="L4987">
        <v>2200</v>
      </c>
    </row>
    <row r="4988" spans="1:12" hidden="1" x14ac:dyDescent="0.25">
      <c r="A4988">
        <v>4987</v>
      </c>
      <c r="B4988" s="1" t="s">
        <v>12</v>
      </c>
      <c r="C4988">
        <v>2020</v>
      </c>
      <c r="D4988" s="1" t="s">
        <v>340</v>
      </c>
      <c r="E4988" s="1" t="s">
        <v>176</v>
      </c>
      <c r="F4988">
        <v>42</v>
      </c>
      <c r="G4988" s="1" t="s">
        <v>322</v>
      </c>
      <c r="H4988">
        <v>42105</v>
      </c>
      <c r="I4988">
        <v>4050</v>
      </c>
      <c r="J4988">
        <v>3950</v>
      </c>
      <c r="K4988">
        <v>11850</v>
      </c>
      <c r="L4988">
        <v>3000</v>
      </c>
    </row>
    <row r="4989" spans="1:12" hidden="1" x14ac:dyDescent="0.25">
      <c r="A4989">
        <v>4988</v>
      </c>
      <c r="B4989" s="1" t="s">
        <v>12</v>
      </c>
      <c r="C4989">
        <v>2020</v>
      </c>
      <c r="D4989" s="1" t="s">
        <v>340</v>
      </c>
      <c r="E4989" s="1" t="s">
        <v>176</v>
      </c>
      <c r="F4989">
        <v>42</v>
      </c>
      <c r="G4989" s="1" t="s">
        <v>177</v>
      </c>
      <c r="H4989">
        <v>42119</v>
      </c>
      <c r="I4989">
        <v>5000</v>
      </c>
      <c r="J4989">
        <v>5000</v>
      </c>
      <c r="K4989">
        <v>12500</v>
      </c>
      <c r="L4989">
        <v>2500</v>
      </c>
    </row>
    <row r="4990" spans="1:12" hidden="1" x14ac:dyDescent="0.25">
      <c r="A4990">
        <v>4989</v>
      </c>
      <c r="B4990" s="1" t="s">
        <v>12</v>
      </c>
      <c r="C4990">
        <v>2020</v>
      </c>
      <c r="D4990" s="1" t="s">
        <v>340</v>
      </c>
      <c r="E4990" s="1" t="s">
        <v>176</v>
      </c>
      <c r="F4990">
        <v>42</v>
      </c>
      <c r="G4990" s="1" t="s">
        <v>315</v>
      </c>
      <c r="H4990">
        <v>42126</v>
      </c>
      <c r="I4990">
        <v>800</v>
      </c>
      <c r="J4990">
        <v>800</v>
      </c>
      <c r="K4990">
        <v>1760</v>
      </c>
      <c r="L4990">
        <v>2200</v>
      </c>
    </row>
    <row r="4991" spans="1:12" hidden="1" x14ac:dyDescent="0.25">
      <c r="A4991">
        <v>4990</v>
      </c>
      <c r="B4991" s="1" t="s">
        <v>12</v>
      </c>
      <c r="C4991">
        <v>2020</v>
      </c>
      <c r="D4991" s="1" t="s">
        <v>340</v>
      </c>
      <c r="E4991" s="1" t="s">
        <v>176</v>
      </c>
      <c r="F4991">
        <v>42</v>
      </c>
      <c r="G4991" s="1" t="s">
        <v>316</v>
      </c>
      <c r="H4991">
        <v>42133</v>
      </c>
      <c r="I4991">
        <v>1900</v>
      </c>
      <c r="J4991">
        <v>1900</v>
      </c>
      <c r="K4991">
        <v>4750</v>
      </c>
      <c r="L4991">
        <v>2500</v>
      </c>
    </row>
    <row r="4992" spans="1:12" hidden="1" x14ac:dyDescent="0.25">
      <c r="A4992">
        <v>4991</v>
      </c>
      <c r="B4992" s="1" t="s">
        <v>12</v>
      </c>
      <c r="C4992">
        <v>2020</v>
      </c>
      <c r="D4992" s="1" t="s">
        <v>340</v>
      </c>
      <c r="E4992" s="1" t="s">
        <v>176</v>
      </c>
      <c r="F4992">
        <v>42</v>
      </c>
      <c r="G4992" s="1" t="s">
        <v>320</v>
      </c>
      <c r="H4992">
        <v>42147</v>
      </c>
      <c r="I4992">
        <v>200</v>
      </c>
      <c r="J4992">
        <v>200</v>
      </c>
      <c r="K4992">
        <v>440</v>
      </c>
      <c r="L4992">
        <v>2200</v>
      </c>
    </row>
    <row r="4993" spans="1:12" hidden="1" x14ac:dyDescent="0.25">
      <c r="A4993">
        <v>4992</v>
      </c>
      <c r="B4993" s="1" t="s">
        <v>12</v>
      </c>
      <c r="C4993">
        <v>2020</v>
      </c>
      <c r="D4993" s="1" t="s">
        <v>340</v>
      </c>
      <c r="E4993" s="1" t="s">
        <v>87</v>
      </c>
      <c r="F4993">
        <v>66</v>
      </c>
      <c r="G4993" s="1" t="s">
        <v>153</v>
      </c>
      <c r="H4993">
        <v>66007</v>
      </c>
      <c r="I4993">
        <v>643</v>
      </c>
      <c r="J4993">
        <v>643</v>
      </c>
      <c r="K4993">
        <v>707</v>
      </c>
      <c r="L4993">
        <v>1100</v>
      </c>
    </row>
    <row r="4994" spans="1:12" hidden="1" x14ac:dyDescent="0.25">
      <c r="A4994">
        <v>4993</v>
      </c>
      <c r="B4994" s="1" t="s">
        <v>12</v>
      </c>
      <c r="C4994">
        <v>2020</v>
      </c>
      <c r="D4994" s="1" t="s">
        <v>340</v>
      </c>
      <c r="E4994" s="1" t="s">
        <v>87</v>
      </c>
      <c r="F4994">
        <v>66</v>
      </c>
      <c r="G4994" s="1" t="s">
        <v>230</v>
      </c>
      <c r="H4994">
        <v>66056</v>
      </c>
      <c r="I4994">
        <v>1748</v>
      </c>
      <c r="J4994">
        <v>1748</v>
      </c>
      <c r="K4994">
        <v>1573</v>
      </c>
      <c r="L4994">
        <v>900</v>
      </c>
    </row>
    <row r="4995" spans="1:12" hidden="1" x14ac:dyDescent="0.25">
      <c r="A4995">
        <v>4994</v>
      </c>
      <c r="B4995" s="1" t="s">
        <v>12</v>
      </c>
      <c r="C4995">
        <v>2020</v>
      </c>
      <c r="D4995" s="1" t="s">
        <v>340</v>
      </c>
      <c r="E4995" s="1" t="s">
        <v>87</v>
      </c>
      <c r="F4995">
        <v>66</v>
      </c>
      <c r="G4995" s="1" t="s">
        <v>179</v>
      </c>
      <c r="H4995">
        <v>66126</v>
      </c>
      <c r="I4995">
        <v>1710</v>
      </c>
      <c r="J4995">
        <v>1710</v>
      </c>
      <c r="K4995">
        <v>1539</v>
      </c>
      <c r="L4995">
        <v>900</v>
      </c>
    </row>
    <row r="4996" spans="1:12" hidden="1" x14ac:dyDescent="0.25">
      <c r="A4996">
        <v>4995</v>
      </c>
      <c r="B4996" s="1" t="s">
        <v>12</v>
      </c>
      <c r="C4996">
        <v>2020</v>
      </c>
      <c r="D4996" s="1" t="s">
        <v>340</v>
      </c>
      <c r="E4996" s="1" t="s">
        <v>116</v>
      </c>
      <c r="F4996">
        <v>74</v>
      </c>
      <c r="G4996" s="1" t="s">
        <v>195</v>
      </c>
      <c r="H4996">
        <v>74007</v>
      </c>
      <c r="I4996">
        <v>1800</v>
      </c>
      <c r="J4996">
        <v>1800</v>
      </c>
      <c r="K4996">
        <v>7560</v>
      </c>
      <c r="L4996">
        <v>4200</v>
      </c>
    </row>
    <row r="4997" spans="1:12" hidden="1" x14ac:dyDescent="0.25">
      <c r="A4997">
        <v>4996</v>
      </c>
      <c r="B4997" s="1" t="s">
        <v>12</v>
      </c>
      <c r="C4997">
        <v>2020</v>
      </c>
      <c r="D4997" s="1" t="s">
        <v>340</v>
      </c>
      <c r="E4997" s="1" t="s">
        <v>116</v>
      </c>
      <c r="F4997">
        <v>74</v>
      </c>
      <c r="G4997" s="1" t="s">
        <v>117</v>
      </c>
      <c r="H4997">
        <v>74021</v>
      </c>
      <c r="I4997">
        <v>350</v>
      </c>
      <c r="J4997">
        <v>350</v>
      </c>
      <c r="K4997">
        <v>1120</v>
      </c>
      <c r="L4997">
        <v>3200</v>
      </c>
    </row>
    <row r="4998" spans="1:12" hidden="1" x14ac:dyDescent="0.25">
      <c r="A4998">
        <v>4997</v>
      </c>
      <c r="B4998" s="1" t="s">
        <v>12</v>
      </c>
      <c r="C4998">
        <v>2020</v>
      </c>
      <c r="D4998" s="1" t="s">
        <v>340</v>
      </c>
      <c r="E4998" s="1" t="s">
        <v>116</v>
      </c>
      <c r="F4998">
        <v>74</v>
      </c>
      <c r="G4998" s="1" t="s">
        <v>126</v>
      </c>
      <c r="H4998">
        <v>74035</v>
      </c>
      <c r="I4998">
        <v>6700</v>
      </c>
      <c r="J4998">
        <v>6700</v>
      </c>
      <c r="K4998">
        <v>22110</v>
      </c>
      <c r="L4998">
        <v>3300</v>
      </c>
    </row>
    <row r="4999" spans="1:12" hidden="1" x14ac:dyDescent="0.25">
      <c r="A4999">
        <v>4998</v>
      </c>
      <c r="B4999" s="1" t="s">
        <v>12</v>
      </c>
      <c r="C4999">
        <v>2020</v>
      </c>
      <c r="D4999" s="1" t="s">
        <v>340</v>
      </c>
      <c r="E4999" s="1" t="s">
        <v>116</v>
      </c>
      <c r="F4999">
        <v>74</v>
      </c>
      <c r="G4999" s="1" t="s">
        <v>326</v>
      </c>
      <c r="H4999">
        <v>74042</v>
      </c>
      <c r="I4999">
        <v>3400</v>
      </c>
      <c r="J4999">
        <v>3400</v>
      </c>
      <c r="K4999">
        <v>10200</v>
      </c>
      <c r="L4999">
        <v>3000</v>
      </c>
    </row>
    <row r="5000" spans="1:12" hidden="1" x14ac:dyDescent="0.25">
      <c r="A5000">
        <v>4999</v>
      </c>
      <c r="B5000" s="1" t="s">
        <v>12</v>
      </c>
      <c r="C5000">
        <v>2020</v>
      </c>
      <c r="D5000" s="1" t="s">
        <v>340</v>
      </c>
      <c r="E5000" s="1" t="s">
        <v>116</v>
      </c>
      <c r="F5000">
        <v>74</v>
      </c>
      <c r="G5000" s="1" t="s">
        <v>127</v>
      </c>
      <c r="H5000">
        <v>74049</v>
      </c>
      <c r="I5000">
        <v>650</v>
      </c>
      <c r="J5000">
        <v>650</v>
      </c>
      <c r="K5000">
        <v>2730</v>
      </c>
      <c r="L5000">
        <v>4200</v>
      </c>
    </row>
    <row r="5001" spans="1:12" hidden="1" x14ac:dyDescent="0.25">
      <c r="A5001">
        <v>5000</v>
      </c>
      <c r="B5001" s="1" t="s">
        <v>12</v>
      </c>
      <c r="C5001">
        <v>2020</v>
      </c>
      <c r="D5001" s="1" t="s">
        <v>340</v>
      </c>
      <c r="E5001" s="1" t="s">
        <v>64</v>
      </c>
      <c r="F5001">
        <v>82</v>
      </c>
      <c r="G5001" s="1" t="s">
        <v>272</v>
      </c>
      <c r="H5001">
        <v>82042</v>
      </c>
      <c r="I5001">
        <v>8500</v>
      </c>
      <c r="J5001">
        <v>8500</v>
      </c>
      <c r="K5001">
        <v>25500</v>
      </c>
      <c r="L5001">
        <v>3000</v>
      </c>
    </row>
    <row r="5002" spans="1:12" hidden="1" x14ac:dyDescent="0.25">
      <c r="A5002">
        <v>5001</v>
      </c>
      <c r="B5002" s="1" t="s">
        <v>12</v>
      </c>
      <c r="C5002">
        <v>2020</v>
      </c>
      <c r="D5002" s="1" t="s">
        <v>340</v>
      </c>
      <c r="E5002" s="1" t="s">
        <v>77</v>
      </c>
      <c r="F5002">
        <v>90</v>
      </c>
      <c r="G5002" s="1" t="s">
        <v>95</v>
      </c>
      <c r="H5002">
        <v>90035</v>
      </c>
      <c r="I5002">
        <v>200</v>
      </c>
      <c r="J5002">
        <v>200</v>
      </c>
      <c r="K5002">
        <v>340</v>
      </c>
      <c r="L5002">
        <v>1700</v>
      </c>
    </row>
    <row r="5003" spans="1:12" hidden="1" x14ac:dyDescent="0.25">
      <c r="A5003">
        <v>5002</v>
      </c>
      <c r="B5003" s="1" t="s">
        <v>12</v>
      </c>
      <c r="C5003">
        <v>2020</v>
      </c>
      <c r="D5003" s="1" t="s">
        <v>340</v>
      </c>
      <c r="E5003" s="1" t="s">
        <v>77</v>
      </c>
      <c r="F5003">
        <v>90</v>
      </c>
      <c r="G5003" s="1" t="s">
        <v>343</v>
      </c>
      <c r="H5003">
        <v>90049</v>
      </c>
      <c r="I5003">
        <v>280</v>
      </c>
      <c r="J5003">
        <v>280</v>
      </c>
      <c r="K5003">
        <v>476</v>
      </c>
      <c r="L5003">
        <v>1700</v>
      </c>
    </row>
    <row r="5004" spans="1:12" hidden="1" x14ac:dyDescent="0.25">
      <c r="A5004">
        <v>5003</v>
      </c>
      <c r="B5004" s="1" t="s">
        <v>12</v>
      </c>
      <c r="C5004">
        <v>2020</v>
      </c>
      <c r="D5004" s="1" t="s">
        <v>340</v>
      </c>
      <c r="E5004" s="1" t="s">
        <v>77</v>
      </c>
      <c r="F5004">
        <v>90</v>
      </c>
      <c r="G5004" s="1" t="s">
        <v>92</v>
      </c>
      <c r="H5004">
        <v>90056</v>
      </c>
      <c r="I5004">
        <v>80</v>
      </c>
      <c r="J5004">
        <v>80</v>
      </c>
      <c r="K5004">
        <v>144</v>
      </c>
      <c r="L5004">
        <v>1800</v>
      </c>
    </row>
    <row r="5005" spans="1:12" hidden="1" x14ac:dyDescent="0.25">
      <c r="A5005">
        <v>5004</v>
      </c>
      <c r="B5005" s="1" t="s">
        <v>12</v>
      </c>
      <c r="C5005">
        <v>2021</v>
      </c>
      <c r="D5005" s="1" t="s">
        <v>344</v>
      </c>
      <c r="E5005" s="1" t="s">
        <v>158</v>
      </c>
      <c r="F5005">
        <v>6</v>
      </c>
      <c r="G5005" s="1" t="s">
        <v>334</v>
      </c>
      <c r="H5005">
        <v>6007</v>
      </c>
      <c r="I5005">
        <v>1500</v>
      </c>
      <c r="J5005">
        <v>1500</v>
      </c>
      <c r="K5005">
        <v>4200</v>
      </c>
      <c r="L5005">
        <v>2800</v>
      </c>
    </row>
    <row r="5006" spans="1:12" hidden="1" x14ac:dyDescent="0.25">
      <c r="A5006">
        <v>5005</v>
      </c>
      <c r="B5006" s="1" t="s">
        <v>12</v>
      </c>
      <c r="C5006">
        <v>2021</v>
      </c>
      <c r="D5006" s="1" t="s">
        <v>344</v>
      </c>
      <c r="E5006" s="1" t="s">
        <v>158</v>
      </c>
      <c r="F5006">
        <v>6</v>
      </c>
      <c r="G5006" s="1" t="s">
        <v>345</v>
      </c>
      <c r="H5006">
        <v>6105</v>
      </c>
      <c r="I5006">
        <v>216</v>
      </c>
      <c r="J5006">
        <v>216</v>
      </c>
      <c r="K5006">
        <v>734</v>
      </c>
      <c r="L5006">
        <v>3400</v>
      </c>
    </row>
    <row r="5007" spans="1:12" hidden="1" x14ac:dyDescent="0.25">
      <c r="A5007">
        <v>5006</v>
      </c>
      <c r="B5007" s="1" t="s">
        <v>12</v>
      </c>
      <c r="C5007">
        <v>2021</v>
      </c>
      <c r="D5007" s="1" t="s">
        <v>344</v>
      </c>
      <c r="E5007" s="1" t="s">
        <v>158</v>
      </c>
      <c r="F5007">
        <v>6</v>
      </c>
      <c r="G5007" s="1" t="s">
        <v>336</v>
      </c>
      <c r="H5007">
        <v>6154</v>
      </c>
      <c r="I5007">
        <v>2971</v>
      </c>
      <c r="J5007">
        <v>2971</v>
      </c>
      <c r="K5007">
        <v>11290</v>
      </c>
      <c r="L5007">
        <v>3800</v>
      </c>
    </row>
    <row r="5008" spans="1:12" hidden="1" x14ac:dyDescent="0.25">
      <c r="A5008">
        <v>5007</v>
      </c>
      <c r="B5008" s="1" t="s">
        <v>12</v>
      </c>
      <c r="C5008">
        <v>2021</v>
      </c>
      <c r="D5008" s="1" t="s">
        <v>344</v>
      </c>
      <c r="E5008" s="1" t="s">
        <v>158</v>
      </c>
      <c r="F5008">
        <v>6</v>
      </c>
      <c r="G5008" s="1" t="s">
        <v>346</v>
      </c>
      <c r="H5008">
        <v>6231</v>
      </c>
      <c r="I5008">
        <v>284</v>
      </c>
      <c r="J5008">
        <v>284</v>
      </c>
      <c r="K5008">
        <v>966</v>
      </c>
      <c r="L5008">
        <v>3400</v>
      </c>
    </row>
    <row r="5009" spans="1:12" hidden="1" x14ac:dyDescent="0.25">
      <c r="A5009">
        <v>5008</v>
      </c>
      <c r="B5009" s="1" t="s">
        <v>12</v>
      </c>
      <c r="C5009">
        <v>2021</v>
      </c>
      <c r="D5009" s="1" t="s">
        <v>344</v>
      </c>
      <c r="E5009" s="1" t="s">
        <v>158</v>
      </c>
      <c r="F5009">
        <v>6</v>
      </c>
      <c r="G5009" s="1" t="s">
        <v>337</v>
      </c>
      <c r="H5009">
        <v>6277</v>
      </c>
      <c r="I5009">
        <v>600</v>
      </c>
      <c r="J5009">
        <v>600</v>
      </c>
      <c r="K5009">
        <v>1920</v>
      </c>
      <c r="L5009">
        <v>3200</v>
      </c>
    </row>
    <row r="5010" spans="1:12" hidden="1" x14ac:dyDescent="0.25">
      <c r="A5010">
        <v>5009</v>
      </c>
      <c r="B5010" s="1" t="s">
        <v>12</v>
      </c>
      <c r="C5010">
        <v>2021</v>
      </c>
      <c r="D5010" s="1" t="s">
        <v>344</v>
      </c>
      <c r="E5010" s="1" t="s">
        <v>158</v>
      </c>
      <c r="F5010">
        <v>6</v>
      </c>
      <c r="G5010" s="1" t="s">
        <v>341</v>
      </c>
      <c r="H5010">
        <v>6294</v>
      </c>
      <c r="I5010">
        <v>800</v>
      </c>
      <c r="J5010">
        <v>779</v>
      </c>
      <c r="K5010">
        <v>1948</v>
      </c>
      <c r="L5010">
        <v>2501</v>
      </c>
    </row>
    <row r="5011" spans="1:12" hidden="1" x14ac:dyDescent="0.25">
      <c r="A5011">
        <v>5010</v>
      </c>
      <c r="B5011" s="1" t="s">
        <v>12</v>
      </c>
      <c r="C5011">
        <v>2021</v>
      </c>
      <c r="D5011" s="1" t="s">
        <v>344</v>
      </c>
      <c r="E5011" s="1" t="s">
        <v>158</v>
      </c>
      <c r="F5011">
        <v>6</v>
      </c>
      <c r="G5011" s="1" t="s">
        <v>160</v>
      </c>
      <c r="H5011">
        <v>6351</v>
      </c>
      <c r="I5011">
        <v>2000</v>
      </c>
      <c r="J5011">
        <v>2000</v>
      </c>
      <c r="K5011">
        <v>6400</v>
      </c>
      <c r="L5011">
        <v>3200</v>
      </c>
    </row>
    <row r="5012" spans="1:12" hidden="1" x14ac:dyDescent="0.25">
      <c r="A5012">
        <v>5011</v>
      </c>
      <c r="B5012" s="1" t="s">
        <v>12</v>
      </c>
      <c r="C5012">
        <v>2021</v>
      </c>
      <c r="D5012" s="1" t="s">
        <v>344</v>
      </c>
      <c r="E5012" s="1" t="s">
        <v>158</v>
      </c>
      <c r="F5012">
        <v>6</v>
      </c>
      <c r="G5012" s="1" t="s">
        <v>257</v>
      </c>
      <c r="H5012">
        <v>6392</v>
      </c>
      <c r="I5012">
        <v>11000</v>
      </c>
      <c r="J5012">
        <v>11000</v>
      </c>
      <c r="K5012">
        <v>37400</v>
      </c>
      <c r="L5012">
        <v>3400</v>
      </c>
    </row>
    <row r="5013" spans="1:12" hidden="1" x14ac:dyDescent="0.25">
      <c r="A5013">
        <v>5012</v>
      </c>
      <c r="B5013" s="1" t="s">
        <v>12</v>
      </c>
      <c r="C5013">
        <v>2021</v>
      </c>
      <c r="D5013" s="1" t="s">
        <v>344</v>
      </c>
      <c r="E5013" s="1" t="s">
        <v>158</v>
      </c>
      <c r="F5013">
        <v>6</v>
      </c>
      <c r="G5013" s="1" t="s">
        <v>342</v>
      </c>
      <c r="H5013">
        <v>6399</v>
      </c>
      <c r="I5013">
        <v>500</v>
      </c>
      <c r="J5013">
        <v>500</v>
      </c>
      <c r="K5013">
        <v>1400</v>
      </c>
      <c r="L5013">
        <v>2800</v>
      </c>
    </row>
    <row r="5014" spans="1:12" hidden="1" x14ac:dyDescent="0.25">
      <c r="A5014">
        <v>5013</v>
      </c>
      <c r="B5014" s="1" t="s">
        <v>12</v>
      </c>
      <c r="C5014">
        <v>2021</v>
      </c>
      <c r="D5014" s="1" t="s">
        <v>344</v>
      </c>
      <c r="E5014" s="1" t="s">
        <v>158</v>
      </c>
      <c r="F5014">
        <v>6</v>
      </c>
      <c r="G5014" s="1" t="s">
        <v>347</v>
      </c>
      <c r="H5014">
        <v>6406</v>
      </c>
      <c r="I5014">
        <v>1603</v>
      </c>
      <c r="J5014">
        <v>1603</v>
      </c>
      <c r="K5014">
        <v>5450</v>
      </c>
      <c r="L5014">
        <v>3400</v>
      </c>
    </row>
    <row r="5015" spans="1:12" hidden="1" x14ac:dyDescent="0.25">
      <c r="A5015">
        <v>5014</v>
      </c>
      <c r="B5015" s="1" t="s">
        <v>12</v>
      </c>
      <c r="C5015">
        <v>2021</v>
      </c>
      <c r="D5015" s="1" t="s">
        <v>344</v>
      </c>
      <c r="E5015" s="1" t="s">
        <v>158</v>
      </c>
      <c r="F5015">
        <v>6</v>
      </c>
      <c r="G5015" s="1" t="s">
        <v>127</v>
      </c>
      <c r="H5015">
        <v>6413</v>
      </c>
      <c r="I5015">
        <v>2200</v>
      </c>
      <c r="J5015">
        <v>2200</v>
      </c>
      <c r="K5015">
        <v>5720</v>
      </c>
      <c r="L5015">
        <v>2600</v>
      </c>
    </row>
    <row r="5016" spans="1:12" hidden="1" x14ac:dyDescent="0.25">
      <c r="A5016">
        <v>5015</v>
      </c>
      <c r="B5016" s="1" t="s">
        <v>12</v>
      </c>
      <c r="C5016">
        <v>2021</v>
      </c>
      <c r="D5016" s="1" t="s">
        <v>344</v>
      </c>
      <c r="E5016" s="1" t="s">
        <v>158</v>
      </c>
      <c r="F5016">
        <v>6</v>
      </c>
      <c r="G5016" s="1" t="s">
        <v>243</v>
      </c>
      <c r="H5016">
        <v>6462</v>
      </c>
      <c r="I5016">
        <v>200</v>
      </c>
      <c r="J5016">
        <v>200</v>
      </c>
      <c r="K5016">
        <v>660</v>
      </c>
      <c r="L5016">
        <v>3300</v>
      </c>
    </row>
    <row r="5017" spans="1:12" hidden="1" x14ac:dyDescent="0.25">
      <c r="A5017">
        <v>5016</v>
      </c>
      <c r="B5017" s="1" t="s">
        <v>12</v>
      </c>
      <c r="C5017">
        <v>2021</v>
      </c>
      <c r="D5017" s="1" t="s">
        <v>344</v>
      </c>
      <c r="E5017" s="1" t="s">
        <v>158</v>
      </c>
      <c r="F5017">
        <v>6</v>
      </c>
      <c r="G5017" s="1" t="s">
        <v>165</v>
      </c>
      <c r="H5017">
        <v>6609</v>
      </c>
      <c r="I5017">
        <v>973</v>
      </c>
      <c r="J5017">
        <v>973</v>
      </c>
      <c r="K5017">
        <v>3892</v>
      </c>
      <c r="L5017">
        <v>4000</v>
      </c>
    </row>
    <row r="5018" spans="1:12" hidden="1" x14ac:dyDescent="0.25">
      <c r="A5018">
        <v>5017</v>
      </c>
      <c r="B5018" s="1" t="s">
        <v>12</v>
      </c>
      <c r="C5018">
        <v>2021</v>
      </c>
      <c r="D5018" s="1" t="s">
        <v>344</v>
      </c>
      <c r="E5018" s="1" t="s">
        <v>158</v>
      </c>
      <c r="F5018">
        <v>6</v>
      </c>
      <c r="G5018" s="1" t="s">
        <v>135</v>
      </c>
      <c r="H5018">
        <v>6616</v>
      </c>
      <c r="I5018">
        <v>2000</v>
      </c>
      <c r="J5018">
        <v>2000</v>
      </c>
      <c r="K5018">
        <v>6000</v>
      </c>
      <c r="L5018">
        <v>3000</v>
      </c>
    </row>
    <row r="5019" spans="1:12" hidden="1" x14ac:dyDescent="0.25">
      <c r="A5019">
        <v>5018</v>
      </c>
      <c r="B5019" s="1" t="s">
        <v>12</v>
      </c>
      <c r="C5019">
        <v>2021</v>
      </c>
      <c r="D5019" s="1" t="s">
        <v>344</v>
      </c>
      <c r="E5019" s="1" t="s">
        <v>158</v>
      </c>
      <c r="F5019">
        <v>6</v>
      </c>
      <c r="G5019" s="1" t="s">
        <v>161</v>
      </c>
      <c r="H5019">
        <v>6679</v>
      </c>
      <c r="I5019">
        <v>10272</v>
      </c>
      <c r="J5019">
        <v>10272</v>
      </c>
      <c r="K5019">
        <v>42115</v>
      </c>
      <c r="L5019">
        <v>4100</v>
      </c>
    </row>
    <row r="5020" spans="1:12" hidden="1" x14ac:dyDescent="0.25">
      <c r="A5020">
        <v>5019</v>
      </c>
      <c r="B5020" s="1" t="s">
        <v>12</v>
      </c>
      <c r="C5020">
        <v>2021</v>
      </c>
      <c r="D5020" s="1" t="s">
        <v>344</v>
      </c>
      <c r="E5020" s="1" t="s">
        <v>158</v>
      </c>
      <c r="F5020">
        <v>6</v>
      </c>
      <c r="G5020" s="1" t="s">
        <v>338</v>
      </c>
      <c r="H5020">
        <v>6721</v>
      </c>
      <c r="I5020">
        <v>1000</v>
      </c>
      <c r="J5020">
        <v>1000</v>
      </c>
      <c r="K5020">
        <v>3000</v>
      </c>
      <c r="L5020">
        <v>3000</v>
      </c>
    </row>
    <row r="5021" spans="1:12" hidden="1" x14ac:dyDescent="0.25">
      <c r="A5021">
        <v>5020</v>
      </c>
      <c r="B5021" s="1" t="s">
        <v>12</v>
      </c>
      <c r="C5021">
        <v>2021</v>
      </c>
      <c r="D5021" s="1" t="s">
        <v>344</v>
      </c>
      <c r="E5021" s="1" t="s">
        <v>158</v>
      </c>
      <c r="F5021">
        <v>6</v>
      </c>
      <c r="G5021" s="1" t="s">
        <v>167</v>
      </c>
      <c r="H5021">
        <v>6826</v>
      </c>
      <c r="I5021">
        <v>765</v>
      </c>
      <c r="J5021">
        <v>765</v>
      </c>
      <c r="K5021">
        <v>2831</v>
      </c>
      <c r="L5021">
        <v>3700</v>
      </c>
    </row>
    <row r="5022" spans="1:12" hidden="1" x14ac:dyDescent="0.25">
      <c r="A5022">
        <v>5021</v>
      </c>
      <c r="B5022" s="1" t="s">
        <v>12</v>
      </c>
      <c r="C5022">
        <v>2021</v>
      </c>
      <c r="D5022" s="1" t="s">
        <v>344</v>
      </c>
      <c r="E5022" s="1" t="s">
        <v>80</v>
      </c>
      <c r="F5022">
        <v>10</v>
      </c>
      <c r="G5022" s="1" t="s">
        <v>83</v>
      </c>
      <c r="H5022">
        <v>10098</v>
      </c>
      <c r="I5022">
        <v>1100</v>
      </c>
      <c r="J5022">
        <v>1100</v>
      </c>
      <c r="K5022">
        <v>2530</v>
      </c>
      <c r="L5022">
        <v>2300</v>
      </c>
    </row>
    <row r="5023" spans="1:12" hidden="1" x14ac:dyDescent="0.25">
      <c r="A5023">
        <v>5022</v>
      </c>
      <c r="B5023" s="1" t="s">
        <v>12</v>
      </c>
      <c r="C5023">
        <v>2021</v>
      </c>
      <c r="D5023" s="1" t="s">
        <v>344</v>
      </c>
      <c r="E5023" s="1" t="s">
        <v>22</v>
      </c>
      <c r="F5023">
        <v>14</v>
      </c>
      <c r="G5023" s="1" t="s">
        <v>97</v>
      </c>
      <c r="H5023">
        <v>14007</v>
      </c>
      <c r="I5023">
        <v>3300</v>
      </c>
      <c r="J5023">
        <v>3300</v>
      </c>
      <c r="K5023">
        <v>10560</v>
      </c>
      <c r="L5023">
        <v>3200</v>
      </c>
    </row>
    <row r="5024" spans="1:12" hidden="1" x14ac:dyDescent="0.25">
      <c r="A5024">
        <v>5023</v>
      </c>
      <c r="B5024" s="1" t="s">
        <v>12</v>
      </c>
      <c r="C5024">
        <v>2021</v>
      </c>
      <c r="D5024" s="1" t="s">
        <v>344</v>
      </c>
      <c r="E5024" s="1" t="s">
        <v>22</v>
      </c>
      <c r="F5024">
        <v>14</v>
      </c>
      <c r="G5024" s="1" t="s">
        <v>28</v>
      </c>
      <c r="H5024">
        <v>14014</v>
      </c>
      <c r="I5024">
        <v>400</v>
      </c>
      <c r="J5024">
        <v>400</v>
      </c>
      <c r="K5024">
        <v>1200</v>
      </c>
      <c r="L5024">
        <v>3000</v>
      </c>
    </row>
    <row r="5025" spans="1:12" hidden="1" x14ac:dyDescent="0.25">
      <c r="A5025">
        <v>5024</v>
      </c>
      <c r="B5025" s="1" t="s">
        <v>12</v>
      </c>
      <c r="C5025">
        <v>2021</v>
      </c>
      <c r="D5025" s="1" t="s">
        <v>344</v>
      </c>
      <c r="E5025" s="1" t="s">
        <v>22</v>
      </c>
      <c r="F5025">
        <v>14</v>
      </c>
      <c r="G5025" s="1" t="s">
        <v>27</v>
      </c>
      <c r="H5025">
        <v>14021</v>
      </c>
      <c r="I5025">
        <v>2200</v>
      </c>
      <c r="J5025">
        <v>2200</v>
      </c>
      <c r="K5025">
        <v>7700</v>
      </c>
      <c r="L5025">
        <v>3500</v>
      </c>
    </row>
    <row r="5026" spans="1:12" hidden="1" x14ac:dyDescent="0.25">
      <c r="A5026">
        <v>5025</v>
      </c>
      <c r="B5026" s="1" t="s">
        <v>12</v>
      </c>
      <c r="C5026">
        <v>2021</v>
      </c>
      <c r="D5026" s="1" t="s">
        <v>344</v>
      </c>
      <c r="E5026" s="1" t="s">
        <v>22</v>
      </c>
      <c r="F5026">
        <v>14</v>
      </c>
      <c r="G5026" s="1" t="s">
        <v>129</v>
      </c>
      <c r="H5026">
        <v>14035</v>
      </c>
      <c r="I5026">
        <v>67759</v>
      </c>
      <c r="J5026">
        <v>59485</v>
      </c>
      <c r="K5026">
        <v>178455</v>
      </c>
      <c r="L5026">
        <v>3000</v>
      </c>
    </row>
    <row r="5027" spans="1:12" hidden="1" x14ac:dyDescent="0.25">
      <c r="A5027">
        <v>5026</v>
      </c>
      <c r="B5027" s="1" t="s">
        <v>12</v>
      </c>
      <c r="C5027">
        <v>2021</v>
      </c>
      <c r="D5027" s="1" t="s">
        <v>344</v>
      </c>
      <c r="E5027" s="1" t="s">
        <v>22</v>
      </c>
      <c r="F5027">
        <v>14</v>
      </c>
      <c r="G5027" s="1" t="s">
        <v>184</v>
      </c>
      <c r="H5027">
        <v>14042</v>
      </c>
      <c r="I5027">
        <v>15000</v>
      </c>
      <c r="J5027">
        <v>15000</v>
      </c>
      <c r="K5027">
        <v>37500</v>
      </c>
      <c r="L5027">
        <v>2500</v>
      </c>
    </row>
    <row r="5028" spans="1:12" hidden="1" x14ac:dyDescent="0.25">
      <c r="A5028">
        <v>5027</v>
      </c>
      <c r="B5028" s="1" t="s">
        <v>12</v>
      </c>
      <c r="C5028">
        <v>2021</v>
      </c>
      <c r="D5028" s="1" t="s">
        <v>344</v>
      </c>
      <c r="E5028" s="1" t="s">
        <v>22</v>
      </c>
      <c r="F5028">
        <v>14</v>
      </c>
      <c r="G5028" s="1" t="s">
        <v>143</v>
      </c>
      <c r="H5028">
        <v>14056</v>
      </c>
      <c r="I5028">
        <v>42500</v>
      </c>
      <c r="J5028">
        <v>42500</v>
      </c>
      <c r="K5028">
        <v>148750</v>
      </c>
      <c r="L5028">
        <v>3500</v>
      </c>
    </row>
    <row r="5029" spans="1:12" hidden="1" x14ac:dyDescent="0.25">
      <c r="A5029">
        <v>5028</v>
      </c>
      <c r="B5029" s="1" t="s">
        <v>12</v>
      </c>
      <c r="C5029">
        <v>2021</v>
      </c>
      <c r="D5029" s="1" t="s">
        <v>344</v>
      </c>
      <c r="E5029" s="1" t="s">
        <v>22</v>
      </c>
      <c r="F5029">
        <v>14</v>
      </c>
      <c r="G5029" s="1" t="s">
        <v>247</v>
      </c>
      <c r="H5029">
        <v>14063</v>
      </c>
      <c r="I5029">
        <v>11000</v>
      </c>
      <c r="J5029">
        <v>11000</v>
      </c>
      <c r="K5029">
        <v>39600</v>
      </c>
      <c r="L5029">
        <v>3600</v>
      </c>
    </row>
    <row r="5030" spans="1:12" hidden="1" x14ac:dyDescent="0.25">
      <c r="A5030">
        <v>5029</v>
      </c>
      <c r="B5030" s="1" t="s">
        <v>12</v>
      </c>
      <c r="C5030">
        <v>2021</v>
      </c>
      <c r="D5030" s="1" t="s">
        <v>344</v>
      </c>
      <c r="E5030" s="1" t="s">
        <v>22</v>
      </c>
      <c r="F5030">
        <v>14</v>
      </c>
      <c r="G5030" s="1" t="s">
        <v>206</v>
      </c>
      <c r="H5030">
        <v>14084</v>
      </c>
      <c r="I5030">
        <v>19981</v>
      </c>
      <c r="J5030">
        <v>17912</v>
      </c>
      <c r="K5030">
        <v>59110</v>
      </c>
      <c r="L5030">
        <v>3300</v>
      </c>
    </row>
    <row r="5031" spans="1:12" hidden="1" x14ac:dyDescent="0.25">
      <c r="A5031">
        <v>5030</v>
      </c>
      <c r="B5031" s="1" t="s">
        <v>12</v>
      </c>
      <c r="C5031">
        <v>2021</v>
      </c>
      <c r="D5031" s="1" t="s">
        <v>344</v>
      </c>
      <c r="E5031" s="1" t="s">
        <v>22</v>
      </c>
      <c r="F5031">
        <v>14</v>
      </c>
      <c r="G5031" s="1" t="s">
        <v>29</v>
      </c>
      <c r="H5031">
        <v>14098</v>
      </c>
      <c r="I5031">
        <v>89000</v>
      </c>
      <c r="J5031">
        <v>89000</v>
      </c>
      <c r="K5031">
        <v>311500</v>
      </c>
      <c r="L5031">
        <v>3500</v>
      </c>
    </row>
    <row r="5032" spans="1:12" hidden="1" x14ac:dyDescent="0.25">
      <c r="A5032">
        <v>5031</v>
      </c>
      <c r="B5032" s="1" t="s">
        <v>12</v>
      </c>
      <c r="C5032">
        <v>2021</v>
      </c>
      <c r="D5032" s="1" t="s">
        <v>344</v>
      </c>
      <c r="E5032" s="1" t="s">
        <v>22</v>
      </c>
      <c r="F5032">
        <v>14</v>
      </c>
      <c r="G5032" s="1" t="s">
        <v>25</v>
      </c>
      <c r="H5032">
        <v>14105</v>
      </c>
      <c r="I5032">
        <v>3530</v>
      </c>
      <c r="J5032">
        <v>3530</v>
      </c>
      <c r="K5032">
        <v>12002</v>
      </c>
      <c r="L5032">
        <v>3400</v>
      </c>
    </row>
    <row r="5033" spans="1:12" hidden="1" x14ac:dyDescent="0.25">
      <c r="A5033">
        <v>5032</v>
      </c>
      <c r="B5033" s="1" t="s">
        <v>12</v>
      </c>
      <c r="C5033">
        <v>2021</v>
      </c>
      <c r="D5033" s="1" t="s">
        <v>344</v>
      </c>
      <c r="E5033" s="1" t="s">
        <v>22</v>
      </c>
      <c r="F5033">
        <v>14</v>
      </c>
      <c r="G5033" s="1" t="s">
        <v>171</v>
      </c>
      <c r="H5033">
        <v>14112</v>
      </c>
      <c r="I5033">
        <v>1885</v>
      </c>
      <c r="J5033">
        <v>1885</v>
      </c>
      <c r="K5033">
        <v>5844</v>
      </c>
      <c r="L5033">
        <v>3100</v>
      </c>
    </row>
    <row r="5034" spans="1:12" hidden="1" x14ac:dyDescent="0.25">
      <c r="A5034">
        <v>5033</v>
      </c>
      <c r="B5034" s="1" t="s">
        <v>12</v>
      </c>
      <c r="C5034">
        <v>2021</v>
      </c>
      <c r="D5034" s="1" t="s">
        <v>344</v>
      </c>
      <c r="E5034" s="1" t="s">
        <v>22</v>
      </c>
      <c r="F5034">
        <v>14</v>
      </c>
      <c r="G5034" s="1" t="s">
        <v>24</v>
      </c>
      <c r="H5034">
        <v>14119</v>
      </c>
      <c r="I5034">
        <v>12000</v>
      </c>
      <c r="J5034">
        <v>12000</v>
      </c>
      <c r="K5034">
        <v>42000</v>
      </c>
      <c r="L5034">
        <v>3500</v>
      </c>
    </row>
    <row r="5035" spans="1:12" hidden="1" x14ac:dyDescent="0.25">
      <c r="A5035">
        <v>5034</v>
      </c>
      <c r="B5035" s="1" t="s">
        <v>12</v>
      </c>
      <c r="C5035">
        <v>2021</v>
      </c>
      <c r="D5035" s="1" t="s">
        <v>344</v>
      </c>
      <c r="E5035" s="1" t="s">
        <v>22</v>
      </c>
      <c r="F5035">
        <v>14</v>
      </c>
      <c r="G5035" s="1" t="s">
        <v>62</v>
      </c>
      <c r="H5035">
        <v>14133</v>
      </c>
      <c r="I5035">
        <v>3500</v>
      </c>
      <c r="J5035">
        <v>3500</v>
      </c>
      <c r="K5035">
        <v>12250</v>
      </c>
      <c r="L5035">
        <v>3500</v>
      </c>
    </row>
    <row r="5036" spans="1:12" hidden="1" x14ac:dyDescent="0.25">
      <c r="A5036">
        <v>5035</v>
      </c>
      <c r="B5036" s="1" t="s">
        <v>12</v>
      </c>
      <c r="C5036">
        <v>2021</v>
      </c>
      <c r="D5036" s="1" t="s">
        <v>344</v>
      </c>
      <c r="E5036" s="1" t="s">
        <v>22</v>
      </c>
      <c r="F5036">
        <v>14</v>
      </c>
      <c r="G5036" s="1" t="s">
        <v>67</v>
      </c>
      <c r="H5036">
        <v>14140</v>
      </c>
      <c r="I5036">
        <v>1150</v>
      </c>
      <c r="J5036">
        <v>1150</v>
      </c>
      <c r="K5036">
        <v>4025</v>
      </c>
      <c r="L5036">
        <v>3500</v>
      </c>
    </row>
    <row r="5037" spans="1:12" hidden="1" x14ac:dyDescent="0.25">
      <c r="A5037">
        <v>5036</v>
      </c>
      <c r="B5037" s="1" t="s">
        <v>12</v>
      </c>
      <c r="C5037">
        <v>2021</v>
      </c>
      <c r="D5037" s="1" t="s">
        <v>344</v>
      </c>
      <c r="E5037" s="1" t="s">
        <v>22</v>
      </c>
      <c r="F5037">
        <v>14</v>
      </c>
      <c r="G5037" s="1" t="s">
        <v>23</v>
      </c>
      <c r="H5037">
        <v>14147</v>
      </c>
      <c r="I5037">
        <v>3500</v>
      </c>
      <c r="J5037">
        <v>3500</v>
      </c>
      <c r="K5037">
        <v>10500</v>
      </c>
      <c r="L5037">
        <v>3000</v>
      </c>
    </row>
    <row r="5038" spans="1:12" hidden="1" x14ac:dyDescent="0.25">
      <c r="A5038">
        <v>5037</v>
      </c>
      <c r="B5038" s="1" t="s">
        <v>12</v>
      </c>
      <c r="C5038">
        <v>2021</v>
      </c>
      <c r="D5038" s="1" t="s">
        <v>344</v>
      </c>
      <c r="E5038" s="1" t="s">
        <v>22</v>
      </c>
      <c r="F5038">
        <v>14</v>
      </c>
      <c r="G5038" s="1" t="s">
        <v>26</v>
      </c>
      <c r="H5038">
        <v>14161</v>
      </c>
      <c r="I5038">
        <v>26000</v>
      </c>
      <c r="J5038">
        <v>26000</v>
      </c>
      <c r="K5038">
        <v>96460</v>
      </c>
      <c r="L5038">
        <v>3710</v>
      </c>
    </row>
    <row r="5039" spans="1:12" hidden="1" x14ac:dyDescent="0.25">
      <c r="A5039">
        <v>5038</v>
      </c>
      <c r="B5039" s="1" t="s">
        <v>12</v>
      </c>
      <c r="C5039">
        <v>2021</v>
      </c>
      <c r="D5039" s="1" t="s">
        <v>344</v>
      </c>
      <c r="E5039" s="1" t="s">
        <v>22</v>
      </c>
      <c r="F5039">
        <v>14</v>
      </c>
      <c r="G5039" s="1" t="s">
        <v>114</v>
      </c>
      <c r="H5039">
        <v>14168</v>
      </c>
      <c r="I5039">
        <v>2119</v>
      </c>
      <c r="J5039">
        <v>2119</v>
      </c>
      <c r="K5039">
        <v>6993</v>
      </c>
      <c r="L5039">
        <v>3300</v>
      </c>
    </row>
    <row r="5040" spans="1:12" hidden="1" x14ac:dyDescent="0.25">
      <c r="A5040">
        <v>5039</v>
      </c>
      <c r="B5040" s="1" t="s">
        <v>12</v>
      </c>
      <c r="C5040">
        <v>2021</v>
      </c>
      <c r="D5040" s="1" t="s">
        <v>344</v>
      </c>
      <c r="E5040" s="1" t="s">
        <v>22</v>
      </c>
      <c r="F5040">
        <v>14</v>
      </c>
      <c r="G5040" s="1" t="s">
        <v>186</v>
      </c>
      <c r="H5040">
        <v>14175</v>
      </c>
      <c r="I5040">
        <v>450</v>
      </c>
      <c r="J5040">
        <v>450</v>
      </c>
      <c r="K5040">
        <v>1395</v>
      </c>
      <c r="L5040">
        <v>3100</v>
      </c>
    </row>
    <row r="5041" spans="1:12" hidden="1" x14ac:dyDescent="0.25">
      <c r="A5041">
        <v>5040</v>
      </c>
      <c r="B5041" s="1" t="s">
        <v>12</v>
      </c>
      <c r="C5041">
        <v>2021</v>
      </c>
      <c r="D5041" s="1" t="s">
        <v>344</v>
      </c>
      <c r="E5041" s="1" t="s">
        <v>22</v>
      </c>
      <c r="F5041">
        <v>14</v>
      </c>
      <c r="G5041" s="1" t="s">
        <v>122</v>
      </c>
      <c r="H5041">
        <v>14182</v>
      </c>
      <c r="I5041">
        <v>18500</v>
      </c>
      <c r="J5041">
        <v>18500</v>
      </c>
      <c r="K5041">
        <v>68450</v>
      </c>
      <c r="L5041">
        <v>3700</v>
      </c>
    </row>
    <row r="5042" spans="1:12" x14ac:dyDescent="0.25">
      <c r="A5042">
        <v>5041</v>
      </c>
      <c r="B5042" s="1" t="s">
        <v>12</v>
      </c>
      <c r="C5042">
        <v>2021</v>
      </c>
      <c r="D5042" s="1" t="s">
        <v>344</v>
      </c>
      <c r="E5042" s="1" t="s">
        <v>53</v>
      </c>
      <c r="F5042">
        <v>38</v>
      </c>
      <c r="G5042" s="1" t="s">
        <v>56</v>
      </c>
      <c r="H5042">
        <v>38063</v>
      </c>
      <c r="I5042">
        <v>100</v>
      </c>
      <c r="J5042">
        <v>100</v>
      </c>
      <c r="K5042">
        <v>80</v>
      </c>
      <c r="L5042">
        <v>800</v>
      </c>
    </row>
    <row r="5043" spans="1:12" hidden="1" x14ac:dyDescent="0.25">
      <c r="A5043">
        <v>5042</v>
      </c>
      <c r="B5043" s="1" t="s">
        <v>12</v>
      </c>
      <c r="C5043">
        <v>2021</v>
      </c>
      <c r="D5043" s="1" t="s">
        <v>344</v>
      </c>
      <c r="E5043" s="1" t="s">
        <v>53</v>
      </c>
      <c r="F5043">
        <v>38</v>
      </c>
      <c r="G5043" s="1" t="s">
        <v>270</v>
      </c>
      <c r="H5043">
        <v>38070</v>
      </c>
      <c r="I5043">
        <v>100</v>
      </c>
      <c r="J5043">
        <v>100</v>
      </c>
      <c r="K5043">
        <v>80</v>
      </c>
      <c r="L5043">
        <v>800</v>
      </c>
    </row>
    <row r="5044" spans="1:12" hidden="1" x14ac:dyDescent="0.25">
      <c r="A5044">
        <v>5043</v>
      </c>
      <c r="B5044" s="1" t="s">
        <v>12</v>
      </c>
      <c r="C5044">
        <v>2021</v>
      </c>
      <c r="D5044" s="1" t="s">
        <v>344</v>
      </c>
      <c r="E5044" s="1" t="s">
        <v>176</v>
      </c>
      <c r="F5044">
        <v>42</v>
      </c>
      <c r="G5044" s="1" t="s">
        <v>319</v>
      </c>
      <c r="H5044">
        <v>42028</v>
      </c>
      <c r="I5044">
        <v>992</v>
      </c>
      <c r="J5044">
        <v>992</v>
      </c>
      <c r="K5044">
        <v>3472</v>
      </c>
      <c r="L5044">
        <v>3500</v>
      </c>
    </row>
    <row r="5045" spans="1:12" hidden="1" x14ac:dyDescent="0.25">
      <c r="A5045">
        <v>5044</v>
      </c>
      <c r="B5045" s="1" t="s">
        <v>12</v>
      </c>
      <c r="C5045">
        <v>2021</v>
      </c>
      <c r="D5045" s="1" t="s">
        <v>344</v>
      </c>
      <c r="E5045" s="1" t="s">
        <v>176</v>
      </c>
      <c r="F5045">
        <v>42</v>
      </c>
      <c r="G5045" s="1" t="s">
        <v>314</v>
      </c>
      <c r="H5045">
        <v>42056</v>
      </c>
      <c r="I5045">
        <v>6600</v>
      </c>
      <c r="J5045">
        <v>6500</v>
      </c>
      <c r="K5045">
        <v>23100</v>
      </c>
      <c r="L5045">
        <v>3554</v>
      </c>
    </row>
    <row r="5046" spans="1:12" hidden="1" x14ac:dyDescent="0.25">
      <c r="A5046">
        <v>5045</v>
      </c>
      <c r="B5046" s="1" t="s">
        <v>12</v>
      </c>
      <c r="C5046">
        <v>2021</v>
      </c>
      <c r="D5046" s="1" t="s">
        <v>344</v>
      </c>
      <c r="E5046" s="1" t="s">
        <v>176</v>
      </c>
      <c r="F5046">
        <v>42</v>
      </c>
      <c r="G5046" s="1" t="s">
        <v>324</v>
      </c>
      <c r="H5046">
        <v>42035</v>
      </c>
      <c r="I5046">
        <v>900</v>
      </c>
      <c r="J5046">
        <v>900</v>
      </c>
      <c r="K5046">
        <v>2250</v>
      </c>
      <c r="L5046">
        <v>2500</v>
      </c>
    </row>
    <row r="5047" spans="1:12" hidden="1" x14ac:dyDescent="0.25">
      <c r="A5047">
        <v>5046</v>
      </c>
      <c r="B5047" s="1" t="s">
        <v>12</v>
      </c>
      <c r="C5047">
        <v>2021</v>
      </c>
      <c r="D5047" s="1" t="s">
        <v>344</v>
      </c>
      <c r="E5047" s="1" t="s">
        <v>176</v>
      </c>
      <c r="F5047">
        <v>42</v>
      </c>
      <c r="G5047" s="1" t="s">
        <v>322</v>
      </c>
      <c r="H5047">
        <v>42105</v>
      </c>
      <c r="I5047">
        <v>4600</v>
      </c>
      <c r="J5047">
        <v>4500</v>
      </c>
      <c r="K5047">
        <v>15640</v>
      </c>
      <c r="L5047">
        <v>3476</v>
      </c>
    </row>
    <row r="5048" spans="1:12" hidden="1" x14ac:dyDescent="0.25">
      <c r="A5048">
        <v>5047</v>
      </c>
      <c r="B5048" s="1" t="s">
        <v>12</v>
      </c>
      <c r="C5048">
        <v>2021</v>
      </c>
      <c r="D5048" s="1" t="s">
        <v>344</v>
      </c>
      <c r="E5048" s="1" t="s">
        <v>176</v>
      </c>
      <c r="F5048">
        <v>42</v>
      </c>
      <c r="G5048" s="1" t="s">
        <v>177</v>
      </c>
      <c r="H5048">
        <v>42119</v>
      </c>
      <c r="I5048">
        <v>1500</v>
      </c>
      <c r="J5048">
        <v>1500</v>
      </c>
      <c r="K5048">
        <v>4500</v>
      </c>
      <c r="L5048">
        <v>3000</v>
      </c>
    </row>
    <row r="5049" spans="1:12" hidden="1" x14ac:dyDescent="0.25">
      <c r="A5049">
        <v>5048</v>
      </c>
      <c r="B5049" s="1" t="s">
        <v>12</v>
      </c>
      <c r="C5049">
        <v>2021</v>
      </c>
      <c r="D5049" s="1" t="s">
        <v>344</v>
      </c>
      <c r="E5049" s="1" t="s">
        <v>176</v>
      </c>
      <c r="F5049">
        <v>42</v>
      </c>
      <c r="G5049" s="1" t="s">
        <v>315</v>
      </c>
      <c r="H5049">
        <v>42126</v>
      </c>
      <c r="I5049">
        <v>600</v>
      </c>
      <c r="J5049">
        <v>600</v>
      </c>
      <c r="K5049">
        <v>1440</v>
      </c>
      <c r="L5049">
        <v>2400</v>
      </c>
    </row>
    <row r="5050" spans="1:12" hidden="1" x14ac:dyDescent="0.25">
      <c r="A5050">
        <v>5049</v>
      </c>
      <c r="B5050" s="1" t="s">
        <v>12</v>
      </c>
      <c r="C5050">
        <v>2021</v>
      </c>
      <c r="D5050" s="1" t="s">
        <v>344</v>
      </c>
      <c r="E5050" s="1" t="s">
        <v>176</v>
      </c>
      <c r="F5050">
        <v>42</v>
      </c>
      <c r="G5050" s="1" t="s">
        <v>316</v>
      </c>
      <c r="H5050">
        <v>42133</v>
      </c>
      <c r="I5050">
        <v>3500</v>
      </c>
      <c r="J5050">
        <v>3400</v>
      </c>
      <c r="K5050">
        <v>10200</v>
      </c>
      <c r="L5050">
        <v>3000</v>
      </c>
    </row>
    <row r="5051" spans="1:12" hidden="1" x14ac:dyDescent="0.25">
      <c r="A5051">
        <v>5050</v>
      </c>
      <c r="B5051" s="1" t="s">
        <v>12</v>
      </c>
      <c r="C5051">
        <v>2021</v>
      </c>
      <c r="D5051" s="1" t="s">
        <v>344</v>
      </c>
      <c r="E5051" s="1" t="s">
        <v>87</v>
      </c>
      <c r="F5051">
        <v>66</v>
      </c>
      <c r="G5051" s="1" t="s">
        <v>153</v>
      </c>
      <c r="H5051">
        <v>66007</v>
      </c>
      <c r="I5051">
        <v>790</v>
      </c>
      <c r="J5051">
        <v>790</v>
      </c>
      <c r="K5051">
        <v>790</v>
      </c>
      <c r="L5051">
        <v>1000</v>
      </c>
    </row>
    <row r="5052" spans="1:12" hidden="1" x14ac:dyDescent="0.25">
      <c r="A5052">
        <v>5051</v>
      </c>
      <c r="B5052" s="1" t="s">
        <v>12</v>
      </c>
      <c r="C5052">
        <v>2021</v>
      </c>
      <c r="D5052" s="1" t="s">
        <v>344</v>
      </c>
      <c r="E5052" s="1" t="s">
        <v>87</v>
      </c>
      <c r="F5052">
        <v>66</v>
      </c>
      <c r="G5052" s="1" t="s">
        <v>230</v>
      </c>
      <c r="H5052">
        <v>66056</v>
      </c>
      <c r="I5052">
        <v>3200</v>
      </c>
      <c r="J5052">
        <v>3200</v>
      </c>
      <c r="K5052">
        <v>2880</v>
      </c>
      <c r="L5052">
        <v>900</v>
      </c>
    </row>
    <row r="5053" spans="1:12" hidden="1" x14ac:dyDescent="0.25">
      <c r="A5053">
        <v>5052</v>
      </c>
      <c r="B5053" s="1" t="s">
        <v>12</v>
      </c>
      <c r="C5053">
        <v>2021</v>
      </c>
      <c r="D5053" s="1" t="s">
        <v>344</v>
      </c>
      <c r="E5053" s="1" t="s">
        <v>87</v>
      </c>
      <c r="F5053">
        <v>66</v>
      </c>
      <c r="G5053" s="1" t="s">
        <v>179</v>
      </c>
      <c r="H5053">
        <v>66126</v>
      </c>
      <c r="I5053">
        <v>680</v>
      </c>
      <c r="J5053">
        <v>680</v>
      </c>
      <c r="K5053">
        <v>612</v>
      </c>
      <c r="L5053">
        <v>900</v>
      </c>
    </row>
    <row r="5054" spans="1:12" hidden="1" x14ac:dyDescent="0.25">
      <c r="A5054">
        <v>5053</v>
      </c>
      <c r="B5054" s="1" t="s">
        <v>12</v>
      </c>
      <c r="C5054">
        <v>2021</v>
      </c>
      <c r="D5054" s="1" t="s">
        <v>344</v>
      </c>
      <c r="E5054" s="1" t="s">
        <v>116</v>
      </c>
      <c r="F5054">
        <v>74</v>
      </c>
      <c r="G5054" s="1" t="s">
        <v>195</v>
      </c>
      <c r="H5054">
        <v>74007</v>
      </c>
      <c r="I5054">
        <v>2010</v>
      </c>
      <c r="J5054">
        <v>2010</v>
      </c>
      <c r="K5054">
        <v>7638</v>
      </c>
      <c r="L5054">
        <v>3800</v>
      </c>
    </row>
    <row r="5055" spans="1:12" hidden="1" x14ac:dyDescent="0.25">
      <c r="A5055">
        <v>5054</v>
      </c>
      <c r="B5055" s="1" t="s">
        <v>12</v>
      </c>
      <c r="C5055">
        <v>2021</v>
      </c>
      <c r="D5055" s="1" t="s">
        <v>344</v>
      </c>
      <c r="E5055" s="1" t="s">
        <v>116</v>
      </c>
      <c r="F5055">
        <v>74</v>
      </c>
      <c r="G5055" s="1" t="s">
        <v>126</v>
      </c>
      <c r="H5055">
        <v>74035</v>
      </c>
      <c r="I5055">
        <v>7400</v>
      </c>
      <c r="J5055">
        <v>7400</v>
      </c>
      <c r="K5055">
        <v>19980</v>
      </c>
      <c r="L5055">
        <v>2700</v>
      </c>
    </row>
    <row r="5056" spans="1:12" hidden="1" x14ac:dyDescent="0.25">
      <c r="A5056">
        <v>5055</v>
      </c>
      <c r="B5056" s="1" t="s">
        <v>12</v>
      </c>
      <c r="C5056">
        <v>2021</v>
      </c>
      <c r="D5056" s="1" t="s">
        <v>344</v>
      </c>
      <c r="E5056" s="1" t="s">
        <v>116</v>
      </c>
      <c r="F5056">
        <v>74</v>
      </c>
      <c r="G5056" s="1" t="s">
        <v>326</v>
      </c>
      <c r="H5056">
        <v>74042</v>
      </c>
      <c r="I5056">
        <v>9400</v>
      </c>
      <c r="J5056">
        <v>9400</v>
      </c>
      <c r="K5056">
        <v>26320</v>
      </c>
      <c r="L5056">
        <v>2800</v>
      </c>
    </row>
    <row r="5057" spans="1:12" hidden="1" x14ac:dyDescent="0.25">
      <c r="A5057">
        <v>5056</v>
      </c>
      <c r="B5057" s="1" t="s">
        <v>12</v>
      </c>
      <c r="C5057">
        <v>2021</v>
      </c>
      <c r="D5057" s="1" t="s">
        <v>344</v>
      </c>
      <c r="E5057" s="1" t="s">
        <v>116</v>
      </c>
      <c r="F5057">
        <v>74</v>
      </c>
      <c r="G5057" s="1" t="s">
        <v>327</v>
      </c>
      <c r="H5057">
        <v>74056</v>
      </c>
      <c r="I5057">
        <v>505</v>
      </c>
      <c r="J5057">
        <v>505</v>
      </c>
      <c r="K5057">
        <v>1616</v>
      </c>
      <c r="L5057">
        <v>3200</v>
      </c>
    </row>
    <row r="5058" spans="1:12" hidden="1" x14ac:dyDescent="0.25">
      <c r="A5058">
        <v>5057</v>
      </c>
      <c r="B5058" s="1" t="s">
        <v>12</v>
      </c>
      <c r="C5058">
        <v>2021</v>
      </c>
      <c r="D5058" s="1" t="s">
        <v>344</v>
      </c>
      <c r="E5058" s="1" t="s">
        <v>116</v>
      </c>
      <c r="F5058">
        <v>74</v>
      </c>
      <c r="G5058" s="1" t="s">
        <v>127</v>
      </c>
      <c r="H5058">
        <v>74049</v>
      </c>
      <c r="I5058">
        <v>370</v>
      </c>
      <c r="J5058">
        <v>370</v>
      </c>
      <c r="K5058">
        <v>1591</v>
      </c>
      <c r="L5058">
        <v>4300</v>
      </c>
    </row>
    <row r="5059" spans="1:12" hidden="1" x14ac:dyDescent="0.25">
      <c r="A5059">
        <v>5058</v>
      </c>
      <c r="B5059" s="1" t="s">
        <v>12</v>
      </c>
      <c r="C5059">
        <v>2021</v>
      </c>
      <c r="D5059" s="1" t="s">
        <v>344</v>
      </c>
      <c r="E5059" s="1" t="s">
        <v>64</v>
      </c>
      <c r="F5059">
        <v>82</v>
      </c>
      <c r="G5059" s="1" t="s">
        <v>272</v>
      </c>
      <c r="H5059">
        <v>82042</v>
      </c>
      <c r="I5059">
        <v>9200</v>
      </c>
      <c r="J5059">
        <v>9200</v>
      </c>
      <c r="K5059">
        <v>29440</v>
      </c>
      <c r="L5059">
        <v>3200</v>
      </c>
    </row>
    <row r="5060" spans="1:12" hidden="1" x14ac:dyDescent="0.25">
      <c r="A5060">
        <v>5059</v>
      </c>
      <c r="B5060" s="1" t="s">
        <v>12</v>
      </c>
      <c r="C5060">
        <v>2021</v>
      </c>
      <c r="D5060" s="1" t="s">
        <v>344</v>
      </c>
      <c r="E5060" s="1" t="s">
        <v>77</v>
      </c>
      <c r="F5060">
        <v>90</v>
      </c>
      <c r="G5060" s="1" t="s">
        <v>91</v>
      </c>
      <c r="H5060">
        <v>90014</v>
      </c>
      <c r="I5060">
        <v>100</v>
      </c>
      <c r="J5060">
        <v>100</v>
      </c>
      <c r="K5060">
        <v>200</v>
      </c>
      <c r="L5060">
        <v>2000</v>
      </c>
    </row>
    <row r="5061" spans="1:12" hidden="1" x14ac:dyDescent="0.25">
      <c r="A5061">
        <v>5060</v>
      </c>
      <c r="B5061" s="1" t="s">
        <v>12</v>
      </c>
      <c r="C5061">
        <v>2021</v>
      </c>
      <c r="D5061" s="1" t="s">
        <v>344</v>
      </c>
      <c r="E5061" s="1" t="s">
        <v>77</v>
      </c>
      <c r="F5061">
        <v>90</v>
      </c>
      <c r="G5061" s="1" t="s">
        <v>95</v>
      </c>
      <c r="H5061">
        <v>90035</v>
      </c>
      <c r="I5061">
        <v>300</v>
      </c>
      <c r="J5061">
        <v>299</v>
      </c>
      <c r="K5061">
        <v>568</v>
      </c>
      <c r="L5061">
        <v>1900</v>
      </c>
    </row>
    <row r="5062" spans="1:12" hidden="1" x14ac:dyDescent="0.25">
      <c r="A5062">
        <v>5061</v>
      </c>
      <c r="B5062" s="1" t="s">
        <v>12</v>
      </c>
      <c r="C5062">
        <v>2021</v>
      </c>
      <c r="D5062" s="1" t="s">
        <v>344</v>
      </c>
      <c r="E5062" s="1" t="s">
        <v>77</v>
      </c>
      <c r="F5062">
        <v>90</v>
      </c>
      <c r="G5062" s="1" t="s">
        <v>343</v>
      </c>
      <c r="H5062">
        <v>90049</v>
      </c>
      <c r="I5062">
        <v>400</v>
      </c>
      <c r="J5062">
        <v>399</v>
      </c>
      <c r="K5062">
        <v>758</v>
      </c>
      <c r="L5062">
        <v>1900</v>
      </c>
    </row>
    <row r="5063" spans="1:12" hidden="1" x14ac:dyDescent="0.25">
      <c r="A5063">
        <v>5062</v>
      </c>
      <c r="B5063" s="1" t="s">
        <v>12</v>
      </c>
      <c r="C5063">
        <v>2021</v>
      </c>
      <c r="D5063" s="1" t="s">
        <v>344</v>
      </c>
      <c r="E5063" s="1" t="s">
        <v>77</v>
      </c>
      <c r="F5063">
        <v>90</v>
      </c>
      <c r="G5063" s="1" t="s">
        <v>92</v>
      </c>
      <c r="H5063">
        <v>90056</v>
      </c>
      <c r="I5063">
        <v>140</v>
      </c>
      <c r="J5063">
        <v>138</v>
      </c>
      <c r="K5063">
        <v>262</v>
      </c>
      <c r="L5063">
        <v>1900</v>
      </c>
    </row>
    <row r="5064" spans="1:12" hidden="1" x14ac:dyDescent="0.25">
      <c r="A5064">
        <v>5063</v>
      </c>
      <c r="B5064" s="1" t="s">
        <v>12</v>
      </c>
      <c r="C5064">
        <v>2022</v>
      </c>
      <c r="D5064" s="1" t="s">
        <v>348</v>
      </c>
      <c r="E5064" s="1" t="s">
        <v>158</v>
      </c>
      <c r="F5064">
        <v>6</v>
      </c>
      <c r="G5064" s="1" t="s">
        <v>334</v>
      </c>
      <c r="H5064">
        <v>6007</v>
      </c>
      <c r="I5064">
        <v>1500</v>
      </c>
      <c r="J5064">
        <v>1500</v>
      </c>
      <c r="K5064">
        <v>4500</v>
      </c>
      <c r="L5064">
        <v>3000</v>
      </c>
    </row>
    <row r="5065" spans="1:12" hidden="1" x14ac:dyDescent="0.25">
      <c r="A5065">
        <v>5064</v>
      </c>
      <c r="B5065" s="1" t="s">
        <v>12</v>
      </c>
      <c r="C5065">
        <v>2022</v>
      </c>
      <c r="D5065" s="1" t="s">
        <v>348</v>
      </c>
      <c r="E5065" s="1" t="s">
        <v>158</v>
      </c>
      <c r="F5065">
        <v>6</v>
      </c>
      <c r="G5065" s="1" t="s">
        <v>345</v>
      </c>
      <c r="H5065">
        <v>6105</v>
      </c>
      <c r="I5065">
        <v>225</v>
      </c>
      <c r="J5065">
        <v>225</v>
      </c>
      <c r="K5065">
        <v>765</v>
      </c>
      <c r="L5065">
        <v>3400</v>
      </c>
    </row>
    <row r="5066" spans="1:12" hidden="1" x14ac:dyDescent="0.25">
      <c r="A5066">
        <v>5065</v>
      </c>
      <c r="B5066" s="1" t="s">
        <v>12</v>
      </c>
      <c r="C5066">
        <v>2022</v>
      </c>
      <c r="D5066" s="1" t="s">
        <v>348</v>
      </c>
      <c r="E5066" s="1" t="s">
        <v>158</v>
      </c>
      <c r="F5066">
        <v>6</v>
      </c>
      <c r="G5066" s="1" t="s">
        <v>336</v>
      </c>
      <c r="H5066">
        <v>6154</v>
      </c>
      <c r="I5066">
        <v>2971</v>
      </c>
      <c r="J5066">
        <v>2971</v>
      </c>
      <c r="K5066">
        <v>8319</v>
      </c>
      <c r="L5066">
        <v>2800</v>
      </c>
    </row>
    <row r="5067" spans="1:12" hidden="1" x14ac:dyDescent="0.25">
      <c r="A5067">
        <v>5066</v>
      </c>
      <c r="B5067" s="1" t="s">
        <v>12</v>
      </c>
      <c r="C5067">
        <v>2022</v>
      </c>
      <c r="D5067" s="1" t="s">
        <v>348</v>
      </c>
      <c r="E5067" s="1" t="s">
        <v>158</v>
      </c>
      <c r="F5067">
        <v>6</v>
      </c>
      <c r="G5067" s="1" t="s">
        <v>346</v>
      </c>
      <c r="H5067">
        <v>6231</v>
      </c>
      <c r="I5067">
        <v>290</v>
      </c>
      <c r="J5067">
        <v>290</v>
      </c>
      <c r="K5067">
        <v>986</v>
      </c>
      <c r="L5067">
        <v>3400</v>
      </c>
    </row>
    <row r="5068" spans="1:12" hidden="1" x14ac:dyDescent="0.25">
      <c r="A5068">
        <v>5067</v>
      </c>
      <c r="B5068" s="1" t="s">
        <v>12</v>
      </c>
      <c r="C5068">
        <v>2022</v>
      </c>
      <c r="D5068" s="1" t="s">
        <v>348</v>
      </c>
      <c r="E5068" s="1" t="s">
        <v>158</v>
      </c>
      <c r="F5068">
        <v>6</v>
      </c>
      <c r="G5068" s="1" t="s">
        <v>337</v>
      </c>
      <c r="H5068">
        <v>6277</v>
      </c>
      <c r="I5068">
        <v>2200</v>
      </c>
      <c r="J5068">
        <v>2200</v>
      </c>
      <c r="K5068">
        <v>6600</v>
      </c>
      <c r="L5068">
        <v>3000</v>
      </c>
    </row>
    <row r="5069" spans="1:12" hidden="1" x14ac:dyDescent="0.25">
      <c r="A5069">
        <v>5068</v>
      </c>
      <c r="B5069" s="1" t="s">
        <v>12</v>
      </c>
      <c r="C5069">
        <v>2022</v>
      </c>
      <c r="D5069" s="1" t="s">
        <v>348</v>
      </c>
      <c r="E5069" s="1" t="s">
        <v>158</v>
      </c>
      <c r="F5069">
        <v>6</v>
      </c>
      <c r="G5069" s="1" t="s">
        <v>341</v>
      </c>
      <c r="H5069">
        <v>6294</v>
      </c>
      <c r="I5069">
        <v>800</v>
      </c>
      <c r="J5069">
        <v>800</v>
      </c>
      <c r="K5069">
        <v>2160</v>
      </c>
      <c r="L5069">
        <v>2700</v>
      </c>
    </row>
    <row r="5070" spans="1:12" hidden="1" x14ac:dyDescent="0.25">
      <c r="A5070">
        <v>5069</v>
      </c>
      <c r="B5070" s="1" t="s">
        <v>12</v>
      </c>
      <c r="C5070">
        <v>2022</v>
      </c>
      <c r="D5070" s="1" t="s">
        <v>348</v>
      </c>
      <c r="E5070" s="1" t="s">
        <v>158</v>
      </c>
      <c r="F5070">
        <v>6</v>
      </c>
      <c r="G5070" s="1" t="s">
        <v>160</v>
      </c>
      <c r="H5070">
        <v>6351</v>
      </c>
      <c r="I5070">
        <v>1800</v>
      </c>
      <c r="J5070">
        <v>1800</v>
      </c>
      <c r="K5070">
        <v>5760</v>
      </c>
      <c r="L5070">
        <v>3200</v>
      </c>
    </row>
    <row r="5071" spans="1:12" hidden="1" x14ac:dyDescent="0.25">
      <c r="A5071">
        <v>5070</v>
      </c>
      <c r="B5071" s="1" t="s">
        <v>12</v>
      </c>
      <c r="C5071">
        <v>2022</v>
      </c>
      <c r="D5071" s="1" t="s">
        <v>348</v>
      </c>
      <c r="E5071" s="1" t="s">
        <v>158</v>
      </c>
      <c r="F5071">
        <v>6</v>
      </c>
      <c r="G5071" s="1" t="s">
        <v>257</v>
      </c>
      <c r="H5071">
        <v>6392</v>
      </c>
      <c r="I5071">
        <v>17000</v>
      </c>
      <c r="J5071">
        <v>17000</v>
      </c>
      <c r="K5071">
        <v>53550</v>
      </c>
      <c r="L5071">
        <v>3150</v>
      </c>
    </row>
    <row r="5072" spans="1:12" hidden="1" x14ac:dyDescent="0.25">
      <c r="A5072">
        <v>5071</v>
      </c>
      <c r="B5072" s="1" t="s">
        <v>12</v>
      </c>
      <c r="C5072">
        <v>2022</v>
      </c>
      <c r="D5072" s="1" t="s">
        <v>348</v>
      </c>
      <c r="E5072" s="1" t="s">
        <v>158</v>
      </c>
      <c r="F5072">
        <v>6</v>
      </c>
      <c r="G5072" s="1" t="s">
        <v>342</v>
      </c>
      <c r="H5072">
        <v>6399</v>
      </c>
      <c r="I5072">
        <v>500</v>
      </c>
      <c r="J5072">
        <v>500</v>
      </c>
      <c r="K5072">
        <v>1400</v>
      </c>
      <c r="L5072">
        <v>2800</v>
      </c>
    </row>
    <row r="5073" spans="1:12" hidden="1" x14ac:dyDescent="0.25">
      <c r="A5073">
        <v>5072</v>
      </c>
      <c r="B5073" s="1" t="s">
        <v>12</v>
      </c>
      <c r="C5073">
        <v>2022</v>
      </c>
      <c r="D5073" s="1" t="s">
        <v>348</v>
      </c>
      <c r="E5073" s="1" t="s">
        <v>158</v>
      </c>
      <c r="F5073">
        <v>6</v>
      </c>
      <c r="G5073" s="1" t="s">
        <v>347</v>
      </c>
      <c r="H5073">
        <v>6406</v>
      </c>
      <c r="I5073">
        <v>1650</v>
      </c>
      <c r="J5073">
        <v>1650</v>
      </c>
      <c r="K5073">
        <v>4950</v>
      </c>
      <c r="L5073">
        <v>3000</v>
      </c>
    </row>
    <row r="5074" spans="1:12" hidden="1" x14ac:dyDescent="0.25">
      <c r="A5074">
        <v>5073</v>
      </c>
      <c r="B5074" s="1" t="s">
        <v>12</v>
      </c>
      <c r="C5074">
        <v>2022</v>
      </c>
      <c r="D5074" s="1" t="s">
        <v>348</v>
      </c>
      <c r="E5074" s="1" t="s">
        <v>158</v>
      </c>
      <c r="F5074">
        <v>6</v>
      </c>
      <c r="G5074" s="1" t="s">
        <v>127</v>
      </c>
      <c r="H5074">
        <v>6413</v>
      </c>
      <c r="I5074">
        <v>2200</v>
      </c>
      <c r="J5074">
        <v>2200</v>
      </c>
      <c r="K5074">
        <v>5940</v>
      </c>
      <c r="L5074">
        <v>2700</v>
      </c>
    </row>
    <row r="5075" spans="1:12" hidden="1" x14ac:dyDescent="0.25">
      <c r="A5075">
        <v>5074</v>
      </c>
      <c r="B5075" s="1" t="s">
        <v>12</v>
      </c>
      <c r="C5075">
        <v>2022</v>
      </c>
      <c r="D5075" s="1" t="s">
        <v>348</v>
      </c>
      <c r="E5075" s="1" t="s">
        <v>158</v>
      </c>
      <c r="F5075">
        <v>6</v>
      </c>
      <c r="G5075" s="1" t="s">
        <v>243</v>
      </c>
      <c r="H5075">
        <v>6462</v>
      </c>
      <c r="I5075">
        <v>4200</v>
      </c>
      <c r="J5075">
        <v>4200</v>
      </c>
      <c r="K5075">
        <v>12600</v>
      </c>
      <c r="L5075">
        <v>3000</v>
      </c>
    </row>
    <row r="5076" spans="1:12" hidden="1" x14ac:dyDescent="0.25">
      <c r="A5076">
        <v>5075</v>
      </c>
      <c r="B5076" s="1" t="s">
        <v>12</v>
      </c>
      <c r="C5076">
        <v>2022</v>
      </c>
      <c r="D5076" s="1" t="s">
        <v>348</v>
      </c>
      <c r="E5076" s="1" t="s">
        <v>158</v>
      </c>
      <c r="F5076">
        <v>6</v>
      </c>
      <c r="G5076" s="1" t="s">
        <v>164</v>
      </c>
      <c r="H5076">
        <v>6469</v>
      </c>
      <c r="I5076">
        <v>1500</v>
      </c>
      <c r="J5076">
        <v>1500</v>
      </c>
      <c r="K5076">
        <v>4575</v>
      </c>
      <c r="L5076">
        <v>3050</v>
      </c>
    </row>
    <row r="5077" spans="1:12" hidden="1" x14ac:dyDescent="0.25">
      <c r="A5077">
        <v>5076</v>
      </c>
      <c r="B5077" s="1" t="s">
        <v>12</v>
      </c>
      <c r="C5077">
        <v>2022</v>
      </c>
      <c r="D5077" s="1" t="s">
        <v>348</v>
      </c>
      <c r="E5077" s="1" t="s">
        <v>158</v>
      </c>
      <c r="F5077">
        <v>6</v>
      </c>
      <c r="G5077" s="1" t="s">
        <v>165</v>
      </c>
      <c r="H5077">
        <v>6609</v>
      </c>
      <c r="I5077">
        <v>973</v>
      </c>
      <c r="J5077">
        <v>973</v>
      </c>
      <c r="K5077">
        <v>2919</v>
      </c>
      <c r="L5077">
        <v>3000</v>
      </c>
    </row>
    <row r="5078" spans="1:12" hidden="1" x14ac:dyDescent="0.25">
      <c r="A5078">
        <v>5077</v>
      </c>
      <c r="B5078" s="1" t="s">
        <v>12</v>
      </c>
      <c r="C5078">
        <v>2022</v>
      </c>
      <c r="D5078" s="1" t="s">
        <v>348</v>
      </c>
      <c r="E5078" s="1" t="s">
        <v>158</v>
      </c>
      <c r="F5078">
        <v>6</v>
      </c>
      <c r="G5078" s="1" t="s">
        <v>135</v>
      </c>
      <c r="H5078">
        <v>6616</v>
      </c>
      <c r="I5078">
        <v>2000</v>
      </c>
      <c r="J5078">
        <v>2000</v>
      </c>
      <c r="K5078">
        <v>5600</v>
      </c>
      <c r="L5078">
        <v>2800</v>
      </c>
    </row>
    <row r="5079" spans="1:12" hidden="1" x14ac:dyDescent="0.25">
      <c r="A5079">
        <v>5078</v>
      </c>
      <c r="B5079" s="1" t="s">
        <v>12</v>
      </c>
      <c r="C5079">
        <v>2022</v>
      </c>
      <c r="D5079" s="1" t="s">
        <v>348</v>
      </c>
      <c r="E5079" s="1" t="s">
        <v>158</v>
      </c>
      <c r="F5079">
        <v>6</v>
      </c>
      <c r="G5079" s="1" t="s">
        <v>161</v>
      </c>
      <c r="H5079">
        <v>6679</v>
      </c>
      <c r="I5079">
        <v>10272</v>
      </c>
      <c r="J5079">
        <v>10272</v>
      </c>
      <c r="K5079">
        <v>31843</v>
      </c>
      <c r="L5079">
        <v>3100</v>
      </c>
    </row>
    <row r="5080" spans="1:12" hidden="1" x14ac:dyDescent="0.25">
      <c r="A5080">
        <v>5079</v>
      </c>
      <c r="B5080" s="1" t="s">
        <v>12</v>
      </c>
      <c r="C5080">
        <v>2022</v>
      </c>
      <c r="D5080" s="1" t="s">
        <v>348</v>
      </c>
      <c r="E5080" s="1" t="s">
        <v>158</v>
      </c>
      <c r="F5080">
        <v>6</v>
      </c>
      <c r="G5080" s="1" t="s">
        <v>338</v>
      </c>
      <c r="H5080">
        <v>6721</v>
      </c>
      <c r="I5080">
        <v>1000</v>
      </c>
      <c r="J5080">
        <v>1000</v>
      </c>
      <c r="K5080">
        <v>2800</v>
      </c>
      <c r="L5080">
        <v>2800</v>
      </c>
    </row>
    <row r="5081" spans="1:12" hidden="1" x14ac:dyDescent="0.25">
      <c r="A5081">
        <v>5080</v>
      </c>
      <c r="B5081" s="1" t="s">
        <v>12</v>
      </c>
      <c r="C5081">
        <v>2022</v>
      </c>
      <c r="D5081" s="1" t="s">
        <v>348</v>
      </c>
      <c r="E5081" s="1" t="s">
        <v>158</v>
      </c>
      <c r="F5081">
        <v>6</v>
      </c>
      <c r="G5081" s="1" t="s">
        <v>167</v>
      </c>
      <c r="H5081">
        <v>6826</v>
      </c>
      <c r="I5081">
        <v>765</v>
      </c>
      <c r="J5081">
        <v>765</v>
      </c>
      <c r="K5081">
        <v>2142</v>
      </c>
      <c r="L5081">
        <v>2800</v>
      </c>
    </row>
    <row r="5082" spans="1:12" hidden="1" x14ac:dyDescent="0.25">
      <c r="A5082">
        <v>5081</v>
      </c>
      <c r="B5082" s="1" t="s">
        <v>12</v>
      </c>
      <c r="C5082">
        <v>2022</v>
      </c>
      <c r="D5082" s="1" t="s">
        <v>348</v>
      </c>
      <c r="E5082" s="1" t="s">
        <v>80</v>
      </c>
      <c r="F5082">
        <v>10</v>
      </c>
      <c r="G5082" s="1" t="s">
        <v>83</v>
      </c>
      <c r="H5082">
        <v>10098</v>
      </c>
      <c r="I5082">
        <v>1100</v>
      </c>
      <c r="J5082">
        <v>1040</v>
      </c>
      <c r="K5082">
        <v>936</v>
      </c>
      <c r="L5082">
        <v>900</v>
      </c>
    </row>
    <row r="5083" spans="1:12" hidden="1" x14ac:dyDescent="0.25">
      <c r="A5083">
        <v>5082</v>
      </c>
      <c r="B5083" s="1" t="s">
        <v>12</v>
      </c>
      <c r="C5083">
        <v>2022</v>
      </c>
      <c r="D5083" s="1" t="s">
        <v>348</v>
      </c>
      <c r="E5083" s="1" t="s">
        <v>22</v>
      </c>
      <c r="F5083">
        <v>14</v>
      </c>
      <c r="G5083" s="1" t="s">
        <v>97</v>
      </c>
      <c r="H5083">
        <v>14007</v>
      </c>
      <c r="I5083">
        <v>2300</v>
      </c>
      <c r="J5083">
        <v>2300</v>
      </c>
      <c r="K5083">
        <v>5060</v>
      </c>
      <c r="L5083">
        <v>2200</v>
      </c>
    </row>
    <row r="5084" spans="1:12" hidden="1" x14ac:dyDescent="0.25">
      <c r="A5084">
        <v>5083</v>
      </c>
      <c r="B5084" s="1" t="s">
        <v>12</v>
      </c>
      <c r="C5084">
        <v>2022</v>
      </c>
      <c r="D5084" s="1" t="s">
        <v>348</v>
      </c>
      <c r="E5084" s="1" t="s">
        <v>22</v>
      </c>
      <c r="F5084">
        <v>14</v>
      </c>
      <c r="G5084" s="1" t="s">
        <v>28</v>
      </c>
      <c r="H5084">
        <v>14014</v>
      </c>
      <c r="I5084">
        <v>400</v>
      </c>
      <c r="J5084">
        <v>400</v>
      </c>
      <c r="K5084">
        <v>920</v>
      </c>
      <c r="L5084">
        <v>2300</v>
      </c>
    </row>
    <row r="5085" spans="1:12" hidden="1" x14ac:dyDescent="0.25">
      <c r="A5085">
        <v>5084</v>
      </c>
      <c r="B5085" s="1" t="s">
        <v>12</v>
      </c>
      <c r="C5085">
        <v>2022</v>
      </c>
      <c r="D5085" s="1" t="s">
        <v>348</v>
      </c>
      <c r="E5085" s="1" t="s">
        <v>22</v>
      </c>
      <c r="F5085">
        <v>14</v>
      </c>
      <c r="G5085" s="1" t="s">
        <v>27</v>
      </c>
      <c r="H5085">
        <v>14021</v>
      </c>
      <c r="I5085">
        <v>1000</v>
      </c>
      <c r="J5085">
        <v>1000</v>
      </c>
      <c r="K5085">
        <v>3000</v>
      </c>
      <c r="L5085">
        <v>3000</v>
      </c>
    </row>
    <row r="5086" spans="1:12" hidden="1" x14ac:dyDescent="0.25">
      <c r="A5086">
        <v>5085</v>
      </c>
      <c r="B5086" s="1" t="s">
        <v>12</v>
      </c>
      <c r="C5086">
        <v>2022</v>
      </c>
      <c r="D5086" s="1" t="s">
        <v>348</v>
      </c>
      <c r="E5086" s="1" t="s">
        <v>22</v>
      </c>
      <c r="F5086">
        <v>14</v>
      </c>
      <c r="G5086" s="1" t="s">
        <v>129</v>
      </c>
      <c r="H5086">
        <v>14035</v>
      </c>
      <c r="I5086">
        <v>64656</v>
      </c>
      <c r="J5086">
        <v>64656</v>
      </c>
      <c r="K5086">
        <v>174571</v>
      </c>
      <c r="L5086">
        <v>2700</v>
      </c>
    </row>
    <row r="5087" spans="1:12" hidden="1" x14ac:dyDescent="0.25">
      <c r="A5087">
        <v>5086</v>
      </c>
      <c r="B5087" s="1" t="s">
        <v>12</v>
      </c>
      <c r="C5087">
        <v>2022</v>
      </c>
      <c r="D5087" s="1" t="s">
        <v>348</v>
      </c>
      <c r="E5087" s="1" t="s">
        <v>22</v>
      </c>
      <c r="F5087">
        <v>14</v>
      </c>
      <c r="G5087" s="1" t="s">
        <v>184</v>
      </c>
      <c r="H5087">
        <v>14042</v>
      </c>
      <c r="I5087">
        <v>16000</v>
      </c>
      <c r="J5087">
        <v>16000</v>
      </c>
      <c r="K5087">
        <v>36800</v>
      </c>
      <c r="L5087">
        <v>2300</v>
      </c>
    </row>
    <row r="5088" spans="1:12" hidden="1" x14ac:dyDescent="0.25">
      <c r="A5088">
        <v>5087</v>
      </c>
      <c r="B5088" s="1" t="s">
        <v>12</v>
      </c>
      <c r="C5088">
        <v>2022</v>
      </c>
      <c r="D5088" s="1" t="s">
        <v>348</v>
      </c>
      <c r="E5088" s="1" t="s">
        <v>22</v>
      </c>
      <c r="F5088">
        <v>14</v>
      </c>
      <c r="G5088" s="1" t="s">
        <v>143</v>
      </c>
      <c r="H5088">
        <v>14056</v>
      </c>
      <c r="I5088">
        <v>34000</v>
      </c>
      <c r="J5088">
        <v>34000</v>
      </c>
      <c r="K5088">
        <v>85000</v>
      </c>
      <c r="L5088">
        <v>2500</v>
      </c>
    </row>
    <row r="5089" spans="1:12" hidden="1" x14ac:dyDescent="0.25">
      <c r="A5089">
        <v>5088</v>
      </c>
      <c r="B5089" s="1" t="s">
        <v>12</v>
      </c>
      <c r="C5089">
        <v>2022</v>
      </c>
      <c r="D5089" s="1" t="s">
        <v>348</v>
      </c>
      <c r="E5089" s="1" t="s">
        <v>22</v>
      </c>
      <c r="F5089">
        <v>14</v>
      </c>
      <c r="G5089" s="1" t="s">
        <v>247</v>
      </c>
      <c r="H5089">
        <v>14063</v>
      </c>
      <c r="I5089">
        <v>8900</v>
      </c>
      <c r="J5089">
        <v>8650</v>
      </c>
      <c r="K5089">
        <v>19030</v>
      </c>
      <c r="L5089">
        <v>2200</v>
      </c>
    </row>
    <row r="5090" spans="1:12" hidden="1" x14ac:dyDescent="0.25">
      <c r="A5090">
        <v>5089</v>
      </c>
      <c r="B5090" s="1" t="s">
        <v>12</v>
      </c>
      <c r="C5090">
        <v>2022</v>
      </c>
      <c r="D5090" s="1" t="s">
        <v>348</v>
      </c>
      <c r="E5090" s="1" t="s">
        <v>22</v>
      </c>
      <c r="F5090">
        <v>14</v>
      </c>
      <c r="G5090" s="1" t="s">
        <v>206</v>
      </c>
      <c r="H5090">
        <v>14084</v>
      </c>
      <c r="I5090">
        <v>16738</v>
      </c>
      <c r="J5090">
        <v>16738</v>
      </c>
      <c r="K5090">
        <v>45193</v>
      </c>
      <c r="L5090">
        <v>2700</v>
      </c>
    </row>
    <row r="5091" spans="1:12" hidden="1" x14ac:dyDescent="0.25">
      <c r="A5091">
        <v>5090</v>
      </c>
      <c r="B5091" s="1" t="s">
        <v>12</v>
      </c>
      <c r="C5091">
        <v>2022</v>
      </c>
      <c r="D5091" s="1" t="s">
        <v>348</v>
      </c>
      <c r="E5091" s="1" t="s">
        <v>22</v>
      </c>
      <c r="F5091">
        <v>14</v>
      </c>
      <c r="G5091" s="1" t="s">
        <v>29</v>
      </c>
      <c r="H5091">
        <v>14098</v>
      </c>
      <c r="I5091">
        <v>69000</v>
      </c>
      <c r="J5091">
        <v>69000</v>
      </c>
      <c r="K5091">
        <v>172500</v>
      </c>
      <c r="L5091">
        <v>2500</v>
      </c>
    </row>
    <row r="5092" spans="1:12" hidden="1" x14ac:dyDescent="0.25">
      <c r="A5092">
        <v>5091</v>
      </c>
      <c r="B5092" s="1" t="s">
        <v>12</v>
      </c>
      <c r="C5092">
        <v>2022</v>
      </c>
      <c r="D5092" s="1" t="s">
        <v>348</v>
      </c>
      <c r="E5092" s="1" t="s">
        <v>22</v>
      </c>
      <c r="F5092">
        <v>14</v>
      </c>
      <c r="G5092" s="1" t="s">
        <v>25</v>
      </c>
      <c r="H5092">
        <v>14105</v>
      </c>
      <c r="I5092">
        <v>5300</v>
      </c>
      <c r="J5092">
        <v>5300</v>
      </c>
      <c r="K5092">
        <v>15900</v>
      </c>
      <c r="L5092">
        <v>3000</v>
      </c>
    </row>
    <row r="5093" spans="1:12" hidden="1" x14ac:dyDescent="0.25">
      <c r="A5093">
        <v>5092</v>
      </c>
      <c r="B5093" s="1" t="s">
        <v>12</v>
      </c>
      <c r="C5093">
        <v>2022</v>
      </c>
      <c r="D5093" s="1" t="s">
        <v>348</v>
      </c>
      <c r="E5093" s="1" t="s">
        <v>22</v>
      </c>
      <c r="F5093">
        <v>14</v>
      </c>
      <c r="G5093" s="1" t="s">
        <v>171</v>
      </c>
      <c r="H5093">
        <v>14112</v>
      </c>
      <c r="I5093">
        <v>820</v>
      </c>
      <c r="J5093">
        <v>820</v>
      </c>
      <c r="K5093">
        <v>1640</v>
      </c>
      <c r="L5093">
        <v>2000</v>
      </c>
    </row>
    <row r="5094" spans="1:12" hidden="1" x14ac:dyDescent="0.25">
      <c r="A5094">
        <v>5093</v>
      </c>
      <c r="B5094" s="1" t="s">
        <v>12</v>
      </c>
      <c r="C5094">
        <v>2022</v>
      </c>
      <c r="D5094" s="1" t="s">
        <v>348</v>
      </c>
      <c r="E5094" s="1" t="s">
        <v>22</v>
      </c>
      <c r="F5094">
        <v>14</v>
      </c>
      <c r="G5094" s="1" t="s">
        <v>24</v>
      </c>
      <c r="H5094">
        <v>14119</v>
      </c>
      <c r="I5094">
        <v>8500</v>
      </c>
      <c r="J5094">
        <v>8500</v>
      </c>
      <c r="K5094">
        <v>20400</v>
      </c>
      <c r="L5094">
        <v>2400</v>
      </c>
    </row>
    <row r="5095" spans="1:12" hidden="1" x14ac:dyDescent="0.25">
      <c r="A5095">
        <v>5094</v>
      </c>
      <c r="B5095" s="1" t="s">
        <v>12</v>
      </c>
      <c r="C5095">
        <v>2022</v>
      </c>
      <c r="D5095" s="1" t="s">
        <v>348</v>
      </c>
      <c r="E5095" s="1" t="s">
        <v>22</v>
      </c>
      <c r="F5095">
        <v>14</v>
      </c>
      <c r="G5095" s="1" t="s">
        <v>62</v>
      </c>
      <c r="H5095">
        <v>14133</v>
      </c>
      <c r="I5095">
        <v>2500</v>
      </c>
      <c r="J5095">
        <v>2500</v>
      </c>
      <c r="K5095">
        <v>7500</v>
      </c>
      <c r="L5095">
        <v>3000</v>
      </c>
    </row>
    <row r="5096" spans="1:12" hidden="1" x14ac:dyDescent="0.25">
      <c r="A5096">
        <v>5095</v>
      </c>
      <c r="B5096" s="1" t="s">
        <v>12</v>
      </c>
      <c r="C5096">
        <v>2022</v>
      </c>
      <c r="D5096" s="1" t="s">
        <v>348</v>
      </c>
      <c r="E5096" s="1" t="s">
        <v>22</v>
      </c>
      <c r="F5096">
        <v>14</v>
      </c>
      <c r="G5096" s="1" t="s">
        <v>67</v>
      </c>
      <c r="H5096">
        <v>14140</v>
      </c>
      <c r="I5096">
        <v>1550</v>
      </c>
      <c r="J5096">
        <v>1550</v>
      </c>
      <c r="K5096">
        <v>3875</v>
      </c>
      <c r="L5096">
        <v>2500</v>
      </c>
    </row>
    <row r="5097" spans="1:12" hidden="1" x14ac:dyDescent="0.25">
      <c r="A5097">
        <v>5096</v>
      </c>
      <c r="B5097" s="1" t="s">
        <v>12</v>
      </c>
      <c r="C5097">
        <v>2022</v>
      </c>
      <c r="D5097" s="1" t="s">
        <v>348</v>
      </c>
      <c r="E5097" s="1" t="s">
        <v>22</v>
      </c>
      <c r="F5097">
        <v>14</v>
      </c>
      <c r="G5097" s="1" t="s">
        <v>23</v>
      </c>
      <c r="H5097">
        <v>14147</v>
      </c>
      <c r="I5097">
        <v>3500</v>
      </c>
      <c r="J5097">
        <v>3500</v>
      </c>
      <c r="K5097">
        <v>8050</v>
      </c>
      <c r="L5097">
        <v>2300</v>
      </c>
    </row>
    <row r="5098" spans="1:12" hidden="1" x14ac:dyDescent="0.25">
      <c r="A5098">
        <v>5097</v>
      </c>
      <c r="B5098" s="1" t="s">
        <v>12</v>
      </c>
      <c r="C5098">
        <v>2022</v>
      </c>
      <c r="D5098" s="1" t="s">
        <v>348</v>
      </c>
      <c r="E5098" s="1" t="s">
        <v>22</v>
      </c>
      <c r="F5098">
        <v>14</v>
      </c>
      <c r="G5098" s="1" t="s">
        <v>26</v>
      </c>
      <c r="H5098">
        <v>14161</v>
      </c>
      <c r="I5098">
        <v>22000</v>
      </c>
      <c r="J5098">
        <v>22000</v>
      </c>
      <c r="K5098">
        <v>55000</v>
      </c>
      <c r="L5098">
        <v>2500</v>
      </c>
    </row>
    <row r="5099" spans="1:12" hidden="1" x14ac:dyDescent="0.25">
      <c r="A5099">
        <v>5098</v>
      </c>
      <c r="B5099" s="1" t="s">
        <v>12</v>
      </c>
      <c r="C5099">
        <v>2022</v>
      </c>
      <c r="D5099" s="1" t="s">
        <v>348</v>
      </c>
      <c r="E5099" s="1" t="s">
        <v>22</v>
      </c>
      <c r="F5099">
        <v>14</v>
      </c>
      <c r="G5099" s="1" t="s">
        <v>114</v>
      </c>
      <c r="H5099">
        <v>14168</v>
      </c>
      <c r="I5099">
        <v>750</v>
      </c>
      <c r="J5099">
        <v>750</v>
      </c>
      <c r="K5099">
        <v>1875</v>
      </c>
      <c r="L5099">
        <v>2500</v>
      </c>
    </row>
    <row r="5100" spans="1:12" hidden="1" x14ac:dyDescent="0.25">
      <c r="A5100">
        <v>5099</v>
      </c>
      <c r="B5100" s="1" t="s">
        <v>12</v>
      </c>
      <c r="C5100">
        <v>2022</v>
      </c>
      <c r="D5100" s="1" t="s">
        <v>348</v>
      </c>
      <c r="E5100" s="1" t="s">
        <v>22</v>
      </c>
      <c r="F5100">
        <v>14</v>
      </c>
      <c r="G5100" s="1" t="s">
        <v>186</v>
      </c>
      <c r="H5100">
        <v>14175</v>
      </c>
      <c r="I5100">
        <v>450</v>
      </c>
      <c r="J5100">
        <v>450</v>
      </c>
      <c r="K5100">
        <v>1125</v>
      </c>
      <c r="L5100">
        <v>2500</v>
      </c>
    </row>
    <row r="5101" spans="1:12" hidden="1" x14ac:dyDescent="0.25">
      <c r="A5101">
        <v>5100</v>
      </c>
      <c r="B5101" s="1" t="s">
        <v>12</v>
      </c>
      <c r="C5101">
        <v>2022</v>
      </c>
      <c r="D5101" s="1" t="s">
        <v>348</v>
      </c>
      <c r="E5101" s="1" t="s">
        <v>22</v>
      </c>
      <c r="F5101">
        <v>14</v>
      </c>
      <c r="G5101" s="1" t="s">
        <v>122</v>
      </c>
      <c r="H5101">
        <v>14182</v>
      </c>
      <c r="I5101">
        <v>15500</v>
      </c>
      <c r="J5101">
        <v>15330</v>
      </c>
      <c r="K5101">
        <v>35259</v>
      </c>
      <c r="L5101">
        <v>2300</v>
      </c>
    </row>
    <row r="5102" spans="1:12" x14ac:dyDescent="0.25">
      <c r="A5102">
        <v>5101</v>
      </c>
      <c r="B5102" s="1" t="s">
        <v>12</v>
      </c>
      <c r="C5102">
        <v>2022</v>
      </c>
      <c r="D5102" s="1" t="s">
        <v>348</v>
      </c>
      <c r="E5102" s="1" t="s">
        <v>53</v>
      </c>
      <c r="F5102">
        <v>38</v>
      </c>
      <c r="G5102" s="1" t="s">
        <v>56</v>
      </c>
      <c r="H5102">
        <v>38063</v>
      </c>
      <c r="I5102">
        <v>100</v>
      </c>
      <c r="J5102">
        <v>100</v>
      </c>
      <c r="K5102">
        <v>100</v>
      </c>
      <c r="L5102">
        <v>1000</v>
      </c>
    </row>
    <row r="5103" spans="1:12" hidden="1" x14ac:dyDescent="0.25">
      <c r="A5103">
        <v>5102</v>
      </c>
      <c r="B5103" s="1" t="s">
        <v>12</v>
      </c>
      <c r="C5103">
        <v>2022</v>
      </c>
      <c r="D5103" s="1" t="s">
        <v>348</v>
      </c>
      <c r="E5103" s="1" t="s">
        <v>53</v>
      </c>
      <c r="F5103">
        <v>38</v>
      </c>
      <c r="G5103" s="1" t="s">
        <v>270</v>
      </c>
      <c r="H5103">
        <v>38070</v>
      </c>
      <c r="I5103">
        <v>100</v>
      </c>
      <c r="J5103">
        <v>100</v>
      </c>
      <c r="K5103">
        <v>100</v>
      </c>
      <c r="L5103">
        <v>1000</v>
      </c>
    </row>
    <row r="5104" spans="1:12" hidden="1" x14ac:dyDescent="0.25">
      <c r="A5104">
        <v>5103</v>
      </c>
      <c r="B5104" s="1" t="s">
        <v>12</v>
      </c>
      <c r="C5104">
        <v>2022</v>
      </c>
      <c r="D5104" s="1" t="s">
        <v>348</v>
      </c>
      <c r="E5104" s="1" t="s">
        <v>176</v>
      </c>
      <c r="F5104">
        <v>42</v>
      </c>
      <c r="G5104" s="1" t="s">
        <v>319</v>
      </c>
      <c r="H5104">
        <v>42028</v>
      </c>
      <c r="I5104">
        <v>677</v>
      </c>
      <c r="J5104">
        <v>677</v>
      </c>
      <c r="K5104">
        <v>948</v>
      </c>
      <c r="L5104">
        <v>1400</v>
      </c>
    </row>
    <row r="5105" spans="1:12" hidden="1" x14ac:dyDescent="0.25">
      <c r="A5105">
        <v>5104</v>
      </c>
      <c r="B5105" s="1" t="s">
        <v>12</v>
      </c>
      <c r="C5105">
        <v>2022</v>
      </c>
      <c r="D5105" s="1" t="s">
        <v>348</v>
      </c>
      <c r="E5105" s="1" t="s">
        <v>176</v>
      </c>
      <c r="F5105">
        <v>42</v>
      </c>
      <c r="G5105" s="1" t="s">
        <v>314</v>
      </c>
      <c r="H5105">
        <v>42056</v>
      </c>
      <c r="I5105">
        <v>5000</v>
      </c>
      <c r="J5105">
        <v>5000</v>
      </c>
      <c r="K5105">
        <v>15000</v>
      </c>
      <c r="L5105">
        <v>3000</v>
      </c>
    </row>
    <row r="5106" spans="1:12" hidden="1" x14ac:dyDescent="0.25">
      <c r="A5106">
        <v>5105</v>
      </c>
      <c r="B5106" s="1" t="s">
        <v>12</v>
      </c>
      <c r="C5106">
        <v>2022</v>
      </c>
      <c r="D5106" s="1" t="s">
        <v>348</v>
      </c>
      <c r="E5106" s="1" t="s">
        <v>176</v>
      </c>
      <c r="F5106">
        <v>42</v>
      </c>
      <c r="G5106" s="1" t="s">
        <v>324</v>
      </c>
      <c r="H5106">
        <v>42035</v>
      </c>
      <c r="I5106">
        <v>600</v>
      </c>
      <c r="J5106">
        <v>600</v>
      </c>
      <c r="K5106">
        <v>1200</v>
      </c>
      <c r="L5106">
        <v>2000</v>
      </c>
    </row>
    <row r="5107" spans="1:12" hidden="1" x14ac:dyDescent="0.25">
      <c r="A5107">
        <v>5106</v>
      </c>
      <c r="B5107" s="1" t="s">
        <v>12</v>
      </c>
      <c r="C5107">
        <v>2022</v>
      </c>
      <c r="D5107" s="1" t="s">
        <v>348</v>
      </c>
      <c r="E5107" s="1" t="s">
        <v>176</v>
      </c>
      <c r="F5107">
        <v>42</v>
      </c>
      <c r="G5107" s="1" t="s">
        <v>322</v>
      </c>
      <c r="H5107">
        <v>42105</v>
      </c>
      <c r="I5107">
        <v>2800</v>
      </c>
      <c r="J5107">
        <v>2800</v>
      </c>
      <c r="K5107">
        <v>8400</v>
      </c>
      <c r="L5107">
        <v>3000</v>
      </c>
    </row>
    <row r="5108" spans="1:12" hidden="1" x14ac:dyDescent="0.25">
      <c r="A5108">
        <v>5107</v>
      </c>
      <c r="B5108" s="1" t="s">
        <v>12</v>
      </c>
      <c r="C5108">
        <v>2022</v>
      </c>
      <c r="D5108" s="1" t="s">
        <v>348</v>
      </c>
      <c r="E5108" s="1" t="s">
        <v>176</v>
      </c>
      <c r="F5108">
        <v>42</v>
      </c>
      <c r="G5108" s="1" t="s">
        <v>177</v>
      </c>
      <c r="H5108">
        <v>42119</v>
      </c>
      <c r="I5108">
        <v>4000</v>
      </c>
      <c r="J5108">
        <v>4000</v>
      </c>
      <c r="K5108">
        <v>10000</v>
      </c>
      <c r="L5108">
        <v>2500</v>
      </c>
    </row>
    <row r="5109" spans="1:12" hidden="1" x14ac:dyDescent="0.25">
      <c r="A5109">
        <v>5108</v>
      </c>
      <c r="B5109" s="1" t="s">
        <v>12</v>
      </c>
      <c r="C5109">
        <v>2022</v>
      </c>
      <c r="D5109" s="1" t="s">
        <v>348</v>
      </c>
      <c r="E5109" s="1" t="s">
        <v>176</v>
      </c>
      <c r="F5109">
        <v>42</v>
      </c>
      <c r="G5109" s="1" t="s">
        <v>315</v>
      </c>
      <c r="H5109">
        <v>42126</v>
      </c>
      <c r="I5109">
        <v>200</v>
      </c>
      <c r="J5109">
        <v>200</v>
      </c>
      <c r="K5109">
        <v>400</v>
      </c>
      <c r="L5109">
        <v>2000</v>
      </c>
    </row>
    <row r="5110" spans="1:12" hidden="1" x14ac:dyDescent="0.25">
      <c r="A5110">
        <v>5109</v>
      </c>
      <c r="B5110" s="1" t="s">
        <v>12</v>
      </c>
      <c r="C5110">
        <v>2022</v>
      </c>
      <c r="D5110" s="1" t="s">
        <v>348</v>
      </c>
      <c r="E5110" s="1" t="s">
        <v>176</v>
      </c>
      <c r="F5110">
        <v>42</v>
      </c>
      <c r="G5110" s="1" t="s">
        <v>316</v>
      </c>
      <c r="H5110">
        <v>42133</v>
      </c>
      <c r="I5110">
        <v>3200</v>
      </c>
      <c r="J5110">
        <v>3200</v>
      </c>
      <c r="K5110">
        <v>8000</v>
      </c>
      <c r="L5110">
        <v>2500</v>
      </c>
    </row>
    <row r="5111" spans="1:12" hidden="1" x14ac:dyDescent="0.25">
      <c r="A5111">
        <v>5110</v>
      </c>
      <c r="B5111" s="1" t="s">
        <v>12</v>
      </c>
      <c r="C5111">
        <v>2022</v>
      </c>
      <c r="D5111" s="1" t="s">
        <v>348</v>
      </c>
      <c r="E5111" s="1" t="s">
        <v>176</v>
      </c>
      <c r="F5111">
        <v>42</v>
      </c>
      <c r="G5111" s="1" t="s">
        <v>320</v>
      </c>
      <c r="H5111">
        <v>42147</v>
      </c>
      <c r="I5111">
        <v>300</v>
      </c>
      <c r="J5111">
        <v>300</v>
      </c>
      <c r="K5111">
        <v>600</v>
      </c>
      <c r="L5111">
        <v>2000</v>
      </c>
    </row>
    <row r="5112" spans="1:12" hidden="1" x14ac:dyDescent="0.25">
      <c r="A5112">
        <v>5111</v>
      </c>
      <c r="B5112" s="1" t="s">
        <v>12</v>
      </c>
      <c r="C5112">
        <v>2022</v>
      </c>
      <c r="D5112" s="1" t="s">
        <v>348</v>
      </c>
      <c r="E5112" s="1" t="s">
        <v>87</v>
      </c>
      <c r="F5112">
        <v>66</v>
      </c>
      <c r="G5112" s="1" t="s">
        <v>153</v>
      </c>
      <c r="H5112">
        <v>66007</v>
      </c>
      <c r="I5112">
        <v>790</v>
      </c>
      <c r="J5112">
        <v>790</v>
      </c>
      <c r="K5112">
        <v>711</v>
      </c>
      <c r="L5112">
        <v>900</v>
      </c>
    </row>
    <row r="5113" spans="1:12" hidden="1" x14ac:dyDescent="0.25">
      <c r="A5113">
        <v>5112</v>
      </c>
      <c r="B5113" s="1" t="s">
        <v>12</v>
      </c>
      <c r="C5113">
        <v>2022</v>
      </c>
      <c r="D5113" s="1" t="s">
        <v>348</v>
      </c>
      <c r="E5113" s="1" t="s">
        <v>87</v>
      </c>
      <c r="F5113">
        <v>66</v>
      </c>
      <c r="G5113" s="1" t="s">
        <v>230</v>
      </c>
      <c r="H5113">
        <v>66056</v>
      </c>
      <c r="I5113">
        <v>1290</v>
      </c>
      <c r="J5113">
        <v>1290</v>
      </c>
      <c r="K5113">
        <v>1032</v>
      </c>
      <c r="L5113">
        <v>800</v>
      </c>
    </row>
    <row r="5114" spans="1:12" hidden="1" x14ac:dyDescent="0.25">
      <c r="A5114">
        <v>5113</v>
      </c>
      <c r="B5114" s="1" t="s">
        <v>12</v>
      </c>
      <c r="C5114">
        <v>2022</v>
      </c>
      <c r="D5114" s="1" t="s">
        <v>348</v>
      </c>
      <c r="E5114" s="1" t="s">
        <v>87</v>
      </c>
      <c r="F5114">
        <v>66</v>
      </c>
      <c r="G5114" s="1" t="s">
        <v>141</v>
      </c>
      <c r="H5114">
        <v>66112</v>
      </c>
      <c r="I5114">
        <v>580</v>
      </c>
      <c r="J5114">
        <v>580</v>
      </c>
      <c r="K5114">
        <v>464</v>
      </c>
      <c r="L5114">
        <v>800</v>
      </c>
    </row>
    <row r="5115" spans="1:12" hidden="1" x14ac:dyDescent="0.25">
      <c r="A5115">
        <v>5114</v>
      </c>
      <c r="B5115" s="1" t="s">
        <v>12</v>
      </c>
      <c r="C5115">
        <v>2022</v>
      </c>
      <c r="D5115" s="1" t="s">
        <v>348</v>
      </c>
      <c r="E5115" s="1" t="s">
        <v>87</v>
      </c>
      <c r="F5115">
        <v>66</v>
      </c>
      <c r="G5115" s="1" t="s">
        <v>179</v>
      </c>
      <c r="H5115">
        <v>66126</v>
      </c>
      <c r="I5115">
        <v>1090</v>
      </c>
      <c r="J5115">
        <v>1090</v>
      </c>
      <c r="K5115">
        <v>872</v>
      </c>
      <c r="L5115">
        <v>800</v>
      </c>
    </row>
    <row r="5116" spans="1:12" hidden="1" x14ac:dyDescent="0.25">
      <c r="A5116">
        <v>5115</v>
      </c>
      <c r="B5116" s="1" t="s">
        <v>12</v>
      </c>
      <c r="C5116">
        <v>2022</v>
      </c>
      <c r="D5116" s="1" t="s">
        <v>348</v>
      </c>
      <c r="E5116" s="1" t="s">
        <v>116</v>
      </c>
      <c r="F5116">
        <v>74</v>
      </c>
      <c r="G5116" s="1" t="s">
        <v>195</v>
      </c>
      <c r="H5116">
        <v>74007</v>
      </c>
      <c r="I5116">
        <v>2000</v>
      </c>
      <c r="J5116">
        <v>2000</v>
      </c>
      <c r="K5116">
        <v>7400</v>
      </c>
      <c r="L5116">
        <v>3700</v>
      </c>
    </row>
    <row r="5117" spans="1:12" hidden="1" x14ac:dyDescent="0.25">
      <c r="A5117">
        <v>5116</v>
      </c>
      <c r="B5117" s="1" t="s">
        <v>12</v>
      </c>
      <c r="C5117">
        <v>2022</v>
      </c>
      <c r="D5117" s="1" t="s">
        <v>348</v>
      </c>
      <c r="E5117" s="1" t="s">
        <v>116</v>
      </c>
      <c r="F5117">
        <v>74</v>
      </c>
      <c r="G5117" s="1" t="s">
        <v>126</v>
      </c>
      <c r="H5117">
        <v>74035</v>
      </c>
      <c r="I5117">
        <v>8200</v>
      </c>
      <c r="J5117">
        <v>6700</v>
      </c>
      <c r="K5117">
        <v>18090</v>
      </c>
      <c r="L5117">
        <v>2700</v>
      </c>
    </row>
    <row r="5118" spans="1:12" hidden="1" x14ac:dyDescent="0.25">
      <c r="A5118">
        <v>5117</v>
      </c>
      <c r="B5118" s="1" t="s">
        <v>12</v>
      </c>
      <c r="C5118">
        <v>2022</v>
      </c>
      <c r="D5118" s="1" t="s">
        <v>348</v>
      </c>
      <c r="E5118" s="1" t="s">
        <v>116</v>
      </c>
      <c r="F5118">
        <v>74</v>
      </c>
      <c r="G5118" s="1" t="s">
        <v>326</v>
      </c>
      <c r="H5118">
        <v>74042</v>
      </c>
      <c r="I5118">
        <v>6500</v>
      </c>
      <c r="J5118">
        <v>6300</v>
      </c>
      <c r="K5118">
        <v>17640</v>
      </c>
      <c r="L5118">
        <v>2800</v>
      </c>
    </row>
    <row r="5119" spans="1:12" hidden="1" x14ac:dyDescent="0.25">
      <c r="A5119">
        <v>5118</v>
      </c>
      <c r="B5119" s="1" t="s">
        <v>12</v>
      </c>
      <c r="C5119">
        <v>2022</v>
      </c>
      <c r="D5119" s="1" t="s">
        <v>348</v>
      </c>
      <c r="E5119" s="1" t="s">
        <v>116</v>
      </c>
      <c r="F5119">
        <v>74</v>
      </c>
      <c r="G5119" s="1" t="s">
        <v>327</v>
      </c>
      <c r="H5119">
        <v>74056</v>
      </c>
      <c r="I5119">
        <v>400</v>
      </c>
      <c r="J5119">
        <v>400</v>
      </c>
      <c r="K5119">
        <v>1120</v>
      </c>
      <c r="L5119">
        <v>2800</v>
      </c>
    </row>
    <row r="5120" spans="1:12" hidden="1" x14ac:dyDescent="0.25">
      <c r="A5120">
        <v>5119</v>
      </c>
      <c r="B5120" s="1" t="s">
        <v>12</v>
      </c>
      <c r="C5120">
        <v>2022</v>
      </c>
      <c r="D5120" s="1" t="s">
        <v>348</v>
      </c>
      <c r="E5120" s="1" t="s">
        <v>116</v>
      </c>
      <c r="F5120">
        <v>74</v>
      </c>
      <c r="G5120" s="1" t="s">
        <v>127</v>
      </c>
      <c r="H5120">
        <v>74049</v>
      </c>
      <c r="I5120">
        <v>400</v>
      </c>
      <c r="J5120">
        <v>400</v>
      </c>
      <c r="K5120">
        <v>1400</v>
      </c>
      <c r="L5120">
        <v>3500</v>
      </c>
    </row>
    <row r="5121" spans="1:12" hidden="1" x14ac:dyDescent="0.25">
      <c r="A5121">
        <v>5120</v>
      </c>
      <c r="B5121" s="1" t="s">
        <v>12</v>
      </c>
      <c r="C5121">
        <v>2022</v>
      </c>
      <c r="D5121" s="1" t="s">
        <v>348</v>
      </c>
      <c r="E5121" s="1" t="s">
        <v>64</v>
      </c>
      <c r="F5121">
        <v>82</v>
      </c>
      <c r="G5121" s="1" t="s">
        <v>272</v>
      </c>
      <c r="H5121">
        <v>82042</v>
      </c>
      <c r="I5121">
        <v>8000</v>
      </c>
      <c r="J5121">
        <v>8000</v>
      </c>
      <c r="K5121">
        <v>17600</v>
      </c>
      <c r="L5121">
        <v>2200</v>
      </c>
    </row>
    <row r="5122" spans="1:12" hidden="1" x14ac:dyDescent="0.25">
      <c r="A5122">
        <v>5121</v>
      </c>
      <c r="B5122" s="1" t="s">
        <v>12</v>
      </c>
      <c r="C5122">
        <v>2022</v>
      </c>
      <c r="D5122" s="1" t="s">
        <v>348</v>
      </c>
      <c r="E5122" s="1" t="s">
        <v>77</v>
      </c>
      <c r="F5122">
        <v>90</v>
      </c>
      <c r="G5122" s="1" t="s">
        <v>95</v>
      </c>
      <c r="H5122">
        <v>90035</v>
      </c>
      <c r="I5122">
        <v>300</v>
      </c>
      <c r="J5122">
        <v>270</v>
      </c>
      <c r="K5122">
        <v>189</v>
      </c>
      <c r="L5122">
        <v>700</v>
      </c>
    </row>
    <row r="5123" spans="1:12" hidden="1" x14ac:dyDescent="0.25">
      <c r="A5123">
        <v>5122</v>
      </c>
      <c r="B5123" s="1" t="s">
        <v>12</v>
      </c>
      <c r="C5123">
        <v>2022</v>
      </c>
      <c r="D5123" s="1" t="s">
        <v>348</v>
      </c>
      <c r="E5123" s="1" t="s">
        <v>77</v>
      </c>
      <c r="F5123">
        <v>90</v>
      </c>
      <c r="G5123" s="1" t="s">
        <v>343</v>
      </c>
      <c r="H5123">
        <v>90049</v>
      </c>
      <c r="I5123">
        <v>350</v>
      </c>
      <c r="J5123">
        <v>350</v>
      </c>
      <c r="K5123">
        <v>245</v>
      </c>
      <c r="L5123">
        <v>700</v>
      </c>
    </row>
    <row r="5124" spans="1:12" hidden="1" x14ac:dyDescent="0.25">
      <c r="A5124">
        <v>5123</v>
      </c>
      <c r="B5124" s="1" t="s">
        <v>12</v>
      </c>
      <c r="C5124">
        <v>2022</v>
      </c>
      <c r="D5124" s="1" t="s">
        <v>348</v>
      </c>
      <c r="E5124" s="1" t="s">
        <v>77</v>
      </c>
      <c r="F5124">
        <v>90</v>
      </c>
      <c r="G5124" s="1" t="s">
        <v>92</v>
      </c>
      <c r="H5124">
        <v>90056</v>
      </c>
      <c r="I5124">
        <v>160</v>
      </c>
      <c r="J5124">
        <v>150</v>
      </c>
      <c r="K5124">
        <v>120</v>
      </c>
      <c r="L5124">
        <v>800</v>
      </c>
    </row>
    <row r="5125" spans="1:12" hidden="1" x14ac:dyDescent="0.25">
      <c r="A5125">
        <v>5124</v>
      </c>
      <c r="B5125" s="1" t="s">
        <v>12</v>
      </c>
      <c r="C5125">
        <v>2023</v>
      </c>
      <c r="D5125" s="1" t="s">
        <v>349</v>
      </c>
      <c r="E5125" s="1" t="s">
        <v>158</v>
      </c>
      <c r="F5125">
        <v>6</v>
      </c>
      <c r="G5125" s="1" t="s">
        <v>234</v>
      </c>
      <c r="H5125">
        <v>6854</v>
      </c>
      <c r="I5125">
        <v>351</v>
      </c>
      <c r="J5125">
        <v>351</v>
      </c>
      <c r="K5125">
        <v>878</v>
      </c>
      <c r="L5125">
        <v>2500</v>
      </c>
    </row>
    <row r="5126" spans="1:12" hidden="1" x14ac:dyDescent="0.25">
      <c r="A5126">
        <v>5125</v>
      </c>
      <c r="B5126" s="1" t="s">
        <v>12</v>
      </c>
      <c r="C5126">
        <v>2023</v>
      </c>
      <c r="D5126" s="1" t="s">
        <v>349</v>
      </c>
      <c r="E5126" s="1" t="s">
        <v>158</v>
      </c>
      <c r="F5126">
        <v>6</v>
      </c>
      <c r="G5126" s="1" t="s">
        <v>334</v>
      </c>
      <c r="H5126">
        <v>6007</v>
      </c>
      <c r="I5126">
        <v>1500</v>
      </c>
      <c r="J5126">
        <v>1500</v>
      </c>
      <c r="K5126">
        <v>4500</v>
      </c>
      <c r="L5126">
        <v>3000</v>
      </c>
    </row>
    <row r="5127" spans="1:12" hidden="1" x14ac:dyDescent="0.25">
      <c r="A5127">
        <v>5126</v>
      </c>
      <c r="B5127" s="1" t="s">
        <v>12</v>
      </c>
      <c r="C5127">
        <v>2023</v>
      </c>
      <c r="D5127" s="1" t="s">
        <v>349</v>
      </c>
      <c r="E5127" s="1" t="s">
        <v>158</v>
      </c>
      <c r="F5127">
        <v>6</v>
      </c>
      <c r="G5127" s="1" t="s">
        <v>345</v>
      </c>
      <c r="H5127">
        <v>6105</v>
      </c>
      <c r="I5127">
        <v>225</v>
      </c>
      <c r="J5127">
        <v>225</v>
      </c>
      <c r="K5127">
        <v>765</v>
      </c>
      <c r="L5127">
        <v>3400</v>
      </c>
    </row>
    <row r="5128" spans="1:12" hidden="1" x14ac:dyDescent="0.25">
      <c r="A5128">
        <v>5127</v>
      </c>
      <c r="B5128" s="1" t="s">
        <v>12</v>
      </c>
      <c r="C5128">
        <v>2023</v>
      </c>
      <c r="D5128" s="1" t="s">
        <v>349</v>
      </c>
      <c r="E5128" s="1" t="s">
        <v>158</v>
      </c>
      <c r="F5128">
        <v>6</v>
      </c>
      <c r="G5128" s="1" t="s">
        <v>162</v>
      </c>
      <c r="H5128">
        <v>6112</v>
      </c>
      <c r="I5128">
        <v>1400</v>
      </c>
      <c r="J5128">
        <v>1400</v>
      </c>
      <c r="K5128">
        <v>4200</v>
      </c>
      <c r="L5128">
        <v>3000</v>
      </c>
    </row>
    <row r="5129" spans="1:12" hidden="1" x14ac:dyDescent="0.25">
      <c r="A5129">
        <v>5128</v>
      </c>
      <c r="B5129" s="1" t="s">
        <v>12</v>
      </c>
      <c r="C5129">
        <v>2023</v>
      </c>
      <c r="D5129" s="1" t="s">
        <v>349</v>
      </c>
      <c r="E5129" s="1" t="s">
        <v>158</v>
      </c>
      <c r="F5129">
        <v>6</v>
      </c>
      <c r="G5129" s="1" t="s">
        <v>336</v>
      </c>
      <c r="H5129">
        <v>6154</v>
      </c>
      <c r="I5129">
        <v>3116</v>
      </c>
      <c r="J5129">
        <v>3116</v>
      </c>
      <c r="K5129">
        <v>10906</v>
      </c>
      <c r="L5129">
        <v>3500</v>
      </c>
    </row>
    <row r="5130" spans="1:12" hidden="1" x14ac:dyDescent="0.25">
      <c r="A5130">
        <v>5129</v>
      </c>
      <c r="B5130" s="1" t="s">
        <v>12</v>
      </c>
      <c r="C5130">
        <v>2023</v>
      </c>
      <c r="D5130" s="1" t="s">
        <v>349</v>
      </c>
      <c r="E5130" s="1" t="s">
        <v>158</v>
      </c>
      <c r="F5130">
        <v>6</v>
      </c>
      <c r="G5130" s="1" t="s">
        <v>346</v>
      </c>
      <c r="H5130">
        <v>6231</v>
      </c>
      <c r="I5130">
        <v>900</v>
      </c>
      <c r="J5130">
        <v>900</v>
      </c>
      <c r="K5130">
        <v>3150</v>
      </c>
      <c r="L5130">
        <v>3500</v>
      </c>
    </row>
    <row r="5131" spans="1:12" hidden="1" x14ac:dyDescent="0.25">
      <c r="A5131">
        <v>5130</v>
      </c>
      <c r="B5131" s="1" t="s">
        <v>12</v>
      </c>
      <c r="C5131">
        <v>2023</v>
      </c>
      <c r="D5131" s="1" t="s">
        <v>349</v>
      </c>
      <c r="E5131" s="1" t="s">
        <v>158</v>
      </c>
      <c r="F5131">
        <v>6</v>
      </c>
      <c r="G5131" s="1" t="s">
        <v>337</v>
      </c>
      <c r="H5131">
        <v>6277</v>
      </c>
      <c r="I5131">
        <v>1200</v>
      </c>
      <c r="J5131">
        <v>1200</v>
      </c>
      <c r="K5131">
        <v>4200</v>
      </c>
      <c r="L5131">
        <v>3500</v>
      </c>
    </row>
    <row r="5132" spans="1:12" hidden="1" x14ac:dyDescent="0.25">
      <c r="A5132">
        <v>5131</v>
      </c>
      <c r="B5132" s="1" t="s">
        <v>12</v>
      </c>
      <c r="C5132">
        <v>2023</v>
      </c>
      <c r="D5132" s="1" t="s">
        <v>349</v>
      </c>
      <c r="E5132" s="1" t="s">
        <v>158</v>
      </c>
      <c r="F5132">
        <v>6</v>
      </c>
      <c r="G5132" s="1" t="s">
        <v>341</v>
      </c>
      <c r="H5132">
        <v>6294</v>
      </c>
      <c r="I5132">
        <v>800</v>
      </c>
      <c r="J5132">
        <v>800</v>
      </c>
      <c r="K5132">
        <v>2400</v>
      </c>
      <c r="L5132">
        <v>3000</v>
      </c>
    </row>
    <row r="5133" spans="1:12" hidden="1" x14ac:dyDescent="0.25">
      <c r="A5133">
        <v>5132</v>
      </c>
      <c r="B5133" s="1" t="s">
        <v>12</v>
      </c>
      <c r="C5133">
        <v>2023</v>
      </c>
      <c r="D5133" s="1" t="s">
        <v>349</v>
      </c>
      <c r="E5133" s="1" t="s">
        <v>158</v>
      </c>
      <c r="F5133">
        <v>6</v>
      </c>
      <c r="G5133" s="1" t="s">
        <v>160</v>
      </c>
      <c r="H5133">
        <v>6351</v>
      </c>
      <c r="I5133">
        <v>4800</v>
      </c>
      <c r="J5133">
        <v>4800</v>
      </c>
      <c r="K5133">
        <v>17760</v>
      </c>
      <c r="L5133">
        <v>3700</v>
      </c>
    </row>
    <row r="5134" spans="1:12" hidden="1" x14ac:dyDescent="0.25">
      <c r="A5134">
        <v>5133</v>
      </c>
      <c r="B5134" s="1" t="s">
        <v>12</v>
      </c>
      <c r="C5134">
        <v>2023</v>
      </c>
      <c r="D5134" s="1" t="s">
        <v>349</v>
      </c>
      <c r="E5134" s="1" t="s">
        <v>158</v>
      </c>
      <c r="F5134">
        <v>6</v>
      </c>
      <c r="G5134" s="1" t="s">
        <v>350</v>
      </c>
      <c r="H5134">
        <v>6385</v>
      </c>
      <c r="I5134">
        <v>800</v>
      </c>
      <c r="J5134">
        <v>800</v>
      </c>
      <c r="K5134">
        <v>3200</v>
      </c>
      <c r="L5134">
        <v>4000</v>
      </c>
    </row>
    <row r="5135" spans="1:12" hidden="1" x14ac:dyDescent="0.25">
      <c r="A5135">
        <v>5134</v>
      </c>
      <c r="B5135" s="1" t="s">
        <v>12</v>
      </c>
      <c r="C5135">
        <v>2023</v>
      </c>
      <c r="D5135" s="1" t="s">
        <v>349</v>
      </c>
      <c r="E5135" s="1" t="s">
        <v>158</v>
      </c>
      <c r="F5135">
        <v>6</v>
      </c>
      <c r="G5135" s="1" t="s">
        <v>257</v>
      </c>
      <c r="H5135">
        <v>6392</v>
      </c>
      <c r="I5135">
        <v>12000</v>
      </c>
      <c r="J5135">
        <v>12000</v>
      </c>
      <c r="K5135">
        <v>43200</v>
      </c>
      <c r="L5135">
        <v>3600</v>
      </c>
    </row>
    <row r="5136" spans="1:12" hidden="1" x14ac:dyDescent="0.25">
      <c r="A5136">
        <v>5135</v>
      </c>
      <c r="B5136" s="1" t="s">
        <v>12</v>
      </c>
      <c r="C5136">
        <v>2023</v>
      </c>
      <c r="D5136" s="1" t="s">
        <v>349</v>
      </c>
      <c r="E5136" s="1" t="s">
        <v>158</v>
      </c>
      <c r="F5136">
        <v>6</v>
      </c>
      <c r="G5136" s="1" t="s">
        <v>342</v>
      </c>
      <c r="H5136">
        <v>6399</v>
      </c>
      <c r="I5136">
        <v>500</v>
      </c>
      <c r="J5136">
        <v>500</v>
      </c>
      <c r="K5136">
        <v>1500</v>
      </c>
      <c r="L5136">
        <v>3000</v>
      </c>
    </row>
    <row r="5137" spans="1:12" hidden="1" x14ac:dyDescent="0.25">
      <c r="A5137">
        <v>5136</v>
      </c>
      <c r="B5137" s="1" t="s">
        <v>12</v>
      </c>
      <c r="C5137">
        <v>2023</v>
      </c>
      <c r="D5137" s="1" t="s">
        <v>349</v>
      </c>
      <c r="E5137" s="1" t="s">
        <v>158</v>
      </c>
      <c r="F5137">
        <v>6</v>
      </c>
      <c r="G5137" s="1" t="s">
        <v>347</v>
      </c>
      <c r="H5137">
        <v>6406</v>
      </c>
      <c r="I5137">
        <v>1650</v>
      </c>
      <c r="J5137">
        <v>1650</v>
      </c>
      <c r="K5137">
        <v>5775</v>
      </c>
      <c r="L5137">
        <v>3500</v>
      </c>
    </row>
    <row r="5138" spans="1:12" hidden="1" x14ac:dyDescent="0.25">
      <c r="A5138">
        <v>5137</v>
      </c>
      <c r="B5138" s="1" t="s">
        <v>12</v>
      </c>
      <c r="C5138">
        <v>2023</v>
      </c>
      <c r="D5138" s="1" t="s">
        <v>349</v>
      </c>
      <c r="E5138" s="1" t="s">
        <v>158</v>
      </c>
      <c r="F5138">
        <v>6</v>
      </c>
      <c r="G5138" s="1" t="s">
        <v>127</v>
      </c>
      <c r="H5138">
        <v>6413</v>
      </c>
      <c r="I5138">
        <v>2200</v>
      </c>
      <c r="J5138">
        <v>2200</v>
      </c>
      <c r="K5138">
        <v>6600</v>
      </c>
      <c r="L5138">
        <v>3000</v>
      </c>
    </row>
    <row r="5139" spans="1:12" hidden="1" x14ac:dyDescent="0.25">
      <c r="A5139">
        <v>5138</v>
      </c>
      <c r="B5139" s="1" t="s">
        <v>12</v>
      </c>
      <c r="C5139">
        <v>2023</v>
      </c>
      <c r="D5139" s="1" t="s">
        <v>349</v>
      </c>
      <c r="E5139" s="1" t="s">
        <v>158</v>
      </c>
      <c r="F5139">
        <v>6</v>
      </c>
      <c r="G5139" s="1" t="s">
        <v>243</v>
      </c>
      <c r="H5139">
        <v>6462</v>
      </c>
      <c r="I5139">
        <v>2000</v>
      </c>
      <c r="J5139">
        <v>2000</v>
      </c>
      <c r="K5139">
        <v>7100</v>
      </c>
      <c r="L5139">
        <v>3550</v>
      </c>
    </row>
    <row r="5140" spans="1:12" hidden="1" x14ac:dyDescent="0.25">
      <c r="A5140">
        <v>5139</v>
      </c>
      <c r="B5140" s="1" t="s">
        <v>12</v>
      </c>
      <c r="C5140">
        <v>2023</v>
      </c>
      <c r="D5140" s="1" t="s">
        <v>349</v>
      </c>
      <c r="E5140" s="1" t="s">
        <v>158</v>
      </c>
      <c r="F5140">
        <v>6</v>
      </c>
      <c r="G5140" s="1" t="s">
        <v>164</v>
      </c>
      <c r="H5140">
        <v>6469</v>
      </c>
      <c r="I5140">
        <v>4000</v>
      </c>
      <c r="J5140">
        <v>4000</v>
      </c>
      <c r="K5140">
        <v>13800</v>
      </c>
      <c r="L5140">
        <v>3450</v>
      </c>
    </row>
    <row r="5141" spans="1:12" hidden="1" x14ac:dyDescent="0.25">
      <c r="A5141">
        <v>5140</v>
      </c>
      <c r="B5141" s="1" t="s">
        <v>12</v>
      </c>
      <c r="C5141">
        <v>2023</v>
      </c>
      <c r="D5141" s="1" t="s">
        <v>349</v>
      </c>
      <c r="E5141" s="1" t="s">
        <v>158</v>
      </c>
      <c r="F5141">
        <v>6</v>
      </c>
      <c r="G5141" s="1" t="s">
        <v>165</v>
      </c>
      <c r="H5141">
        <v>6609</v>
      </c>
      <c r="I5141">
        <v>1096</v>
      </c>
      <c r="J5141">
        <v>1096</v>
      </c>
      <c r="K5141">
        <v>3617</v>
      </c>
      <c r="L5141">
        <v>3300</v>
      </c>
    </row>
    <row r="5142" spans="1:12" hidden="1" x14ac:dyDescent="0.25">
      <c r="A5142">
        <v>5141</v>
      </c>
      <c r="B5142" s="1" t="s">
        <v>12</v>
      </c>
      <c r="C5142">
        <v>2023</v>
      </c>
      <c r="D5142" s="1" t="s">
        <v>349</v>
      </c>
      <c r="E5142" s="1" t="s">
        <v>158</v>
      </c>
      <c r="F5142">
        <v>6</v>
      </c>
      <c r="G5142" s="1" t="s">
        <v>135</v>
      </c>
      <c r="H5142">
        <v>6616</v>
      </c>
      <c r="I5142">
        <v>2000</v>
      </c>
      <c r="J5142">
        <v>2000</v>
      </c>
      <c r="K5142">
        <v>6000</v>
      </c>
      <c r="L5142">
        <v>3000</v>
      </c>
    </row>
    <row r="5143" spans="1:12" hidden="1" x14ac:dyDescent="0.25">
      <c r="A5143">
        <v>5142</v>
      </c>
      <c r="B5143" s="1" t="s">
        <v>12</v>
      </c>
      <c r="C5143">
        <v>2023</v>
      </c>
      <c r="D5143" s="1" t="s">
        <v>349</v>
      </c>
      <c r="E5143" s="1" t="s">
        <v>158</v>
      </c>
      <c r="F5143">
        <v>6</v>
      </c>
      <c r="G5143" s="1" t="s">
        <v>161</v>
      </c>
      <c r="H5143">
        <v>6679</v>
      </c>
      <c r="I5143">
        <v>8156</v>
      </c>
      <c r="J5143">
        <v>8156</v>
      </c>
      <c r="K5143">
        <v>28546</v>
      </c>
      <c r="L5143">
        <v>3500</v>
      </c>
    </row>
    <row r="5144" spans="1:12" hidden="1" x14ac:dyDescent="0.25">
      <c r="A5144">
        <v>5143</v>
      </c>
      <c r="B5144" s="1" t="s">
        <v>12</v>
      </c>
      <c r="C5144">
        <v>2023</v>
      </c>
      <c r="D5144" s="1" t="s">
        <v>349</v>
      </c>
      <c r="E5144" s="1" t="s">
        <v>158</v>
      </c>
      <c r="F5144">
        <v>6</v>
      </c>
      <c r="G5144" s="1" t="s">
        <v>351</v>
      </c>
      <c r="H5144">
        <v>6707</v>
      </c>
      <c r="I5144">
        <v>99</v>
      </c>
      <c r="J5144">
        <v>99</v>
      </c>
      <c r="K5144">
        <v>248</v>
      </c>
      <c r="L5144">
        <v>2500</v>
      </c>
    </row>
    <row r="5145" spans="1:12" hidden="1" x14ac:dyDescent="0.25">
      <c r="A5145">
        <v>5144</v>
      </c>
      <c r="B5145" s="1" t="s">
        <v>12</v>
      </c>
      <c r="C5145">
        <v>2023</v>
      </c>
      <c r="D5145" s="1" t="s">
        <v>349</v>
      </c>
      <c r="E5145" s="1" t="s">
        <v>158</v>
      </c>
      <c r="F5145">
        <v>6</v>
      </c>
      <c r="G5145" s="1" t="s">
        <v>338</v>
      </c>
      <c r="H5145">
        <v>6721</v>
      </c>
      <c r="I5145">
        <v>1000</v>
      </c>
      <c r="J5145">
        <v>1000</v>
      </c>
      <c r="K5145">
        <v>3000</v>
      </c>
      <c r="L5145">
        <v>3000</v>
      </c>
    </row>
    <row r="5146" spans="1:12" hidden="1" x14ac:dyDescent="0.25">
      <c r="A5146">
        <v>5145</v>
      </c>
      <c r="B5146" s="1" t="s">
        <v>12</v>
      </c>
      <c r="C5146">
        <v>2023</v>
      </c>
      <c r="D5146" s="1" t="s">
        <v>349</v>
      </c>
      <c r="E5146" s="1" t="s">
        <v>158</v>
      </c>
      <c r="F5146">
        <v>6</v>
      </c>
      <c r="G5146" s="1" t="s">
        <v>167</v>
      </c>
      <c r="H5146">
        <v>6826</v>
      </c>
      <c r="I5146">
        <v>1168</v>
      </c>
      <c r="J5146">
        <v>1168</v>
      </c>
      <c r="K5146">
        <v>3854</v>
      </c>
      <c r="L5146">
        <v>3300</v>
      </c>
    </row>
    <row r="5147" spans="1:12" hidden="1" x14ac:dyDescent="0.25">
      <c r="A5147">
        <v>5146</v>
      </c>
      <c r="B5147" s="1" t="s">
        <v>12</v>
      </c>
      <c r="C5147">
        <v>2023</v>
      </c>
      <c r="D5147" s="1" t="s">
        <v>349</v>
      </c>
      <c r="E5147" s="1" t="s">
        <v>80</v>
      </c>
      <c r="F5147">
        <v>10</v>
      </c>
      <c r="G5147" s="1" t="s">
        <v>83</v>
      </c>
      <c r="H5147">
        <v>10098</v>
      </c>
      <c r="I5147">
        <v>800</v>
      </c>
      <c r="J5147">
        <v>800</v>
      </c>
      <c r="K5147">
        <v>1280</v>
      </c>
      <c r="L5147">
        <v>1600</v>
      </c>
    </row>
    <row r="5148" spans="1:12" hidden="1" x14ac:dyDescent="0.25">
      <c r="A5148">
        <v>5147</v>
      </c>
      <c r="B5148" s="1" t="s">
        <v>12</v>
      </c>
      <c r="C5148">
        <v>2023</v>
      </c>
      <c r="D5148" s="1" t="s">
        <v>349</v>
      </c>
      <c r="E5148" s="1" t="s">
        <v>22</v>
      </c>
      <c r="F5148">
        <v>14</v>
      </c>
      <c r="G5148" s="1" t="s">
        <v>97</v>
      </c>
      <c r="H5148">
        <v>14007</v>
      </c>
      <c r="I5148">
        <v>2500</v>
      </c>
      <c r="J5148">
        <v>2500</v>
      </c>
      <c r="K5148">
        <v>9500</v>
      </c>
      <c r="L5148">
        <v>3800</v>
      </c>
    </row>
    <row r="5149" spans="1:12" hidden="1" x14ac:dyDescent="0.25">
      <c r="A5149">
        <v>5148</v>
      </c>
      <c r="B5149" s="1" t="s">
        <v>12</v>
      </c>
      <c r="C5149">
        <v>2023</v>
      </c>
      <c r="D5149" s="1" t="s">
        <v>349</v>
      </c>
      <c r="E5149" s="1" t="s">
        <v>22</v>
      </c>
      <c r="F5149">
        <v>14</v>
      </c>
      <c r="G5149" s="1" t="s">
        <v>28</v>
      </c>
      <c r="H5149">
        <v>14014</v>
      </c>
      <c r="I5149">
        <v>400</v>
      </c>
      <c r="J5149">
        <v>400</v>
      </c>
      <c r="K5149">
        <v>1320</v>
      </c>
      <c r="L5149">
        <v>3300</v>
      </c>
    </row>
    <row r="5150" spans="1:12" hidden="1" x14ac:dyDescent="0.25">
      <c r="A5150">
        <v>5149</v>
      </c>
      <c r="B5150" s="1" t="s">
        <v>12</v>
      </c>
      <c r="C5150">
        <v>2023</v>
      </c>
      <c r="D5150" s="1" t="s">
        <v>349</v>
      </c>
      <c r="E5150" s="1" t="s">
        <v>22</v>
      </c>
      <c r="F5150">
        <v>14</v>
      </c>
      <c r="G5150" s="1" t="s">
        <v>27</v>
      </c>
      <c r="H5150">
        <v>14021</v>
      </c>
      <c r="I5150">
        <v>1200</v>
      </c>
      <c r="J5150">
        <v>1200</v>
      </c>
      <c r="K5150">
        <v>4920</v>
      </c>
      <c r="L5150">
        <v>4100</v>
      </c>
    </row>
    <row r="5151" spans="1:12" hidden="1" x14ac:dyDescent="0.25">
      <c r="A5151">
        <v>5150</v>
      </c>
      <c r="B5151" s="1" t="s">
        <v>12</v>
      </c>
      <c r="C5151">
        <v>2023</v>
      </c>
      <c r="D5151" s="1" t="s">
        <v>349</v>
      </c>
      <c r="E5151" s="1" t="s">
        <v>22</v>
      </c>
      <c r="F5151">
        <v>14</v>
      </c>
      <c r="G5151" s="1" t="s">
        <v>173</v>
      </c>
      <c r="H5151">
        <v>14028</v>
      </c>
      <c r="I5151">
        <v>700</v>
      </c>
      <c r="J5151">
        <v>700</v>
      </c>
      <c r="K5151">
        <v>2100</v>
      </c>
      <c r="L5151">
        <v>3000</v>
      </c>
    </row>
    <row r="5152" spans="1:12" hidden="1" x14ac:dyDescent="0.25">
      <c r="A5152">
        <v>5151</v>
      </c>
      <c r="B5152" s="1" t="s">
        <v>12</v>
      </c>
      <c r="C5152">
        <v>2023</v>
      </c>
      <c r="D5152" s="1" t="s">
        <v>349</v>
      </c>
      <c r="E5152" s="1" t="s">
        <v>22</v>
      </c>
      <c r="F5152">
        <v>14</v>
      </c>
      <c r="G5152" s="1" t="s">
        <v>129</v>
      </c>
      <c r="H5152">
        <v>14035</v>
      </c>
      <c r="I5152">
        <v>74474</v>
      </c>
      <c r="J5152">
        <v>74474</v>
      </c>
      <c r="K5152">
        <v>223422</v>
      </c>
      <c r="L5152">
        <v>3000</v>
      </c>
    </row>
    <row r="5153" spans="1:12" hidden="1" x14ac:dyDescent="0.25">
      <c r="A5153">
        <v>5152</v>
      </c>
      <c r="B5153" s="1" t="s">
        <v>12</v>
      </c>
      <c r="C5153">
        <v>2023</v>
      </c>
      <c r="D5153" s="1" t="s">
        <v>349</v>
      </c>
      <c r="E5153" s="1" t="s">
        <v>22</v>
      </c>
      <c r="F5153">
        <v>14</v>
      </c>
      <c r="G5153" s="1" t="s">
        <v>184</v>
      </c>
      <c r="H5153">
        <v>14042</v>
      </c>
      <c r="I5153">
        <v>19000</v>
      </c>
      <c r="J5153">
        <v>19000</v>
      </c>
      <c r="K5153">
        <v>66500</v>
      </c>
      <c r="L5153">
        <v>3500</v>
      </c>
    </row>
    <row r="5154" spans="1:12" hidden="1" x14ac:dyDescent="0.25">
      <c r="A5154">
        <v>5153</v>
      </c>
      <c r="B5154" s="1" t="s">
        <v>12</v>
      </c>
      <c r="C5154">
        <v>2023</v>
      </c>
      <c r="D5154" s="1" t="s">
        <v>349</v>
      </c>
      <c r="E5154" s="1" t="s">
        <v>22</v>
      </c>
      <c r="F5154">
        <v>14</v>
      </c>
      <c r="G5154" s="1" t="s">
        <v>143</v>
      </c>
      <c r="H5154">
        <v>14056</v>
      </c>
      <c r="I5154">
        <v>44000</v>
      </c>
      <c r="J5154">
        <v>44000</v>
      </c>
      <c r="K5154">
        <v>176000</v>
      </c>
      <c r="L5154">
        <v>4000</v>
      </c>
    </row>
    <row r="5155" spans="1:12" hidden="1" x14ac:dyDescent="0.25">
      <c r="A5155">
        <v>5154</v>
      </c>
      <c r="B5155" s="1" t="s">
        <v>12</v>
      </c>
      <c r="C5155">
        <v>2023</v>
      </c>
      <c r="D5155" s="1" t="s">
        <v>349</v>
      </c>
      <c r="E5155" s="1" t="s">
        <v>22</v>
      </c>
      <c r="F5155">
        <v>14</v>
      </c>
      <c r="G5155" s="1" t="s">
        <v>247</v>
      </c>
      <c r="H5155">
        <v>14063</v>
      </c>
      <c r="I5155">
        <v>10500</v>
      </c>
      <c r="J5155">
        <v>10500</v>
      </c>
      <c r="K5155">
        <v>39900</v>
      </c>
      <c r="L5155">
        <v>3800</v>
      </c>
    </row>
    <row r="5156" spans="1:12" hidden="1" x14ac:dyDescent="0.25">
      <c r="A5156">
        <v>5155</v>
      </c>
      <c r="B5156" s="1" t="s">
        <v>12</v>
      </c>
      <c r="C5156">
        <v>2023</v>
      </c>
      <c r="D5156" s="1" t="s">
        <v>349</v>
      </c>
      <c r="E5156" s="1" t="s">
        <v>22</v>
      </c>
      <c r="F5156">
        <v>14</v>
      </c>
      <c r="G5156" s="1" t="s">
        <v>206</v>
      </c>
      <c r="H5156">
        <v>14084</v>
      </c>
      <c r="I5156">
        <v>21020</v>
      </c>
      <c r="J5156">
        <v>21020</v>
      </c>
      <c r="K5156">
        <v>69366</v>
      </c>
      <c r="L5156">
        <v>3300</v>
      </c>
    </row>
    <row r="5157" spans="1:12" hidden="1" x14ac:dyDescent="0.25">
      <c r="A5157">
        <v>5156</v>
      </c>
      <c r="B5157" s="1" t="s">
        <v>12</v>
      </c>
      <c r="C5157">
        <v>2023</v>
      </c>
      <c r="D5157" s="1" t="s">
        <v>349</v>
      </c>
      <c r="E5157" s="1" t="s">
        <v>22</v>
      </c>
      <c r="F5157">
        <v>14</v>
      </c>
      <c r="G5157" s="1" t="s">
        <v>29</v>
      </c>
      <c r="H5157">
        <v>14098</v>
      </c>
      <c r="I5157">
        <v>81000</v>
      </c>
      <c r="J5157">
        <v>81000</v>
      </c>
      <c r="K5157">
        <v>283500</v>
      </c>
      <c r="L5157">
        <v>3500</v>
      </c>
    </row>
    <row r="5158" spans="1:12" hidden="1" x14ac:dyDescent="0.25">
      <c r="A5158">
        <v>5157</v>
      </c>
      <c r="B5158" s="1" t="s">
        <v>12</v>
      </c>
      <c r="C5158">
        <v>2023</v>
      </c>
      <c r="D5158" s="1" t="s">
        <v>349</v>
      </c>
      <c r="E5158" s="1" t="s">
        <v>22</v>
      </c>
      <c r="F5158">
        <v>14</v>
      </c>
      <c r="G5158" s="1" t="s">
        <v>25</v>
      </c>
      <c r="H5158">
        <v>14105</v>
      </c>
      <c r="I5158">
        <v>6200</v>
      </c>
      <c r="J5158">
        <v>6200</v>
      </c>
      <c r="K5158">
        <v>26040</v>
      </c>
      <c r="L5158">
        <v>4200</v>
      </c>
    </row>
    <row r="5159" spans="1:12" hidden="1" x14ac:dyDescent="0.25">
      <c r="A5159">
        <v>5158</v>
      </c>
      <c r="B5159" s="1" t="s">
        <v>12</v>
      </c>
      <c r="C5159">
        <v>2023</v>
      </c>
      <c r="D5159" s="1" t="s">
        <v>349</v>
      </c>
      <c r="E5159" s="1" t="s">
        <v>22</v>
      </c>
      <c r="F5159">
        <v>14</v>
      </c>
      <c r="G5159" s="1" t="s">
        <v>171</v>
      </c>
      <c r="H5159">
        <v>14112</v>
      </c>
      <c r="I5159">
        <v>950</v>
      </c>
      <c r="J5159">
        <v>950</v>
      </c>
      <c r="K5159">
        <v>2850</v>
      </c>
      <c r="L5159">
        <v>3000</v>
      </c>
    </row>
    <row r="5160" spans="1:12" hidden="1" x14ac:dyDescent="0.25">
      <c r="A5160">
        <v>5159</v>
      </c>
      <c r="B5160" s="1" t="s">
        <v>12</v>
      </c>
      <c r="C5160">
        <v>2023</v>
      </c>
      <c r="D5160" s="1" t="s">
        <v>349</v>
      </c>
      <c r="E5160" s="1" t="s">
        <v>22</v>
      </c>
      <c r="F5160">
        <v>14</v>
      </c>
      <c r="G5160" s="1" t="s">
        <v>24</v>
      </c>
      <c r="H5160">
        <v>14119</v>
      </c>
      <c r="I5160">
        <v>8000</v>
      </c>
      <c r="J5160">
        <v>8000</v>
      </c>
      <c r="K5160">
        <v>28000</v>
      </c>
      <c r="L5160">
        <v>3500</v>
      </c>
    </row>
    <row r="5161" spans="1:12" hidden="1" x14ac:dyDescent="0.25">
      <c r="A5161">
        <v>5160</v>
      </c>
      <c r="B5161" s="1" t="s">
        <v>12</v>
      </c>
      <c r="C5161">
        <v>2023</v>
      </c>
      <c r="D5161" s="1" t="s">
        <v>349</v>
      </c>
      <c r="E5161" s="1" t="s">
        <v>22</v>
      </c>
      <c r="F5161">
        <v>14</v>
      </c>
      <c r="G5161" s="1" t="s">
        <v>62</v>
      </c>
      <c r="H5161">
        <v>14133</v>
      </c>
      <c r="I5161">
        <v>2500</v>
      </c>
      <c r="J5161">
        <v>2500</v>
      </c>
      <c r="K5161">
        <v>8750</v>
      </c>
      <c r="L5161">
        <v>3500</v>
      </c>
    </row>
    <row r="5162" spans="1:12" hidden="1" x14ac:dyDescent="0.25">
      <c r="A5162">
        <v>5161</v>
      </c>
      <c r="B5162" s="1" t="s">
        <v>12</v>
      </c>
      <c r="C5162">
        <v>2023</v>
      </c>
      <c r="D5162" s="1" t="s">
        <v>349</v>
      </c>
      <c r="E5162" s="1" t="s">
        <v>22</v>
      </c>
      <c r="F5162">
        <v>14</v>
      </c>
      <c r="G5162" s="1" t="s">
        <v>67</v>
      </c>
      <c r="H5162">
        <v>14140</v>
      </c>
      <c r="I5162">
        <v>1300</v>
      </c>
      <c r="J5162">
        <v>1300</v>
      </c>
      <c r="K5162">
        <v>5850</v>
      </c>
      <c r="L5162">
        <v>4500</v>
      </c>
    </row>
    <row r="5163" spans="1:12" hidden="1" x14ac:dyDescent="0.25">
      <c r="A5163">
        <v>5162</v>
      </c>
      <c r="B5163" s="1" t="s">
        <v>12</v>
      </c>
      <c r="C5163">
        <v>2023</v>
      </c>
      <c r="D5163" s="1" t="s">
        <v>349</v>
      </c>
      <c r="E5163" s="1" t="s">
        <v>22</v>
      </c>
      <c r="F5163">
        <v>14</v>
      </c>
      <c r="G5163" s="1" t="s">
        <v>23</v>
      </c>
      <c r="H5163">
        <v>14147</v>
      </c>
      <c r="I5163">
        <v>6000</v>
      </c>
      <c r="J5163">
        <v>6000</v>
      </c>
      <c r="K5163">
        <v>19200</v>
      </c>
      <c r="L5163">
        <v>3200</v>
      </c>
    </row>
    <row r="5164" spans="1:12" hidden="1" x14ac:dyDescent="0.25">
      <c r="A5164">
        <v>5163</v>
      </c>
      <c r="B5164" s="1" t="s">
        <v>12</v>
      </c>
      <c r="C5164">
        <v>2023</v>
      </c>
      <c r="D5164" s="1" t="s">
        <v>349</v>
      </c>
      <c r="E5164" s="1" t="s">
        <v>22</v>
      </c>
      <c r="F5164">
        <v>14</v>
      </c>
      <c r="G5164" s="1" t="s">
        <v>26</v>
      </c>
      <c r="H5164">
        <v>14161</v>
      </c>
      <c r="I5164">
        <v>22000</v>
      </c>
      <c r="J5164">
        <v>22000</v>
      </c>
      <c r="K5164">
        <v>77000</v>
      </c>
      <c r="L5164">
        <v>3500</v>
      </c>
    </row>
    <row r="5165" spans="1:12" hidden="1" x14ac:dyDescent="0.25">
      <c r="A5165">
        <v>5164</v>
      </c>
      <c r="B5165" s="1" t="s">
        <v>12</v>
      </c>
      <c r="C5165">
        <v>2023</v>
      </c>
      <c r="D5165" s="1" t="s">
        <v>349</v>
      </c>
      <c r="E5165" s="1" t="s">
        <v>22</v>
      </c>
      <c r="F5165">
        <v>14</v>
      </c>
      <c r="G5165" s="1" t="s">
        <v>114</v>
      </c>
      <c r="H5165">
        <v>14168</v>
      </c>
      <c r="I5165">
        <v>3600</v>
      </c>
      <c r="J5165">
        <v>3600</v>
      </c>
      <c r="K5165">
        <v>13680</v>
      </c>
      <c r="L5165">
        <v>3800</v>
      </c>
    </row>
    <row r="5166" spans="1:12" hidden="1" x14ac:dyDescent="0.25">
      <c r="A5166">
        <v>5165</v>
      </c>
      <c r="B5166" s="1" t="s">
        <v>12</v>
      </c>
      <c r="C5166">
        <v>2023</v>
      </c>
      <c r="D5166" s="1" t="s">
        <v>349</v>
      </c>
      <c r="E5166" s="1" t="s">
        <v>22</v>
      </c>
      <c r="F5166">
        <v>14</v>
      </c>
      <c r="G5166" s="1" t="s">
        <v>186</v>
      </c>
      <c r="H5166">
        <v>14175</v>
      </c>
      <c r="I5166">
        <v>600</v>
      </c>
      <c r="J5166">
        <v>600</v>
      </c>
      <c r="K5166">
        <v>1920</v>
      </c>
      <c r="L5166">
        <v>3200</v>
      </c>
    </row>
    <row r="5167" spans="1:12" hidden="1" x14ac:dyDescent="0.25">
      <c r="A5167">
        <v>5166</v>
      </c>
      <c r="B5167" s="1" t="s">
        <v>12</v>
      </c>
      <c r="C5167">
        <v>2023</v>
      </c>
      <c r="D5167" s="1" t="s">
        <v>349</v>
      </c>
      <c r="E5167" s="1" t="s">
        <v>22</v>
      </c>
      <c r="F5167">
        <v>14</v>
      </c>
      <c r="G5167" s="1" t="s">
        <v>122</v>
      </c>
      <c r="H5167">
        <v>14182</v>
      </c>
      <c r="I5167">
        <v>18500</v>
      </c>
      <c r="J5167">
        <v>18500</v>
      </c>
      <c r="K5167">
        <v>70300</v>
      </c>
      <c r="L5167">
        <v>3800</v>
      </c>
    </row>
    <row r="5168" spans="1:12" x14ac:dyDescent="0.25">
      <c r="A5168">
        <v>5167</v>
      </c>
      <c r="B5168" s="1" t="s">
        <v>12</v>
      </c>
      <c r="C5168">
        <v>2023</v>
      </c>
      <c r="D5168" s="1" t="s">
        <v>349</v>
      </c>
      <c r="E5168" s="1" t="s">
        <v>53</v>
      </c>
      <c r="F5168">
        <v>38</v>
      </c>
      <c r="G5168" s="1" t="s">
        <v>56</v>
      </c>
      <c r="H5168">
        <v>38063</v>
      </c>
      <c r="I5168">
        <v>400</v>
      </c>
      <c r="J5168">
        <v>400</v>
      </c>
      <c r="K5168">
        <v>600</v>
      </c>
      <c r="L5168">
        <v>1500</v>
      </c>
    </row>
    <row r="5169" spans="1:12" hidden="1" x14ac:dyDescent="0.25">
      <c r="A5169">
        <v>5168</v>
      </c>
      <c r="B5169" s="1" t="s">
        <v>12</v>
      </c>
      <c r="C5169">
        <v>2023</v>
      </c>
      <c r="D5169" s="1" t="s">
        <v>349</v>
      </c>
      <c r="E5169" s="1" t="s">
        <v>176</v>
      </c>
      <c r="F5169">
        <v>42</v>
      </c>
      <c r="G5169" s="1" t="s">
        <v>319</v>
      </c>
      <c r="H5169">
        <v>42028</v>
      </c>
      <c r="I5169">
        <v>1218</v>
      </c>
      <c r="J5169">
        <v>1218</v>
      </c>
      <c r="K5169">
        <v>4872</v>
      </c>
      <c r="L5169">
        <v>4000</v>
      </c>
    </row>
    <row r="5170" spans="1:12" hidden="1" x14ac:dyDescent="0.25">
      <c r="A5170">
        <v>5169</v>
      </c>
      <c r="B5170" s="1" t="s">
        <v>12</v>
      </c>
      <c r="C5170">
        <v>2023</v>
      </c>
      <c r="D5170" s="1" t="s">
        <v>349</v>
      </c>
      <c r="E5170" s="1" t="s">
        <v>176</v>
      </c>
      <c r="F5170">
        <v>42</v>
      </c>
      <c r="G5170" s="1" t="s">
        <v>314</v>
      </c>
      <c r="H5170">
        <v>42056</v>
      </c>
      <c r="I5170">
        <v>5300</v>
      </c>
      <c r="J5170">
        <v>5200</v>
      </c>
      <c r="K5170">
        <v>20800</v>
      </c>
      <c r="L5170">
        <v>4000</v>
      </c>
    </row>
    <row r="5171" spans="1:12" hidden="1" x14ac:dyDescent="0.25">
      <c r="A5171">
        <v>5170</v>
      </c>
      <c r="B5171" s="1" t="s">
        <v>12</v>
      </c>
      <c r="C5171">
        <v>2023</v>
      </c>
      <c r="D5171" s="1" t="s">
        <v>349</v>
      </c>
      <c r="E5171" s="1" t="s">
        <v>176</v>
      </c>
      <c r="F5171">
        <v>42</v>
      </c>
      <c r="G5171" s="1" t="s">
        <v>324</v>
      </c>
      <c r="H5171">
        <v>42035</v>
      </c>
      <c r="I5171">
        <v>900</v>
      </c>
      <c r="J5171">
        <v>900</v>
      </c>
      <c r="K5171">
        <v>3150</v>
      </c>
      <c r="L5171">
        <v>3500</v>
      </c>
    </row>
    <row r="5172" spans="1:12" hidden="1" x14ac:dyDescent="0.25">
      <c r="A5172">
        <v>5171</v>
      </c>
      <c r="B5172" s="1" t="s">
        <v>12</v>
      </c>
      <c r="C5172">
        <v>2023</v>
      </c>
      <c r="D5172" s="1" t="s">
        <v>349</v>
      </c>
      <c r="E5172" s="1" t="s">
        <v>176</v>
      </c>
      <c r="F5172">
        <v>42</v>
      </c>
      <c r="G5172" s="1" t="s">
        <v>322</v>
      </c>
      <c r="H5172">
        <v>42105</v>
      </c>
      <c r="I5172">
        <v>3200</v>
      </c>
      <c r="J5172">
        <v>3100</v>
      </c>
      <c r="K5172">
        <v>12400</v>
      </c>
      <c r="L5172">
        <v>4000</v>
      </c>
    </row>
    <row r="5173" spans="1:12" hidden="1" x14ac:dyDescent="0.25">
      <c r="A5173">
        <v>5172</v>
      </c>
      <c r="B5173" s="1" t="s">
        <v>12</v>
      </c>
      <c r="C5173">
        <v>2023</v>
      </c>
      <c r="D5173" s="1" t="s">
        <v>349</v>
      </c>
      <c r="E5173" s="1" t="s">
        <v>176</v>
      </c>
      <c r="F5173">
        <v>42</v>
      </c>
      <c r="G5173" s="1" t="s">
        <v>177</v>
      </c>
      <c r="H5173">
        <v>42119</v>
      </c>
      <c r="I5173">
        <v>3200</v>
      </c>
      <c r="J5173">
        <v>3200</v>
      </c>
      <c r="K5173">
        <v>12800</v>
      </c>
      <c r="L5173">
        <v>4000</v>
      </c>
    </row>
    <row r="5174" spans="1:12" hidden="1" x14ac:dyDescent="0.25">
      <c r="A5174">
        <v>5173</v>
      </c>
      <c r="B5174" s="1" t="s">
        <v>12</v>
      </c>
      <c r="C5174">
        <v>2023</v>
      </c>
      <c r="D5174" s="1" t="s">
        <v>349</v>
      </c>
      <c r="E5174" s="1" t="s">
        <v>176</v>
      </c>
      <c r="F5174">
        <v>42</v>
      </c>
      <c r="G5174" s="1" t="s">
        <v>315</v>
      </c>
      <c r="H5174">
        <v>42126</v>
      </c>
      <c r="I5174">
        <v>2100</v>
      </c>
      <c r="J5174">
        <v>2100</v>
      </c>
      <c r="K5174">
        <v>6300</v>
      </c>
      <c r="L5174">
        <v>3000</v>
      </c>
    </row>
    <row r="5175" spans="1:12" hidden="1" x14ac:dyDescent="0.25">
      <c r="A5175">
        <v>5174</v>
      </c>
      <c r="B5175" s="1" t="s">
        <v>12</v>
      </c>
      <c r="C5175">
        <v>2023</v>
      </c>
      <c r="D5175" s="1" t="s">
        <v>349</v>
      </c>
      <c r="E5175" s="1" t="s">
        <v>176</v>
      </c>
      <c r="F5175">
        <v>42</v>
      </c>
      <c r="G5175" s="1" t="s">
        <v>316</v>
      </c>
      <c r="H5175">
        <v>42133</v>
      </c>
      <c r="I5175">
        <v>2800</v>
      </c>
      <c r="J5175">
        <v>2700</v>
      </c>
      <c r="K5175">
        <v>10800</v>
      </c>
      <c r="L5175">
        <v>4000</v>
      </c>
    </row>
    <row r="5176" spans="1:12" hidden="1" x14ac:dyDescent="0.25">
      <c r="A5176">
        <v>5175</v>
      </c>
      <c r="B5176" s="1" t="s">
        <v>12</v>
      </c>
      <c r="C5176">
        <v>2023</v>
      </c>
      <c r="D5176" s="1" t="s">
        <v>349</v>
      </c>
      <c r="E5176" s="1" t="s">
        <v>176</v>
      </c>
      <c r="F5176">
        <v>42</v>
      </c>
      <c r="G5176" s="1" t="s">
        <v>320</v>
      </c>
      <c r="H5176">
        <v>42147</v>
      </c>
      <c r="I5176">
        <v>200</v>
      </c>
      <c r="J5176">
        <v>200</v>
      </c>
      <c r="K5176">
        <v>700</v>
      </c>
      <c r="L5176">
        <v>3500</v>
      </c>
    </row>
    <row r="5177" spans="1:12" hidden="1" x14ac:dyDescent="0.25">
      <c r="A5177">
        <v>5176</v>
      </c>
      <c r="B5177" s="1" t="s">
        <v>12</v>
      </c>
      <c r="C5177">
        <v>2023</v>
      </c>
      <c r="D5177" s="1" t="s">
        <v>349</v>
      </c>
      <c r="E5177" s="1" t="s">
        <v>87</v>
      </c>
      <c r="F5177">
        <v>66</v>
      </c>
      <c r="G5177" s="1" t="s">
        <v>153</v>
      </c>
      <c r="H5177">
        <v>66007</v>
      </c>
      <c r="I5177">
        <v>998</v>
      </c>
      <c r="J5177">
        <v>998</v>
      </c>
      <c r="K5177">
        <v>1297</v>
      </c>
      <c r="L5177">
        <v>1300</v>
      </c>
    </row>
    <row r="5178" spans="1:12" hidden="1" x14ac:dyDescent="0.25">
      <c r="A5178">
        <v>5177</v>
      </c>
      <c r="B5178" s="1" t="s">
        <v>12</v>
      </c>
      <c r="C5178">
        <v>2023</v>
      </c>
      <c r="D5178" s="1" t="s">
        <v>349</v>
      </c>
      <c r="E5178" s="1" t="s">
        <v>87</v>
      </c>
      <c r="F5178">
        <v>66</v>
      </c>
      <c r="G5178" s="1" t="s">
        <v>230</v>
      </c>
      <c r="H5178">
        <v>66056</v>
      </c>
      <c r="I5178">
        <v>1494</v>
      </c>
      <c r="J5178">
        <v>1494</v>
      </c>
      <c r="K5178">
        <v>1942</v>
      </c>
      <c r="L5178">
        <v>1300</v>
      </c>
    </row>
    <row r="5179" spans="1:12" hidden="1" x14ac:dyDescent="0.25">
      <c r="A5179">
        <v>5178</v>
      </c>
      <c r="B5179" s="1" t="s">
        <v>12</v>
      </c>
      <c r="C5179">
        <v>2023</v>
      </c>
      <c r="D5179" s="1" t="s">
        <v>349</v>
      </c>
      <c r="E5179" s="1" t="s">
        <v>87</v>
      </c>
      <c r="F5179">
        <v>66</v>
      </c>
      <c r="G5179" s="1" t="s">
        <v>141</v>
      </c>
      <c r="H5179">
        <v>66112</v>
      </c>
      <c r="I5179">
        <v>500</v>
      </c>
      <c r="J5179">
        <v>500</v>
      </c>
      <c r="K5179">
        <v>650</v>
      </c>
      <c r="L5179">
        <v>1300</v>
      </c>
    </row>
    <row r="5180" spans="1:12" hidden="1" x14ac:dyDescent="0.25">
      <c r="A5180">
        <v>5179</v>
      </c>
      <c r="B5180" s="1" t="s">
        <v>12</v>
      </c>
      <c r="C5180">
        <v>2023</v>
      </c>
      <c r="D5180" s="1" t="s">
        <v>349</v>
      </c>
      <c r="E5180" s="1" t="s">
        <v>87</v>
      </c>
      <c r="F5180">
        <v>66</v>
      </c>
      <c r="G5180" s="1" t="s">
        <v>179</v>
      </c>
      <c r="H5180">
        <v>66126</v>
      </c>
      <c r="I5180">
        <v>422</v>
      </c>
      <c r="J5180">
        <v>422</v>
      </c>
      <c r="K5180">
        <v>464</v>
      </c>
      <c r="L5180">
        <v>1100</v>
      </c>
    </row>
    <row r="5181" spans="1:12" hidden="1" x14ac:dyDescent="0.25">
      <c r="A5181">
        <v>5180</v>
      </c>
      <c r="B5181" s="1" t="s">
        <v>12</v>
      </c>
      <c r="C5181">
        <v>2023</v>
      </c>
      <c r="D5181" s="1" t="s">
        <v>349</v>
      </c>
      <c r="E5181" s="1" t="s">
        <v>116</v>
      </c>
      <c r="F5181">
        <v>74</v>
      </c>
      <c r="G5181" s="1" t="s">
        <v>195</v>
      </c>
      <c r="H5181">
        <v>74007</v>
      </c>
      <c r="I5181">
        <v>2100</v>
      </c>
      <c r="J5181">
        <v>2100</v>
      </c>
      <c r="K5181">
        <v>7350</v>
      </c>
      <c r="L5181">
        <v>3500</v>
      </c>
    </row>
    <row r="5182" spans="1:12" hidden="1" x14ac:dyDescent="0.25">
      <c r="A5182">
        <v>5181</v>
      </c>
      <c r="B5182" s="1" t="s">
        <v>12</v>
      </c>
      <c r="C5182">
        <v>2023</v>
      </c>
      <c r="D5182" s="1" t="s">
        <v>349</v>
      </c>
      <c r="E5182" s="1" t="s">
        <v>116</v>
      </c>
      <c r="F5182">
        <v>74</v>
      </c>
      <c r="G5182" s="1" t="s">
        <v>126</v>
      </c>
      <c r="H5182">
        <v>74035</v>
      </c>
      <c r="I5182">
        <v>10800</v>
      </c>
      <c r="J5182">
        <v>10800</v>
      </c>
      <c r="K5182">
        <v>33480</v>
      </c>
      <c r="L5182">
        <v>3100</v>
      </c>
    </row>
    <row r="5183" spans="1:12" hidden="1" x14ac:dyDescent="0.25">
      <c r="A5183">
        <v>5182</v>
      </c>
      <c r="B5183" s="1" t="s">
        <v>12</v>
      </c>
      <c r="C5183">
        <v>2023</v>
      </c>
      <c r="D5183" s="1" t="s">
        <v>349</v>
      </c>
      <c r="E5183" s="1" t="s">
        <v>116</v>
      </c>
      <c r="F5183">
        <v>74</v>
      </c>
      <c r="G5183" s="1" t="s">
        <v>326</v>
      </c>
      <c r="H5183">
        <v>74042</v>
      </c>
      <c r="I5183">
        <v>2200</v>
      </c>
      <c r="J5183">
        <v>2200</v>
      </c>
      <c r="K5183">
        <v>6600</v>
      </c>
      <c r="L5183">
        <v>3000</v>
      </c>
    </row>
    <row r="5184" spans="1:12" hidden="1" x14ac:dyDescent="0.25">
      <c r="A5184">
        <v>5183</v>
      </c>
      <c r="B5184" s="1" t="s">
        <v>12</v>
      </c>
      <c r="C5184">
        <v>2023</v>
      </c>
      <c r="D5184" s="1" t="s">
        <v>349</v>
      </c>
      <c r="E5184" s="1" t="s">
        <v>116</v>
      </c>
      <c r="F5184">
        <v>74</v>
      </c>
      <c r="G5184" s="1" t="s">
        <v>127</v>
      </c>
      <c r="H5184">
        <v>74049</v>
      </c>
      <c r="I5184">
        <v>400</v>
      </c>
      <c r="J5184">
        <v>400</v>
      </c>
      <c r="K5184">
        <v>1200</v>
      </c>
      <c r="L5184">
        <v>3000</v>
      </c>
    </row>
    <row r="5185" spans="1:12" hidden="1" x14ac:dyDescent="0.25">
      <c r="A5185">
        <v>5184</v>
      </c>
      <c r="B5185" s="1" t="s">
        <v>12</v>
      </c>
      <c r="C5185">
        <v>2023</v>
      </c>
      <c r="D5185" s="1" t="s">
        <v>349</v>
      </c>
      <c r="E5185" s="1" t="s">
        <v>64</v>
      </c>
      <c r="F5185">
        <v>82</v>
      </c>
      <c r="G5185" s="1" t="s">
        <v>272</v>
      </c>
      <c r="H5185">
        <v>82042</v>
      </c>
      <c r="I5185">
        <v>17309</v>
      </c>
      <c r="J5185">
        <v>15709</v>
      </c>
      <c r="K5185">
        <v>47127</v>
      </c>
      <c r="L5185">
        <v>3000</v>
      </c>
    </row>
    <row r="5186" spans="1:12" hidden="1" x14ac:dyDescent="0.25">
      <c r="A5186">
        <v>5185</v>
      </c>
      <c r="B5186" s="1" t="s">
        <v>12</v>
      </c>
      <c r="C5186">
        <v>2023</v>
      </c>
      <c r="D5186" s="1" t="s">
        <v>349</v>
      </c>
      <c r="E5186" s="1" t="s">
        <v>68</v>
      </c>
      <c r="F5186">
        <v>86</v>
      </c>
      <c r="G5186" s="1" t="s">
        <v>191</v>
      </c>
      <c r="H5186">
        <v>86084</v>
      </c>
      <c r="I5186">
        <v>300</v>
      </c>
      <c r="J5186">
        <v>295</v>
      </c>
      <c r="K5186">
        <v>738</v>
      </c>
      <c r="L5186">
        <v>2500</v>
      </c>
    </row>
    <row r="5187" spans="1:12" hidden="1" x14ac:dyDescent="0.25">
      <c r="A5187">
        <v>5186</v>
      </c>
      <c r="B5187" s="1" t="s">
        <v>12</v>
      </c>
      <c r="C5187">
        <v>2023</v>
      </c>
      <c r="D5187" s="1" t="s">
        <v>349</v>
      </c>
      <c r="E5187" s="1" t="s">
        <v>77</v>
      </c>
      <c r="F5187">
        <v>90</v>
      </c>
      <c r="G5187" s="1" t="s">
        <v>95</v>
      </c>
      <c r="H5187">
        <v>90035</v>
      </c>
      <c r="I5187">
        <v>650</v>
      </c>
      <c r="J5187">
        <v>650</v>
      </c>
      <c r="K5187">
        <v>1040</v>
      </c>
      <c r="L5187">
        <v>1600</v>
      </c>
    </row>
    <row r="5188" spans="1:12" hidden="1" x14ac:dyDescent="0.25">
      <c r="A5188">
        <v>5187</v>
      </c>
      <c r="B5188" s="1" t="s">
        <v>12</v>
      </c>
      <c r="C5188">
        <v>2023</v>
      </c>
      <c r="D5188" s="1" t="s">
        <v>349</v>
      </c>
      <c r="E5188" s="1" t="s">
        <v>77</v>
      </c>
      <c r="F5188">
        <v>90</v>
      </c>
      <c r="G5188" s="1" t="s">
        <v>343</v>
      </c>
      <c r="H5188">
        <v>90049</v>
      </c>
      <c r="I5188">
        <v>750</v>
      </c>
      <c r="J5188">
        <v>750</v>
      </c>
      <c r="K5188">
        <v>1200</v>
      </c>
      <c r="L5188">
        <v>1600</v>
      </c>
    </row>
    <row r="5189" spans="1:12" hidden="1" x14ac:dyDescent="0.25">
      <c r="A5189">
        <v>5188</v>
      </c>
      <c r="B5189" s="1" t="s">
        <v>12</v>
      </c>
      <c r="C5189">
        <v>2023</v>
      </c>
      <c r="D5189" s="1" t="s">
        <v>349</v>
      </c>
      <c r="E5189" s="1" t="s">
        <v>77</v>
      </c>
      <c r="F5189">
        <v>90</v>
      </c>
      <c r="G5189" s="1" t="s">
        <v>92</v>
      </c>
      <c r="H5189">
        <v>90056</v>
      </c>
      <c r="I5189">
        <v>450</v>
      </c>
      <c r="J5189">
        <v>450</v>
      </c>
      <c r="K5189">
        <v>720</v>
      </c>
      <c r="L5189">
        <v>1600</v>
      </c>
    </row>
    <row r="5190" spans="1:12" hidden="1" x14ac:dyDescent="0.25">
      <c r="A5190">
        <v>5189</v>
      </c>
      <c r="B5190" s="1" t="s">
        <v>12</v>
      </c>
      <c r="C5190">
        <v>2024</v>
      </c>
      <c r="D5190" s="1" t="s">
        <v>352</v>
      </c>
      <c r="E5190" s="1" t="s">
        <v>158</v>
      </c>
      <c r="F5190">
        <v>6</v>
      </c>
      <c r="G5190" s="1" t="s">
        <v>234</v>
      </c>
      <c r="H5190">
        <v>6854</v>
      </c>
      <c r="I5190">
        <v>738</v>
      </c>
      <c r="J5190">
        <v>738</v>
      </c>
      <c r="K5190">
        <v>2066</v>
      </c>
      <c r="L5190">
        <v>2799</v>
      </c>
    </row>
    <row r="5191" spans="1:12" hidden="1" x14ac:dyDescent="0.25">
      <c r="A5191">
        <v>5190</v>
      </c>
      <c r="B5191" s="1" t="s">
        <v>12</v>
      </c>
      <c r="C5191">
        <v>2024</v>
      </c>
      <c r="D5191" s="1" t="s">
        <v>352</v>
      </c>
      <c r="E5191" s="1" t="s">
        <v>158</v>
      </c>
      <c r="F5191">
        <v>6</v>
      </c>
      <c r="G5191" s="1" t="s">
        <v>232</v>
      </c>
      <c r="H5191">
        <v>6588</v>
      </c>
      <c r="I5191">
        <v>2000</v>
      </c>
      <c r="J5191">
        <v>2000</v>
      </c>
      <c r="K5191">
        <v>6000</v>
      </c>
      <c r="L5191">
        <v>3000</v>
      </c>
    </row>
    <row r="5192" spans="1:12" hidden="1" x14ac:dyDescent="0.25">
      <c r="A5192">
        <v>5191</v>
      </c>
      <c r="B5192" s="1" t="s">
        <v>12</v>
      </c>
      <c r="C5192">
        <v>2024</v>
      </c>
      <c r="D5192" s="1" t="s">
        <v>352</v>
      </c>
      <c r="E5192" s="1" t="s">
        <v>158</v>
      </c>
      <c r="F5192">
        <v>6</v>
      </c>
      <c r="G5192" s="1" t="s">
        <v>334</v>
      </c>
      <c r="H5192">
        <v>6007</v>
      </c>
      <c r="I5192">
        <v>300</v>
      </c>
      <c r="J5192">
        <v>300</v>
      </c>
      <c r="K5192">
        <v>960</v>
      </c>
      <c r="L5192">
        <v>3200</v>
      </c>
    </row>
    <row r="5193" spans="1:12" hidden="1" x14ac:dyDescent="0.25">
      <c r="A5193">
        <v>5192</v>
      </c>
      <c r="B5193" s="1" t="s">
        <v>12</v>
      </c>
      <c r="C5193">
        <v>2024</v>
      </c>
      <c r="D5193" s="1" t="s">
        <v>352</v>
      </c>
      <c r="E5193" s="1" t="s">
        <v>158</v>
      </c>
      <c r="F5193">
        <v>6</v>
      </c>
      <c r="G5193" s="1" t="s">
        <v>345</v>
      </c>
      <c r="H5193">
        <v>6105</v>
      </c>
      <c r="I5193">
        <v>215</v>
      </c>
      <c r="J5193">
        <v>215</v>
      </c>
      <c r="K5193">
        <v>731</v>
      </c>
      <c r="L5193">
        <v>3400</v>
      </c>
    </row>
    <row r="5194" spans="1:12" hidden="1" x14ac:dyDescent="0.25">
      <c r="A5194">
        <v>5193</v>
      </c>
      <c r="B5194" s="1" t="s">
        <v>12</v>
      </c>
      <c r="C5194">
        <v>2024</v>
      </c>
      <c r="D5194" s="1" t="s">
        <v>352</v>
      </c>
      <c r="E5194" s="1" t="s">
        <v>158</v>
      </c>
      <c r="F5194">
        <v>6</v>
      </c>
      <c r="G5194" s="1" t="s">
        <v>162</v>
      </c>
      <c r="H5194">
        <v>6112</v>
      </c>
      <c r="I5194">
        <v>800</v>
      </c>
      <c r="J5194">
        <v>800</v>
      </c>
      <c r="K5194">
        <v>2400</v>
      </c>
      <c r="L5194">
        <v>3000</v>
      </c>
    </row>
    <row r="5195" spans="1:12" hidden="1" x14ac:dyDescent="0.25">
      <c r="A5195">
        <v>5194</v>
      </c>
      <c r="B5195" s="1" t="s">
        <v>12</v>
      </c>
      <c r="C5195">
        <v>2024</v>
      </c>
      <c r="D5195" s="1" t="s">
        <v>352</v>
      </c>
      <c r="E5195" s="1" t="s">
        <v>158</v>
      </c>
      <c r="F5195">
        <v>6</v>
      </c>
      <c r="G5195" s="1" t="s">
        <v>353</v>
      </c>
      <c r="H5195">
        <v>6147</v>
      </c>
      <c r="I5195">
        <v>466</v>
      </c>
      <c r="J5195">
        <v>386</v>
      </c>
      <c r="K5195">
        <v>1660</v>
      </c>
      <c r="L5195">
        <v>4301</v>
      </c>
    </row>
    <row r="5196" spans="1:12" hidden="1" x14ac:dyDescent="0.25">
      <c r="A5196">
        <v>5195</v>
      </c>
      <c r="B5196" s="1" t="s">
        <v>12</v>
      </c>
      <c r="C5196">
        <v>2024</v>
      </c>
      <c r="D5196" s="1" t="s">
        <v>352</v>
      </c>
      <c r="E5196" s="1" t="s">
        <v>158</v>
      </c>
      <c r="F5196">
        <v>6</v>
      </c>
      <c r="G5196" s="1" t="s">
        <v>336</v>
      </c>
      <c r="H5196">
        <v>6154</v>
      </c>
      <c r="I5196">
        <v>9539</v>
      </c>
      <c r="J5196">
        <v>9539</v>
      </c>
      <c r="K5196">
        <v>39110</v>
      </c>
      <c r="L5196">
        <v>4100</v>
      </c>
    </row>
    <row r="5197" spans="1:12" hidden="1" x14ac:dyDescent="0.25">
      <c r="A5197">
        <v>5196</v>
      </c>
      <c r="B5197" s="1" t="s">
        <v>12</v>
      </c>
      <c r="C5197">
        <v>2024</v>
      </c>
      <c r="D5197" s="1" t="s">
        <v>352</v>
      </c>
      <c r="E5197" s="1" t="s">
        <v>158</v>
      </c>
      <c r="F5197">
        <v>6</v>
      </c>
      <c r="G5197" s="1" t="s">
        <v>346</v>
      </c>
      <c r="H5197">
        <v>6231</v>
      </c>
      <c r="I5197">
        <v>700</v>
      </c>
      <c r="J5197">
        <v>700</v>
      </c>
      <c r="K5197">
        <v>2380</v>
      </c>
      <c r="L5197">
        <v>3400</v>
      </c>
    </row>
    <row r="5198" spans="1:12" hidden="1" x14ac:dyDescent="0.25">
      <c r="A5198">
        <v>5197</v>
      </c>
      <c r="B5198" s="1" t="s">
        <v>12</v>
      </c>
      <c r="C5198">
        <v>2024</v>
      </c>
      <c r="D5198" s="1" t="s">
        <v>352</v>
      </c>
      <c r="E5198" s="1" t="s">
        <v>158</v>
      </c>
      <c r="F5198">
        <v>6</v>
      </c>
      <c r="G5198" s="1" t="s">
        <v>337</v>
      </c>
      <c r="H5198">
        <v>6277</v>
      </c>
      <c r="I5198">
        <v>5500</v>
      </c>
      <c r="J5198">
        <v>5500</v>
      </c>
      <c r="K5198">
        <v>20185</v>
      </c>
      <c r="L5198">
        <v>3670</v>
      </c>
    </row>
    <row r="5199" spans="1:12" hidden="1" x14ac:dyDescent="0.25">
      <c r="A5199">
        <v>5198</v>
      </c>
      <c r="B5199" s="1" t="s">
        <v>12</v>
      </c>
      <c r="C5199">
        <v>2024</v>
      </c>
      <c r="D5199" s="1" t="s">
        <v>352</v>
      </c>
      <c r="E5199" s="1" t="s">
        <v>158</v>
      </c>
      <c r="F5199">
        <v>6</v>
      </c>
      <c r="G5199" s="1" t="s">
        <v>341</v>
      </c>
      <c r="H5199">
        <v>6294</v>
      </c>
      <c r="I5199">
        <v>2300</v>
      </c>
      <c r="J5199">
        <v>2300</v>
      </c>
      <c r="K5199">
        <v>7360</v>
      </c>
      <c r="L5199">
        <v>3200</v>
      </c>
    </row>
    <row r="5200" spans="1:12" hidden="1" x14ac:dyDescent="0.25">
      <c r="A5200">
        <v>5199</v>
      </c>
      <c r="B5200" s="1" t="s">
        <v>12</v>
      </c>
      <c r="C5200">
        <v>2024</v>
      </c>
      <c r="D5200" s="1" t="s">
        <v>352</v>
      </c>
      <c r="E5200" s="1" t="s">
        <v>158</v>
      </c>
      <c r="F5200">
        <v>6</v>
      </c>
      <c r="G5200" s="1" t="s">
        <v>160</v>
      </c>
      <c r="H5200">
        <v>6351</v>
      </c>
      <c r="I5200">
        <v>7600</v>
      </c>
      <c r="J5200">
        <v>7600</v>
      </c>
      <c r="K5200">
        <v>28500</v>
      </c>
      <c r="L5200">
        <v>3750</v>
      </c>
    </row>
    <row r="5201" spans="1:12" hidden="1" x14ac:dyDescent="0.25">
      <c r="A5201">
        <v>5200</v>
      </c>
      <c r="B5201" s="1" t="s">
        <v>12</v>
      </c>
      <c r="C5201">
        <v>2024</v>
      </c>
      <c r="D5201" s="1" t="s">
        <v>352</v>
      </c>
      <c r="E5201" s="1" t="s">
        <v>158</v>
      </c>
      <c r="F5201">
        <v>6</v>
      </c>
      <c r="G5201" s="1" t="s">
        <v>350</v>
      </c>
      <c r="H5201">
        <v>6385</v>
      </c>
      <c r="I5201">
        <v>300</v>
      </c>
      <c r="J5201">
        <v>300</v>
      </c>
      <c r="K5201">
        <v>1230</v>
      </c>
      <c r="L5201">
        <v>4100</v>
      </c>
    </row>
    <row r="5202" spans="1:12" hidden="1" x14ac:dyDescent="0.25">
      <c r="A5202">
        <v>5201</v>
      </c>
      <c r="B5202" s="1" t="s">
        <v>12</v>
      </c>
      <c r="C5202">
        <v>2024</v>
      </c>
      <c r="D5202" s="1" t="s">
        <v>352</v>
      </c>
      <c r="E5202" s="1" t="s">
        <v>158</v>
      </c>
      <c r="F5202">
        <v>6</v>
      </c>
      <c r="G5202" s="1" t="s">
        <v>257</v>
      </c>
      <c r="H5202">
        <v>6392</v>
      </c>
      <c r="I5202">
        <v>17500</v>
      </c>
      <c r="J5202">
        <v>17500</v>
      </c>
      <c r="K5202">
        <v>64750</v>
      </c>
      <c r="L5202">
        <v>3700</v>
      </c>
    </row>
    <row r="5203" spans="1:12" hidden="1" x14ac:dyDescent="0.25">
      <c r="A5203">
        <v>5202</v>
      </c>
      <c r="B5203" s="1" t="s">
        <v>12</v>
      </c>
      <c r="C5203">
        <v>2024</v>
      </c>
      <c r="D5203" s="1" t="s">
        <v>352</v>
      </c>
      <c r="E5203" s="1" t="s">
        <v>158</v>
      </c>
      <c r="F5203">
        <v>6</v>
      </c>
      <c r="G5203" s="1" t="s">
        <v>342</v>
      </c>
      <c r="H5203">
        <v>6399</v>
      </c>
      <c r="I5203">
        <v>1800</v>
      </c>
      <c r="J5203">
        <v>1800</v>
      </c>
      <c r="K5203">
        <v>5760</v>
      </c>
      <c r="L5203">
        <v>3200</v>
      </c>
    </row>
    <row r="5204" spans="1:12" hidden="1" x14ac:dyDescent="0.25">
      <c r="A5204">
        <v>5203</v>
      </c>
      <c r="B5204" s="1" t="s">
        <v>12</v>
      </c>
      <c r="C5204">
        <v>2024</v>
      </c>
      <c r="D5204" s="1" t="s">
        <v>352</v>
      </c>
      <c r="E5204" s="1" t="s">
        <v>158</v>
      </c>
      <c r="F5204">
        <v>6</v>
      </c>
      <c r="G5204" s="1" t="s">
        <v>347</v>
      </c>
      <c r="H5204">
        <v>6406</v>
      </c>
      <c r="I5204">
        <v>1250</v>
      </c>
      <c r="J5204">
        <v>1250</v>
      </c>
      <c r="K5204">
        <v>4250</v>
      </c>
      <c r="L5204">
        <v>3400</v>
      </c>
    </row>
    <row r="5205" spans="1:12" hidden="1" x14ac:dyDescent="0.25">
      <c r="A5205">
        <v>5204</v>
      </c>
      <c r="B5205" s="1" t="s">
        <v>12</v>
      </c>
      <c r="C5205">
        <v>2024</v>
      </c>
      <c r="D5205" s="1" t="s">
        <v>352</v>
      </c>
      <c r="E5205" s="1" t="s">
        <v>158</v>
      </c>
      <c r="F5205">
        <v>6</v>
      </c>
      <c r="G5205" s="1" t="s">
        <v>127</v>
      </c>
      <c r="H5205">
        <v>6413</v>
      </c>
      <c r="I5205">
        <v>1600</v>
      </c>
      <c r="J5205">
        <v>1600</v>
      </c>
      <c r="K5205">
        <v>5120</v>
      </c>
      <c r="L5205">
        <v>3200</v>
      </c>
    </row>
    <row r="5206" spans="1:12" hidden="1" x14ac:dyDescent="0.25">
      <c r="A5206">
        <v>5205</v>
      </c>
      <c r="B5206" s="1" t="s">
        <v>12</v>
      </c>
      <c r="C5206">
        <v>2024</v>
      </c>
      <c r="D5206" s="1" t="s">
        <v>352</v>
      </c>
      <c r="E5206" s="1" t="s">
        <v>158</v>
      </c>
      <c r="F5206">
        <v>6</v>
      </c>
      <c r="G5206" s="1" t="s">
        <v>243</v>
      </c>
      <c r="H5206">
        <v>6462</v>
      </c>
      <c r="I5206">
        <v>2000</v>
      </c>
      <c r="J5206">
        <v>2000</v>
      </c>
      <c r="K5206">
        <v>7200</v>
      </c>
      <c r="L5206">
        <v>3600</v>
      </c>
    </row>
    <row r="5207" spans="1:12" hidden="1" x14ac:dyDescent="0.25">
      <c r="A5207">
        <v>5206</v>
      </c>
      <c r="B5207" s="1" t="s">
        <v>12</v>
      </c>
      <c r="C5207">
        <v>2024</v>
      </c>
      <c r="D5207" s="1" t="s">
        <v>352</v>
      </c>
      <c r="E5207" s="1" t="s">
        <v>158</v>
      </c>
      <c r="F5207">
        <v>6</v>
      </c>
      <c r="G5207" s="1" t="s">
        <v>164</v>
      </c>
      <c r="H5207">
        <v>6469</v>
      </c>
      <c r="I5207">
        <v>2100</v>
      </c>
      <c r="J5207">
        <v>2100</v>
      </c>
      <c r="K5207">
        <v>7644</v>
      </c>
      <c r="L5207">
        <v>3640</v>
      </c>
    </row>
    <row r="5208" spans="1:12" hidden="1" x14ac:dyDescent="0.25">
      <c r="A5208">
        <v>5207</v>
      </c>
      <c r="B5208" s="1" t="s">
        <v>12</v>
      </c>
      <c r="C5208">
        <v>2024</v>
      </c>
      <c r="D5208" s="1" t="s">
        <v>352</v>
      </c>
      <c r="E5208" s="1" t="s">
        <v>158</v>
      </c>
      <c r="F5208">
        <v>6</v>
      </c>
      <c r="G5208" s="1" t="s">
        <v>165</v>
      </c>
      <c r="H5208">
        <v>6609</v>
      </c>
      <c r="I5208">
        <v>3613</v>
      </c>
      <c r="J5208">
        <v>3613</v>
      </c>
      <c r="K5208">
        <v>15536</v>
      </c>
      <c r="L5208">
        <v>4300</v>
      </c>
    </row>
    <row r="5209" spans="1:12" hidden="1" x14ac:dyDescent="0.25">
      <c r="A5209">
        <v>5208</v>
      </c>
      <c r="B5209" s="1" t="s">
        <v>12</v>
      </c>
      <c r="C5209">
        <v>2024</v>
      </c>
      <c r="D5209" s="1" t="s">
        <v>352</v>
      </c>
      <c r="E5209" s="1" t="s">
        <v>158</v>
      </c>
      <c r="F5209">
        <v>6</v>
      </c>
      <c r="G5209" s="1" t="s">
        <v>135</v>
      </c>
      <c r="H5209">
        <v>6616</v>
      </c>
      <c r="I5209">
        <v>2500</v>
      </c>
      <c r="J5209">
        <v>2400</v>
      </c>
      <c r="K5209">
        <v>7680</v>
      </c>
      <c r="L5209">
        <v>3200</v>
      </c>
    </row>
    <row r="5210" spans="1:12" hidden="1" x14ac:dyDescent="0.25">
      <c r="A5210">
        <v>5209</v>
      </c>
      <c r="B5210" s="1" t="s">
        <v>12</v>
      </c>
      <c r="C5210">
        <v>2024</v>
      </c>
      <c r="D5210" s="1" t="s">
        <v>352</v>
      </c>
      <c r="E5210" s="1" t="s">
        <v>158</v>
      </c>
      <c r="F5210">
        <v>6</v>
      </c>
      <c r="G5210" s="1" t="s">
        <v>161</v>
      </c>
      <c r="H5210">
        <v>6679</v>
      </c>
      <c r="I5210">
        <v>18119</v>
      </c>
      <c r="J5210">
        <v>18119</v>
      </c>
      <c r="K5210">
        <v>70664</v>
      </c>
      <c r="L5210">
        <v>3900</v>
      </c>
    </row>
    <row r="5211" spans="1:12" hidden="1" x14ac:dyDescent="0.25">
      <c r="A5211">
        <v>5210</v>
      </c>
      <c r="B5211" s="1" t="s">
        <v>12</v>
      </c>
      <c r="C5211">
        <v>2024</v>
      </c>
      <c r="D5211" s="1" t="s">
        <v>352</v>
      </c>
      <c r="E5211" s="1" t="s">
        <v>158</v>
      </c>
      <c r="F5211">
        <v>6</v>
      </c>
      <c r="G5211" s="1" t="s">
        <v>351</v>
      </c>
      <c r="H5211">
        <v>6707</v>
      </c>
      <c r="I5211">
        <v>99</v>
      </c>
      <c r="J5211">
        <v>99</v>
      </c>
      <c r="K5211">
        <v>267</v>
      </c>
      <c r="L5211">
        <v>2697</v>
      </c>
    </row>
    <row r="5212" spans="1:12" hidden="1" x14ac:dyDescent="0.25">
      <c r="A5212">
        <v>5211</v>
      </c>
      <c r="B5212" s="1" t="s">
        <v>12</v>
      </c>
      <c r="C5212">
        <v>2024</v>
      </c>
      <c r="D5212" s="1" t="s">
        <v>352</v>
      </c>
      <c r="E5212" s="1" t="s">
        <v>158</v>
      </c>
      <c r="F5212">
        <v>6</v>
      </c>
      <c r="G5212" s="1" t="s">
        <v>338</v>
      </c>
      <c r="H5212">
        <v>6721</v>
      </c>
      <c r="I5212">
        <v>500</v>
      </c>
      <c r="J5212">
        <v>500</v>
      </c>
      <c r="K5212">
        <v>1580</v>
      </c>
      <c r="L5212">
        <v>3160</v>
      </c>
    </row>
    <row r="5213" spans="1:12" hidden="1" x14ac:dyDescent="0.25">
      <c r="A5213">
        <v>5212</v>
      </c>
      <c r="B5213" s="1" t="s">
        <v>12</v>
      </c>
      <c r="C5213">
        <v>2024</v>
      </c>
      <c r="D5213" s="1" t="s">
        <v>352</v>
      </c>
      <c r="E5213" s="1" t="s">
        <v>158</v>
      </c>
      <c r="F5213">
        <v>6</v>
      </c>
      <c r="G5213" s="1" t="s">
        <v>167</v>
      </c>
      <c r="H5213">
        <v>6826</v>
      </c>
      <c r="I5213">
        <v>3440</v>
      </c>
      <c r="J5213">
        <v>3440</v>
      </c>
      <c r="K5213">
        <v>12728</v>
      </c>
      <c r="L5213">
        <v>3700</v>
      </c>
    </row>
    <row r="5214" spans="1:12" hidden="1" x14ac:dyDescent="0.25">
      <c r="A5214">
        <v>5213</v>
      </c>
      <c r="B5214" s="1" t="s">
        <v>12</v>
      </c>
      <c r="C5214">
        <v>2024</v>
      </c>
      <c r="D5214" s="1" t="s">
        <v>352</v>
      </c>
      <c r="E5214" s="1" t="s">
        <v>80</v>
      </c>
      <c r="F5214">
        <v>10</v>
      </c>
      <c r="G5214" s="1" t="s">
        <v>83</v>
      </c>
      <c r="H5214">
        <v>10098</v>
      </c>
      <c r="I5214">
        <v>1200</v>
      </c>
      <c r="J5214">
        <v>1200</v>
      </c>
      <c r="K5214">
        <v>2280</v>
      </c>
      <c r="L5214">
        <v>1900</v>
      </c>
    </row>
    <row r="5215" spans="1:12" hidden="1" x14ac:dyDescent="0.25">
      <c r="A5215">
        <v>5214</v>
      </c>
      <c r="B5215" s="1" t="s">
        <v>12</v>
      </c>
      <c r="C5215">
        <v>2024</v>
      </c>
      <c r="D5215" s="1" t="s">
        <v>352</v>
      </c>
      <c r="E5215" s="1" t="s">
        <v>22</v>
      </c>
      <c r="F5215">
        <v>14</v>
      </c>
      <c r="G5215" s="1" t="s">
        <v>97</v>
      </c>
      <c r="H5215">
        <v>14007</v>
      </c>
      <c r="I5215">
        <v>2000</v>
      </c>
      <c r="J5215">
        <v>2000</v>
      </c>
      <c r="K5215">
        <v>7000</v>
      </c>
      <c r="L5215">
        <v>3500</v>
      </c>
    </row>
    <row r="5216" spans="1:12" hidden="1" x14ac:dyDescent="0.25">
      <c r="A5216">
        <v>5215</v>
      </c>
      <c r="B5216" s="1" t="s">
        <v>12</v>
      </c>
      <c r="C5216">
        <v>2024</v>
      </c>
      <c r="D5216" s="1" t="s">
        <v>352</v>
      </c>
      <c r="E5216" s="1" t="s">
        <v>22</v>
      </c>
      <c r="F5216">
        <v>14</v>
      </c>
      <c r="G5216" s="1" t="s">
        <v>28</v>
      </c>
      <c r="H5216">
        <v>14014</v>
      </c>
      <c r="I5216">
        <v>550</v>
      </c>
      <c r="J5216">
        <v>550</v>
      </c>
      <c r="K5216">
        <v>1760</v>
      </c>
      <c r="L5216">
        <v>3200</v>
      </c>
    </row>
    <row r="5217" spans="1:12" hidden="1" x14ac:dyDescent="0.25">
      <c r="A5217">
        <v>5216</v>
      </c>
      <c r="B5217" s="1" t="s">
        <v>12</v>
      </c>
      <c r="C5217">
        <v>2024</v>
      </c>
      <c r="D5217" s="1" t="s">
        <v>352</v>
      </c>
      <c r="E5217" s="1" t="s">
        <v>22</v>
      </c>
      <c r="F5217">
        <v>14</v>
      </c>
      <c r="G5217" s="1" t="s">
        <v>27</v>
      </c>
      <c r="H5217">
        <v>14021</v>
      </c>
      <c r="I5217">
        <v>2600</v>
      </c>
      <c r="J5217">
        <v>2600</v>
      </c>
      <c r="K5217">
        <v>10998</v>
      </c>
      <c r="L5217">
        <v>4230</v>
      </c>
    </row>
    <row r="5218" spans="1:12" hidden="1" x14ac:dyDescent="0.25">
      <c r="A5218">
        <v>5217</v>
      </c>
      <c r="B5218" s="1" t="s">
        <v>12</v>
      </c>
      <c r="C5218">
        <v>2024</v>
      </c>
      <c r="D5218" s="1" t="s">
        <v>352</v>
      </c>
      <c r="E5218" s="1" t="s">
        <v>22</v>
      </c>
      <c r="F5218">
        <v>14</v>
      </c>
      <c r="G5218" s="1" t="s">
        <v>173</v>
      </c>
      <c r="H5218">
        <v>14028</v>
      </c>
      <c r="I5218">
        <v>800</v>
      </c>
      <c r="J5218">
        <v>800</v>
      </c>
      <c r="K5218">
        <v>2400</v>
      </c>
      <c r="L5218">
        <v>3000</v>
      </c>
    </row>
    <row r="5219" spans="1:12" hidden="1" x14ac:dyDescent="0.25">
      <c r="A5219">
        <v>5218</v>
      </c>
      <c r="B5219" s="1" t="s">
        <v>12</v>
      </c>
      <c r="C5219">
        <v>2024</v>
      </c>
      <c r="D5219" s="1" t="s">
        <v>352</v>
      </c>
      <c r="E5219" s="1" t="s">
        <v>22</v>
      </c>
      <c r="F5219">
        <v>14</v>
      </c>
      <c r="G5219" s="1" t="s">
        <v>129</v>
      </c>
      <c r="H5219">
        <v>14035</v>
      </c>
      <c r="I5219">
        <v>83050</v>
      </c>
      <c r="J5219">
        <v>83050</v>
      </c>
      <c r="K5219">
        <v>249150</v>
      </c>
      <c r="L5219">
        <v>3000</v>
      </c>
    </row>
    <row r="5220" spans="1:12" hidden="1" x14ac:dyDescent="0.25">
      <c r="A5220">
        <v>5219</v>
      </c>
      <c r="B5220" s="1" t="s">
        <v>12</v>
      </c>
      <c r="C5220">
        <v>2024</v>
      </c>
      <c r="D5220" s="1" t="s">
        <v>352</v>
      </c>
      <c r="E5220" s="1" t="s">
        <v>22</v>
      </c>
      <c r="F5220">
        <v>14</v>
      </c>
      <c r="G5220" s="1" t="s">
        <v>184</v>
      </c>
      <c r="H5220">
        <v>14042</v>
      </c>
      <c r="I5220">
        <v>22300</v>
      </c>
      <c r="J5220">
        <v>22300</v>
      </c>
      <c r="K5220">
        <v>66900</v>
      </c>
      <c r="L5220">
        <v>3000</v>
      </c>
    </row>
    <row r="5221" spans="1:12" hidden="1" x14ac:dyDescent="0.25">
      <c r="A5221">
        <v>5220</v>
      </c>
      <c r="B5221" s="1" t="s">
        <v>12</v>
      </c>
      <c r="C5221">
        <v>2024</v>
      </c>
      <c r="D5221" s="1" t="s">
        <v>352</v>
      </c>
      <c r="E5221" s="1" t="s">
        <v>22</v>
      </c>
      <c r="F5221">
        <v>14</v>
      </c>
      <c r="G5221" s="1" t="s">
        <v>143</v>
      </c>
      <c r="H5221">
        <v>14056</v>
      </c>
      <c r="I5221">
        <v>51600</v>
      </c>
      <c r="J5221">
        <v>51600</v>
      </c>
      <c r="K5221">
        <v>180084</v>
      </c>
      <c r="L5221">
        <v>3490</v>
      </c>
    </row>
    <row r="5222" spans="1:12" hidden="1" x14ac:dyDescent="0.25">
      <c r="A5222">
        <v>5221</v>
      </c>
      <c r="B5222" s="1" t="s">
        <v>12</v>
      </c>
      <c r="C5222">
        <v>2024</v>
      </c>
      <c r="D5222" s="1" t="s">
        <v>352</v>
      </c>
      <c r="E5222" s="1" t="s">
        <v>22</v>
      </c>
      <c r="F5222">
        <v>14</v>
      </c>
      <c r="G5222" s="1" t="s">
        <v>247</v>
      </c>
      <c r="H5222">
        <v>14063</v>
      </c>
      <c r="I5222">
        <v>12150</v>
      </c>
      <c r="J5222">
        <v>12150</v>
      </c>
      <c r="K5222">
        <v>46170</v>
      </c>
      <c r="L5222">
        <v>3800</v>
      </c>
    </row>
    <row r="5223" spans="1:12" hidden="1" x14ac:dyDescent="0.25">
      <c r="A5223">
        <v>5222</v>
      </c>
      <c r="B5223" s="1" t="s">
        <v>12</v>
      </c>
      <c r="C5223">
        <v>2024</v>
      </c>
      <c r="D5223" s="1" t="s">
        <v>352</v>
      </c>
      <c r="E5223" s="1" t="s">
        <v>22</v>
      </c>
      <c r="F5223">
        <v>14</v>
      </c>
      <c r="G5223" s="1" t="s">
        <v>206</v>
      </c>
      <c r="H5223">
        <v>14084</v>
      </c>
      <c r="I5223">
        <v>27683</v>
      </c>
      <c r="J5223">
        <v>27683</v>
      </c>
      <c r="K5223">
        <v>94122</v>
      </c>
      <c r="L5223">
        <v>3400</v>
      </c>
    </row>
    <row r="5224" spans="1:12" hidden="1" x14ac:dyDescent="0.25">
      <c r="A5224">
        <v>5223</v>
      </c>
      <c r="B5224" s="1" t="s">
        <v>12</v>
      </c>
      <c r="C5224">
        <v>2024</v>
      </c>
      <c r="D5224" s="1" t="s">
        <v>352</v>
      </c>
      <c r="E5224" s="1" t="s">
        <v>22</v>
      </c>
      <c r="F5224">
        <v>14</v>
      </c>
      <c r="G5224" s="1" t="s">
        <v>29</v>
      </c>
      <c r="H5224">
        <v>14098</v>
      </c>
      <c r="I5224">
        <v>85000</v>
      </c>
      <c r="J5224">
        <v>85000</v>
      </c>
      <c r="K5224">
        <v>297500</v>
      </c>
      <c r="L5224">
        <v>3500</v>
      </c>
    </row>
    <row r="5225" spans="1:12" hidden="1" x14ac:dyDescent="0.25">
      <c r="A5225">
        <v>5224</v>
      </c>
      <c r="B5225" s="1" t="s">
        <v>12</v>
      </c>
      <c r="C5225">
        <v>2024</v>
      </c>
      <c r="D5225" s="1" t="s">
        <v>352</v>
      </c>
      <c r="E5225" s="1" t="s">
        <v>22</v>
      </c>
      <c r="F5225">
        <v>14</v>
      </c>
      <c r="G5225" s="1" t="s">
        <v>25</v>
      </c>
      <c r="H5225">
        <v>14105</v>
      </c>
      <c r="I5225">
        <v>7500</v>
      </c>
      <c r="J5225">
        <v>7500</v>
      </c>
      <c r="K5225">
        <v>34725</v>
      </c>
      <c r="L5225">
        <v>4630</v>
      </c>
    </row>
    <row r="5226" spans="1:12" hidden="1" x14ac:dyDescent="0.25">
      <c r="A5226">
        <v>5225</v>
      </c>
      <c r="B5226" s="1" t="s">
        <v>12</v>
      </c>
      <c r="C5226">
        <v>2024</v>
      </c>
      <c r="D5226" s="1" t="s">
        <v>352</v>
      </c>
      <c r="E5226" s="1" t="s">
        <v>22</v>
      </c>
      <c r="F5226">
        <v>14</v>
      </c>
      <c r="G5226" s="1" t="s">
        <v>171</v>
      </c>
      <c r="H5226">
        <v>14112</v>
      </c>
      <c r="I5226">
        <v>2500</v>
      </c>
      <c r="J5226">
        <v>2500</v>
      </c>
      <c r="K5226">
        <v>8750</v>
      </c>
      <c r="L5226">
        <v>3500</v>
      </c>
    </row>
    <row r="5227" spans="1:12" hidden="1" x14ac:dyDescent="0.25">
      <c r="A5227">
        <v>5226</v>
      </c>
      <c r="B5227" s="1" t="s">
        <v>12</v>
      </c>
      <c r="C5227">
        <v>2024</v>
      </c>
      <c r="D5227" s="1" t="s">
        <v>352</v>
      </c>
      <c r="E5227" s="1" t="s">
        <v>22</v>
      </c>
      <c r="F5227">
        <v>14</v>
      </c>
      <c r="G5227" s="1" t="s">
        <v>24</v>
      </c>
      <c r="H5227">
        <v>14119</v>
      </c>
      <c r="I5227">
        <v>17300</v>
      </c>
      <c r="J5227">
        <v>17300</v>
      </c>
      <c r="K5227">
        <v>55360</v>
      </c>
      <c r="L5227">
        <v>3200</v>
      </c>
    </row>
    <row r="5228" spans="1:12" hidden="1" x14ac:dyDescent="0.25">
      <c r="A5228">
        <v>5227</v>
      </c>
      <c r="B5228" s="1" t="s">
        <v>12</v>
      </c>
      <c r="C5228">
        <v>2024</v>
      </c>
      <c r="D5228" s="1" t="s">
        <v>352</v>
      </c>
      <c r="E5228" s="1" t="s">
        <v>22</v>
      </c>
      <c r="F5228">
        <v>14</v>
      </c>
      <c r="G5228" s="1" t="s">
        <v>169</v>
      </c>
      <c r="H5228">
        <v>14126</v>
      </c>
      <c r="I5228">
        <v>100</v>
      </c>
      <c r="J5228">
        <v>100</v>
      </c>
      <c r="K5228">
        <v>400</v>
      </c>
      <c r="L5228">
        <v>4000</v>
      </c>
    </row>
    <row r="5229" spans="1:12" hidden="1" x14ac:dyDescent="0.25">
      <c r="A5229">
        <v>5228</v>
      </c>
      <c r="B5229" s="1" t="s">
        <v>12</v>
      </c>
      <c r="C5229">
        <v>2024</v>
      </c>
      <c r="D5229" s="1" t="s">
        <v>352</v>
      </c>
      <c r="E5229" s="1" t="s">
        <v>22</v>
      </c>
      <c r="F5229">
        <v>14</v>
      </c>
      <c r="G5229" s="1" t="s">
        <v>62</v>
      </c>
      <c r="H5229">
        <v>14133</v>
      </c>
      <c r="I5229">
        <v>1000</v>
      </c>
      <c r="J5229">
        <v>1000</v>
      </c>
      <c r="K5229">
        <v>4000</v>
      </c>
      <c r="L5229">
        <v>4000</v>
      </c>
    </row>
    <row r="5230" spans="1:12" hidden="1" x14ac:dyDescent="0.25">
      <c r="A5230">
        <v>5229</v>
      </c>
      <c r="B5230" s="1" t="s">
        <v>12</v>
      </c>
      <c r="C5230">
        <v>2024</v>
      </c>
      <c r="D5230" s="1" t="s">
        <v>352</v>
      </c>
      <c r="E5230" s="1" t="s">
        <v>22</v>
      </c>
      <c r="F5230">
        <v>14</v>
      </c>
      <c r="G5230" s="1" t="s">
        <v>67</v>
      </c>
      <c r="H5230">
        <v>14140</v>
      </c>
      <c r="I5230">
        <v>2300</v>
      </c>
      <c r="J5230">
        <v>2300</v>
      </c>
      <c r="K5230">
        <v>10350</v>
      </c>
      <c r="L5230">
        <v>4500</v>
      </c>
    </row>
    <row r="5231" spans="1:12" hidden="1" x14ac:dyDescent="0.25">
      <c r="A5231">
        <v>5230</v>
      </c>
      <c r="B5231" s="1" t="s">
        <v>12</v>
      </c>
      <c r="C5231">
        <v>2024</v>
      </c>
      <c r="D5231" s="1" t="s">
        <v>352</v>
      </c>
      <c r="E5231" s="1" t="s">
        <v>22</v>
      </c>
      <c r="F5231">
        <v>14</v>
      </c>
      <c r="G5231" s="1" t="s">
        <v>23</v>
      </c>
      <c r="H5231">
        <v>14147</v>
      </c>
      <c r="I5231">
        <v>4400</v>
      </c>
      <c r="J5231">
        <v>4400</v>
      </c>
      <c r="K5231">
        <v>12760</v>
      </c>
      <c r="L5231">
        <v>2900</v>
      </c>
    </row>
    <row r="5232" spans="1:12" hidden="1" x14ac:dyDescent="0.25">
      <c r="A5232">
        <v>5231</v>
      </c>
      <c r="B5232" s="1" t="s">
        <v>12</v>
      </c>
      <c r="C5232">
        <v>2024</v>
      </c>
      <c r="D5232" s="1" t="s">
        <v>352</v>
      </c>
      <c r="E5232" s="1" t="s">
        <v>22</v>
      </c>
      <c r="F5232">
        <v>14</v>
      </c>
      <c r="G5232" s="1" t="s">
        <v>26</v>
      </c>
      <c r="H5232">
        <v>14161</v>
      </c>
      <c r="I5232">
        <v>25000</v>
      </c>
      <c r="J5232">
        <v>25000</v>
      </c>
      <c r="K5232">
        <v>86000</v>
      </c>
      <c r="L5232">
        <v>3440</v>
      </c>
    </row>
    <row r="5233" spans="1:12" hidden="1" x14ac:dyDescent="0.25">
      <c r="A5233">
        <v>5232</v>
      </c>
      <c r="B5233" s="1" t="s">
        <v>12</v>
      </c>
      <c r="C5233">
        <v>2024</v>
      </c>
      <c r="D5233" s="1" t="s">
        <v>352</v>
      </c>
      <c r="E5233" s="1" t="s">
        <v>22</v>
      </c>
      <c r="F5233">
        <v>14</v>
      </c>
      <c r="G5233" s="1" t="s">
        <v>114</v>
      </c>
      <c r="H5233">
        <v>14168</v>
      </c>
      <c r="I5233">
        <v>1300</v>
      </c>
      <c r="J5233">
        <v>1300</v>
      </c>
      <c r="K5233">
        <v>5330</v>
      </c>
      <c r="L5233">
        <v>4100</v>
      </c>
    </row>
    <row r="5234" spans="1:12" hidden="1" x14ac:dyDescent="0.25">
      <c r="A5234">
        <v>5233</v>
      </c>
      <c r="B5234" s="1" t="s">
        <v>12</v>
      </c>
      <c r="C5234">
        <v>2024</v>
      </c>
      <c r="D5234" s="1" t="s">
        <v>352</v>
      </c>
      <c r="E5234" s="1" t="s">
        <v>22</v>
      </c>
      <c r="F5234">
        <v>14</v>
      </c>
      <c r="G5234" s="1" t="s">
        <v>186</v>
      </c>
      <c r="H5234">
        <v>14175</v>
      </c>
      <c r="I5234">
        <v>1200</v>
      </c>
      <c r="J5234">
        <v>1200</v>
      </c>
      <c r="K5234">
        <v>4734</v>
      </c>
      <c r="L5234">
        <v>3945</v>
      </c>
    </row>
    <row r="5235" spans="1:12" hidden="1" x14ac:dyDescent="0.25">
      <c r="A5235">
        <v>5234</v>
      </c>
      <c r="B5235" s="1" t="s">
        <v>12</v>
      </c>
      <c r="C5235">
        <v>2024</v>
      </c>
      <c r="D5235" s="1" t="s">
        <v>352</v>
      </c>
      <c r="E5235" s="1" t="s">
        <v>22</v>
      </c>
      <c r="F5235">
        <v>14</v>
      </c>
      <c r="G5235" s="1" t="s">
        <v>122</v>
      </c>
      <c r="H5235">
        <v>14182</v>
      </c>
      <c r="I5235">
        <v>24150</v>
      </c>
      <c r="J5235">
        <v>23650</v>
      </c>
      <c r="K5235">
        <v>89870</v>
      </c>
      <c r="L5235">
        <v>3800</v>
      </c>
    </row>
    <row r="5236" spans="1:12" x14ac:dyDescent="0.25">
      <c r="A5236">
        <v>5235</v>
      </c>
      <c r="B5236" s="1" t="s">
        <v>12</v>
      </c>
      <c r="C5236">
        <v>2024</v>
      </c>
      <c r="D5236" s="1" t="s">
        <v>352</v>
      </c>
      <c r="E5236" s="1" t="s">
        <v>53</v>
      </c>
      <c r="F5236">
        <v>38</v>
      </c>
      <c r="G5236" s="1" t="s">
        <v>56</v>
      </c>
      <c r="H5236">
        <v>38063</v>
      </c>
      <c r="I5236">
        <v>400</v>
      </c>
      <c r="J5236">
        <v>400</v>
      </c>
      <c r="K5236">
        <v>520</v>
      </c>
      <c r="L5236">
        <v>1300</v>
      </c>
    </row>
    <row r="5237" spans="1:12" hidden="1" x14ac:dyDescent="0.25">
      <c r="A5237">
        <v>5236</v>
      </c>
      <c r="B5237" s="1" t="s">
        <v>12</v>
      </c>
      <c r="C5237">
        <v>2024</v>
      </c>
      <c r="D5237" s="1" t="s">
        <v>352</v>
      </c>
      <c r="E5237" s="1" t="s">
        <v>176</v>
      </c>
      <c r="F5237">
        <v>42</v>
      </c>
      <c r="G5237" s="1" t="s">
        <v>319</v>
      </c>
      <c r="H5237">
        <v>42028</v>
      </c>
      <c r="I5237">
        <v>1800</v>
      </c>
      <c r="J5237">
        <v>1800</v>
      </c>
      <c r="K5237">
        <v>6300</v>
      </c>
      <c r="L5237">
        <v>3500</v>
      </c>
    </row>
    <row r="5238" spans="1:12" hidden="1" x14ac:dyDescent="0.25">
      <c r="A5238">
        <v>5237</v>
      </c>
      <c r="B5238" s="1" t="s">
        <v>12</v>
      </c>
      <c r="C5238">
        <v>2024</v>
      </c>
      <c r="D5238" s="1" t="s">
        <v>352</v>
      </c>
      <c r="E5238" s="1" t="s">
        <v>176</v>
      </c>
      <c r="F5238">
        <v>42</v>
      </c>
      <c r="G5238" s="1" t="s">
        <v>314</v>
      </c>
      <c r="H5238">
        <v>42056</v>
      </c>
      <c r="I5238">
        <v>17500</v>
      </c>
      <c r="J5238">
        <v>17238</v>
      </c>
      <c r="K5238">
        <v>60333</v>
      </c>
      <c r="L5238">
        <v>3500</v>
      </c>
    </row>
    <row r="5239" spans="1:12" hidden="1" x14ac:dyDescent="0.25">
      <c r="A5239">
        <v>5238</v>
      </c>
      <c r="B5239" s="1" t="s">
        <v>12</v>
      </c>
      <c r="C5239">
        <v>2024</v>
      </c>
      <c r="D5239" s="1" t="s">
        <v>352</v>
      </c>
      <c r="E5239" s="1" t="s">
        <v>176</v>
      </c>
      <c r="F5239">
        <v>42</v>
      </c>
      <c r="G5239" s="1" t="s">
        <v>324</v>
      </c>
      <c r="H5239">
        <v>42035</v>
      </c>
      <c r="I5239">
        <v>1300</v>
      </c>
      <c r="J5239">
        <v>1281</v>
      </c>
      <c r="K5239">
        <v>4484</v>
      </c>
      <c r="L5239">
        <v>3500</v>
      </c>
    </row>
    <row r="5240" spans="1:12" hidden="1" x14ac:dyDescent="0.25">
      <c r="A5240">
        <v>5239</v>
      </c>
      <c r="B5240" s="1" t="s">
        <v>12</v>
      </c>
      <c r="C5240">
        <v>2024</v>
      </c>
      <c r="D5240" s="1" t="s">
        <v>352</v>
      </c>
      <c r="E5240" s="1" t="s">
        <v>176</v>
      </c>
      <c r="F5240">
        <v>42</v>
      </c>
      <c r="G5240" s="1" t="s">
        <v>322</v>
      </c>
      <c r="H5240">
        <v>42105</v>
      </c>
      <c r="I5240">
        <v>12100</v>
      </c>
      <c r="J5240">
        <v>11918</v>
      </c>
      <c r="K5240">
        <v>41713</v>
      </c>
      <c r="L5240">
        <v>3500</v>
      </c>
    </row>
    <row r="5241" spans="1:12" hidden="1" x14ac:dyDescent="0.25">
      <c r="A5241">
        <v>5240</v>
      </c>
      <c r="B5241" s="1" t="s">
        <v>12</v>
      </c>
      <c r="C5241">
        <v>2024</v>
      </c>
      <c r="D5241" s="1" t="s">
        <v>352</v>
      </c>
      <c r="E5241" s="1" t="s">
        <v>176</v>
      </c>
      <c r="F5241">
        <v>42</v>
      </c>
      <c r="G5241" s="1" t="s">
        <v>177</v>
      </c>
      <c r="H5241">
        <v>42119</v>
      </c>
      <c r="I5241">
        <v>2500</v>
      </c>
      <c r="J5241">
        <v>2462</v>
      </c>
      <c r="K5241">
        <v>8469</v>
      </c>
      <c r="L5241">
        <v>3440</v>
      </c>
    </row>
    <row r="5242" spans="1:12" hidden="1" x14ac:dyDescent="0.25">
      <c r="A5242">
        <v>5241</v>
      </c>
      <c r="B5242" s="1" t="s">
        <v>12</v>
      </c>
      <c r="C5242">
        <v>2024</v>
      </c>
      <c r="D5242" s="1" t="s">
        <v>352</v>
      </c>
      <c r="E5242" s="1" t="s">
        <v>176</v>
      </c>
      <c r="F5242">
        <v>42</v>
      </c>
      <c r="G5242" s="1" t="s">
        <v>315</v>
      </c>
      <c r="H5242">
        <v>42126</v>
      </c>
      <c r="I5242">
        <v>200</v>
      </c>
      <c r="J5242">
        <v>197</v>
      </c>
      <c r="K5242">
        <v>690</v>
      </c>
      <c r="L5242">
        <v>3503</v>
      </c>
    </row>
    <row r="5243" spans="1:12" hidden="1" x14ac:dyDescent="0.25">
      <c r="A5243">
        <v>5242</v>
      </c>
      <c r="B5243" s="1" t="s">
        <v>12</v>
      </c>
      <c r="C5243">
        <v>2024</v>
      </c>
      <c r="D5243" s="1" t="s">
        <v>352</v>
      </c>
      <c r="E5243" s="1" t="s">
        <v>176</v>
      </c>
      <c r="F5243">
        <v>42</v>
      </c>
      <c r="G5243" s="1" t="s">
        <v>316</v>
      </c>
      <c r="H5243">
        <v>42133</v>
      </c>
      <c r="I5243">
        <v>1400</v>
      </c>
      <c r="J5243">
        <v>1379</v>
      </c>
      <c r="K5243">
        <v>4964</v>
      </c>
      <c r="L5243">
        <v>3600</v>
      </c>
    </row>
    <row r="5244" spans="1:12" hidden="1" x14ac:dyDescent="0.25">
      <c r="A5244">
        <v>5243</v>
      </c>
      <c r="B5244" s="1" t="s">
        <v>12</v>
      </c>
      <c r="C5244">
        <v>2024</v>
      </c>
      <c r="D5244" s="1" t="s">
        <v>352</v>
      </c>
      <c r="E5244" s="1" t="s">
        <v>176</v>
      </c>
      <c r="F5244">
        <v>42</v>
      </c>
      <c r="G5244" s="1" t="s">
        <v>320</v>
      </c>
      <c r="H5244">
        <v>42147</v>
      </c>
      <c r="I5244">
        <v>300</v>
      </c>
      <c r="J5244">
        <v>295</v>
      </c>
      <c r="K5244">
        <v>1033</v>
      </c>
      <c r="L5244">
        <v>3502</v>
      </c>
    </row>
    <row r="5245" spans="1:12" hidden="1" x14ac:dyDescent="0.25">
      <c r="A5245">
        <v>5244</v>
      </c>
      <c r="B5245" s="1" t="s">
        <v>12</v>
      </c>
      <c r="C5245">
        <v>2024</v>
      </c>
      <c r="D5245" s="1" t="s">
        <v>352</v>
      </c>
      <c r="E5245" s="1" t="s">
        <v>87</v>
      </c>
      <c r="F5245">
        <v>66</v>
      </c>
      <c r="G5245" s="1" t="s">
        <v>153</v>
      </c>
      <c r="H5245">
        <v>66007</v>
      </c>
      <c r="I5245">
        <v>260</v>
      </c>
      <c r="J5245">
        <v>260</v>
      </c>
      <c r="K5245">
        <v>0</v>
      </c>
      <c r="L5245">
        <v>0</v>
      </c>
    </row>
    <row r="5246" spans="1:12" hidden="1" x14ac:dyDescent="0.25">
      <c r="A5246">
        <v>5245</v>
      </c>
      <c r="B5246" s="1" t="s">
        <v>12</v>
      </c>
      <c r="C5246">
        <v>2024</v>
      </c>
      <c r="D5246" s="1" t="s">
        <v>352</v>
      </c>
      <c r="E5246" s="1" t="s">
        <v>87</v>
      </c>
      <c r="F5246">
        <v>66</v>
      </c>
      <c r="G5246" s="1" t="s">
        <v>230</v>
      </c>
      <c r="H5246">
        <v>66056</v>
      </c>
      <c r="I5246">
        <v>1294</v>
      </c>
      <c r="J5246">
        <v>1294</v>
      </c>
      <c r="K5246">
        <v>1423</v>
      </c>
      <c r="L5246">
        <v>1100</v>
      </c>
    </row>
    <row r="5247" spans="1:12" hidden="1" x14ac:dyDescent="0.25">
      <c r="A5247">
        <v>5246</v>
      </c>
      <c r="B5247" s="1" t="s">
        <v>12</v>
      </c>
      <c r="C5247">
        <v>2024</v>
      </c>
      <c r="D5247" s="1" t="s">
        <v>352</v>
      </c>
      <c r="E5247" s="1" t="s">
        <v>87</v>
      </c>
      <c r="F5247">
        <v>66</v>
      </c>
      <c r="G5247" s="1" t="s">
        <v>141</v>
      </c>
      <c r="H5247">
        <v>66112</v>
      </c>
      <c r="I5247">
        <v>700</v>
      </c>
      <c r="J5247">
        <v>700</v>
      </c>
      <c r="K5247">
        <v>840</v>
      </c>
      <c r="L5247">
        <v>1200</v>
      </c>
    </row>
    <row r="5248" spans="1:12" hidden="1" x14ac:dyDescent="0.25">
      <c r="A5248">
        <v>5247</v>
      </c>
      <c r="B5248" s="1" t="s">
        <v>12</v>
      </c>
      <c r="C5248">
        <v>2024</v>
      </c>
      <c r="D5248" s="1" t="s">
        <v>352</v>
      </c>
      <c r="E5248" s="1" t="s">
        <v>87</v>
      </c>
      <c r="F5248">
        <v>66</v>
      </c>
      <c r="G5248" s="1" t="s">
        <v>179</v>
      </c>
      <c r="H5248">
        <v>66126</v>
      </c>
      <c r="I5248">
        <v>50</v>
      </c>
      <c r="J5248">
        <v>50</v>
      </c>
      <c r="K5248">
        <v>50</v>
      </c>
      <c r="L5248">
        <v>1000</v>
      </c>
    </row>
    <row r="5249" spans="1:12" hidden="1" x14ac:dyDescent="0.25">
      <c r="A5249">
        <v>5248</v>
      </c>
      <c r="B5249" s="1" t="s">
        <v>12</v>
      </c>
      <c r="C5249">
        <v>2024</v>
      </c>
      <c r="D5249" s="1" t="s">
        <v>352</v>
      </c>
      <c r="E5249" s="1" t="s">
        <v>87</v>
      </c>
      <c r="F5249">
        <v>66</v>
      </c>
      <c r="G5249" s="1" t="s">
        <v>188</v>
      </c>
      <c r="H5249">
        <v>66140</v>
      </c>
      <c r="I5249">
        <v>280</v>
      </c>
      <c r="J5249">
        <v>280</v>
      </c>
      <c r="K5249">
        <v>280</v>
      </c>
      <c r="L5249">
        <v>1000</v>
      </c>
    </row>
    <row r="5250" spans="1:12" hidden="1" x14ac:dyDescent="0.25">
      <c r="A5250">
        <v>5249</v>
      </c>
      <c r="B5250" s="1" t="s">
        <v>12</v>
      </c>
      <c r="C5250">
        <v>2024</v>
      </c>
      <c r="D5250" s="1" t="s">
        <v>352</v>
      </c>
      <c r="E5250" s="1" t="s">
        <v>116</v>
      </c>
      <c r="F5250">
        <v>74</v>
      </c>
      <c r="G5250" s="1" t="s">
        <v>195</v>
      </c>
      <c r="H5250">
        <v>74007</v>
      </c>
      <c r="I5250">
        <v>2500</v>
      </c>
      <c r="J5250">
        <v>2500</v>
      </c>
      <c r="K5250">
        <v>7525</v>
      </c>
      <c r="L5250">
        <v>3010</v>
      </c>
    </row>
    <row r="5251" spans="1:12" hidden="1" x14ac:dyDescent="0.25">
      <c r="A5251">
        <v>5250</v>
      </c>
      <c r="B5251" s="1" t="s">
        <v>12</v>
      </c>
      <c r="C5251">
        <v>2024</v>
      </c>
      <c r="D5251" s="1" t="s">
        <v>352</v>
      </c>
      <c r="E5251" s="1" t="s">
        <v>116</v>
      </c>
      <c r="F5251">
        <v>74</v>
      </c>
      <c r="G5251" s="1" t="s">
        <v>126</v>
      </c>
      <c r="H5251">
        <v>74035</v>
      </c>
      <c r="I5251">
        <v>6100</v>
      </c>
      <c r="J5251">
        <v>6100</v>
      </c>
      <c r="K5251">
        <v>18361</v>
      </c>
      <c r="L5251">
        <v>3010</v>
      </c>
    </row>
    <row r="5252" spans="1:12" hidden="1" x14ac:dyDescent="0.25">
      <c r="A5252">
        <v>5251</v>
      </c>
      <c r="B5252" s="1" t="s">
        <v>12</v>
      </c>
      <c r="C5252">
        <v>2024</v>
      </c>
      <c r="D5252" s="1" t="s">
        <v>352</v>
      </c>
      <c r="E5252" s="1" t="s">
        <v>116</v>
      </c>
      <c r="F5252">
        <v>74</v>
      </c>
      <c r="G5252" s="1" t="s">
        <v>326</v>
      </c>
      <c r="H5252">
        <v>74042</v>
      </c>
      <c r="I5252">
        <v>2700</v>
      </c>
      <c r="J5252">
        <v>2700</v>
      </c>
      <c r="K5252">
        <v>9045</v>
      </c>
      <c r="L5252">
        <v>3350</v>
      </c>
    </row>
    <row r="5253" spans="1:12" hidden="1" x14ac:dyDescent="0.25">
      <c r="A5253">
        <v>5252</v>
      </c>
      <c r="B5253" s="1" t="s">
        <v>12</v>
      </c>
      <c r="C5253">
        <v>2024</v>
      </c>
      <c r="D5253" s="1" t="s">
        <v>352</v>
      </c>
      <c r="E5253" s="1" t="s">
        <v>116</v>
      </c>
      <c r="F5253">
        <v>74</v>
      </c>
      <c r="G5253" s="1" t="s">
        <v>127</v>
      </c>
      <c r="H5253">
        <v>74049</v>
      </c>
      <c r="I5253">
        <v>420</v>
      </c>
      <c r="J5253">
        <v>420</v>
      </c>
      <c r="K5253">
        <v>1407</v>
      </c>
      <c r="L5253">
        <v>3350</v>
      </c>
    </row>
    <row r="5254" spans="1:12" hidden="1" x14ac:dyDescent="0.25">
      <c r="A5254">
        <v>5253</v>
      </c>
      <c r="B5254" s="1" t="s">
        <v>12</v>
      </c>
      <c r="C5254">
        <v>2024</v>
      </c>
      <c r="D5254" s="1" t="s">
        <v>352</v>
      </c>
      <c r="E5254" s="1" t="s">
        <v>64</v>
      </c>
      <c r="F5254">
        <v>82</v>
      </c>
      <c r="G5254" s="1" t="s">
        <v>272</v>
      </c>
      <c r="H5254">
        <v>82042</v>
      </c>
      <c r="I5254">
        <v>18275</v>
      </c>
      <c r="J5254">
        <v>18275</v>
      </c>
      <c r="K5254">
        <v>51170</v>
      </c>
      <c r="L5254">
        <v>2800</v>
      </c>
    </row>
    <row r="5255" spans="1:12" hidden="1" x14ac:dyDescent="0.25">
      <c r="A5255">
        <v>5254</v>
      </c>
      <c r="B5255" s="1" t="s">
        <v>12</v>
      </c>
      <c r="C5255">
        <v>2024</v>
      </c>
      <c r="D5255" s="1" t="s">
        <v>352</v>
      </c>
      <c r="E5255" s="1" t="s">
        <v>68</v>
      </c>
      <c r="F5255">
        <v>86</v>
      </c>
      <c r="G5255" s="1" t="s">
        <v>191</v>
      </c>
      <c r="H5255">
        <v>86084</v>
      </c>
      <c r="I5255">
        <v>300</v>
      </c>
      <c r="J5255">
        <v>285</v>
      </c>
      <c r="K5255">
        <v>627</v>
      </c>
      <c r="L5255">
        <v>2200</v>
      </c>
    </row>
    <row r="5256" spans="1:12" hidden="1" x14ac:dyDescent="0.25">
      <c r="A5256">
        <v>5255</v>
      </c>
      <c r="B5256" s="1" t="s">
        <v>12</v>
      </c>
      <c r="C5256">
        <v>2024</v>
      </c>
      <c r="D5256" s="1" t="s">
        <v>352</v>
      </c>
      <c r="E5256" s="1" t="s">
        <v>77</v>
      </c>
      <c r="F5256">
        <v>90</v>
      </c>
      <c r="G5256" s="1" t="s">
        <v>343</v>
      </c>
      <c r="H5256">
        <v>90049</v>
      </c>
      <c r="I5256">
        <v>1100</v>
      </c>
      <c r="J5256">
        <v>1100</v>
      </c>
      <c r="K5256">
        <v>2068</v>
      </c>
      <c r="L5256">
        <v>1880</v>
      </c>
    </row>
    <row r="5257" spans="1:12" hidden="1" x14ac:dyDescent="0.25">
      <c r="A5257">
        <v>5256</v>
      </c>
      <c r="B5257" s="1" t="s">
        <v>12</v>
      </c>
      <c r="C5257">
        <v>2024</v>
      </c>
      <c r="D5257" s="1" t="s">
        <v>352</v>
      </c>
      <c r="E5257" s="1" t="s">
        <v>77</v>
      </c>
      <c r="F5257">
        <v>90</v>
      </c>
      <c r="G5257" s="1" t="s">
        <v>92</v>
      </c>
      <c r="H5257">
        <v>90056</v>
      </c>
      <c r="I5257">
        <v>700</v>
      </c>
      <c r="J5257">
        <v>700</v>
      </c>
      <c r="K5257">
        <v>1386</v>
      </c>
      <c r="L5257">
        <v>1980</v>
      </c>
    </row>
    <row r="5258" spans="1:12" hidden="1" x14ac:dyDescent="0.25">
      <c r="A5258">
        <v>5257</v>
      </c>
      <c r="B5258" s="1" t="s">
        <v>12</v>
      </c>
      <c r="C5258">
        <v>2024</v>
      </c>
      <c r="D5258" s="1" t="s">
        <v>352</v>
      </c>
      <c r="E5258" s="1" t="s">
        <v>77</v>
      </c>
      <c r="F5258">
        <v>90</v>
      </c>
      <c r="G5258" s="1" t="s">
        <v>354</v>
      </c>
      <c r="H5258">
        <v>90091</v>
      </c>
      <c r="I5258">
        <v>250</v>
      </c>
      <c r="J5258">
        <v>250</v>
      </c>
      <c r="K5258">
        <v>445</v>
      </c>
      <c r="L5258">
        <v>1780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1056-3DA5-440C-92BC-D2B1F6A81E66}">
  <dimension ref="A1:E38"/>
  <sheetViews>
    <sheetView tabSelected="1" workbookViewId="0">
      <selection activeCell="H8" sqref="H8"/>
    </sheetView>
  </sheetViews>
  <sheetFormatPr baseColWidth="10" defaultRowHeight="15" x14ac:dyDescent="0.25"/>
  <cols>
    <col min="1" max="1" width="20.5703125" bestFit="1" customWidth="1"/>
    <col min="2" max="2" width="31.140625" bestFit="1" customWidth="1"/>
    <col min="3" max="3" width="31.85546875" bestFit="1" customWidth="1"/>
    <col min="4" max="4" width="33.28515625" bestFit="1" customWidth="1"/>
    <col min="5" max="5" width="31.28515625" bestFit="1" customWidth="1"/>
    <col min="6" max="6" width="30.42578125" bestFit="1" customWidth="1"/>
    <col min="7" max="99" width="9.85546875" bestFit="1" customWidth="1"/>
    <col min="100" max="100" width="19.7109375" bestFit="1" customWidth="1"/>
    <col min="101" max="197" width="9.85546875" bestFit="1" customWidth="1"/>
  </cols>
  <sheetData>
    <row r="1" spans="1:5" ht="23.25" x14ac:dyDescent="0.35">
      <c r="A1" s="18" t="s">
        <v>355</v>
      </c>
      <c r="B1" s="19" t="s">
        <v>369</v>
      </c>
      <c r="C1" s="19" t="s">
        <v>370</v>
      </c>
      <c r="D1" s="19" t="s">
        <v>361</v>
      </c>
      <c r="E1" s="19" t="s">
        <v>371</v>
      </c>
    </row>
    <row r="2" spans="1:5" x14ac:dyDescent="0.25">
      <c r="A2" s="14" t="s">
        <v>22</v>
      </c>
      <c r="B2" s="16">
        <v>948586</v>
      </c>
      <c r="C2" s="16">
        <v>933417</v>
      </c>
      <c r="D2" s="16">
        <v>3172237</v>
      </c>
      <c r="E2" s="16">
        <v>178342</v>
      </c>
    </row>
    <row r="3" spans="1:5" x14ac:dyDescent="0.25">
      <c r="A3" s="15" t="s">
        <v>339</v>
      </c>
      <c r="B3" s="16">
        <v>306528</v>
      </c>
      <c r="C3" s="16">
        <v>305772</v>
      </c>
      <c r="D3" s="16">
        <v>1096907</v>
      </c>
      <c r="E3" s="16">
        <v>50110</v>
      </c>
    </row>
    <row r="4" spans="1:5" x14ac:dyDescent="0.25">
      <c r="A4" s="15" t="s">
        <v>340</v>
      </c>
      <c r="B4" s="16">
        <v>318284</v>
      </c>
      <c r="C4" s="16">
        <v>314214</v>
      </c>
      <c r="D4" s="16">
        <v>1021036</v>
      </c>
      <c r="E4" s="16">
        <v>65322</v>
      </c>
    </row>
    <row r="5" spans="1:5" x14ac:dyDescent="0.25">
      <c r="A5" s="15" t="s">
        <v>344</v>
      </c>
      <c r="B5" s="16">
        <v>323774</v>
      </c>
      <c r="C5" s="16">
        <v>313431</v>
      </c>
      <c r="D5" s="16">
        <v>1054294</v>
      </c>
      <c r="E5" s="16">
        <v>62910</v>
      </c>
    </row>
    <row r="6" spans="1:5" x14ac:dyDescent="0.25">
      <c r="A6" s="14" t="s">
        <v>158</v>
      </c>
      <c r="B6" s="16">
        <v>98403</v>
      </c>
      <c r="C6" s="16">
        <v>98274</v>
      </c>
      <c r="D6" s="16">
        <v>324553</v>
      </c>
      <c r="E6" s="16">
        <v>134300</v>
      </c>
    </row>
    <row r="7" spans="1:5" x14ac:dyDescent="0.25">
      <c r="A7" s="15" t="s">
        <v>339</v>
      </c>
      <c r="B7" s="16">
        <v>20510</v>
      </c>
      <c r="C7" s="16">
        <v>20402</v>
      </c>
      <c r="D7" s="16">
        <v>77456</v>
      </c>
      <c r="E7" s="16">
        <v>37899</v>
      </c>
    </row>
    <row r="8" spans="1:5" x14ac:dyDescent="0.25">
      <c r="A8" s="15" t="s">
        <v>340</v>
      </c>
      <c r="B8" s="16">
        <v>39009</v>
      </c>
      <c r="C8" s="16">
        <v>39009</v>
      </c>
      <c r="D8" s="16">
        <v>111171</v>
      </c>
      <c r="E8" s="16">
        <v>40800</v>
      </c>
    </row>
    <row r="9" spans="1:5" x14ac:dyDescent="0.25">
      <c r="A9" s="15" t="s">
        <v>344</v>
      </c>
      <c r="B9" s="16">
        <v>38884</v>
      </c>
      <c r="C9" s="16">
        <v>38863</v>
      </c>
      <c r="D9" s="16">
        <v>135926</v>
      </c>
      <c r="E9" s="16">
        <v>55601</v>
      </c>
    </row>
    <row r="10" spans="1:5" x14ac:dyDescent="0.25">
      <c r="A10" s="14" t="s">
        <v>176</v>
      </c>
      <c r="B10" s="16">
        <v>55914</v>
      </c>
      <c r="C10" s="16">
        <v>55114</v>
      </c>
      <c r="D10" s="16">
        <v>175413</v>
      </c>
      <c r="E10" s="16">
        <v>69630</v>
      </c>
    </row>
    <row r="11" spans="1:5" x14ac:dyDescent="0.25">
      <c r="A11" s="15" t="s">
        <v>339</v>
      </c>
      <c r="B11" s="16">
        <v>15850</v>
      </c>
      <c r="C11" s="16">
        <v>15550</v>
      </c>
      <c r="D11" s="16">
        <v>56105</v>
      </c>
      <c r="E11" s="16">
        <v>27600</v>
      </c>
    </row>
    <row r="12" spans="1:5" x14ac:dyDescent="0.25">
      <c r="A12" s="15" t="s">
        <v>340</v>
      </c>
      <c r="B12" s="16">
        <v>21372</v>
      </c>
      <c r="C12" s="16">
        <v>21172</v>
      </c>
      <c r="D12" s="16">
        <v>58706</v>
      </c>
      <c r="E12" s="16">
        <v>20600</v>
      </c>
    </row>
    <row r="13" spans="1:5" x14ac:dyDescent="0.25">
      <c r="A13" s="15" t="s">
        <v>344</v>
      </c>
      <c r="B13" s="16">
        <v>18692</v>
      </c>
      <c r="C13" s="16">
        <v>18392</v>
      </c>
      <c r="D13" s="16">
        <v>60602</v>
      </c>
      <c r="E13" s="16">
        <v>21430</v>
      </c>
    </row>
    <row r="14" spans="1:5" x14ac:dyDescent="0.25">
      <c r="A14" s="14" t="s">
        <v>116</v>
      </c>
      <c r="B14" s="16">
        <v>43035</v>
      </c>
      <c r="C14" s="16">
        <v>43035</v>
      </c>
      <c r="D14" s="16">
        <v>127278</v>
      </c>
      <c r="E14" s="16">
        <v>45080</v>
      </c>
    </row>
    <row r="15" spans="1:5" x14ac:dyDescent="0.25">
      <c r="A15" s="15" t="s">
        <v>339</v>
      </c>
      <c r="B15" s="16">
        <v>10450</v>
      </c>
      <c r="C15" s="16">
        <v>10450</v>
      </c>
      <c r="D15" s="16">
        <v>26413</v>
      </c>
      <c r="E15" s="16">
        <v>10380</v>
      </c>
    </row>
    <row r="16" spans="1:5" x14ac:dyDescent="0.25">
      <c r="A16" s="15" t="s">
        <v>340</v>
      </c>
      <c r="B16" s="16">
        <v>12900</v>
      </c>
      <c r="C16" s="16">
        <v>12900</v>
      </c>
      <c r="D16" s="16">
        <v>43720</v>
      </c>
      <c r="E16" s="16">
        <v>17900</v>
      </c>
    </row>
    <row r="17" spans="1:5" x14ac:dyDescent="0.25">
      <c r="A17" s="15" t="s">
        <v>344</v>
      </c>
      <c r="B17" s="16">
        <v>19685</v>
      </c>
      <c r="C17" s="16">
        <v>19685</v>
      </c>
      <c r="D17" s="16">
        <v>57145</v>
      </c>
      <c r="E17" s="16">
        <v>16800</v>
      </c>
    </row>
    <row r="18" spans="1:5" x14ac:dyDescent="0.25">
      <c r="A18" s="14" t="s">
        <v>64</v>
      </c>
      <c r="B18" s="16">
        <v>24200</v>
      </c>
      <c r="C18" s="16">
        <v>24200</v>
      </c>
      <c r="D18" s="16">
        <v>75740</v>
      </c>
      <c r="E18" s="16">
        <v>9400</v>
      </c>
    </row>
    <row r="19" spans="1:5" x14ac:dyDescent="0.25">
      <c r="A19" s="15" t="s">
        <v>339</v>
      </c>
      <c r="B19" s="16">
        <v>6500</v>
      </c>
      <c r="C19" s="16">
        <v>6500</v>
      </c>
      <c r="D19" s="16">
        <v>20800</v>
      </c>
      <c r="E19" s="16">
        <v>3200</v>
      </c>
    </row>
    <row r="20" spans="1:5" x14ac:dyDescent="0.25">
      <c r="A20" s="15" t="s">
        <v>340</v>
      </c>
      <c r="B20" s="16">
        <v>8500</v>
      </c>
      <c r="C20" s="16">
        <v>8500</v>
      </c>
      <c r="D20" s="16">
        <v>25500</v>
      </c>
      <c r="E20" s="16">
        <v>3000</v>
      </c>
    </row>
    <row r="21" spans="1:5" x14ac:dyDescent="0.25">
      <c r="A21" s="15" t="s">
        <v>344</v>
      </c>
      <c r="B21" s="16">
        <v>9200</v>
      </c>
      <c r="C21" s="16">
        <v>9200</v>
      </c>
      <c r="D21" s="16">
        <v>29440</v>
      </c>
      <c r="E21" s="16">
        <v>3200</v>
      </c>
    </row>
    <row r="22" spans="1:5" x14ac:dyDescent="0.25">
      <c r="A22" s="14" t="s">
        <v>87</v>
      </c>
      <c r="B22" s="16">
        <v>14646</v>
      </c>
      <c r="C22" s="16">
        <v>14646</v>
      </c>
      <c r="D22" s="16">
        <v>13023</v>
      </c>
      <c r="E22" s="16">
        <v>8201</v>
      </c>
    </row>
    <row r="23" spans="1:5" x14ac:dyDescent="0.25">
      <c r="A23" s="15" t="s">
        <v>339</v>
      </c>
      <c r="B23" s="16">
        <v>5875</v>
      </c>
      <c r="C23" s="16">
        <v>5875</v>
      </c>
      <c r="D23" s="16">
        <v>4922</v>
      </c>
      <c r="E23" s="16">
        <v>2501</v>
      </c>
    </row>
    <row r="24" spans="1:5" x14ac:dyDescent="0.25">
      <c r="A24" s="15" t="s">
        <v>340</v>
      </c>
      <c r="B24" s="16">
        <v>4101</v>
      </c>
      <c r="C24" s="16">
        <v>4101</v>
      </c>
      <c r="D24" s="16">
        <v>3819</v>
      </c>
      <c r="E24" s="16">
        <v>2900</v>
      </c>
    </row>
    <row r="25" spans="1:5" x14ac:dyDescent="0.25">
      <c r="A25" s="15" t="s">
        <v>344</v>
      </c>
      <c r="B25" s="16">
        <v>4670</v>
      </c>
      <c r="C25" s="16">
        <v>4670</v>
      </c>
      <c r="D25" s="16">
        <v>4282</v>
      </c>
      <c r="E25" s="16">
        <v>2800</v>
      </c>
    </row>
    <row r="26" spans="1:5" x14ac:dyDescent="0.25">
      <c r="A26" s="14" t="s">
        <v>80</v>
      </c>
      <c r="B26" s="16">
        <v>4400</v>
      </c>
      <c r="C26" s="16">
        <v>4290</v>
      </c>
      <c r="D26" s="16">
        <v>6710</v>
      </c>
      <c r="E26" s="16">
        <v>5200</v>
      </c>
    </row>
    <row r="27" spans="1:5" x14ac:dyDescent="0.25">
      <c r="A27" s="15" t="s">
        <v>339</v>
      </c>
      <c r="B27" s="16">
        <v>2200</v>
      </c>
      <c r="C27" s="16">
        <v>2090</v>
      </c>
      <c r="D27" s="16">
        <v>2090</v>
      </c>
      <c r="E27" s="16">
        <v>1000</v>
      </c>
    </row>
    <row r="28" spans="1:5" x14ac:dyDescent="0.25">
      <c r="A28" s="15" t="s">
        <v>340</v>
      </c>
      <c r="B28" s="16">
        <v>1100</v>
      </c>
      <c r="C28" s="16">
        <v>1100</v>
      </c>
      <c r="D28" s="16">
        <v>2090</v>
      </c>
      <c r="E28" s="16">
        <v>1900</v>
      </c>
    </row>
    <row r="29" spans="1:5" x14ac:dyDescent="0.25">
      <c r="A29" s="15" t="s">
        <v>344</v>
      </c>
      <c r="B29" s="16">
        <v>1100</v>
      </c>
      <c r="C29" s="16">
        <v>1100</v>
      </c>
      <c r="D29" s="16">
        <v>2530</v>
      </c>
      <c r="E29" s="16">
        <v>2300</v>
      </c>
    </row>
    <row r="30" spans="1:5" x14ac:dyDescent="0.25">
      <c r="A30" s="14" t="s">
        <v>77</v>
      </c>
      <c r="B30" s="16">
        <v>1650</v>
      </c>
      <c r="C30" s="16">
        <v>1646</v>
      </c>
      <c r="D30" s="16">
        <v>2898</v>
      </c>
      <c r="E30" s="16">
        <v>13900</v>
      </c>
    </row>
    <row r="31" spans="1:5" x14ac:dyDescent="0.25">
      <c r="A31" s="15" t="s">
        <v>339</v>
      </c>
      <c r="B31" s="16">
        <v>150</v>
      </c>
      <c r="C31" s="16">
        <v>150</v>
      </c>
      <c r="D31" s="16">
        <v>150</v>
      </c>
      <c r="E31" s="16">
        <v>1000</v>
      </c>
    </row>
    <row r="32" spans="1:5" x14ac:dyDescent="0.25">
      <c r="A32" s="15" t="s">
        <v>340</v>
      </c>
      <c r="B32" s="16">
        <v>560</v>
      </c>
      <c r="C32" s="16">
        <v>560</v>
      </c>
      <c r="D32" s="16">
        <v>960</v>
      </c>
      <c r="E32" s="16">
        <v>5200</v>
      </c>
    </row>
    <row r="33" spans="1:5" x14ac:dyDescent="0.25">
      <c r="A33" s="15" t="s">
        <v>344</v>
      </c>
      <c r="B33" s="16">
        <v>940</v>
      </c>
      <c r="C33" s="16">
        <v>936</v>
      </c>
      <c r="D33" s="16">
        <v>1788</v>
      </c>
      <c r="E33" s="16">
        <v>7700</v>
      </c>
    </row>
    <row r="34" spans="1:5" x14ac:dyDescent="0.25">
      <c r="A34" s="14" t="s">
        <v>53</v>
      </c>
      <c r="B34" s="16">
        <v>988</v>
      </c>
      <c r="C34" s="16">
        <v>988</v>
      </c>
      <c r="D34" s="16">
        <v>988</v>
      </c>
      <c r="E34" s="16">
        <v>6000</v>
      </c>
    </row>
    <row r="35" spans="1:5" x14ac:dyDescent="0.25">
      <c r="A35" s="15" t="s">
        <v>339</v>
      </c>
      <c r="B35" s="16">
        <v>588</v>
      </c>
      <c r="C35" s="16">
        <v>588</v>
      </c>
      <c r="D35" s="16">
        <v>588</v>
      </c>
      <c r="E35" s="16">
        <v>2000</v>
      </c>
    </row>
    <row r="36" spans="1:5" x14ac:dyDescent="0.25">
      <c r="A36" s="15" t="s">
        <v>340</v>
      </c>
      <c r="B36" s="16">
        <v>200</v>
      </c>
      <c r="C36" s="16">
        <v>200</v>
      </c>
      <c r="D36" s="16">
        <v>240</v>
      </c>
      <c r="E36" s="16">
        <v>2400</v>
      </c>
    </row>
    <row r="37" spans="1:5" x14ac:dyDescent="0.25">
      <c r="A37" s="15" t="s">
        <v>344</v>
      </c>
      <c r="B37" s="16">
        <v>200</v>
      </c>
      <c r="C37" s="16">
        <v>200</v>
      </c>
      <c r="D37" s="16">
        <v>160</v>
      </c>
      <c r="E37" s="16">
        <v>1600</v>
      </c>
    </row>
    <row r="38" spans="1:5" x14ac:dyDescent="0.25">
      <c r="A38" s="14" t="s">
        <v>368</v>
      </c>
      <c r="B38" s="16">
        <v>1191822</v>
      </c>
      <c r="C38" s="16">
        <v>1175610</v>
      </c>
      <c r="D38" s="16">
        <v>3898840</v>
      </c>
      <c r="E38" s="16">
        <v>470053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C4DF-C846-444F-B000-CFEE0E42CC2C}">
  <dimension ref="B11:D22"/>
  <sheetViews>
    <sheetView showGridLines="0" showRowColHeaders="0" workbookViewId="0">
      <selection activeCell="S31" sqref="S31"/>
    </sheetView>
  </sheetViews>
  <sheetFormatPr baseColWidth="10" defaultRowHeight="15" x14ac:dyDescent="0.25"/>
  <cols>
    <col min="1" max="1" width="11.5703125" customWidth="1"/>
    <col min="2" max="2" width="19.28515625" bestFit="1" customWidth="1"/>
    <col min="3" max="3" width="19.7109375" bestFit="1" customWidth="1"/>
    <col min="4" max="4" width="26.140625" customWidth="1"/>
    <col min="5" max="5" width="8" bestFit="1" customWidth="1"/>
    <col min="6" max="6" width="19.7109375" bestFit="1" customWidth="1"/>
    <col min="7" max="9" width="8" bestFit="1" customWidth="1"/>
    <col min="10" max="10" width="19.7109375" bestFit="1" customWidth="1"/>
    <col min="11" max="11" width="9.85546875" bestFit="1" customWidth="1"/>
    <col min="12" max="12" width="8.42578125" bestFit="1" customWidth="1"/>
    <col min="13" max="13" width="9.85546875" bestFit="1" customWidth="1"/>
    <col min="14" max="14" width="8.42578125" bestFit="1" customWidth="1"/>
    <col min="15" max="15" width="9.85546875" bestFit="1" customWidth="1"/>
    <col min="16" max="16" width="8.42578125" bestFit="1" customWidth="1"/>
    <col min="17" max="17" width="9.85546875" bestFit="1" customWidth="1"/>
  </cols>
  <sheetData>
    <row r="11" spans="2:4" x14ac:dyDescent="0.25">
      <c r="B11" s="13" t="s">
        <v>358</v>
      </c>
      <c r="C11" t="s">
        <v>369</v>
      </c>
      <c r="D11" t="s">
        <v>370</v>
      </c>
    </row>
    <row r="12" spans="2:4" x14ac:dyDescent="0.25">
      <c r="B12" s="14" t="s">
        <v>29</v>
      </c>
      <c r="C12" s="17">
        <v>324000</v>
      </c>
      <c r="D12" s="17">
        <v>324000</v>
      </c>
    </row>
    <row r="13" spans="2:4" x14ac:dyDescent="0.25">
      <c r="B13" s="15">
        <v>2021</v>
      </c>
      <c r="C13" s="17">
        <v>89000</v>
      </c>
      <c r="D13" s="17">
        <v>89000</v>
      </c>
    </row>
    <row r="14" spans="2:4" x14ac:dyDescent="0.25">
      <c r="B14" s="15">
        <v>2022</v>
      </c>
      <c r="C14" s="17">
        <v>69000</v>
      </c>
      <c r="D14" s="17">
        <v>69000</v>
      </c>
    </row>
    <row r="15" spans="2:4" x14ac:dyDescent="0.25">
      <c r="B15" s="15">
        <v>2023</v>
      </c>
      <c r="C15" s="17">
        <v>81000</v>
      </c>
      <c r="D15" s="17">
        <v>81000</v>
      </c>
    </row>
    <row r="16" spans="2:4" x14ac:dyDescent="0.25">
      <c r="B16" s="15">
        <v>2024</v>
      </c>
      <c r="C16" s="17">
        <v>85000</v>
      </c>
      <c r="D16" s="17">
        <v>85000</v>
      </c>
    </row>
    <row r="17" spans="2:4" x14ac:dyDescent="0.25">
      <c r="B17" s="14" t="s">
        <v>257</v>
      </c>
      <c r="C17" s="17">
        <v>57500</v>
      </c>
      <c r="D17" s="17">
        <v>57500</v>
      </c>
    </row>
    <row r="18" spans="2:4" x14ac:dyDescent="0.25">
      <c r="B18" s="15">
        <v>2021</v>
      </c>
      <c r="C18" s="17">
        <v>11000</v>
      </c>
      <c r="D18" s="17">
        <v>11000</v>
      </c>
    </row>
    <row r="19" spans="2:4" x14ac:dyDescent="0.25">
      <c r="B19" s="15">
        <v>2022</v>
      </c>
      <c r="C19" s="17">
        <v>17000</v>
      </c>
      <c r="D19" s="17">
        <v>17000</v>
      </c>
    </row>
    <row r="20" spans="2:4" x14ac:dyDescent="0.25">
      <c r="B20" s="15">
        <v>2023</v>
      </c>
      <c r="C20" s="17">
        <v>12000</v>
      </c>
      <c r="D20" s="17">
        <v>12000</v>
      </c>
    </row>
    <row r="21" spans="2:4" x14ac:dyDescent="0.25">
      <c r="B21" s="15">
        <v>2024</v>
      </c>
      <c r="C21" s="17">
        <v>17500</v>
      </c>
      <c r="D21" s="17">
        <v>17500</v>
      </c>
    </row>
    <row r="22" spans="2:4" x14ac:dyDescent="0.25">
      <c r="B22" s="14" t="s">
        <v>368</v>
      </c>
      <c r="C22" s="17">
        <v>381500</v>
      </c>
      <c r="D22" s="17">
        <v>381500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3F08-A220-47C0-B7AC-AE34E0524C18}">
  <dimension ref="A2:S236"/>
  <sheetViews>
    <sheetView topLeftCell="A123" zoomScale="80" zoomScaleNormal="80" workbookViewId="0">
      <selection activeCell="J162" sqref="J162"/>
    </sheetView>
  </sheetViews>
  <sheetFormatPr baseColWidth="10" defaultRowHeight="15" x14ac:dyDescent="0.25"/>
  <cols>
    <col min="1" max="1" width="21.42578125" customWidth="1"/>
    <col min="2" max="2" width="22.7109375" customWidth="1"/>
    <col min="3" max="3" width="32" customWidth="1"/>
    <col min="4" max="4" width="22.28515625" customWidth="1"/>
    <col min="5" max="5" width="18" customWidth="1"/>
    <col min="6" max="6" width="18.85546875" customWidth="1"/>
    <col min="7" max="7" width="22.140625" customWidth="1"/>
    <col min="8" max="10" width="14.140625" bestFit="1" customWidth="1"/>
    <col min="11" max="11" width="13.140625" bestFit="1" customWidth="1"/>
    <col min="13" max="15" width="14.140625" bestFit="1" customWidth="1"/>
  </cols>
  <sheetData>
    <row r="2" spans="1:17" x14ac:dyDescent="0.25">
      <c r="A2" s="23" t="s">
        <v>363</v>
      </c>
      <c r="B2" s="23" t="s">
        <v>364</v>
      </c>
      <c r="C2" s="23" t="s">
        <v>365</v>
      </c>
      <c r="D2" s="23" t="s">
        <v>366</v>
      </c>
      <c r="E2" s="23" t="s">
        <v>367</v>
      </c>
      <c r="G2" s="23" t="s">
        <v>372</v>
      </c>
      <c r="H2" s="23"/>
      <c r="I2" s="23"/>
      <c r="J2" s="23"/>
      <c r="K2" s="23"/>
    </row>
    <row r="3" spans="1:17" x14ac:dyDescent="0.25">
      <c r="A3" s="23" t="str" cm="1">
        <f t="array" ref="A3:A7">_xlfn.CHOOSECOLS(_xlfn.TAKE(_xlfn._xlws.SORT(_xlfn._xlws.FILTER(Produccion_mani[], (Produccion_mani[provincia_nombre]=provincia)*(Produccion_mani[campania]=campania)), 9, 1),- 5),7)</f>
        <v>Tercero Arriba</v>
      </c>
      <c r="B3" s="31" cm="1">
        <f t="array" ref="B3:B7">_xlfn.CHOOSECOLS(_xlfn.TAKE(_xlfn._xlws.SORT(_xlfn._xlws.FILTER(Produccion_mani[], (Produccion_mani[provincia_nombre]=provincia)*(Produccion_mani[campania]=campania)), 9, 1), -5),9)</f>
        <v>18000</v>
      </c>
      <c r="C3" s="31" cm="1">
        <f t="array" ref="C3:C7">_xlfn.CHOOSECOLS(_xlfn.TAKE(_xlfn._xlws.SORT(_xlfn._xlws.FILTER(Produccion_mani[], (Produccion_mani[provincia_nombre]=provincia)*(Produccion_mani[campania]=campania)), 9, 1), -5),10)</f>
        <v>18000</v>
      </c>
      <c r="D3" s="31" cm="1">
        <f t="array" ref="D3:D7">_xlfn.CHOOSECOLS(_xlfn.TAKE(_xlfn._xlws.SORT(_xlfn._xlws.FILTER(Produccion_mani[], (Produccion_mani[provincia_nombre]=provincia)*(Produccion_mani[campania]=campania)), 9, 1), -5),11)</f>
        <v>63000</v>
      </c>
      <c r="E3" s="31" cm="1">
        <f t="array" ref="E3:E7">_xlfn.CHOOSECOLS(_xlfn.TAKE(_xlfn._xlws.SORT(_xlfn._xlws.FILTER(Produccion_mani[], (Produccion_mani[provincia_nombre]=provincia)*(Produccion_mani[campania]=campania)), 9, 1), -5),12)</f>
        <v>3500</v>
      </c>
      <c r="G3" s="23" t="s">
        <v>373</v>
      </c>
      <c r="H3" s="23" t="s">
        <v>374</v>
      </c>
      <c r="I3" s="23" t="s">
        <v>375</v>
      </c>
      <c r="J3" s="23" t="s">
        <v>376</v>
      </c>
      <c r="K3" s="23"/>
      <c r="M3" s="23" t="s">
        <v>388</v>
      </c>
      <c r="N3" s="23"/>
      <c r="O3" s="23"/>
      <c r="P3" s="23"/>
      <c r="Q3" s="23"/>
    </row>
    <row r="4" spans="1:17" x14ac:dyDescent="0.25">
      <c r="A4" s="23" t="str">
        <v>Presidente Roque Sáenz Peña</v>
      </c>
      <c r="B4" s="31">
        <v>23940</v>
      </c>
      <c r="C4" s="31">
        <v>23666</v>
      </c>
      <c r="D4" s="31">
        <v>82831</v>
      </c>
      <c r="E4" s="31">
        <v>3500</v>
      </c>
      <c r="G4" s="23" t="str" cm="1">
        <f t="array" ref="G4:G21">_xlfn.UNIQUE(Produccion_mani[provincia_nombre])</f>
        <v>Chaco</v>
      </c>
      <c r="H4" s="31" cm="1">
        <f t="array" ref="H4">SUM(IF((Produccion_mani[provincia_nombre]=G4),Produccion_mani[produccion_tm]))</f>
        <v>24753</v>
      </c>
      <c r="I4" s="31" cm="1">
        <f t="array" ref="I4">SUM(IF((Produccion_mani[provincia_nombre]=G4),Produccion_mani[superficie_sembrada_ha]))</f>
        <v>29354</v>
      </c>
      <c r="J4" s="31" cm="1">
        <f t="array" ref="J4">SUM(IF((Produccion_mani[provincia_nombre]=G4),Produccion_mani[superficie_cosechada_ha]))</f>
        <v>26695</v>
      </c>
      <c r="K4" s="31" cm="1">
        <f t="array" ref="K4">SUM(IF((Produccion_mani[provincia_nombre]=G4),Produccion_mani[rendimiento_kgxha]))</f>
        <v>227574</v>
      </c>
      <c r="M4" s="23" t="str" cm="1">
        <f t="array" ref="M4:M21">_xlfn.UNIQUE(Produccion_mani[provincia_nombre])</f>
        <v>Chaco</v>
      </c>
      <c r="N4" s="33" cm="1">
        <f t="array" ref="N4">AVERAGE(IF((Produccion_mani[provincia_nombre]=G4),Produccion_mani[produccion_tm]))</f>
        <v>69.923728813559322</v>
      </c>
      <c r="O4" s="33" cm="1">
        <f t="array" ref="O4">AVERAGE(IF((Produccion_mani[provincia_nombre]=G4),Produccion_mani[superficie_sembrada_ha]))</f>
        <v>82.920903954802256</v>
      </c>
      <c r="P4" s="33" cm="1">
        <f t="array" ref="P4">AVERAGE(IF((Produccion_mani[provincia_nombre]=G4),Produccion_mani[superficie_cosechada_ha]))</f>
        <v>75.409604519774007</v>
      </c>
      <c r="Q4" s="24" cm="1">
        <f t="array" ref="Q4">AVERAGE(IF((Produccion_mani[provincia_nombre]=G4),Produccion_mani[rendimiento_kgxha]))</f>
        <v>642.86440677966107</v>
      </c>
    </row>
    <row r="5" spans="1:17" x14ac:dyDescent="0.25">
      <c r="A5" s="23" t="str">
        <v>Juárez Celman</v>
      </c>
      <c r="B5" s="31">
        <v>32500</v>
      </c>
      <c r="C5" s="31">
        <v>32500</v>
      </c>
      <c r="D5" s="31">
        <v>116675</v>
      </c>
      <c r="E5" s="31">
        <v>3590</v>
      </c>
      <c r="G5" s="23" t="str">
        <v>Córdoba</v>
      </c>
      <c r="H5" s="31" cm="1">
        <f t="array" ref="H5">SUM(IF((Produccion_mani[provincia_nombre]=G5),Produccion_mani[produccion_tm]))</f>
        <v>34220930</v>
      </c>
      <c r="I5" s="31" cm="1">
        <f t="array" ref="I5">SUM(IF((Produccion_mani[provincia_nombre]=G5),Produccion_mani[superficie_sembrada_ha]))</f>
        <v>20942037</v>
      </c>
      <c r="J5" s="31" cm="1">
        <f t="array" ref="J5">SUM(IF((Produccion_mani[provincia_nombre]=G5),Produccion_mani[superficie_cosechada_ha]))</f>
        <v>20156675</v>
      </c>
      <c r="K5" s="31" cm="1">
        <f t="array" ref="K5">SUM(IF((Produccion_mani[provincia_nombre]=G5),Produccion_mani[rendimiento_kgxha]))</f>
        <v>1787341</v>
      </c>
      <c r="M5" s="23" t="str">
        <v>Córdoba</v>
      </c>
      <c r="N5" s="33" cm="1">
        <f t="array" ref="N5">AVERAGE(IF((Produccion_mani[provincia_nombre]=G5),Produccion_mani[produccion_tm]))</f>
        <v>28976.23200677392</v>
      </c>
      <c r="O5" s="33" cm="1">
        <f t="array" ref="O5">AVERAGE(IF((Produccion_mani[provincia_nombre]=G5),Produccion_mani[superficie_sembrada_ha]))</f>
        <v>17732.461473327687</v>
      </c>
      <c r="P5" s="33" cm="1">
        <f t="array" ref="P5">AVERAGE(IF((Produccion_mani[provincia_nombre]=G5),Produccion_mani[superficie_cosechada_ha]))</f>
        <v>17067.46401354784</v>
      </c>
      <c r="Q5" s="24" cm="1">
        <f t="array" ref="Q5">AVERAGE(IF((Produccion_mani[provincia_nombre]=G5),Produccion_mani[rendimiento_kgxha]))</f>
        <v>1513.4132091447925</v>
      </c>
    </row>
    <row r="6" spans="1:17" x14ac:dyDescent="0.25">
      <c r="A6" s="23" t="str">
        <v>Río Cuarto</v>
      </c>
      <c r="B6" s="31">
        <v>89000</v>
      </c>
      <c r="C6" s="31">
        <v>89000</v>
      </c>
      <c r="D6" s="31">
        <v>319510</v>
      </c>
      <c r="E6" s="31">
        <v>3590</v>
      </c>
      <c r="G6" s="23" t="str">
        <v>Corrientes</v>
      </c>
      <c r="H6" s="31" cm="1">
        <f t="array" ref="H6">SUM(IF((Produccion_mani[provincia_nombre]=G6),Produccion_mani[produccion_tm]))</f>
        <v>66651</v>
      </c>
      <c r="I6" s="31" cm="1">
        <f t="array" ref="I6">SUM(IF((Produccion_mani[provincia_nombre]=G6),Produccion_mani[superficie_sembrada_ha]))</f>
        <v>82657</v>
      </c>
      <c r="J6" s="31" cm="1">
        <f t="array" ref="J6">SUM(IF((Produccion_mani[provincia_nombre]=G6),Produccion_mani[superficie_cosechada_ha]))</f>
        <v>69955</v>
      </c>
      <c r="K6" s="31" cm="1">
        <f t="array" ref="K6">SUM(IF((Produccion_mani[provincia_nombre]=G6),Produccion_mani[rendimiento_kgxha]))</f>
        <v>787396</v>
      </c>
      <c r="M6" s="23" t="str">
        <v>Corrientes</v>
      </c>
      <c r="N6" s="33" cm="1">
        <f t="array" ref="N6">AVERAGE(IF((Produccion_mani[provincia_nombre]=G6),Produccion_mani[produccion_tm]))</f>
        <v>66.650999999999996</v>
      </c>
      <c r="O6" s="33" cm="1">
        <f t="array" ref="O6">AVERAGE(IF((Produccion_mani[provincia_nombre]=G6),Produccion_mani[superficie_sembrada_ha]))</f>
        <v>82.656999999999996</v>
      </c>
      <c r="P6" s="33" cm="1">
        <f t="array" ref="P6">AVERAGE(IF((Produccion_mani[provincia_nombre]=G6),Produccion_mani[superficie_cosechada_ha]))</f>
        <v>69.954999999999998</v>
      </c>
      <c r="Q6" s="24" cm="1">
        <f t="array" ref="Q6">AVERAGE(IF((Produccion_mani[provincia_nombre]=G6),Produccion_mani[rendimiento_kgxha]))</f>
        <v>787.39599999999996</v>
      </c>
    </row>
    <row r="7" spans="1:17" x14ac:dyDescent="0.25">
      <c r="A7" s="23" t="str">
        <v>General Roca</v>
      </c>
      <c r="B7" s="31">
        <v>90060</v>
      </c>
      <c r="C7" s="31">
        <v>89878</v>
      </c>
      <c r="D7" s="31">
        <v>314573</v>
      </c>
      <c r="E7" s="31">
        <v>3500</v>
      </c>
      <c r="G7" s="23" t="str">
        <v>Entre Ríos</v>
      </c>
      <c r="H7" s="31" cm="1">
        <f t="array" ref="H7">SUM(IF((Produccion_mani[provincia_nombre]=G7),Produccion_mani[produccion_tm]))</f>
        <v>186177</v>
      </c>
      <c r="I7" s="31" cm="1">
        <f t="array" ref="I7">SUM(IF((Produccion_mani[provincia_nombre]=G7),Produccion_mani[superficie_sembrada_ha]))</f>
        <v>204725</v>
      </c>
      <c r="J7" s="31" cm="1">
        <f t="array" ref="J7">SUM(IF((Produccion_mani[provincia_nombre]=G7),Produccion_mani[superficie_cosechada_ha]))</f>
        <v>174772</v>
      </c>
      <c r="K7" s="31" cm="1">
        <f t="array" ref="K7">SUM(IF((Produccion_mani[provincia_nombre]=G7),Produccion_mani[rendimiento_kgxha]))</f>
        <v>140905</v>
      </c>
      <c r="M7" s="23" t="str">
        <v>Entre Ríos</v>
      </c>
      <c r="N7" s="33" cm="1">
        <f t="array" ref="N7">AVERAGE(IF((Produccion_mani[provincia_nombre]=G7),Produccion_mani[produccion_tm]))</f>
        <v>921.66831683168311</v>
      </c>
      <c r="O7" s="33" cm="1">
        <f t="array" ref="O7">AVERAGE(IF((Produccion_mani[provincia_nombre]=G7),Produccion_mani[superficie_sembrada_ha]))</f>
        <v>1013.490099009901</v>
      </c>
      <c r="P7" s="33" cm="1">
        <f t="array" ref="P7">AVERAGE(IF((Produccion_mani[provincia_nombre]=G7),Produccion_mani[superficie_cosechada_ha]))</f>
        <v>865.20792079207922</v>
      </c>
      <c r="Q7" s="24" cm="1">
        <f t="array" ref="Q7">AVERAGE(IF((Produccion_mani[provincia_nombre]=G7),Produccion_mani[rendimiento_kgxha]))</f>
        <v>697.54950495049502</v>
      </c>
    </row>
    <row r="8" spans="1:17" x14ac:dyDescent="0.25">
      <c r="B8" s="9"/>
      <c r="D8" s="9"/>
      <c r="E8" s="9"/>
      <c r="G8" s="23" t="str">
        <v>Formosa</v>
      </c>
      <c r="H8" s="31" cm="1">
        <f t="array" ref="H8">SUM(IF((Produccion_mani[provincia_nombre]=G8),Produccion_mani[produccion_tm]))</f>
        <v>21618</v>
      </c>
      <c r="I8" s="31" cm="1">
        <f t="array" ref="I8">SUM(IF((Produccion_mani[provincia_nombre]=G8),Produccion_mani[superficie_sembrada_ha]))</f>
        <v>18510</v>
      </c>
      <c r="J8" s="31" cm="1">
        <f t="array" ref="J8">SUM(IF((Produccion_mani[provincia_nombre]=G8),Produccion_mani[superficie_cosechada_ha]))</f>
        <v>17149</v>
      </c>
      <c r="K8" s="31" cm="1">
        <f t="array" ref="K8">SUM(IF((Produccion_mani[provincia_nombre]=G8),Produccion_mani[rendimiento_kgxha]))</f>
        <v>274671</v>
      </c>
      <c r="M8" s="23" t="str">
        <v>Formosa</v>
      </c>
      <c r="N8" s="33" cm="1">
        <f t="array" ref="N8">AVERAGE(IF((Produccion_mani[provincia_nombre]=G8),Produccion_mani[produccion_tm]))</f>
        <v>71.58278145695364</v>
      </c>
      <c r="O8" s="33" cm="1">
        <f t="array" ref="O8">AVERAGE(IF((Produccion_mani[provincia_nombre]=G8),Produccion_mani[superficie_sembrada_ha]))</f>
        <v>61.29139072847682</v>
      </c>
      <c r="P8" s="33" cm="1">
        <f t="array" ref="P8">AVERAGE(IF((Produccion_mani[provincia_nombre]=G8),Produccion_mani[superficie_cosechada_ha]))</f>
        <v>56.784768211920529</v>
      </c>
      <c r="Q8" s="24" cm="1">
        <f t="array" ref="Q8">AVERAGE(IF((Produccion_mani[provincia_nombre]=G8),Produccion_mani[rendimiento_kgxha]))</f>
        <v>909.50662251655626</v>
      </c>
    </row>
    <row r="9" spans="1:17" x14ac:dyDescent="0.25">
      <c r="G9" s="23" t="str">
        <v>Jujuy</v>
      </c>
      <c r="H9" s="31" cm="1">
        <f t="array" ref="H9">SUM(IF((Produccion_mani[provincia_nombre]=G9),Produccion_mani[produccion_tm]))</f>
        <v>13910</v>
      </c>
      <c r="I9" s="31" cm="1">
        <f t="array" ref="I9">SUM(IF((Produccion_mani[provincia_nombre]=G9),Produccion_mani[superficie_sembrada_ha]))</f>
        <v>11962</v>
      </c>
      <c r="J9" s="31" cm="1">
        <f t="array" ref="J9">SUM(IF((Produccion_mani[provincia_nombre]=G9),Produccion_mani[superficie_cosechada_ha]))</f>
        <v>11429</v>
      </c>
      <c r="K9" s="31" cm="1">
        <f t="array" ref="K9">SUM(IF((Produccion_mani[provincia_nombre]=G9),Produccion_mani[rendimiento_kgxha]))</f>
        <v>63070</v>
      </c>
      <c r="M9" s="23" t="str">
        <v>Jujuy</v>
      </c>
      <c r="N9" s="33" cm="1">
        <f t="array" ref="N9">AVERAGE(IF((Produccion_mani[provincia_nombre]=G9),Produccion_mani[produccion_tm]))</f>
        <v>248.39285714285714</v>
      </c>
      <c r="O9" s="33" cm="1">
        <f t="array" ref="O9">AVERAGE(IF((Produccion_mani[provincia_nombre]=G9),Produccion_mani[superficie_sembrada_ha]))</f>
        <v>213.60714285714286</v>
      </c>
      <c r="P9" s="33" cm="1">
        <f t="array" ref="P9">AVERAGE(IF((Produccion_mani[provincia_nombre]=G9),Produccion_mani[superficie_cosechada_ha]))</f>
        <v>204.08928571428572</v>
      </c>
      <c r="Q9" s="24" cm="1">
        <f t="array" ref="Q9">AVERAGE(IF((Produccion_mani[provincia_nombre]=G9),Produccion_mani[rendimiento_kgxha]))</f>
        <v>1126.25</v>
      </c>
    </row>
    <row r="10" spans="1:17" x14ac:dyDescent="0.25">
      <c r="G10" s="23" t="str">
        <v>Misiones</v>
      </c>
      <c r="H10" s="31" cm="1">
        <f t="array" ref="H10">SUM(IF((Produccion_mani[provincia_nombre]=G10),Produccion_mani[produccion_tm]))</f>
        <v>20260</v>
      </c>
      <c r="I10" s="31" cm="1">
        <f t="array" ref="I10">SUM(IF((Produccion_mani[provincia_nombre]=G10),Produccion_mani[superficie_sembrada_ha]))</f>
        <v>27464</v>
      </c>
      <c r="J10" s="31" cm="1">
        <f t="array" ref="J10">SUM(IF((Produccion_mani[provincia_nombre]=G10),Produccion_mani[superficie_cosechada_ha]))</f>
        <v>22667</v>
      </c>
      <c r="K10" s="31" cm="1">
        <f t="array" ref="K10">SUM(IF((Produccion_mani[provincia_nombre]=G10),Produccion_mani[rendimiento_kgxha]))</f>
        <v>543358</v>
      </c>
      <c r="M10" s="23" t="str">
        <v>Misiones</v>
      </c>
      <c r="N10" s="33" cm="1">
        <f t="array" ref="N10">AVERAGE(IF((Produccion_mani[provincia_nombre]=G10),Produccion_mani[produccion_tm]))</f>
        <v>28.656294200848656</v>
      </c>
      <c r="O10" s="33" cm="1">
        <f t="array" ref="O10">AVERAGE(IF((Produccion_mani[provincia_nombre]=G10),Produccion_mani[superficie_sembrada_ha]))</f>
        <v>38.845827439886847</v>
      </c>
      <c r="P10" s="33" cm="1">
        <f t="array" ref="P10">AVERAGE(IF((Produccion_mani[provincia_nombre]=G10),Produccion_mani[superficie_cosechada_ha]))</f>
        <v>32.060820367751063</v>
      </c>
      <c r="Q10" s="24" cm="1">
        <f t="array" ref="Q10">AVERAGE(IF((Produccion_mani[provincia_nombre]=G10),Produccion_mani[rendimiento_kgxha]))</f>
        <v>768.54031117397449</v>
      </c>
    </row>
    <row r="11" spans="1:17" x14ac:dyDescent="0.25">
      <c r="G11" s="23" t="str">
        <v>Santa Fe</v>
      </c>
      <c r="H11" s="31" cm="1">
        <f t="array" ref="H11">SUM(IF((Produccion_mani[provincia_nombre]=G11),Produccion_mani[produccion_tm]))</f>
        <v>528321</v>
      </c>
      <c r="I11" s="31" cm="1">
        <f t="array" ref="I11">SUM(IF((Produccion_mani[provincia_nombre]=G11),Produccion_mani[superficie_sembrada_ha]))</f>
        <v>367795</v>
      </c>
      <c r="J11" s="31" cm="1">
        <f t="array" ref="J11">SUM(IF((Produccion_mani[provincia_nombre]=G11),Produccion_mani[superficie_cosechada_ha]))</f>
        <v>323838</v>
      </c>
      <c r="K11" s="31" cm="1">
        <f t="array" ref="K11">SUM(IF((Produccion_mani[provincia_nombre]=G11),Produccion_mani[rendimiento_kgxha]))</f>
        <v>319249</v>
      </c>
      <c r="M11" s="23" t="str">
        <v>Santa Fe</v>
      </c>
      <c r="N11" s="33" cm="1">
        <f t="array" ref="N11">AVERAGE(IF((Produccion_mani[provincia_nombre]=G11),Produccion_mani[produccion_tm]))</f>
        <v>2238.648305084746</v>
      </c>
      <c r="O11" s="33" cm="1">
        <f t="array" ref="O11">AVERAGE(IF((Produccion_mani[provincia_nombre]=G11),Produccion_mani[superficie_sembrada_ha]))</f>
        <v>1558.4533898305085</v>
      </c>
      <c r="P11" s="33" cm="1">
        <f t="array" ref="P11">AVERAGE(IF((Produccion_mani[provincia_nombre]=G11),Produccion_mani[superficie_cosechada_ha]))</f>
        <v>1372.1949152542372</v>
      </c>
      <c r="Q11" s="24" cm="1">
        <f t="array" ref="Q11">AVERAGE(IF((Produccion_mani[provincia_nombre]=G11),Produccion_mani[rendimiento_kgxha]))</f>
        <v>1352.75</v>
      </c>
    </row>
    <row r="12" spans="1:17" x14ac:dyDescent="0.25">
      <c r="G12" s="23" t="str">
        <v>Santiago del Estero</v>
      </c>
      <c r="H12" s="31" cm="1">
        <f t="array" ref="H12">SUM(IF((Produccion_mani[provincia_nombre]=G12),Produccion_mani[produccion_tm]))</f>
        <v>2754</v>
      </c>
      <c r="I12" s="31" cm="1">
        <f t="array" ref="I12">SUM(IF((Produccion_mani[provincia_nombre]=G12),Produccion_mani[superficie_sembrada_ha]))</f>
        <v>3065</v>
      </c>
      <c r="J12" s="31" cm="1">
        <f t="array" ref="J12">SUM(IF((Produccion_mani[provincia_nombre]=G12),Produccion_mani[superficie_cosechada_ha]))</f>
        <v>2600</v>
      </c>
      <c r="K12" s="31" cm="1">
        <f t="array" ref="K12">SUM(IF((Produccion_mani[provincia_nombre]=G12),Produccion_mani[rendimiento_kgxha]))</f>
        <v>104417</v>
      </c>
      <c r="M12" s="23" t="str">
        <v>Santiago del Estero</v>
      </c>
      <c r="N12" s="33" cm="1">
        <f t="array" ref="N12">AVERAGE(IF((Produccion_mani[provincia_nombre]=G12),Produccion_mani[produccion_tm]))</f>
        <v>20.25</v>
      </c>
      <c r="O12" s="33" cm="1">
        <f t="array" ref="O12">AVERAGE(IF((Produccion_mani[provincia_nombre]=G12),Produccion_mani[superficie_sembrada_ha]))</f>
        <v>22.536764705882351</v>
      </c>
      <c r="P12" s="33" cm="1">
        <f t="array" ref="P12">AVERAGE(IF((Produccion_mani[provincia_nombre]=G12),Produccion_mani[superficie_cosechada_ha]))</f>
        <v>19.117647058823529</v>
      </c>
      <c r="Q12" s="24" cm="1">
        <f t="array" ref="Q12">AVERAGE(IF((Produccion_mani[provincia_nombre]=G12),Produccion_mani[rendimiento_kgxha]))</f>
        <v>767.77205882352939</v>
      </c>
    </row>
    <row r="13" spans="1:17" x14ac:dyDescent="0.25">
      <c r="G13" s="23" t="str">
        <v>Tucumán</v>
      </c>
      <c r="H13" s="31" cm="1">
        <f t="array" ref="H13">SUM(IF((Produccion_mani[provincia_nombre]=G13),Produccion_mani[produccion_tm]))</f>
        <v>56633</v>
      </c>
      <c r="I13" s="31" cm="1">
        <f t="array" ref="I13">SUM(IF((Produccion_mani[provincia_nombre]=G13),Produccion_mani[superficie_sembrada_ha]))</f>
        <v>58489</v>
      </c>
      <c r="J13" s="31" cm="1">
        <f t="array" ref="J13">SUM(IF((Produccion_mani[provincia_nombre]=G13),Produccion_mani[superficie_cosechada_ha]))</f>
        <v>49058</v>
      </c>
      <c r="K13" s="31" cm="1">
        <f t="array" ref="K13">SUM(IF((Produccion_mani[provincia_nombre]=G13),Produccion_mani[rendimiento_kgxha]))</f>
        <v>305269</v>
      </c>
      <c r="M13" s="23" t="str">
        <v>Tucumán</v>
      </c>
      <c r="N13" s="33" cm="1">
        <f t="array" ref="N13">AVERAGE(IF((Produccion_mani[provincia_nombre]=G13),Produccion_mani[produccion_tm]))</f>
        <v>183.87337662337663</v>
      </c>
      <c r="O13" s="33" cm="1">
        <f t="array" ref="O13">AVERAGE(IF((Produccion_mani[provincia_nombre]=G13),Produccion_mani[superficie_sembrada_ha]))</f>
        <v>189.89935064935065</v>
      </c>
      <c r="P13" s="33" cm="1">
        <f t="array" ref="P13">AVERAGE(IF((Produccion_mani[provincia_nombre]=G13),Produccion_mani[superficie_cosechada_ha]))</f>
        <v>159.27922077922079</v>
      </c>
      <c r="Q13" s="24" cm="1">
        <f t="array" ref="Q13">AVERAGE(IF((Produccion_mani[provincia_nombre]=G13),Produccion_mani[rendimiento_kgxha]))</f>
        <v>991.13311688311683</v>
      </c>
    </row>
    <row r="14" spans="1:17" x14ac:dyDescent="0.25">
      <c r="G14" s="23" t="str">
        <v>Catamarca</v>
      </c>
      <c r="H14" s="31" cm="1">
        <f t="array" ref="H14">SUM(IF((Produccion_mani[provincia_nombre]=G14),Produccion_mani[produccion_tm]))</f>
        <v>11537</v>
      </c>
      <c r="I14" s="31" cm="1">
        <f t="array" ref="I14">SUM(IF((Produccion_mani[provincia_nombre]=G14),Produccion_mani[superficie_sembrada_ha]))</f>
        <v>8117</v>
      </c>
      <c r="J14" s="31" cm="1">
        <f t="array" ref="J14">SUM(IF((Produccion_mani[provincia_nombre]=G14),Produccion_mani[superficie_cosechada_ha]))</f>
        <v>7677</v>
      </c>
      <c r="K14" s="31" cm="1">
        <f t="array" ref="K14">SUM(IF((Produccion_mani[provincia_nombre]=G14),Produccion_mani[rendimiento_kgxha]))</f>
        <v>22081</v>
      </c>
      <c r="M14" s="23" t="str">
        <v>Catamarca</v>
      </c>
      <c r="N14" s="33" cm="1">
        <f t="array" ref="N14">AVERAGE(IF((Produccion_mani[provincia_nombre]=G14),Produccion_mani[produccion_tm]))</f>
        <v>501.60869565217394</v>
      </c>
      <c r="O14" s="33" cm="1">
        <f t="array" ref="O14">AVERAGE(IF((Produccion_mani[provincia_nombre]=G14),Produccion_mani[superficie_sembrada_ha]))</f>
        <v>352.91304347826087</v>
      </c>
      <c r="P14" s="33" cm="1">
        <f t="array" ref="P14">AVERAGE(IF((Produccion_mani[provincia_nombre]=G14),Produccion_mani[superficie_cosechada_ha]))</f>
        <v>333.78260869565219</v>
      </c>
      <c r="Q14" s="24" cm="1">
        <f t="array" ref="Q14">AVERAGE(IF((Produccion_mani[provincia_nombre]=G14),Produccion_mani[rendimiento_kgxha]))</f>
        <v>960.04347826086962</v>
      </c>
    </row>
    <row r="15" spans="1:17" x14ac:dyDescent="0.25">
      <c r="G15" s="23" t="str">
        <v>Salta</v>
      </c>
      <c r="H15" s="31" cm="1">
        <f t="array" ref="H15">SUM(IF((Produccion_mani[provincia_nombre]=G15),Produccion_mani[produccion_tm]))</f>
        <v>251121</v>
      </c>
      <c r="I15" s="31" cm="1">
        <f t="array" ref="I15">SUM(IF((Produccion_mani[provincia_nombre]=G15),Produccion_mani[superficie_sembrada_ha]))</f>
        <v>200589</v>
      </c>
      <c r="J15" s="31" cm="1">
        <f t="array" ref="J15">SUM(IF((Produccion_mani[provincia_nombre]=G15),Produccion_mani[superficie_cosechada_ha]))</f>
        <v>189877</v>
      </c>
      <c r="K15" s="31" cm="1">
        <f t="array" ref="K15">SUM(IF((Produccion_mani[provincia_nombre]=G15),Produccion_mani[rendimiento_kgxha]))</f>
        <v>375429</v>
      </c>
      <c r="M15" s="23" t="str">
        <v>Salta</v>
      </c>
      <c r="N15" s="33" cm="1">
        <f t="array" ref="N15">AVERAGE(IF((Produccion_mani[provincia_nombre]=G15),Produccion_mani[produccion_tm]))</f>
        <v>831.52649006622516</v>
      </c>
      <c r="O15" s="33" cm="1">
        <f t="array" ref="O15">AVERAGE(IF((Produccion_mani[provincia_nombre]=G15),Produccion_mani[superficie_sembrada_ha]))</f>
        <v>664.20198675496692</v>
      </c>
      <c r="P15" s="33" cm="1">
        <f t="array" ref="P15">AVERAGE(IF((Produccion_mani[provincia_nombre]=G15),Produccion_mani[superficie_cosechada_ha]))</f>
        <v>628.73178807947022</v>
      </c>
      <c r="Q15" s="24" cm="1">
        <f t="array" ref="Q15">AVERAGE(IF((Produccion_mani[provincia_nombre]=G15),Produccion_mani[rendimiento_kgxha]))</f>
        <v>1243.1423841059602</v>
      </c>
    </row>
    <row r="16" spans="1:17" x14ac:dyDescent="0.25">
      <c r="G16" s="23" t="str">
        <v>San Juan</v>
      </c>
      <c r="H16" s="31" cm="1">
        <f t="array" ref="H16">SUM(IF((Produccion_mani[provincia_nombre]=G16),Produccion_mani[produccion_tm]))</f>
        <v>36</v>
      </c>
      <c r="I16" s="31" cm="1">
        <f t="array" ref="I16">SUM(IF((Produccion_mani[provincia_nombre]=G16),Produccion_mani[superficie_sembrada_ha]))</f>
        <v>39</v>
      </c>
      <c r="J16" s="31" cm="1">
        <f t="array" ref="J16">SUM(IF((Produccion_mani[provincia_nombre]=G16),Produccion_mani[superficie_cosechada_ha]))</f>
        <v>32</v>
      </c>
      <c r="K16" s="31" cm="1">
        <f t="array" ref="K16">SUM(IF((Produccion_mani[provincia_nombre]=G16),Produccion_mani[rendimiento_kgxha]))</f>
        <v>9217</v>
      </c>
      <c r="M16" s="23" t="str">
        <v>San Juan</v>
      </c>
      <c r="N16" s="33" cm="1">
        <f t="array" ref="N16">AVERAGE(IF((Produccion_mani[provincia_nombre]=G16),Produccion_mani[produccion_tm]))</f>
        <v>4</v>
      </c>
      <c r="O16" s="33" cm="1">
        <f t="array" ref="O16">AVERAGE(IF((Produccion_mani[provincia_nombre]=G16),Produccion_mani[superficie_sembrada_ha]))</f>
        <v>4.333333333333333</v>
      </c>
      <c r="P16" s="33" cm="1">
        <f t="array" ref="P16">AVERAGE(IF((Produccion_mani[provincia_nombre]=G16),Produccion_mani[superficie_cosechada_ha]))</f>
        <v>3.5555555555555554</v>
      </c>
      <c r="Q16" s="24" cm="1">
        <f t="array" ref="Q16">AVERAGE(IF((Produccion_mani[provincia_nombre]=G16),Produccion_mani[rendimiento_kgxha]))</f>
        <v>1024.1111111111111</v>
      </c>
    </row>
    <row r="17" spans="1:19" x14ac:dyDescent="0.25">
      <c r="G17" s="23" t="str">
        <v>San Luis</v>
      </c>
      <c r="H17" s="31" cm="1">
        <f t="array" ref="H17">SUM(IF((Produccion_mani[provincia_nombre]=G17),Produccion_mani[produccion_tm]))</f>
        <v>717565</v>
      </c>
      <c r="I17" s="31" cm="1">
        <f t="array" ref="I17">SUM(IF((Produccion_mani[provincia_nombre]=G17),Produccion_mani[superficie_sembrada_ha]))</f>
        <v>254411</v>
      </c>
      <c r="J17" s="31" cm="1">
        <f t="array" ref="J17">SUM(IF((Produccion_mani[provincia_nombre]=G17),Produccion_mani[superficie_cosechada_ha]))</f>
        <v>243919</v>
      </c>
      <c r="K17" s="31" cm="1">
        <f t="array" ref="K17">SUM(IF((Produccion_mani[provincia_nombre]=G17),Produccion_mani[rendimiento_kgxha]))</f>
        <v>294312</v>
      </c>
      <c r="M17" s="23" t="str">
        <v>San Luis</v>
      </c>
      <c r="N17" s="33" cm="1">
        <f t="array" ref="N17">AVERAGE(IF((Produccion_mani[provincia_nombre]=G17),Produccion_mani[produccion_tm]))</f>
        <v>4752.0860927152316</v>
      </c>
      <c r="O17" s="33" cm="1">
        <f t="array" ref="O17">AVERAGE(IF((Produccion_mani[provincia_nombre]=G17),Produccion_mani[superficie_sembrada_ha]))</f>
        <v>1684.841059602649</v>
      </c>
      <c r="P17" s="33" cm="1">
        <f t="array" ref="P17">AVERAGE(IF((Produccion_mani[provincia_nombre]=G17),Produccion_mani[superficie_cosechada_ha]))</f>
        <v>1615.3576158940398</v>
      </c>
      <c r="Q17" s="24" cm="1">
        <f t="array" ref="Q17">AVERAGE(IF((Produccion_mani[provincia_nombre]=G17),Produccion_mani[rendimiento_kgxha]))</f>
        <v>1949.0860927152319</v>
      </c>
    </row>
    <row r="18" spans="1:19" x14ac:dyDescent="0.25">
      <c r="G18" s="23" t="str">
        <v>Mendoza</v>
      </c>
      <c r="H18" s="31" cm="1">
        <f t="array" ref="H18">SUM(IF((Produccion_mani[provincia_nombre]=G18),Produccion_mani[produccion_tm]))</f>
        <v>935</v>
      </c>
      <c r="I18" s="31" cm="1">
        <f t="array" ref="I18">SUM(IF((Produccion_mani[provincia_nombre]=G18),Produccion_mani[superficie_sembrada_ha]))</f>
        <v>1759</v>
      </c>
      <c r="J18" s="31" cm="1">
        <f t="array" ref="J18">SUM(IF((Produccion_mani[provincia_nombre]=G18),Produccion_mani[superficie_cosechada_ha]))</f>
        <v>1143</v>
      </c>
      <c r="K18" s="31" cm="1">
        <f t="array" ref="K18">SUM(IF((Produccion_mani[provincia_nombre]=G18),Produccion_mani[rendimiento_kgxha]))</f>
        <v>26628</v>
      </c>
      <c r="M18" s="23" t="str">
        <v>Mendoza</v>
      </c>
      <c r="N18" s="33" cm="1">
        <f t="array" ref="N18">AVERAGE(IF((Produccion_mani[provincia_nombre]=G18),Produccion_mani[produccion_tm]))</f>
        <v>27.5</v>
      </c>
      <c r="O18" s="33" cm="1">
        <f t="array" ref="O18">AVERAGE(IF((Produccion_mani[provincia_nombre]=G18),Produccion_mani[superficie_sembrada_ha]))</f>
        <v>51.735294117647058</v>
      </c>
      <c r="P18" s="33" cm="1">
        <f t="array" ref="P18">AVERAGE(IF((Produccion_mani[provincia_nombre]=G18),Produccion_mani[superficie_cosechada_ha]))</f>
        <v>33.617647058823529</v>
      </c>
      <c r="Q18" s="24" cm="1">
        <f t="array" ref="Q18">AVERAGE(IF((Produccion_mani[provincia_nombre]=G18),Produccion_mani[rendimiento_kgxha]))</f>
        <v>783.17647058823525</v>
      </c>
    </row>
    <row r="19" spans="1:19" x14ac:dyDescent="0.25">
      <c r="G19" s="23" t="str">
        <v>Buenos Aires</v>
      </c>
      <c r="H19" s="31" cm="1">
        <f t="array" ref="H19">SUM(IF((Produccion_mani[provincia_nombre]=G19),Produccion_mani[produccion_tm]))</f>
        <v>1069917</v>
      </c>
      <c r="I19" s="31" cm="1">
        <f t="array" ref="I19">SUM(IF((Produccion_mani[provincia_nombre]=G19),Produccion_mani[superficie_sembrada_ha]))</f>
        <v>317539</v>
      </c>
      <c r="J19" s="31" cm="1">
        <f t="array" ref="J19">SUM(IF((Produccion_mani[provincia_nombre]=G19),Produccion_mani[superficie_cosechada_ha]))</f>
        <v>317134</v>
      </c>
      <c r="K19" s="31" cm="1">
        <f t="array" ref="K19">SUM(IF((Produccion_mani[provincia_nombre]=G19),Produccion_mani[rendimiento_kgxha]))</f>
        <v>410784</v>
      </c>
      <c r="M19" s="23" t="str">
        <v>Buenos Aires</v>
      </c>
      <c r="N19" s="33" cm="1">
        <f t="array" ref="N19">AVERAGE(IF((Produccion_mani[provincia_nombre]=G19),Produccion_mani[produccion_tm]))</f>
        <v>7809.6131386861316</v>
      </c>
      <c r="O19" s="33" cm="1">
        <f t="array" ref="O19">AVERAGE(IF((Produccion_mani[provincia_nombre]=G19),Produccion_mani[superficie_sembrada_ha]))</f>
        <v>2317.8029197080291</v>
      </c>
      <c r="P19" s="33" cm="1">
        <f t="array" ref="P19">AVERAGE(IF((Produccion_mani[provincia_nombre]=G19),Produccion_mani[superficie_cosechada_ha]))</f>
        <v>2314.8467153284673</v>
      </c>
      <c r="Q19" s="24" cm="1">
        <f t="array" ref="Q19">AVERAGE(IF((Produccion_mani[provincia_nombre]=G19),Produccion_mani[rendimiento_kgxha]))</f>
        <v>2998.4233576642337</v>
      </c>
    </row>
    <row r="20" spans="1:19" x14ac:dyDescent="0.25">
      <c r="G20" s="23" t="str">
        <v>La Pampa</v>
      </c>
      <c r="H20" s="31" cm="1">
        <f t="array" ref="H20">SUM(IF((Produccion_mani[provincia_nombre]=G20),Produccion_mani[produccion_tm]))</f>
        <v>1061142</v>
      </c>
      <c r="I20" s="31" cm="1">
        <f t="array" ref="I20">SUM(IF((Produccion_mani[provincia_nombre]=G20),Produccion_mani[superficie_sembrada_ha]))</f>
        <v>375821</v>
      </c>
      <c r="J20" s="31" cm="1">
        <f t="array" ref="J20">SUM(IF((Produccion_mani[provincia_nombre]=G20),Produccion_mani[superficie_cosechada_ha]))</f>
        <v>363789</v>
      </c>
      <c r="K20" s="31" cm="1">
        <f t="array" ref="K20">SUM(IF((Produccion_mani[provincia_nombre]=G20),Produccion_mani[rendimiento_kgxha]))</f>
        <v>336986</v>
      </c>
      <c r="M20" s="23" t="str">
        <v>La Pampa</v>
      </c>
      <c r="N20" s="33" cm="1">
        <f t="array" ref="N20">AVERAGE(IF((Produccion_mani[provincia_nombre]=G20),Produccion_mani[produccion_tm]))</f>
        <v>8992.7288135593226</v>
      </c>
      <c r="O20" s="33" cm="1">
        <f t="array" ref="O20">AVERAGE(IF((Produccion_mani[provincia_nombre]=G20),Produccion_mani[superficie_sembrada_ha]))</f>
        <v>3184.9237288135591</v>
      </c>
      <c r="P20" s="33" cm="1">
        <f t="array" ref="P20">AVERAGE(IF((Produccion_mani[provincia_nombre]=G20),Produccion_mani[superficie_cosechada_ha]))</f>
        <v>3082.9576271186443</v>
      </c>
      <c r="Q20" s="24" cm="1">
        <f t="array" ref="Q20">AVERAGE(IF((Produccion_mani[provincia_nombre]=G20),Produccion_mani[rendimiento_kgxha]))</f>
        <v>2855.8135593220341</v>
      </c>
    </row>
    <row r="21" spans="1:19" x14ac:dyDescent="0.25">
      <c r="G21" s="23" t="str">
        <v>La Rioja</v>
      </c>
      <c r="H21" s="31" cm="1">
        <f t="array" ref="H21">SUM(IF((Produccion_mani[provincia_nombre]=G21),Produccion_mani[produccion_tm]))</f>
        <v>0</v>
      </c>
      <c r="I21" s="31" cm="1">
        <f t="array" ref="I21">SUM(IF((Produccion_mani[provincia_nombre]=G21),Produccion_mani[superficie_sembrada_ha]))</f>
        <v>270</v>
      </c>
      <c r="J21" s="31" cm="1">
        <f t="array" ref="J21">SUM(IF((Produccion_mani[provincia_nombre]=G21),Produccion_mani[superficie_cosechada_ha]))</f>
        <v>0</v>
      </c>
      <c r="K21" s="31" cm="1">
        <f t="array" ref="K21">SUM(IF((Produccion_mani[provincia_nombre]=G21),Produccion_mani[rendimiento_kgxha]))</f>
        <v>0</v>
      </c>
      <c r="M21" s="23" t="str">
        <v>La Rioja</v>
      </c>
      <c r="N21" s="33" cm="1">
        <f t="array" ref="N21">AVERAGE(IF((Produccion_mani[provincia_nombre]=G21),Produccion_mani[produccion_tm]))</f>
        <v>0</v>
      </c>
      <c r="O21" s="33" cm="1">
        <f t="array" ref="O21">AVERAGE(IF((Produccion_mani[provincia_nombre]=G21),Produccion_mani[superficie_sembrada_ha]))</f>
        <v>270</v>
      </c>
      <c r="P21" s="33" cm="1">
        <f t="array" ref="P21">AVERAGE(IF((Produccion_mani[provincia_nombre]=G21),Produccion_mani[superficie_cosechada_ha]))</f>
        <v>0</v>
      </c>
      <c r="Q21" s="24" cm="1">
        <f t="array" ref="Q21">AVERAGE(IF((Produccion_mani[provincia_nombre]=G21),Produccion_mani[rendimiento_kgxha]))</f>
        <v>0</v>
      </c>
    </row>
    <row r="23" spans="1:19" x14ac:dyDescent="0.25">
      <c r="H23" s="9"/>
    </row>
    <row r="29" spans="1:19" x14ac:dyDescent="0.25">
      <c r="A29" s="23" t="s">
        <v>392</v>
      </c>
      <c r="B29" s="31" t="str" cm="1">
        <f t="array" ref="B29:S29">TRANSPOSE(_xlfn.ANCHORARRAY(A137))</f>
        <v>Chaco</v>
      </c>
      <c r="C29" s="23" t="str">
        <v>Córdoba</v>
      </c>
      <c r="D29" s="23" t="str">
        <v>Corrientes</v>
      </c>
      <c r="E29" s="23" t="str">
        <v>Entre Ríos</v>
      </c>
      <c r="F29" s="23" t="str">
        <v>Formosa</v>
      </c>
      <c r="G29" s="23" t="str">
        <v>Jujuy</v>
      </c>
      <c r="H29" s="23" t="str">
        <v>Misiones</v>
      </c>
      <c r="I29" s="23" t="str">
        <v>Santa Fe</v>
      </c>
      <c r="J29" s="23" t="str">
        <v>Santiago del Estero</v>
      </c>
      <c r="K29" s="23" t="str">
        <v>Tucumán</v>
      </c>
      <c r="L29" s="23" t="str">
        <v>Catamarca</v>
      </c>
      <c r="M29" s="23" t="str">
        <v>Salta</v>
      </c>
      <c r="N29" s="23" t="str">
        <v>San Juan</v>
      </c>
      <c r="O29" s="23" t="str">
        <v>San Luis</v>
      </c>
      <c r="P29" s="23" t="str">
        <v>Mendoza</v>
      </c>
      <c r="Q29" s="23" t="str">
        <v>Buenos Aires</v>
      </c>
      <c r="R29" s="23" t="str">
        <v>La Pampa</v>
      </c>
      <c r="S29" s="23" t="str">
        <v>La Rioja</v>
      </c>
    </row>
    <row r="30" spans="1:19" x14ac:dyDescent="0.25">
      <c r="A30" s="23" t="str" cm="1">
        <f t="array" ref="A30:A127">_xlfn.UNIQUE(Produccion_mani[campania])</f>
        <v>1927/1928</v>
      </c>
      <c r="B30" s="31" cm="1">
        <f t="array" ref="B30">SUM(IF((Produccion_mani[provincia_nombre]=B$29)*(Produccion_mani[campania]=A30),Produccion_mani[produccion_tm]))</f>
        <v>3775</v>
      </c>
      <c r="C30" s="31" cm="1">
        <f t="array" ref="C30">SUM(IF((Produccion_mani[provincia_nombre]=C$29)*(Produccion_mani[campania]=A30),Produccion_mani[produccion_tm]))</f>
        <v>32742</v>
      </c>
      <c r="D30" s="31" cm="1">
        <f t="array" ref="D30">SUM(IF((Produccion_mani[provincia_nombre]=D$29)*(Produccion_mani[campania]=A30),Produccion_mani[produccion_tm]))</f>
        <v>2724</v>
      </c>
      <c r="E30" s="31" cm="1">
        <f t="array" ref="E30">SUM(IF((Produccion_mani[provincia_nombre]=E$29)*(Produccion_mani[campania]=A30),Produccion_mani[produccion_tm]))</f>
        <v>11640</v>
      </c>
      <c r="F30" s="31" cm="1">
        <f t="array" ref="F30">SUM(IF((Produccion_mani[provincia_nombre]=F$29)*(Produccion_mani[campania]=A30),Produccion_mani[produccion_tm]))</f>
        <v>100</v>
      </c>
      <c r="G30" s="31" cm="1">
        <f t="array" ref="G30">SUM(IF((Produccion_mani[provincia_nombre]=G$29)*(Produccion_mani[campania]=A30),Produccion_mani[produccion_tm]))</f>
        <v>27</v>
      </c>
      <c r="H30" s="31" cm="1">
        <f t="array" ref="H30">SUM(IF((Produccion_mani[provincia_nombre]=H$29)*(Produccion_mani[campania]=A30),Produccion_mani[produccion_tm]))</f>
        <v>529</v>
      </c>
      <c r="I30" s="31" cm="1">
        <f t="array" ref="I30">SUM(IF((Produccion_mani[provincia_nombre]=I$29)*(Produccion_mani[campania]=A30),Produccion_mani[produccion_tm]))</f>
        <v>12906</v>
      </c>
      <c r="J30" s="31" cm="1">
        <f t="array" ref="J30">SUM(IF((Produccion_mani[provincia_nombre]=J$29)*(Produccion_mani[campania]=A30),Produccion_mani[produccion_tm]))</f>
        <v>98</v>
      </c>
      <c r="K30" s="31" cm="1">
        <f t="array" ref="K30">SUM(IF((Produccion_mani[provincia_nombre]=K$29)*(Produccion_mani[campania]=A30),Produccion_mani[produccion_tm]))</f>
        <v>183</v>
      </c>
      <c r="L30" s="31" cm="1">
        <f t="array" ref="L30">SUM(IF((Produccion_mani[provincia_nombre]=L$29)*(Produccion_mani[campania]=A30),Produccion_mani[produccion_tm]))</f>
        <v>0</v>
      </c>
      <c r="M30" s="31" cm="1">
        <f t="array" ref="M30">SUM(IF((Produccion_mani[provincia_nombre]=M$29)*(Produccion_mani[campania]=A30),Produccion_mani[produccion_tm]))</f>
        <v>0</v>
      </c>
      <c r="N30" s="31" cm="1">
        <f t="array" ref="N30">SUM(IF((Produccion_mani[provincia_nombre]=N$29)*(Produccion_mani[campania]=A30),Produccion_mani[produccion_tm]))</f>
        <v>0</v>
      </c>
      <c r="O30" s="31" cm="1">
        <f t="array" ref="O30">SUM(IF((Produccion_mani[provincia_nombre]=O$29)*(Produccion_mani[campania]=A30),Produccion_mani[produccion_tm]))</f>
        <v>0</v>
      </c>
      <c r="P30" s="31" cm="1">
        <f t="array" ref="P30">SUM(IF((Produccion_mani[provincia_nombre]=P$29)*(Produccion_mani[campania]=A30),Produccion_mani[produccion_tm]))</f>
        <v>0</v>
      </c>
      <c r="Q30" s="31" cm="1">
        <f t="array" ref="Q30">SUM(IF((Produccion_mani[provincia_nombre]=Q$29)*(Produccion_mani[campania]=A30),Produccion_mani[produccion_tm]))</f>
        <v>0</v>
      </c>
      <c r="R30" s="31" cm="1">
        <f t="array" ref="R30">SUM(IF((Produccion_mani[provincia_nombre]=R$29)*(Produccion_mani[campania]=A30),Produccion_mani[produccion_tm]))</f>
        <v>0</v>
      </c>
      <c r="S30" s="31" cm="1">
        <f t="array" ref="S30">SUM(IF((Produccion_mani[provincia_nombre]=S$29)*(Produccion_mani[campania]=A30),Produccion_mani[produccion_tm]))</f>
        <v>0</v>
      </c>
    </row>
    <row r="31" spans="1:19" x14ac:dyDescent="0.25">
      <c r="A31" s="23" t="str">
        <v>1928/1929</v>
      </c>
      <c r="B31" s="31" cm="1">
        <f t="array" ref="B31">SUM(IF((Produccion_mani[provincia_nombre]=B$29)*(Produccion_mani[campania]=A31),Produccion_mani[produccion_tm]))</f>
        <v>1205</v>
      </c>
      <c r="C31" s="31" cm="1">
        <f t="array" ref="C31">SUM(IF((Produccion_mani[provincia_nombre]=C$29)*(Produccion_mani[campania]=A31),Produccion_mani[produccion_tm]))</f>
        <v>11930</v>
      </c>
      <c r="D31" s="31" cm="1">
        <f t="array" ref="D31">SUM(IF((Produccion_mani[provincia_nombre]=D$29)*(Produccion_mani[campania]=A31),Produccion_mani[produccion_tm]))</f>
        <v>2774</v>
      </c>
      <c r="E31" s="31" cm="1">
        <f t="array" ref="E31">SUM(IF((Produccion_mani[provincia_nombre]=E$29)*(Produccion_mani[campania]=A31),Produccion_mani[produccion_tm]))</f>
        <v>13920</v>
      </c>
      <c r="F31" s="31" cm="1">
        <f t="array" ref="F31">SUM(IF((Produccion_mani[provincia_nombre]=F$29)*(Produccion_mani[campania]=A31),Produccion_mani[produccion_tm]))</f>
        <v>16</v>
      </c>
      <c r="G31" s="31" cm="1">
        <f t="array" ref="G31">SUM(IF((Produccion_mani[provincia_nombre]=G$29)*(Produccion_mani[campania]=A31),Produccion_mani[produccion_tm]))</f>
        <v>0</v>
      </c>
      <c r="H31" s="31" cm="1">
        <f t="array" ref="H31">SUM(IF((Produccion_mani[provincia_nombre]=H$29)*(Produccion_mani[campania]=A31),Produccion_mani[produccion_tm]))</f>
        <v>611</v>
      </c>
      <c r="I31" s="31" cm="1">
        <f t="array" ref="I31">SUM(IF((Produccion_mani[provincia_nombre]=I$29)*(Produccion_mani[campania]=A31),Produccion_mani[produccion_tm]))</f>
        <v>15568</v>
      </c>
      <c r="J31" s="31" cm="1">
        <f t="array" ref="J31">SUM(IF((Produccion_mani[provincia_nombre]=J$29)*(Produccion_mani[campania]=A31),Produccion_mani[produccion_tm]))</f>
        <v>58</v>
      </c>
      <c r="K31" s="31" cm="1">
        <f t="array" ref="K31">SUM(IF((Produccion_mani[provincia_nombre]=K$29)*(Produccion_mani[campania]=A31),Produccion_mani[produccion_tm]))</f>
        <v>34</v>
      </c>
      <c r="L31" s="31" cm="1">
        <f t="array" ref="L31">SUM(IF((Produccion_mani[provincia_nombre]=L$29)*(Produccion_mani[campania]=A31),Produccion_mani[produccion_tm]))</f>
        <v>25</v>
      </c>
      <c r="M31" s="31" cm="1">
        <f t="array" ref="M31">SUM(IF((Produccion_mani[provincia_nombre]=M$29)*(Produccion_mani[campania]=A31),Produccion_mani[produccion_tm]))</f>
        <v>45</v>
      </c>
      <c r="N31" s="31" cm="1">
        <f t="array" ref="N31">SUM(IF((Produccion_mani[provincia_nombre]=N$29)*(Produccion_mani[campania]=A31),Produccion_mani[produccion_tm]))</f>
        <v>0</v>
      </c>
      <c r="O31" s="31" cm="1">
        <f t="array" ref="O31">SUM(IF((Produccion_mani[provincia_nombre]=O$29)*(Produccion_mani[campania]=A31),Produccion_mani[produccion_tm]))</f>
        <v>0</v>
      </c>
      <c r="P31" s="31" cm="1">
        <f t="array" ref="P31">SUM(IF((Produccion_mani[provincia_nombre]=P$29)*(Produccion_mani[campania]=A31),Produccion_mani[produccion_tm]))</f>
        <v>0</v>
      </c>
      <c r="Q31" s="31" cm="1">
        <f t="array" ref="Q31">SUM(IF((Produccion_mani[provincia_nombre]=Q$29)*(Produccion_mani[campania]=A31),Produccion_mani[produccion_tm]))</f>
        <v>0</v>
      </c>
      <c r="R31" s="31" cm="1">
        <f t="array" ref="R31">SUM(IF((Produccion_mani[provincia_nombre]=R$29)*(Produccion_mani[campania]=A31),Produccion_mani[produccion_tm]))</f>
        <v>0</v>
      </c>
      <c r="S31" s="31" cm="1">
        <f t="array" ref="S31">SUM(IF((Produccion_mani[provincia_nombre]=S$29)*(Produccion_mani[campania]=A31),Produccion_mani[produccion_tm]))</f>
        <v>0</v>
      </c>
    </row>
    <row r="32" spans="1:19" x14ac:dyDescent="0.25">
      <c r="A32" s="23" t="str">
        <v>1929/1930</v>
      </c>
      <c r="B32" s="31" cm="1">
        <f t="array" ref="B32">SUM(IF((Produccion_mani[provincia_nombre]=B$29)*(Produccion_mani[campania]=A32),Produccion_mani[produccion_tm]))</f>
        <v>1200</v>
      </c>
      <c r="C32" s="31" cm="1">
        <f t="array" ref="C32">SUM(IF((Produccion_mani[provincia_nombre]=C$29)*(Produccion_mani[campania]=A32),Produccion_mani[produccion_tm]))</f>
        <v>42730</v>
      </c>
      <c r="D32" s="31" cm="1">
        <f t="array" ref="D32">SUM(IF((Produccion_mani[provincia_nombre]=D$29)*(Produccion_mani[campania]=A32),Produccion_mani[produccion_tm]))</f>
        <v>2334</v>
      </c>
      <c r="E32" s="31" cm="1">
        <f t="array" ref="E32">SUM(IF((Produccion_mani[provincia_nombre]=E$29)*(Produccion_mani[campania]=A32),Produccion_mani[produccion_tm]))</f>
        <v>4972</v>
      </c>
      <c r="F32" s="31" cm="1">
        <f t="array" ref="F32">SUM(IF((Produccion_mani[provincia_nombre]=F$29)*(Produccion_mani[campania]=A32),Produccion_mani[produccion_tm]))</f>
        <v>50</v>
      </c>
      <c r="G32" s="31" cm="1">
        <f t="array" ref="G32">SUM(IF((Produccion_mani[provincia_nombre]=G$29)*(Produccion_mani[campania]=A32),Produccion_mani[produccion_tm]))</f>
        <v>0</v>
      </c>
      <c r="H32" s="31" cm="1">
        <f t="array" ref="H32">SUM(IF((Produccion_mani[provincia_nombre]=H$29)*(Produccion_mani[campania]=A32),Produccion_mani[produccion_tm]))</f>
        <v>600</v>
      </c>
      <c r="I32" s="31" cm="1">
        <f t="array" ref="I32">SUM(IF((Produccion_mani[provincia_nombre]=I$29)*(Produccion_mani[campania]=A32),Produccion_mani[produccion_tm]))</f>
        <v>13421</v>
      </c>
      <c r="J32" s="31" cm="1">
        <f t="array" ref="J32">SUM(IF((Produccion_mani[provincia_nombre]=J$29)*(Produccion_mani[campania]=A32),Produccion_mani[produccion_tm]))</f>
        <v>50</v>
      </c>
      <c r="K32" s="31" cm="1">
        <f t="array" ref="K32">SUM(IF((Produccion_mani[provincia_nombre]=K$29)*(Produccion_mani[campania]=A32),Produccion_mani[produccion_tm]))</f>
        <v>33</v>
      </c>
      <c r="L32" s="31" cm="1">
        <f t="array" ref="L32">SUM(IF((Produccion_mani[provincia_nombre]=L$29)*(Produccion_mani[campania]=A32),Produccion_mani[produccion_tm]))</f>
        <v>20</v>
      </c>
      <c r="M32" s="31" cm="1">
        <f t="array" ref="M32">SUM(IF((Produccion_mani[provincia_nombre]=M$29)*(Produccion_mani[campania]=A32),Produccion_mani[produccion_tm]))</f>
        <v>0</v>
      </c>
      <c r="N32" s="31" cm="1">
        <f t="array" ref="N32">SUM(IF((Produccion_mani[provincia_nombre]=N$29)*(Produccion_mani[campania]=A32),Produccion_mani[produccion_tm]))</f>
        <v>0</v>
      </c>
      <c r="O32" s="31" cm="1">
        <f t="array" ref="O32">SUM(IF((Produccion_mani[provincia_nombre]=O$29)*(Produccion_mani[campania]=A32),Produccion_mani[produccion_tm]))</f>
        <v>0</v>
      </c>
      <c r="P32" s="31" cm="1">
        <f t="array" ref="P32">SUM(IF((Produccion_mani[provincia_nombre]=P$29)*(Produccion_mani[campania]=A32),Produccion_mani[produccion_tm]))</f>
        <v>0</v>
      </c>
      <c r="Q32" s="31" cm="1">
        <f t="array" ref="Q32">SUM(IF((Produccion_mani[provincia_nombre]=Q$29)*(Produccion_mani[campania]=A32),Produccion_mani[produccion_tm]))</f>
        <v>0</v>
      </c>
      <c r="R32" s="31" cm="1">
        <f t="array" ref="R32">SUM(IF((Produccion_mani[provincia_nombre]=R$29)*(Produccion_mani[campania]=A32),Produccion_mani[produccion_tm]))</f>
        <v>0</v>
      </c>
      <c r="S32" s="31" cm="1">
        <f t="array" ref="S32">SUM(IF((Produccion_mani[provincia_nombre]=S$29)*(Produccion_mani[campania]=A32),Produccion_mani[produccion_tm]))</f>
        <v>0</v>
      </c>
    </row>
    <row r="33" spans="1:19" x14ac:dyDescent="0.25">
      <c r="A33" s="23" t="str">
        <v>1930/1931</v>
      </c>
      <c r="B33" s="31" cm="1">
        <f t="array" ref="B33">SUM(IF((Produccion_mani[provincia_nombre]=B$29)*(Produccion_mani[campania]=A33),Produccion_mani[produccion_tm]))</f>
        <v>3570</v>
      </c>
      <c r="C33" s="31" cm="1">
        <f t="array" ref="C33">SUM(IF((Produccion_mani[provincia_nombre]=C$29)*(Produccion_mani[campania]=A33),Produccion_mani[produccion_tm]))</f>
        <v>34412</v>
      </c>
      <c r="D33" s="31" cm="1">
        <f t="array" ref="D33">SUM(IF((Produccion_mani[provincia_nombre]=D$29)*(Produccion_mani[campania]=A33),Produccion_mani[produccion_tm]))</f>
        <v>2660</v>
      </c>
      <c r="E33" s="31" cm="1">
        <f t="array" ref="E33">SUM(IF((Produccion_mani[provincia_nombre]=E$29)*(Produccion_mani[campania]=A33),Produccion_mani[produccion_tm]))</f>
        <v>7169</v>
      </c>
      <c r="F33" s="31" cm="1">
        <f t="array" ref="F33">SUM(IF((Produccion_mani[provincia_nombre]=F$29)*(Produccion_mani[campania]=A33),Produccion_mani[produccion_tm]))</f>
        <v>25</v>
      </c>
      <c r="G33" s="31" cm="1">
        <f t="array" ref="G33">SUM(IF((Produccion_mani[provincia_nombre]=G$29)*(Produccion_mani[campania]=A33),Produccion_mani[produccion_tm]))</f>
        <v>0</v>
      </c>
      <c r="H33" s="31" cm="1">
        <f t="array" ref="H33">SUM(IF((Produccion_mani[provincia_nombre]=H$29)*(Produccion_mani[campania]=A33),Produccion_mani[produccion_tm]))</f>
        <v>860</v>
      </c>
      <c r="I33" s="31" cm="1">
        <f t="array" ref="I33">SUM(IF((Produccion_mani[provincia_nombre]=I$29)*(Produccion_mani[campania]=A33),Produccion_mani[produccion_tm]))</f>
        <v>17321</v>
      </c>
      <c r="J33" s="31" cm="1">
        <f t="array" ref="J33">SUM(IF((Produccion_mani[provincia_nombre]=J$29)*(Produccion_mani[campania]=A33),Produccion_mani[produccion_tm]))</f>
        <v>36</v>
      </c>
      <c r="K33" s="31" cm="1">
        <f t="array" ref="K33">SUM(IF((Produccion_mani[provincia_nombre]=K$29)*(Produccion_mani[campania]=A33),Produccion_mani[produccion_tm]))</f>
        <v>390</v>
      </c>
      <c r="L33" s="31" cm="1">
        <f t="array" ref="L33">SUM(IF((Produccion_mani[provincia_nombre]=L$29)*(Produccion_mani[campania]=A33),Produccion_mani[produccion_tm]))</f>
        <v>0</v>
      </c>
      <c r="M33" s="31" cm="1">
        <f t="array" ref="M33">SUM(IF((Produccion_mani[provincia_nombre]=M$29)*(Produccion_mani[campania]=A33),Produccion_mani[produccion_tm]))</f>
        <v>0</v>
      </c>
      <c r="N33" s="31" cm="1">
        <f t="array" ref="N33">SUM(IF((Produccion_mani[provincia_nombre]=N$29)*(Produccion_mani[campania]=A33),Produccion_mani[produccion_tm]))</f>
        <v>2</v>
      </c>
      <c r="O33" s="31" cm="1">
        <f t="array" ref="O33">SUM(IF((Produccion_mani[provincia_nombre]=O$29)*(Produccion_mani[campania]=A33),Produccion_mani[produccion_tm]))</f>
        <v>0</v>
      </c>
      <c r="P33" s="31" cm="1">
        <f t="array" ref="P33">SUM(IF((Produccion_mani[provincia_nombre]=P$29)*(Produccion_mani[campania]=A33),Produccion_mani[produccion_tm]))</f>
        <v>0</v>
      </c>
      <c r="Q33" s="31" cm="1">
        <f t="array" ref="Q33">SUM(IF((Produccion_mani[provincia_nombre]=Q$29)*(Produccion_mani[campania]=A33),Produccion_mani[produccion_tm]))</f>
        <v>0</v>
      </c>
      <c r="R33" s="31" cm="1">
        <f t="array" ref="R33">SUM(IF((Produccion_mani[provincia_nombre]=R$29)*(Produccion_mani[campania]=A33),Produccion_mani[produccion_tm]))</f>
        <v>0</v>
      </c>
      <c r="S33" s="31" cm="1">
        <f t="array" ref="S33">SUM(IF((Produccion_mani[provincia_nombre]=S$29)*(Produccion_mani[campania]=A33),Produccion_mani[produccion_tm]))</f>
        <v>0</v>
      </c>
    </row>
    <row r="34" spans="1:19" x14ac:dyDescent="0.25">
      <c r="A34" s="23" t="str">
        <v>1931/1932</v>
      </c>
      <c r="B34" s="31" cm="1">
        <f t="array" ref="B34">SUM(IF((Produccion_mani[provincia_nombre]=B$29)*(Produccion_mani[campania]=A34),Produccion_mani[produccion_tm]))</f>
        <v>520</v>
      </c>
      <c r="C34" s="31" cm="1">
        <f t="array" ref="C34">SUM(IF((Produccion_mani[provincia_nombre]=C$29)*(Produccion_mani[campania]=A34),Produccion_mani[produccion_tm]))</f>
        <v>43615</v>
      </c>
      <c r="D34" s="31" cm="1">
        <f t="array" ref="D34">SUM(IF((Produccion_mani[provincia_nombre]=D$29)*(Produccion_mani[campania]=A34),Produccion_mani[produccion_tm]))</f>
        <v>3142</v>
      </c>
      <c r="E34" s="31" cm="1">
        <f t="array" ref="E34">SUM(IF((Produccion_mani[provincia_nombre]=E$29)*(Produccion_mani[campania]=A34),Produccion_mani[produccion_tm]))</f>
        <v>3049</v>
      </c>
      <c r="F34" s="31" cm="1">
        <f t="array" ref="F34">SUM(IF((Produccion_mani[provincia_nombre]=F$29)*(Produccion_mani[campania]=A34),Produccion_mani[produccion_tm]))</f>
        <v>18</v>
      </c>
      <c r="G34" s="31" cm="1">
        <f t="array" ref="G34">SUM(IF((Produccion_mani[provincia_nombre]=G$29)*(Produccion_mani[campania]=A34),Produccion_mani[produccion_tm]))</f>
        <v>0</v>
      </c>
      <c r="H34" s="31" cm="1">
        <f t="array" ref="H34">SUM(IF((Produccion_mani[provincia_nombre]=H$29)*(Produccion_mani[campania]=A34),Produccion_mani[produccion_tm]))</f>
        <v>1492</v>
      </c>
      <c r="I34" s="31" cm="1">
        <f t="array" ref="I34">SUM(IF((Produccion_mani[provincia_nombre]=I$29)*(Produccion_mani[campania]=A34),Produccion_mani[produccion_tm]))</f>
        <v>5511</v>
      </c>
      <c r="J34" s="31" cm="1">
        <f t="array" ref="J34">SUM(IF((Produccion_mani[provincia_nombre]=J$29)*(Produccion_mani[campania]=A34),Produccion_mani[produccion_tm]))</f>
        <v>38</v>
      </c>
      <c r="K34" s="31" cm="1">
        <f t="array" ref="K34">SUM(IF((Produccion_mani[provincia_nombre]=K$29)*(Produccion_mani[campania]=A34),Produccion_mani[produccion_tm]))</f>
        <v>1250</v>
      </c>
      <c r="L34" s="31" cm="1">
        <f t="array" ref="L34">SUM(IF((Produccion_mani[provincia_nombre]=L$29)*(Produccion_mani[campania]=A34),Produccion_mani[produccion_tm]))</f>
        <v>0</v>
      </c>
      <c r="M34" s="31" cm="1">
        <f t="array" ref="M34">SUM(IF((Produccion_mani[provincia_nombre]=M$29)*(Produccion_mani[campania]=A34),Produccion_mani[produccion_tm]))</f>
        <v>0</v>
      </c>
      <c r="N34" s="31" cm="1">
        <f t="array" ref="N34">SUM(IF((Produccion_mani[provincia_nombre]=N$29)*(Produccion_mani[campania]=A34),Produccion_mani[produccion_tm]))</f>
        <v>4</v>
      </c>
      <c r="O34" s="31" cm="1">
        <f t="array" ref="O34">SUM(IF((Produccion_mani[provincia_nombre]=O$29)*(Produccion_mani[campania]=A34),Produccion_mani[produccion_tm]))</f>
        <v>24</v>
      </c>
      <c r="P34" s="31" cm="1">
        <f t="array" ref="P34">SUM(IF((Produccion_mani[provincia_nombre]=P$29)*(Produccion_mani[campania]=A34),Produccion_mani[produccion_tm]))</f>
        <v>0</v>
      </c>
      <c r="Q34" s="31" cm="1">
        <f t="array" ref="Q34">SUM(IF((Produccion_mani[provincia_nombre]=Q$29)*(Produccion_mani[campania]=A34),Produccion_mani[produccion_tm]))</f>
        <v>0</v>
      </c>
      <c r="R34" s="31" cm="1">
        <f t="array" ref="R34">SUM(IF((Produccion_mani[provincia_nombre]=R$29)*(Produccion_mani[campania]=A34),Produccion_mani[produccion_tm]))</f>
        <v>0</v>
      </c>
      <c r="S34" s="31" cm="1">
        <f t="array" ref="S34">SUM(IF((Produccion_mani[provincia_nombre]=S$29)*(Produccion_mani[campania]=A34),Produccion_mani[produccion_tm]))</f>
        <v>0</v>
      </c>
    </row>
    <row r="35" spans="1:19" x14ac:dyDescent="0.25">
      <c r="A35" s="23" t="str">
        <v>1932/1933</v>
      </c>
      <c r="B35" s="31" cm="1">
        <f t="array" ref="B35">SUM(IF((Produccion_mani[provincia_nombre]=B$29)*(Produccion_mani[campania]=A35),Produccion_mani[produccion_tm]))</f>
        <v>3575</v>
      </c>
      <c r="C35" s="31" cm="1">
        <f t="array" ref="C35">SUM(IF((Produccion_mani[provincia_nombre]=C$29)*(Produccion_mani[campania]=A35),Produccion_mani[produccion_tm]))</f>
        <v>44022</v>
      </c>
      <c r="D35" s="31" cm="1">
        <f t="array" ref="D35">SUM(IF((Produccion_mani[provincia_nombre]=D$29)*(Produccion_mani[campania]=A35),Produccion_mani[produccion_tm]))</f>
        <v>3936</v>
      </c>
      <c r="E35" s="31" cm="1">
        <f t="array" ref="E35">SUM(IF((Produccion_mani[provincia_nombre]=E$29)*(Produccion_mani[campania]=A35),Produccion_mani[produccion_tm]))</f>
        <v>5890</v>
      </c>
      <c r="F35" s="31" cm="1">
        <f t="array" ref="F35">SUM(IF((Produccion_mani[provincia_nombre]=F$29)*(Produccion_mani[campania]=A35),Produccion_mani[produccion_tm]))</f>
        <v>19</v>
      </c>
      <c r="G35" s="31" cm="1">
        <f t="array" ref="G35">SUM(IF((Produccion_mani[provincia_nombre]=G$29)*(Produccion_mani[campania]=A35),Produccion_mani[produccion_tm]))</f>
        <v>16</v>
      </c>
      <c r="H35" s="31" cm="1">
        <f t="array" ref="H35">SUM(IF((Produccion_mani[provincia_nombre]=H$29)*(Produccion_mani[campania]=A35),Produccion_mani[produccion_tm]))</f>
        <v>968</v>
      </c>
      <c r="I35" s="31" cm="1">
        <f t="array" ref="I35">SUM(IF((Produccion_mani[provincia_nombre]=I$29)*(Produccion_mani[campania]=A35),Produccion_mani[produccion_tm]))</f>
        <v>17894</v>
      </c>
      <c r="J35" s="31" cm="1">
        <f t="array" ref="J35">SUM(IF((Produccion_mani[provincia_nombre]=J$29)*(Produccion_mani[campania]=A35),Produccion_mani[produccion_tm]))</f>
        <v>110</v>
      </c>
      <c r="K35" s="31" cm="1">
        <f t="array" ref="K35">SUM(IF((Produccion_mani[provincia_nombre]=K$29)*(Produccion_mani[campania]=A35),Produccion_mani[produccion_tm]))</f>
        <v>1834</v>
      </c>
      <c r="L35" s="31" cm="1">
        <f t="array" ref="L35">SUM(IF((Produccion_mani[provincia_nombre]=L$29)*(Produccion_mani[campania]=A35),Produccion_mani[produccion_tm]))</f>
        <v>0</v>
      </c>
      <c r="M35" s="31" cm="1">
        <f t="array" ref="M35">SUM(IF((Produccion_mani[provincia_nombre]=M$29)*(Produccion_mani[campania]=A35),Produccion_mani[produccion_tm]))</f>
        <v>2</v>
      </c>
      <c r="N35" s="31" cm="1">
        <f t="array" ref="N35">SUM(IF((Produccion_mani[provincia_nombre]=N$29)*(Produccion_mani[campania]=A35),Produccion_mani[produccion_tm]))</f>
        <v>0</v>
      </c>
      <c r="O35" s="31" cm="1">
        <f t="array" ref="O35">SUM(IF((Produccion_mani[provincia_nombre]=O$29)*(Produccion_mani[campania]=A35),Produccion_mani[produccion_tm]))</f>
        <v>21</v>
      </c>
      <c r="P35" s="31" cm="1">
        <f t="array" ref="P35">SUM(IF((Produccion_mani[provincia_nombre]=P$29)*(Produccion_mani[campania]=A35),Produccion_mani[produccion_tm]))</f>
        <v>0</v>
      </c>
      <c r="Q35" s="31" cm="1">
        <f t="array" ref="Q35">SUM(IF((Produccion_mani[provincia_nombre]=Q$29)*(Produccion_mani[campania]=A35),Produccion_mani[produccion_tm]))</f>
        <v>0</v>
      </c>
      <c r="R35" s="31" cm="1">
        <f t="array" ref="R35">SUM(IF((Produccion_mani[provincia_nombre]=R$29)*(Produccion_mani[campania]=A35),Produccion_mani[produccion_tm]))</f>
        <v>0</v>
      </c>
      <c r="S35" s="31" cm="1">
        <f t="array" ref="S35">SUM(IF((Produccion_mani[provincia_nombre]=S$29)*(Produccion_mani[campania]=A35),Produccion_mani[produccion_tm]))</f>
        <v>0</v>
      </c>
    </row>
    <row r="36" spans="1:19" x14ac:dyDescent="0.25">
      <c r="A36" s="23" t="str">
        <v>1933/1934</v>
      </c>
      <c r="B36" s="31" cm="1">
        <f t="array" ref="B36">SUM(IF((Produccion_mani[provincia_nombre]=B$29)*(Produccion_mani[campania]=A36),Produccion_mani[produccion_tm]))</f>
        <v>249</v>
      </c>
      <c r="C36" s="31" cm="1">
        <f t="array" ref="C36">SUM(IF((Produccion_mani[provincia_nombre]=C$29)*(Produccion_mani[campania]=A36),Produccion_mani[produccion_tm]))</f>
        <v>77325</v>
      </c>
      <c r="D36" s="31" cm="1">
        <f t="array" ref="D36">SUM(IF((Produccion_mani[provincia_nombre]=D$29)*(Produccion_mani[campania]=A36),Produccion_mani[produccion_tm]))</f>
        <v>3230</v>
      </c>
      <c r="E36" s="31" cm="1">
        <f t="array" ref="E36">SUM(IF((Produccion_mani[provincia_nombre]=E$29)*(Produccion_mani[campania]=A36),Produccion_mani[produccion_tm]))</f>
        <v>8508</v>
      </c>
      <c r="F36" s="31" cm="1">
        <f t="array" ref="F36">SUM(IF((Produccion_mani[provincia_nombre]=F$29)*(Produccion_mani[campania]=A36),Produccion_mani[produccion_tm]))</f>
        <v>18</v>
      </c>
      <c r="G36" s="31" cm="1">
        <f t="array" ref="G36">SUM(IF((Produccion_mani[provincia_nombre]=G$29)*(Produccion_mani[campania]=A36),Produccion_mani[produccion_tm]))</f>
        <v>4</v>
      </c>
      <c r="H36" s="31" cm="1">
        <f t="array" ref="H36">SUM(IF((Produccion_mani[provincia_nombre]=H$29)*(Produccion_mani[campania]=A36),Produccion_mani[produccion_tm]))</f>
        <v>1265</v>
      </c>
      <c r="I36" s="31" cm="1">
        <f t="array" ref="I36">SUM(IF((Produccion_mani[provincia_nombre]=I$29)*(Produccion_mani[campania]=A36),Produccion_mani[produccion_tm]))</f>
        <v>9787</v>
      </c>
      <c r="J36" s="31" cm="1">
        <f t="array" ref="J36">SUM(IF((Produccion_mani[provincia_nombre]=J$29)*(Produccion_mani[campania]=A36),Produccion_mani[produccion_tm]))</f>
        <v>67</v>
      </c>
      <c r="K36" s="31" cm="1">
        <f t="array" ref="K36">SUM(IF((Produccion_mani[provincia_nombre]=K$29)*(Produccion_mani[campania]=A36),Produccion_mani[produccion_tm]))</f>
        <v>3524</v>
      </c>
      <c r="L36" s="31" cm="1">
        <f t="array" ref="L36">SUM(IF((Produccion_mani[provincia_nombre]=L$29)*(Produccion_mani[campania]=A36),Produccion_mani[produccion_tm]))</f>
        <v>0</v>
      </c>
      <c r="M36" s="31" cm="1">
        <f t="array" ref="M36">SUM(IF((Produccion_mani[provincia_nombre]=M$29)*(Produccion_mani[campania]=A36),Produccion_mani[produccion_tm]))</f>
        <v>54</v>
      </c>
      <c r="N36" s="31" cm="1">
        <f t="array" ref="N36">SUM(IF((Produccion_mani[provincia_nombre]=N$29)*(Produccion_mani[campania]=A36),Produccion_mani[produccion_tm]))</f>
        <v>12</v>
      </c>
      <c r="O36" s="31" cm="1">
        <f t="array" ref="O36">SUM(IF((Produccion_mani[provincia_nombre]=O$29)*(Produccion_mani[campania]=A36),Produccion_mani[produccion_tm]))</f>
        <v>14</v>
      </c>
      <c r="P36" s="31" cm="1">
        <f t="array" ref="P36">SUM(IF((Produccion_mani[provincia_nombre]=P$29)*(Produccion_mani[campania]=A36),Produccion_mani[produccion_tm]))</f>
        <v>0</v>
      </c>
      <c r="Q36" s="31" cm="1">
        <f t="array" ref="Q36">SUM(IF((Produccion_mani[provincia_nombre]=Q$29)*(Produccion_mani[campania]=A36),Produccion_mani[produccion_tm]))</f>
        <v>0</v>
      </c>
      <c r="R36" s="31" cm="1">
        <f t="array" ref="R36">SUM(IF((Produccion_mani[provincia_nombre]=R$29)*(Produccion_mani[campania]=A36),Produccion_mani[produccion_tm]))</f>
        <v>0</v>
      </c>
      <c r="S36" s="31" cm="1">
        <f t="array" ref="S36">SUM(IF((Produccion_mani[provincia_nombre]=S$29)*(Produccion_mani[campania]=A36),Produccion_mani[produccion_tm]))</f>
        <v>0</v>
      </c>
    </row>
    <row r="37" spans="1:19" x14ac:dyDescent="0.25">
      <c r="A37" s="23" t="str">
        <v>1934/1935</v>
      </c>
      <c r="B37" s="31" cm="1">
        <f t="array" ref="B37">SUM(IF((Produccion_mani[provincia_nombre]=B$29)*(Produccion_mani[campania]=A37),Produccion_mani[produccion_tm]))</f>
        <v>200</v>
      </c>
      <c r="C37" s="31" cm="1">
        <f t="array" ref="C37">SUM(IF((Produccion_mani[provincia_nombre]=C$29)*(Produccion_mani[campania]=A37),Produccion_mani[produccion_tm]))</f>
        <v>59254</v>
      </c>
      <c r="D37" s="31" cm="1">
        <f t="array" ref="D37">SUM(IF((Produccion_mani[provincia_nombre]=D$29)*(Produccion_mani[campania]=A37),Produccion_mani[produccion_tm]))</f>
        <v>2400</v>
      </c>
      <c r="E37" s="31" cm="1">
        <f t="array" ref="E37">SUM(IF((Produccion_mani[provincia_nombre]=E$29)*(Produccion_mani[campania]=A37),Produccion_mani[produccion_tm]))</f>
        <v>14464</v>
      </c>
      <c r="F37" s="31" cm="1">
        <f t="array" ref="F37">SUM(IF((Produccion_mani[provincia_nombre]=F$29)*(Produccion_mani[campania]=A37),Produccion_mani[produccion_tm]))</f>
        <v>63</v>
      </c>
      <c r="G37" s="31" cm="1">
        <f t="array" ref="G37">SUM(IF((Produccion_mani[provincia_nombre]=G$29)*(Produccion_mani[campania]=A37),Produccion_mani[produccion_tm]))</f>
        <v>0</v>
      </c>
      <c r="H37" s="31" cm="1">
        <f t="array" ref="H37">SUM(IF((Produccion_mani[provincia_nombre]=H$29)*(Produccion_mani[campania]=A37),Produccion_mani[produccion_tm]))</f>
        <v>855</v>
      </c>
      <c r="I37" s="31" cm="1">
        <f t="array" ref="I37">SUM(IF((Produccion_mani[provincia_nombre]=I$29)*(Produccion_mani[campania]=A37),Produccion_mani[produccion_tm]))</f>
        <v>14175</v>
      </c>
      <c r="J37" s="31" cm="1">
        <f t="array" ref="J37">SUM(IF((Produccion_mani[provincia_nombre]=J$29)*(Produccion_mani[campania]=A37),Produccion_mani[produccion_tm]))</f>
        <v>0</v>
      </c>
      <c r="K37" s="31" cm="1">
        <f t="array" ref="K37">SUM(IF((Produccion_mani[provincia_nombre]=K$29)*(Produccion_mani[campania]=A37),Produccion_mani[produccion_tm]))</f>
        <v>1200</v>
      </c>
      <c r="L37" s="31" cm="1">
        <f t="array" ref="L37">SUM(IF((Produccion_mani[provincia_nombre]=L$29)*(Produccion_mani[campania]=A37),Produccion_mani[produccion_tm]))</f>
        <v>2</v>
      </c>
      <c r="M37" s="31" cm="1">
        <f t="array" ref="M37">SUM(IF((Produccion_mani[provincia_nombre]=M$29)*(Produccion_mani[campania]=A37),Produccion_mani[produccion_tm]))</f>
        <v>35</v>
      </c>
      <c r="N37" s="31" cm="1">
        <f t="array" ref="N37">SUM(IF((Produccion_mani[provincia_nombre]=N$29)*(Produccion_mani[campania]=A37),Produccion_mani[produccion_tm]))</f>
        <v>12</v>
      </c>
      <c r="O37" s="31" cm="1">
        <f t="array" ref="O37">SUM(IF((Produccion_mani[provincia_nombre]=O$29)*(Produccion_mani[campania]=A37),Produccion_mani[produccion_tm]))</f>
        <v>0</v>
      </c>
      <c r="P37" s="31" cm="1">
        <f t="array" ref="P37">SUM(IF((Produccion_mani[provincia_nombre]=P$29)*(Produccion_mani[campania]=A37),Produccion_mani[produccion_tm]))</f>
        <v>112</v>
      </c>
      <c r="Q37" s="31" cm="1">
        <f t="array" ref="Q37">SUM(IF((Produccion_mani[provincia_nombre]=Q$29)*(Produccion_mani[campania]=A37),Produccion_mani[produccion_tm]))</f>
        <v>0</v>
      </c>
      <c r="R37" s="31" cm="1">
        <f t="array" ref="R37">SUM(IF((Produccion_mani[provincia_nombre]=R$29)*(Produccion_mani[campania]=A37),Produccion_mani[produccion_tm]))</f>
        <v>0</v>
      </c>
      <c r="S37" s="31" cm="1">
        <f t="array" ref="S37">SUM(IF((Produccion_mani[provincia_nombre]=S$29)*(Produccion_mani[campania]=A37),Produccion_mani[produccion_tm]))</f>
        <v>0</v>
      </c>
    </row>
    <row r="38" spans="1:19" x14ac:dyDescent="0.25">
      <c r="A38" s="23" t="str">
        <v>1935/1936</v>
      </c>
      <c r="B38" s="31" cm="1">
        <f t="array" ref="B38">SUM(IF((Produccion_mani[provincia_nombre]=B$29)*(Produccion_mani[campania]=A38),Produccion_mani[produccion_tm]))</f>
        <v>290</v>
      </c>
      <c r="C38" s="31" cm="1">
        <f t="array" ref="C38">SUM(IF((Produccion_mani[provincia_nombre]=C$29)*(Produccion_mani[campania]=A38),Produccion_mani[produccion_tm]))</f>
        <v>89370</v>
      </c>
      <c r="D38" s="31" cm="1">
        <f t="array" ref="D38">SUM(IF((Produccion_mani[provincia_nombre]=D$29)*(Produccion_mani[campania]=A38),Produccion_mani[produccion_tm]))</f>
        <v>1566</v>
      </c>
      <c r="E38" s="31" cm="1">
        <f t="array" ref="E38">SUM(IF((Produccion_mani[provincia_nombre]=E$29)*(Produccion_mani[campania]=A38),Produccion_mani[produccion_tm]))</f>
        <v>2841</v>
      </c>
      <c r="F38" s="31" cm="1">
        <f t="array" ref="F38">SUM(IF((Produccion_mani[provincia_nombre]=F$29)*(Produccion_mani[campania]=A38),Produccion_mani[produccion_tm]))</f>
        <v>23</v>
      </c>
      <c r="G38" s="31" cm="1">
        <f t="array" ref="G38">SUM(IF((Produccion_mani[provincia_nombre]=G$29)*(Produccion_mani[campania]=A38),Produccion_mani[produccion_tm]))</f>
        <v>3</v>
      </c>
      <c r="H38" s="31" cm="1">
        <f t="array" ref="H38">SUM(IF((Produccion_mani[provincia_nombre]=H$29)*(Produccion_mani[campania]=A38),Produccion_mani[produccion_tm]))</f>
        <v>1200</v>
      </c>
      <c r="I38" s="31" cm="1">
        <f t="array" ref="I38">SUM(IF((Produccion_mani[provincia_nombre]=I$29)*(Produccion_mani[campania]=A38),Produccion_mani[produccion_tm]))</f>
        <v>15736</v>
      </c>
      <c r="J38" s="31" cm="1">
        <f t="array" ref="J38">SUM(IF((Produccion_mani[provincia_nombre]=J$29)*(Produccion_mani[campania]=A38),Produccion_mani[produccion_tm]))</f>
        <v>13</v>
      </c>
      <c r="K38" s="31" cm="1">
        <f t="array" ref="K38">SUM(IF((Produccion_mani[provincia_nombre]=K$29)*(Produccion_mani[campania]=A38),Produccion_mani[produccion_tm]))</f>
        <v>2227</v>
      </c>
      <c r="L38" s="31" cm="1">
        <f t="array" ref="L38">SUM(IF((Produccion_mani[provincia_nombre]=L$29)*(Produccion_mani[campania]=A38),Produccion_mani[produccion_tm]))</f>
        <v>4</v>
      </c>
      <c r="M38" s="31" cm="1">
        <f t="array" ref="M38">SUM(IF((Produccion_mani[provincia_nombre]=M$29)*(Produccion_mani[campania]=A38),Produccion_mani[produccion_tm]))</f>
        <v>45</v>
      </c>
      <c r="N38" s="31" cm="1">
        <f t="array" ref="N38">SUM(IF((Produccion_mani[provincia_nombre]=N$29)*(Produccion_mani[campania]=A38),Produccion_mani[produccion_tm]))</f>
        <v>6</v>
      </c>
      <c r="O38" s="31" cm="1">
        <f t="array" ref="O38">SUM(IF((Produccion_mani[provincia_nombre]=O$29)*(Produccion_mani[campania]=A38),Produccion_mani[produccion_tm]))</f>
        <v>0</v>
      </c>
      <c r="P38" s="31" cm="1">
        <f t="array" ref="P38">SUM(IF((Produccion_mani[provincia_nombre]=P$29)*(Produccion_mani[campania]=A38),Produccion_mani[produccion_tm]))</f>
        <v>184</v>
      </c>
      <c r="Q38" s="31" cm="1">
        <f t="array" ref="Q38">SUM(IF((Produccion_mani[provincia_nombre]=Q$29)*(Produccion_mani[campania]=A38),Produccion_mani[produccion_tm]))</f>
        <v>0</v>
      </c>
      <c r="R38" s="31" cm="1">
        <f t="array" ref="R38">SUM(IF((Produccion_mani[provincia_nombre]=R$29)*(Produccion_mani[campania]=A38),Produccion_mani[produccion_tm]))</f>
        <v>0</v>
      </c>
      <c r="S38" s="31" cm="1">
        <f t="array" ref="S38">SUM(IF((Produccion_mani[provincia_nombre]=S$29)*(Produccion_mani[campania]=A38),Produccion_mani[produccion_tm]))</f>
        <v>0</v>
      </c>
    </row>
    <row r="39" spans="1:19" x14ac:dyDescent="0.25">
      <c r="A39" s="23" t="str">
        <v>1936/1937</v>
      </c>
      <c r="B39" s="31" cm="1">
        <f t="array" ref="B39">SUM(IF((Produccion_mani[provincia_nombre]=B$29)*(Produccion_mani[campania]=A39),Produccion_mani[produccion_tm]))</f>
        <v>69</v>
      </c>
      <c r="C39" s="31" cm="1">
        <f t="array" ref="C39">SUM(IF((Produccion_mani[provincia_nombre]=C$29)*(Produccion_mani[campania]=A39),Produccion_mani[produccion_tm]))</f>
        <v>57965</v>
      </c>
      <c r="D39" s="31" cm="1">
        <f t="array" ref="D39">SUM(IF((Produccion_mani[provincia_nombre]=D$29)*(Produccion_mani[campania]=A39),Produccion_mani[produccion_tm]))</f>
        <v>1494</v>
      </c>
      <c r="E39" s="31" cm="1">
        <f t="array" ref="E39">SUM(IF((Produccion_mani[provincia_nombre]=E$29)*(Produccion_mani[campania]=A39),Produccion_mani[produccion_tm]))</f>
        <v>4174</v>
      </c>
      <c r="F39" s="31" cm="1">
        <f t="array" ref="F39">SUM(IF((Produccion_mani[provincia_nombre]=F$29)*(Produccion_mani[campania]=A39),Produccion_mani[produccion_tm]))</f>
        <v>39</v>
      </c>
      <c r="G39" s="31" cm="1">
        <f t="array" ref="G39">SUM(IF((Produccion_mani[provincia_nombre]=G$29)*(Produccion_mani[campania]=A39),Produccion_mani[produccion_tm]))</f>
        <v>5</v>
      </c>
      <c r="H39" s="31" cm="1">
        <f t="array" ref="H39">SUM(IF((Produccion_mani[provincia_nombre]=H$29)*(Produccion_mani[campania]=A39),Produccion_mani[produccion_tm]))</f>
        <v>306</v>
      </c>
      <c r="I39" s="31" cm="1">
        <f t="array" ref="I39">SUM(IF((Produccion_mani[provincia_nombre]=I$29)*(Produccion_mani[campania]=A39),Produccion_mani[produccion_tm]))</f>
        <v>14456</v>
      </c>
      <c r="J39" s="31" cm="1">
        <f t="array" ref="J39">SUM(IF((Produccion_mani[provincia_nombre]=J$29)*(Produccion_mani[campania]=A39),Produccion_mani[produccion_tm]))</f>
        <v>6</v>
      </c>
      <c r="K39" s="31" cm="1">
        <f t="array" ref="K39">SUM(IF((Produccion_mani[provincia_nombre]=K$29)*(Produccion_mani[campania]=A39),Produccion_mani[produccion_tm]))</f>
        <v>486</v>
      </c>
      <c r="L39" s="31" cm="1">
        <f t="array" ref="L39">SUM(IF((Produccion_mani[provincia_nombre]=L$29)*(Produccion_mani[campania]=A39),Produccion_mani[produccion_tm]))</f>
        <v>0</v>
      </c>
      <c r="M39" s="31" cm="1">
        <f t="array" ref="M39">SUM(IF((Produccion_mani[provincia_nombre]=M$29)*(Produccion_mani[campania]=A39),Produccion_mani[produccion_tm]))</f>
        <v>149</v>
      </c>
      <c r="N39" s="31" cm="1">
        <f t="array" ref="N39">SUM(IF((Produccion_mani[provincia_nombre]=N$29)*(Produccion_mani[campania]=A39),Produccion_mani[produccion_tm]))</f>
        <v>0</v>
      </c>
      <c r="O39" s="31" cm="1">
        <f t="array" ref="O39">SUM(IF((Produccion_mani[provincia_nombre]=O$29)*(Produccion_mani[campania]=A39),Produccion_mani[produccion_tm]))</f>
        <v>86</v>
      </c>
      <c r="P39" s="31" cm="1">
        <f t="array" ref="P39">SUM(IF((Produccion_mani[provincia_nombre]=P$29)*(Produccion_mani[campania]=A39),Produccion_mani[produccion_tm]))</f>
        <v>30</v>
      </c>
      <c r="Q39" s="31" cm="1">
        <f t="array" ref="Q39">SUM(IF((Produccion_mani[provincia_nombre]=Q$29)*(Produccion_mani[campania]=A39),Produccion_mani[produccion_tm]))</f>
        <v>81</v>
      </c>
      <c r="R39" s="31" cm="1">
        <f t="array" ref="R39">SUM(IF((Produccion_mani[provincia_nombre]=R$29)*(Produccion_mani[campania]=A39),Produccion_mani[produccion_tm]))</f>
        <v>0</v>
      </c>
      <c r="S39" s="31" cm="1">
        <f t="array" ref="S39">SUM(IF((Produccion_mani[provincia_nombre]=S$29)*(Produccion_mani[campania]=A39),Produccion_mani[produccion_tm]))</f>
        <v>0</v>
      </c>
    </row>
    <row r="40" spans="1:19" x14ac:dyDescent="0.25">
      <c r="A40" s="23" t="str">
        <v>1937/1938</v>
      </c>
      <c r="B40" s="31" cm="1">
        <f t="array" ref="B40">SUM(IF((Produccion_mani[provincia_nombre]=B$29)*(Produccion_mani[campania]=A40),Produccion_mani[produccion_tm]))</f>
        <v>0</v>
      </c>
      <c r="C40" s="31" cm="1">
        <f t="array" ref="C40">SUM(IF((Produccion_mani[provincia_nombre]=C$29)*(Produccion_mani[campania]=A40),Produccion_mani[produccion_tm]))</f>
        <v>42326</v>
      </c>
      <c r="D40" s="31" cm="1">
        <f t="array" ref="D40">SUM(IF((Produccion_mani[provincia_nombre]=D$29)*(Produccion_mani[campania]=A40),Produccion_mani[produccion_tm]))</f>
        <v>2351</v>
      </c>
      <c r="E40" s="31" cm="1">
        <f t="array" ref="E40">SUM(IF((Produccion_mani[provincia_nombre]=E$29)*(Produccion_mani[campania]=A40),Produccion_mani[produccion_tm]))</f>
        <v>8630</v>
      </c>
      <c r="F40" s="31" cm="1">
        <f t="array" ref="F40">SUM(IF((Produccion_mani[provincia_nombre]=F$29)*(Produccion_mani[campania]=A40),Produccion_mani[produccion_tm]))</f>
        <v>0</v>
      </c>
      <c r="G40" s="31" cm="1">
        <f t="array" ref="G40">SUM(IF((Produccion_mani[provincia_nombre]=G$29)*(Produccion_mani[campania]=A40),Produccion_mani[produccion_tm]))</f>
        <v>0</v>
      </c>
      <c r="H40" s="31" cm="1">
        <f t="array" ref="H40">SUM(IF((Produccion_mani[provincia_nombre]=H$29)*(Produccion_mani[campania]=A40),Produccion_mani[produccion_tm]))</f>
        <v>40</v>
      </c>
      <c r="I40" s="31" cm="1">
        <f t="array" ref="I40">SUM(IF((Produccion_mani[provincia_nombre]=I$29)*(Produccion_mani[campania]=A40),Produccion_mani[produccion_tm]))</f>
        <v>14663</v>
      </c>
      <c r="J40" s="31" cm="1">
        <f t="array" ref="J40">SUM(IF((Produccion_mani[provincia_nombre]=J$29)*(Produccion_mani[campania]=A40),Produccion_mani[produccion_tm]))</f>
        <v>0</v>
      </c>
      <c r="K40" s="31" cm="1">
        <f t="array" ref="K40">SUM(IF((Produccion_mani[provincia_nombre]=K$29)*(Produccion_mani[campania]=A40),Produccion_mani[produccion_tm]))</f>
        <v>1272</v>
      </c>
      <c r="L40" s="31" cm="1">
        <f t="array" ref="L40">SUM(IF((Produccion_mani[provincia_nombre]=L$29)*(Produccion_mani[campania]=A40),Produccion_mani[produccion_tm]))</f>
        <v>0</v>
      </c>
      <c r="M40" s="31" cm="1">
        <f t="array" ref="M40">SUM(IF((Produccion_mani[provincia_nombre]=M$29)*(Produccion_mani[campania]=A40),Produccion_mani[produccion_tm]))</f>
        <v>0</v>
      </c>
      <c r="N40" s="31" cm="1">
        <f t="array" ref="N40">SUM(IF((Produccion_mani[provincia_nombre]=N$29)*(Produccion_mani[campania]=A40),Produccion_mani[produccion_tm]))</f>
        <v>0</v>
      </c>
      <c r="O40" s="31" cm="1">
        <f t="array" ref="O40">SUM(IF((Produccion_mani[provincia_nombre]=O$29)*(Produccion_mani[campania]=A40),Produccion_mani[produccion_tm]))</f>
        <v>16</v>
      </c>
      <c r="P40" s="31" cm="1">
        <f t="array" ref="P40">SUM(IF((Produccion_mani[provincia_nombre]=P$29)*(Produccion_mani[campania]=A40),Produccion_mani[produccion_tm]))</f>
        <v>19</v>
      </c>
      <c r="Q40" s="31" cm="1">
        <f t="array" ref="Q40">SUM(IF((Produccion_mani[provincia_nombre]=Q$29)*(Produccion_mani[campania]=A40),Produccion_mani[produccion_tm]))</f>
        <v>0</v>
      </c>
      <c r="R40" s="31" cm="1">
        <f t="array" ref="R40">SUM(IF((Produccion_mani[provincia_nombre]=R$29)*(Produccion_mani[campania]=A40),Produccion_mani[produccion_tm]))</f>
        <v>0</v>
      </c>
      <c r="S40" s="31" cm="1">
        <f t="array" ref="S40">SUM(IF((Produccion_mani[provincia_nombre]=S$29)*(Produccion_mani[campania]=A40),Produccion_mani[produccion_tm]))</f>
        <v>0</v>
      </c>
    </row>
    <row r="41" spans="1:19" x14ac:dyDescent="0.25">
      <c r="A41" s="23" t="str">
        <v>1938/1939</v>
      </c>
      <c r="B41" s="31" cm="1">
        <f t="array" ref="B41">SUM(IF((Produccion_mani[provincia_nombre]=B$29)*(Produccion_mani[campania]=A41),Produccion_mani[produccion_tm]))</f>
        <v>0</v>
      </c>
      <c r="C41" s="31" cm="1">
        <f t="array" ref="C41">SUM(IF((Produccion_mani[provincia_nombre]=C$29)*(Produccion_mani[campania]=A41),Produccion_mani[produccion_tm]))</f>
        <v>15641</v>
      </c>
      <c r="D41" s="31" cm="1">
        <f t="array" ref="D41">SUM(IF((Produccion_mani[provincia_nombre]=D$29)*(Produccion_mani[campania]=A41),Produccion_mani[produccion_tm]))</f>
        <v>0</v>
      </c>
      <c r="E41" s="31" cm="1">
        <f t="array" ref="E41">SUM(IF((Produccion_mani[provincia_nombre]=E$29)*(Produccion_mani[campania]=A41),Produccion_mani[produccion_tm]))</f>
        <v>9963</v>
      </c>
      <c r="F41" s="31" cm="1">
        <f t="array" ref="F41">SUM(IF((Produccion_mani[provincia_nombre]=F$29)*(Produccion_mani[campania]=A41),Produccion_mani[produccion_tm]))</f>
        <v>0</v>
      </c>
      <c r="G41" s="31" cm="1">
        <f t="array" ref="G41">SUM(IF((Produccion_mani[provincia_nombre]=G$29)*(Produccion_mani[campania]=A41),Produccion_mani[produccion_tm]))</f>
        <v>0</v>
      </c>
      <c r="H41" s="31" cm="1">
        <f t="array" ref="H41">SUM(IF((Produccion_mani[provincia_nombre]=H$29)*(Produccion_mani[campania]=A41),Produccion_mani[produccion_tm]))</f>
        <v>309</v>
      </c>
      <c r="I41" s="31" cm="1">
        <f t="array" ref="I41">SUM(IF((Produccion_mani[provincia_nombre]=I$29)*(Produccion_mani[campania]=A41),Produccion_mani[produccion_tm]))</f>
        <v>12768</v>
      </c>
      <c r="J41" s="31" cm="1">
        <f t="array" ref="J41">SUM(IF((Produccion_mani[provincia_nombre]=J$29)*(Produccion_mani[campania]=A41),Produccion_mani[produccion_tm]))</f>
        <v>0</v>
      </c>
      <c r="K41" s="31" cm="1">
        <f t="array" ref="K41">SUM(IF((Produccion_mani[provincia_nombre]=K$29)*(Produccion_mani[campania]=A41),Produccion_mani[produccion_tm]))</f>
        <v>2141</v>
      </c>
      <c r="L41" s="31" cm="1">
        <f t="array" ref="L41">SUM(IF((Produccion_mani[provincia_nombre]=L$29)*(Produccion_mani[campania]=A41),Produccion_mani[produccion_tm]))</f>
        <v>0</v>
      </c>
      <c r="M41" s="31" cm="1">
        <f t="array" ref="M41">SUM(IF((Produccion_mani[provincia_nombre]=M$29)*(Produccion_mani[campania]=A41),Produccion_mani[produccion_tm]))</f>
        <v>0</v>
      </c>
      <c r="N41" s="31" cm="1">
        <f t="array" ref="N41">SUM(IF((Produccion_mani[provincia_nombre]=N$29)*(Produccion_mani[campania]=A41),Produccion_mani[produccion_tm]))</f>
        <v>0</v>
      </c>
      <c r="O41" s="31" cm="1">
        <f t="array" ref="O41">SUM(IF((Produccion_mani[provincia_nombre]=O$29)*(Produccion_mani[campania]=A41),Produccion_mani[produccion_tm]))</f>
        <v>0</v>
      </c>
      <c r="P41" s="31" cm="1">
        <f t="array" ref="P41">SUM(IF((Produccion_mani[provincia_nombre]=P$29)*(Produccion_mani[campania]=A41),Produccion_mani[produccion_tm]))</f>
        <v>0</v>
      </c>
      <c r="Q41" s="31" cm="1">
        <f t="array" ref="Q41">SUM(IF((Produccion_mani[provincia_nombre]=Q$29)*(Produccion_mani[campania]=A41),Produccion_mani[produccion_tm]))</f>
        <v>0</v>
      </c>
      <c r="R41" s="31" cm="1">
        <f t="array" ref="R41">SUM(IF((Produccion_mani[provincia_nombre]=R$29)*(Produccion_mani[campania]=A41),Produccion_mani[produccion_tm]))</f>
        <v>0</v>
      </c>
      <c r="S41" s="31" cm="1">
        <f t="array" ref="S41">SUM(IF((Produccion_mani[provincia_nombre]=S$29)*(Produccion_mani[campania]=A41),Produccion_mani[produccion_tm]))</f>
        <v>0</v>
      </c>
    </row>
    <row r="42" spans="1:19" x14ac:dyDescent="0.25">
      <c r="A42" s="23" t="str">
        <v>1939/1940</v>
      </c>
      <c r="B42" s="31" cm="1">
        <f t="array" ref="B42">SUM(IF((Produccion_mani[provincia_nombre]=B$29)*(Produccion_mani[campania]=A42),Produccion_mani[produccion_tm]))</f>
        <v>0</v>
      </c>
      <c r="C42" s="31" cm="1">
        <f t="array" ref="C42">SUM(IF((Produccion_mani[provincia_nombre]=C$29)*(Produccion_mani[campania]=A42),Produccion_mani[produccion_tm]))</f>
        <v>53695</v>
      </c>
      <c r="D42" s="31" cm="1">
        <f t="array" ref="D42">SUM(IF((Produccion_mani[provincia_nombre]=D$29)*(Produccion_mani[campania]=A42),Produccion_mani[produccion_tm]))</f>
        <v>740</v>
      </c>
      <c r="E42" s="31" cm="1">
        <f t="array" ref="E42">SUM(IF((Produccion_mani[provincia_nombre]=E$29)*(Produccion_mani[campania]=A42),Produccion_mani[produccion_tm]))</f>
        <v>12360</v>
      </c>
      <c r="F42" s="31" cm="1">
        <f t="array" ref="F42">SUM(IF((Produccion_mani[provincia_nombre]=F$29)*(Produccion_mani[campania]=A42),Produccion_mani[produccion_tm]))</f>
        <v>104</v>
      </c>
      <c r="G42" s="31" cm="1">
        <f t="array" ref="G42">SUM(IF((Produccion_mani[provincia_nombre]=G$29)*(Produccion_mani[campania]=A42),Produccion_mani[produccion_tm]))</f>
        <v>0</v>
      </c>
      <c r="H42" s="31" cm="1">
        <f t="array" ref="H42">SUM(IF((Produccion_mani[provincia_nombre]=H$29)*(Produccion_mani[campania]=A42),Produccion_mani[produccion_tm]))</f>
        <v>36</v>
      </c>
      <c r="I42" s="31" cm="1">
        <f t="array" ref="I42">SUM(IF((Produccion_mani[provincia_nombre]=I$29)*(Produccion_mani[campania]=A42),Produccion_mani[produccion_tm]))</f>
        <v>14660</v>
      </c>
      <c r="J42" s="31" cm="1">
        <f t="array" ref="J42">SUM(IF((Produccion_mani[provincia_nombre]=J$29)*(Produccion_mani[campania]=A42),Produccion_mani[produccion_tm]))</f>
        <v>130</v>
      </c>
      <c r="K42" s="31" cm="1">
        <f t="array" ref="K42">SUM(IF((Produccion_mani[provincia_nombre]=K$29)*(Produccion_mani[campania]=A42),Produccion_mani[produccion_tm]))</f>
        <v>2200</v>
      </c>
      <c r="L42" s="31" cm="1">
        <f t="array" ref="L42">SUM(IF((Produccion_mani[provincia_nombre]=L$29)*(Produccion_mani[campania]=A42),Produccion_mani[produccion_tm]))</f>
        <v>0</v>
      </c>
      <c r="M42" s="31" cm="1">
        <f t="array" ref="M42">SUM(IF((Produccion_mani[provincia_nombre]=M$29)*(Produccion_mani[campania]=A42),Produccion_mani[produccion_tm]))</f>
        <v>474</v>
      </c>
      <c r="N42" s="31" cm="1">
        <f t="array" ref="N42">SUM(IF((Produccion_mani[provincia_nombre]=N$29)*(Produccion_mani[campania]=A42),Produccion_mani[produccion_tm]))</f>
        <v>0</v>
      </c>
      <c r="O42" s="31" cm="1">
        <f t="array" ref="O42">SUM(IF((Produccion_mani[provincia_nombre]=O$29)*(Produccion_mani[campania]=A42),Produccion_mani[produccion_tm]))</f>
        <v>0</v>
      </c>
      <c r="P42" s="31" cm="1">
        <f t="array" ref="P42">SUM(IF((Produccion_mani[provincia_nombre]=P$29)*(Produccion_mani[campania]=A42),Produccion_mani[produccion_tm]))</f>
        <v>0</v>
      </c>
      <c r="Q42" s="31" cm="1">
        <f t="array" ref="Q42">SUM(IF((Produccion_mani[provincia_nombre]=Q$29)*(Produccion_mani[campania]=A42),Produccion_mani[produccion_tm]))</f>
        <v>0</v>
      </c>
      <c r="R42" s="31" cm="1">
        <f t="array" ref="R42">SUM(IF((Produccion_mani[provincia_nombre]=R$29)*(Produccion_mani[campania]=A42),Produccion_mani[produccion_tm]))</f>
        <v>0</v>
      </c>
      <c r="S42" s="31" cm="1">
        <f t="array" ref="S42">SUM(IF((Produccion_mani[provincia_nombre]=S$29)*(Produccion_mani[campania]=A42),Produccion_mani[produccion_tm]))</f>
        <v>0</v>
      </c>
    </row>
    <row r="43" spans="1:19" x14ac:dyDescent="0.25">
      <c r="A43" s="23" t="str">
        <v>1940/1941</v>
      </c>
      <c r="B43" s="31" cm="1">
        <f t="array" ref="B43">SUM(IF((Produccion_mani[provincia_nombre]=B$29)*(Produccion_mani[campania]=A43),Produccion_mani[produccion_tm]))</f>
        <v>270</v>
      </c>
      <c r="C43" s="31" cm="1">
        <f t="array" ref="C43">SUM(IF((Produccion_mani[provincia_nombre]=C$29)*(Produccion_mani[campania]=A43),Produccion_mani[produccion_tm]))</f>
        <v>39460</v>
      </c>
      <c r="D43" s="31" cm="1">
        <f t="array" ref="D43">SUM(IF((Produccion_mani[provincia_nombre]=D$29)*(Produccion_mani[campania]=A43),Produccion_mani[produccion_tm]))</f>
        <v>685</v>
      </c>
      <c r="E43" s="31" cm="1">
        <f t="array" ref="E43">SUM(IF((Produccion_mani[provincia_nombre]=E$29)*(Produccion_mani[campania]=A43),Produccion_mani[produccion_tm]))</f>
        <v>8550</v>
      </c>
      <c r="F43" s="31" cm="1">
        <f t="array" ref="F43">SUM(IF((Produccion_mani[provincia_nombre]=F$29)*(Produccion_mani[campania]=A43),Produccion_mani[produccion_tm]))</f>
        <v>322</v>
      </c>
      <c r="G43" s="31" cm="1">
        <f t="array" ref="G43">SUM(IF((Produccion_mani[provincia_nombre]=G$29)*(Produccion_mani[campania]=A43),Produccion_mani[produccion_tm]))</f>
        <v>0</v>
      </c>
      <c r="H43" s="31" cm="1">
        <f t="array" ref="H43">SUM(IF((Produccion_mani[provincia_nombre]=H$29)*(Produccion_mani[campania]=A43),Produccion_mani[produccion_tm]))</f>
        <v>59</v>
      </c>
      <c r="I43" s="31" cm="1">
        <f t="array" ref="I43">SUM(IF((Produccion_mani[provincia_nombre]=I$29)*(Produccion_mani[campania]=A43),Produccion_mani[produccion_tm]))</f>
        <v>7580</v>
      </c>
      <c r="J43" s="31" cm="1">
        <f t="array" ref="J43">SUM(IF((Produccion_mani[provincia_nombre]=J$29)*(Produccion_mani[campania]=A43),Produccion_mani[produccion_tm]))</f>
        <v>90</v>
      </c>
      <c r="K43" s="31" cm="1">
        <f t="array" ref="K43">SUM(IF((Produccion_mani[provincia_nombre]=K$29)*(Produccion_mani[campania]=A43),Produccion_mani[produccion_tm]))</f>
        <v>3270</v>
      </c>
      <c r="L43" s="31" cm="1">
        <f t="array" ref="L43">SUM(IF((Produccion_mani[provincia_nombre]=L$29)*(Produccion_mani[campania]=A43),Produccion_mani[produccion_tm]))</f>
        <v>0</v>
      </c>
      <c r="M43" s="31" cm="1">
        <f t="array" ref="M43">SUM(IF((Produccion_mani[provincia_nombre]=M$29)*(Produccion_mani[campania]=A43),Produccion_mani[produccion_tm]))</f>
        <v>700</v>
      </c>
      <c r="N43" s="31" cm="1">
        <f t="array" ref="N43">SUM(IF((Produccion_mani[provincia_nombre]=N$29)*(Produccion_mani[campania]=A43),Produccion_mani[produccion_tm]))</f>
        <v>0</v>
      </c>
      <c r="O43" s="31" cm="1">
        <f t="array" ref="O43">SUM(IF((Produccion_mani[provincia_nombre]=O$29)*(Produccion_mani[campania]=A43),Produccion_mani[produccion_tm]))</f>
        <v>14</v>
      </c>
      <c r="P43" s="31" cm="1">
        <f t="array" ref="P43">SUM(IF((Produccion_mani[provincia_nombre]=P$29)*(Produccion_mani[campania]=A43),Produccion_mani[produccion_tm]))</f>
        <v>0</v>
      </c>
      <c r="Q43" s="31" cm="1">
        <f t="array" ref="Q43">SUM(IF((Produccion_mani[provincia_nombre]=Q$29)*(Produccion_mani[campania]=A43),Produccion_mani[produccion_tm]))</f>
        <v>0</v>
      </c>
      <c r="R43" s="31" cm="1">
        <f t="array" ref="R43">SUM(IF((Produccion_mani[provincia_nombre]=R$29)*(Produccion_mani[campania]=A43),Produccion_mani[produccion_tm]))</f>
        <v>0</v>
      </c>
      <c r="S43" s="31" cm="1">
        <f t="array" ref="S43">SUM(IF((Produccion_mani[provincia_nombre]=S$29)*(Produccion_mani[campania]=A43),Produccion_mani[produccion_tm]))</f>
        <v>0</v>
      </c>
    </row>
    <row r="44" spans="1:19" x14ac:dyDescent="0.25">
      <c r="A44" s="23" t="str">
        <v>1941/1942</v>
      </c>
      <c r="B44" s="31" cm="1">
        <f t="array" ref="B44">SUM(IF((Produccion_mani[provincia_nombre]=B$29)*(Produccion_mani[campania]=A44),Produccion_mani[produccion_tm]))</f>
        <v>2880</v>
      </c>
      <c r="C44" s="31" cm="1">
        <f t="array" ref="C44">SUM(IF((Produccion_mani[provincia_nombre]=C$29)*(Produccion_mani[campania]=A44),Produccion_mani[produccion_tm]))</f>
        <v>44880</v>
      </c>
      <c r="D44" s="31" cm="1">
        <f t="array" ref="D44">SUM(IF((Produccion_mani[provincia_nombre]=D$29)*(Produccion_mani[campania]=A44),Produccion_mani[produccion_tm]))</f>
        <v>1100</v>
      </c>
      <c r="E44" s="31" cm="1">
        <f t="array" ref="E44">SUM(IF((Produccion_mani[provincia_nombre]=E$29)*(Produccion_mani[campania]=A44),Produccion_mani[produccion_tm]))</f>
        <v>12820</v>
      </c>
      <c r="F44" s="31" cm="1">
        <f t="array" ref="F44">SUM(IF((Produccion_mani[provincia_nombre]=F$29)*(Produccion_mani[campania]=A44),Produccion_mani[produccion_tm]))</f>
        <v>460</v>
      </c>
      <c r="G44" s="31" cm="1">
        <f t="array" ref="G44">SUM(IF((Produccion_mani[provincia_nombre]=G$29)*(Produccion_mani[campania]=A44),Produccion_mani[produccion_tm]))</f>
        <v>0</v>
      </c>
      <c r="H44" s="31" cm="1">
        <f t="array" ref="H44">SUM(IF((Produccion_mani[provincia_nombre]=H$29)*(Produccion_mani[campania]=A44),Produccion_mani[produccion_tm]))</f>
        <v>400</v>
      </c>
      <c r="I44" s="31" cm="1">
        <f t="array" ref="I44">SUM(IF((Produccion_mani[provincia_nombre]=I$29)*(Produccion_mani[campania]=A44),Produccion_mani[produccion_tm]))</f>
        <v>16400</v>
      </c>
      <c r="J44" s="31" cm="1">
        <f t="array" ref="J44">SUM(IF((Produccion_mani[provincia_nombre]=J$29)*(Produccion_mani[campania]=A44),Produccion_mani[produccion_tm]))</f>
        <v>100</v>
      </c>
      <c r="K44" s="31" cm="1">
        <f t="array" ref="K44">SUM(IF((Produccion_mani[provincia_nombre]=K$29)*(Produccion_mani[campania]=A44),Produccion_mani[produccion_tm]))</f>
        <v>3050</v>
      </c>
      <c r="L44" s="31" cm="1">
        <f t="array" ref="L44">SUM(IF((Produccion_mani[provincia_nombre]=L$29)*(Produccion_mani[campania]=A44),Produccion_mani[produccion_tm]))</f>
        <v>0</v>
      </c>
      <c r="M44" s="31" cm="1">
        <f t="array" ref="M44">SUM(IF((Produccion_mani[provincia_nombre]=M$29)*(Produccion_mani[campania]=A44),Produccion_mani[produccion_tm]))</f>
        <v>500</v>
      </c>
      <c r="N44" s="31" cm="1">
        <f t="array" ref="N44">SUM(IF((Produccion_mani[provincia_nombre]=N$29)*(Produccion_mani[campania]=A44),Produccion_mani[produccion_tm]))</f>
        <v>0</v>
      </c>
      <c r="O44" s="31" cm="1">
        <f t="array" ref="O44">SUM(IF((Produccion_mani[provincia_nombre]=O$29)*(Produccion_mani[campania]=A44),Produccion_mani[produccion_tm]))</f>
        <v>10</v>
      </c>
      <c r="P44" s="31" cm="1">
        <f t="array" ref="P44">SUM(IF((Produccion_mani[provincia_nombre]=P$29)*(Produccion_mani[campania]=A44),Produccion_mani[produccion_tm]))</f>
        <v>0</v>
      </c>
      <c r="Q44" s="31" cm="1">
        <f t="array" ref="Q44">SUM(IF((Produccion_mani[provincia_nombre]=Q$29)*(Produccion_mani[campania]=A44),Produccion_mani[produccion_tm]))</f>
        <v>0</v>
      </c>
      <c r="R44" s="31" cm="1">
        <f t="array" ref="R44">SUM(IF((Produccion_mani[provincia_nombre]=R$29)*(Produccion_mani[campania]=A44),Produccion_mani[produccion_tm]))</f>
        <v>0</v>
      </c>
      <c r="S44" s="31" cm="1">
        <f t="array" ref="S44">SUM(IF((Produccion_mani[provincia_nombre]=S$29)*(Produccion_mani[campania]=A44),Produccion_mani[produccion_tm]))</f>
        <v>0</v>
      </c>
    </row>
    <row r="45" spans="1:19" x14ac:dyDescent="0.25">
      <c r="A45" s="23" t="str">
        <v>1942/1943</v>
      </c>
      <c r="B45" s="31" cm="1">
        <f t="array" ref="B45">SUM(IF((Produccion_mani[provincia_nombre]=B$29)*(Produccion_mani[campania]=A45),Produccion_mani[produccion_tm]))</f>
        <v>500</v>
      </c>
      <c r="C45" s="31" cm="1">
        <f t="array" ref="C45">SUM(IF((Produccion_mani[provincia_nombre]=C$29)*(Produccion_mani[campania]=A45),Produccion_mani[produccion_tm]))</f>
        <v>71323</v>
      </c>
      <c r="D45" s="31" cm="1">
        <f t="array" ref="D45">SUM(IF((Produccion_mani[provincia_nombre]=D$29)*(Produccion_mani[campania]=A45),Produccion_mani[produccion_tm]))</f>
        <v>2700</v>
      </c>
      <c r="E45" s="31" cm="1">
        <f t="array" ref="E45">SUM(IF((Produccion_mani[provincia_nombre]=E$29)*(Produccion_mani[campania]=A45),Produccion_mani[produccion_tm]))</f>
        <v>6500</v>
      </c>
      <c r="F45" s="31" cm="1">
        <f t="array" ref="F45">SUM(IF((Produccion_mani[provincia_nombre]=F$29)*(Produccion_mani[campania]=A45),Produccion_mani[produccion_tm]))</f>
        <v>363</v>
      </c>
      <c r="G45" s="31" cm="1">
        <f t="array" ref="G45">SUM(IF((Produccion_mani[provincia_nombre]=G$29)*(Produccion_mani[campania]=A45),Produccion_mani[produccion_tm]))</f>
        <v>0</v>
      </c>
      <c r="H45" s="31" cm="1">
        <f t="array" ref="H45">SUM(IF((Produccion_mani[provincia_nombre]=H$29)*(Produccion_mani[campania]=A45),Produccion_mani[produccion_tm]))</f>
        <v>728</v>
      </c>
      <c r="I45" s="31" cm="1">
        <f t="array" ref="I45">SUM(IF((Produccion_mani[provincia_nombre]=I$29)*(Produccion_mani[campania]=A45),Produccion_mani[produccion_tm]))</f>
        <v>12108</v>
      </c>
      <c r="J45" s="31" cm="1">
        <f t="array" ref="J45">SUM(IF((Produccion_mani[provincia_nombre]=J$29)*(Produccion_mani[campania]=A45),Produccion_mani[produccion_tm]))</f>
        <v>222</v>
      </c>
      <c r="K45" s="31" cm="1">
        <f t="array" ref="K45">SUM(IF((Produccion_mani[provincia_nombre]=K$29)*(Produccion_mani[campania]=A45),Produccion_mani[produccion_tm]))</f>
        <v>1150</v>
      </c>
      <c r="L45" s="31" cm="1">
        <f t="array" ref="L45">SUM(IF((Produccion_mani[provincia_nombre]=L$29)*(Produccion_mani[campania]=A45),Produccion_mani[produccion_tm]))</f>
        <v>0</v>
      </c>
      <c r="M45" s="31" cm="1">
        <f t="array" ref="M45">SUM(IF((Produccion_mani[provincia_nombre]=M$29)*(Produccion_mani[campania]=A45),Produccion_mani[produccion_tm]))</f>
        <v>429</v>
      </c>
      <c r="N45" s="31" cm="1">
        <f t="array" ref="N45">SUM(IF((Produccion_mani[provincia_nombre]=N$29)*(Produccion_mani[campania]=A45),Produccion_mani[produccion_tm]))</f>
        <v>0</v>
      </c>
      <c r="O45" s="31" cm="1">
        <f t="array" ref="O45">SUM(IF((Produccion_mani[provincia_nombre]=O$29)*(Produccion_mani[campania]=A45),Produccion_mani[produccion_tm]))</f>
        <v>34</v>
      </c>
      <c r="P45" s="31" cm="1">
        <f t="array" ref="P45">SUM(IF((Produccion_mani[provincia_nombre]=P$29)*(Produccion_mani[campania]=A45),Produccion_mani[produccion_tm]))</f>
        <v>0</v>
      </c>
      <c r="Q45" s="31" cm="1">
        <f t="array" ref="Q45">SUM(IF((Produccion_mani[provincia_nombre]=Q$29)*(Produccion_mani[campania]=A45),Produccion_mani[produccion_tm]))</f>
        <v>0</v>
      </c>
      <c r="R45" s="31" cm="1">
        <f t="array" ref="R45">SUM(IF((Produccion_mani[provincia_nombre]=R$29)*(Produccion_mani[campania]=A45),Produccion_mani[produccion_tm]))</f>
        <v>0</v>
      </c>
      <c r="S45" s="31" cm="1">
        <f t="array" ref="S45">SUM(IF((Produccion_mani[provincia_nombre]=S$29)*(Produccion_mani[campania]=A45),Produccion_mani[produccion_tm]))</f>
        <v>0</v>
      </c>
    </row>
    <row r="46" spans="1:19" x14ac:dyDescent="0.25">
      <c r="A46" s="23" t="str">
        <v>1943/1944</v>
      </c>
      <c r="B46" s="31" cm="1">
        <f t="array" ref="B46">SUM(IF((Produccion_mani[provincia_nombre]=B$29)*(Produccion_mani[campania]=A46),Produccion_mani[produccion_tm]))</f>
        <v>81</v>
      </c>
      <c r="C46" s="31" cm="1">
        <f t="array" ref="C46">SUM(IF((Produccion_mani[provincia_nombre]=C$29)*(Produccion_mani[campania]=A46),Produccion_mani[produccion_tm]))</f>
        <v>169288</v>
      </c>
      <c r="D46" s="31" cm="1">
        <f t="array" ref="D46">SUM(IF((Produccion_mani[provincia_nombre]=D$29)*(Produccion_mani[campania]=A46),Produccion_mani[produccion_tm]))</f>
        <v>1131</v>
      </c>
      <c r="E46" s="31" cm="1">
        <f t="array" ref="E46">SUM(IF((Produccion_mani[provincia_nombre]=E$29)*(Produccion_mani[campania]=A46),Produccion_mani[produccion_tm]))</f>
        <v>11994</v>
      </c>
      <c r="F46" s="31" cm="1">
        <f t="array" ref="F46">SUM(IF((Produccion_mani[provincia_nombre]=F$29)*(Produccion_mani[campania]=A46),Produccion_mani[produccion_tm]))</f>
        <v>231</v>
      </c>
      <c r="G46" s="31" cm="1">
        <f t="array" ref="G46">SUM(IF((Produccion_mani[provincia_nombre]=G$29)*(Produccion_mani[campania]=A46),Produccion_mani[produccion_tm]))</f>
        <v>0</v>
      </c>
      <c r="H46" s="31" cm="1">
        <f t="array" ref="H46">SUM(IF((Produccion_mani[provincia_nombre]=H$29)*(Produccion_mani[campania]=A46),Produccion_mani[produccion_tm]))</f>
        <v>546</v>
      </c>
      <c r="I46" s="31" cm="1">
        <f t="array" ref="I46">SUM(IF((Produccion_mani[provincia_nombre]=I$29)*(Produccion_mani[campania]=A46),Produccion_mani[produccion_tm]))</f>
        <v>13524</v>
      </c>
      <c r="J46" s="31" cm="1">
        <f t="array" ref="J46">SUM(IF((Produccion_mani[provincia_nombre]=J$29)*(Produccion_mani[campania]=A46),Produccion_mani[produccion_tm]))</f>
        <v>197</v>
      </c>
      <c r="K46" s="31" cm="1">
        <f t="array" ref="K46">SUM(IF((Produccion_mani[provincia_nombre]=K$29)*(Produccion_mani[campania]=A46),Produccion_mani[produccion_tm]))</f>
        <v>1627</v>
      </c>
      <c r="L46" s="31" cm="1">
        <f t="array" ref="L46">SUM(IF((Produccion_mani[provincia_nombre]=L$29)*(Produccion_mani[campania]=A46),Produccion_mani[produccion_tm]))</f>
        <v>0</v>
      </c>
      <c r="M46" s="31" cm="1">
        <f t="array" ref="M46">SUM(IF((Produccion_mani[provincia_nombre]=M$29)*(Produccion_mani[campania]=A46),Produccion_mani[produccion_tm]))</f>
        <v>242</v>
      </c>
      <c r="N46" s="31" cm="1">
        <f t="array" ref="N46">SUM(IF((Produccion_mani[provincia_nombre]=N$29)*(Produccion_mani[campania]=A46),Produccion_mani[produccion_tm]))</f>
        <v>0</v>
      </c>
      <c r="O46" s="31" cm="1">
        <f t="array" ref="O46">SUM(IF((Produccion_mani[provincia_nombre]=O$29)*(Produccion_mani[campania]=A46),Produccion_mani[produccion_tm]))</f>
        <v>27</v>
      </c>
      <c r="P46" s="31" cm="1">
        <f t="array" ref="P46">SUM(IF((Produccion_mani[provincia_nombre]=P$29)*(Produccion_mani[campania]=A46),Produccion_mani[produccion_tm]))</f>
        <v>0</v>
      </c>
      <c r="Q46" s="31" cm="1">
        <f t="array" ref="Q46">SUM(IF((Produccion_mani[provincia_nombre]=Q$29)*(Produccion_mani[campania]=A46),Produccion_mani[produccion_tm]))</f>
        <v>0</v>
      </c>
      <c r="R46" s="31" cm="1">
        <f t="array" ref="R46">SUM(IF((Produccion_mani[provincia_nombre]=R$29)*(Produccion_mani[campania]=A46),Produccion_mani[produccion_tm]))</f>
        <v>0</v>
      </c>
      <c r="S46" s="31" cm="1">
        <f t="array" ref="S46">SUM(IF((Produccion_mani[provincia_nombre]=S$29)*(Produccion_mani[campania]=A46),Produccion_mani[produccion_tm]))</f>
        <v>0</v>
      </c>
    </row>
    <row r="47" spans="1:19" x14ac:dyDescent="0.25">
      <c r="A47" s="23" t="str">
        <v>1944/1945</v>
      </c>
      <c r="B47" s="31" cm="1">
        <f t="array" ref="B47">SUM(IF((Produccion_mani[provincia_nombre]=B$29)*(Produccion_mani[campania]=A47),Produccion_mani[produccion_tm]))</f>
        <v>101</v>
      </c>
      <c r="C47" s="31" cm="1">
        <f t="array" ref="C47">SUM(IF((Produccion_mani[provincia_nombre]=C$29)*(Produccion_mani[campania]=A47),Produccion_mani[produccion_tm]))</f>
        <v>143553</v>
      </c>
      <c r="D47" s="31" cm="1">
        <f t="array" ref="D47">SUM(IF((Produccion_mani[provincia_nombre]=D$29)*(Produccion_mani[campania]=A47),Produccion_mani[produccion_tm]))</f>
        <v>926</v>
      </c>
      <c r="E47" s="31" cm="1">
        <f t="array" ref="E47">SUM(IF((Produccion_mani[provincia_nombre]=E$29)*(Produccion_mani[campania]=A47),Produccion_mani[produccion_tm]))</f>
        <v>6241</v>
      </c>
      <c r="F47" s="31" cm="1">
        <f t="array" ref="F47">SUM(IF((Produccion_mani[provincia_nombre]=F$29)*(Produccion_mani[campania]=A47),Produccion_mani[produccion_tm]))</f>
        <v>0</v>
      </c>
      <c r="G47" s="31" cm="1">
        <f t="array" ref="G47">SUM(IF((Produccion_mani[provincia_nombre]=G$29)*(Produccion_mani[campania]=A47),Produccion_mani[produccion_tm]))</f>
        <v>0</v>
      </c>
      <c r="H47" s="31" cm="1">
        <f t="array" ref="H47">SUM(IF((Produccion_mani[provincia_nombre]=H$29)*(Produccion_mani[campania]=A47),Produccion_mani[produccion_tm]))</f>
        <v>343</v>
      </c>
      <c r="I47" s="31" cm="1">
        <f t="array" ref="I47">SUM(IF((Produccion_mani[provincia_nombre]=I$29)*(Produccion_mani[campania]=A47),Produccion_mani[produccion_tm]))</f>
        <v>5858</v>
      </c>
      <c r="J47" s="31" cm="1">
        <f t="array" ref="J47">SUM(IF((Produccion_mani[provincia_nombre]=J$29)*(Produccion_mani[campania]=A47),Produccion_mani[produccion_tm]))</f>
        <v>82</v>
      </c>
      <c r="K47" s="31" cm="1">
        <f t="array" ref="K47">SUM(IF((Produccion_mani[provincia_nombre]=K$29)*(Produccion_mani[campania]=A47),Produccion_mani[produccion_tm]))</f>
        <v>1056</v>
      </c>
      <c r="L47" s="31" cm="1">
        <f t="array" ref="L47">SUM(IF((Produccion_mani[provincia_nombre]=L$29)*(Produccion_mani[campania]=A47),Produccion_mani[produccion_tm]))</f>
        <v>0</v>
      </c>
      <c r="M47" s="31" cm="1">
        <f t="array" ref="M47">SUM(IF((Produccion_mani[provincia_nombre]=M$29)*(Produccion_mani[campania]=A47),Produccion_mani[produccion_tm]))</f>
        <v>135</v>
      </c>
      <c r="N47" s="31" cm="1">
        <f t="array" ref="N47">SUM(IF((Produccion_mani[provincia_nombre]=N$29)*(Produccion_mani[campania]=A47),Produccion_mani[produccion_tm]))</f>
        <v>0</v>
      </c>
      <c r="O47" s="31" cm="1">
        <f t="array" ref="O47">SUM(IF((Produccion_mani[provincia_nombre]=O$29)*(Produccion_mani[campania]=A47),Produccion_mani[produccion_tm]))</f>
        <v>0</v>
      </c>
      <c r="P47" s="31" cm="1">
        <f t="array" ref="P47">SUM(IF((Produccion_mani[provincia_nombre]=P$29)*(Produccion_mani[campania]=A47),Produccion_mani[produccion_tm]))</f>
        <v>0</v>
      </c>
      <c r="Q47" s="31" cm="1">
        <f t="array" ref="Q47">SUM(IF((Produccion_mani[provincia_nombre]=Q$29)*(Produccion_mani[campania]=A47),Produccion_mani[produccion_tm]))</f>
        <v>0</v>
      </c>
      <c r="R47" s="31" cm="1">
        <f t="array" ref="R47">SUM(IF((Produccion_mani[provincia_nombre]=R$29)*(Produccion_mani[campania]=A47),Produccion_mani[produccion_tm]))</f>
        <v>0</v>
      </c>
      <c r="S47" s="31" cm="1">
        <f t="array" ref="S47">SUM(IF((Produccion_mani[provincia_nombre]=S$29)*(Produccion_mani[campania]=A47),Produccion_mani[produccion_tm]))</f>
        <v>0</v>
      </c>
    </row>
    <row r="48" spans="1:19" x14ac:dyDescent="0.25">
      <c r="A48" s="23" t="str">
        <v>1945/1946</v>
      </c>
      <c r="B48" s="31" cm="1">
        <f t="array" ref="B48">SUM(IF((Produccion_mani[provincia_nombre]=B$29)*(Produccion_mani[campania]=A48),Produccion_mani[produccion_tm]))</f>
        <v>88</v>
      </c>
      <c r="C48" s="31" cm="1">
        <f t="array" ref="C48">SUM(IF((Produccion_mani[provincia_nombre]=C$29)*(Produccion_mani[campania]=A48),Produccion_mani[produccion_tm]))</f>
        <v>133633</v>
      </c>
      <c r="D48" s="31" cm="1">
        <f t="array" ref="D48">SUM(IF((Produccion_mani[provincia_nombre]=D$29)*(Produccion_mani[campania]=A48),Produccion_mani[produccion_tm]))</f>
        <v>927</v>
      </c>
      <c r="E48" s="31" cm="1">
        <f t="array" ref="E48">SUM(IF((Produccion_mani[provincia_nombre]=E$29)*(Produccion_mani[campania]=A48),Produccion_mani[produccion_tm]))</f>
        <v>10545</v>
      </c>
      <c r="F48" s="31" cm="1">
        <f t="array" ref="F48">SUM(IF((Produccion_mani[provincia_nombre]=F$29)*(Produccion_mani[campania]=A48),Produccion_mani[produccion_tm]))</f>
        <v>0</v>
      </c>
      <c r="G48" s="31" cm="1">
        <f t="array" ref="G48">SUM(IF((Produccion_mani[provincia_nombre]=G$29)*(Produccion_mani[campania]=A48),Produccion_mani[produccion_tm]))</f>
        <v>0</v>
      </c>
      <c r="H48" s="31" cm="1">
        <f t="array" ref="H48">SUM(IF((Produccion_mani[provincia_nombre]=H$29)*(Produccion_mani[campania]=A48),Produccion_mani[produccion_tm]))</f>
        <v>275</v>
      </c>
      <c r="I48" s="31" cm="1">
        <f t="array" ref="I48">SUM(IF((Produccion_mani[provincia_nombre]=I$29)*(Produccion_mani[campania]=A48),Produccion_mani[produccion_tm]))</f>
        <v>9180</v>
      </c>
      <c r="J48" s="31" cm="1">
        <f t="array" ref="J48">SUM(IF((Produccion_mani[provincia_nombre]=J$29)*(Produccion_mani[campania]=A48),Produccion_mani[produccion_tm]))</f>
        <v>30</v>
      </c>
      <c r="K48" s="31" cm="1">
        <f t="array" ref="K48">SUM(IF((Produccion_mani[provincia_nombre]=K$29)*(Produccion_mani[campania]=A48),Produccion_mani[produccion_tm]))</f>
        <v>1402</v>
      </c>
      <c r="L48" s="31" cm="1">
        <f t="array" ref="L48">SUM(IF((Produccion_mani[provincia_nombre]=L$29)*(Produccion_mani[campania]=A48),Produccion_mani[produccion_tm]))</f>
        <v>0</v>
      </c>
      <c r="M48" s="31" cm="1">
        <f t="array" ref="M48">SUM(IF((Produccion_mani[provincia_nombre]=M$29)*(Produccion_mani[campania]=A48),Produccion_mani[produccion_tm]))</f>
        <v>120</v>
      </c>
      <c r="N48" s="31" cm="1">
        <f t="array" ref="N48">SUM(IF((Produccion_mani[provincia_nombre]=N$29)*(Produccion_mani[campania]=A48),Produccion_mani[produccion_tm]))</f>
        <v>0</v>
      </c>
      <c r="O48" s="31" cm="1">
        <f t="array" ref="O48">SUM(IF((Produccion_mani[provincia_nombre]=O$29)*(Produccion_mani[campania]=A48),Produccion_mani[produccion_tm]))</f>
        <v>0</v>
      </c>
      <c r="P48" s="31" cm="1">
        <f t="array" ref="P48">SUM(IF((Produccion_mani[provincia_nombre]=P$29)*(Produccion_mani[campania]=A48),Produccion_mani[produccion_tm]))</f>
        <v>0</v>
      </c>
      <c r="Q48" s="31" cm="1">
        <f t="array" ref="Q48">SUM(IF((Produccion_mani[provincia_nombre]=Q$29)*(Produccion_mani[campania]=A48),Produccion_mani[produccion_tm]))</f>
        <v>0</v>
      </c>
      <c r="R48" s="31" cm="1">
        <f t="array" ref="R48">SUM(IF((Produccion_mani[provincia_nombre]=R$29)*(Produccion_mani[campania]=A48),Produccion_mani[produccion_tm]))</f>
        <v>0</v>
      </c>
      <c r="S48" s="31" cm="1">
        <f t="array" ref="S48">SUM(IF((Produccion_mani[provincia_nombre]=S$29)*(Produccion_mani[campania]=A48),Produccion_mani[produccion_tm]))</f>
        <v>0</v>
      </c>
    </row>
    <row r="49" spans="1:19" x14ac:dyDescent="0.25">
      <c r="A49" s="23" t="str">
        <v>1946/1947</v>
      </c>
      <c r="B49" s="31" cm="1">
        <f t="array" ref="B49">SUM(IF((Produccion_mani[provincia_nombre]=B$29)*(Produccion_mani[campania]=A49),Produccion_mani[produccion_tm]))</f>
        <v>82</v>
      </c>
      <c r="C49" s="31" cm="1">
        <f t="array" ref="C49">SUM(IF((Produccion_mani[provincia_nombre]=C$29)*(Produccion_mani[campania]=A49),Produccion_mani[produccion_tm]))</f>
        <v>95618</v>
      </c>
      <c r="D49" s="31" cm="1">
        <f t="array" ref="D49">SUM(IF((Produccion_mani[provincia_nombre]=D$29)*(Produccion_mani[campania]=A49),Produccion_mani[produccion_tm]))</f>
        <v>5475</v>
      </c>
      <c r="E49" s="31" cm="1">
        <f t="array" ref="E49">SUM(IF((Produccion_mani[provincia_nombre]=E$29)*(Produccion_mani[campania]=A49),Produccion_mani[produccion_tm]))</f>
        <v>8715</v>
      </c>
      <c r="F49" s="31" cm="1">
        <f t="array" ref="F49">SUM(IF((Produccion_mani[provincia_nombre]=F$29)*(Produccion_mani[campania]=A49),Produccion_mani[produccion_tm]))</f>
        <v>374</v>
      </c>
      <c r="G49" s="31" cm="1">
        <f t="array" ref="G49">SUM(IF((Produccion_mani[provincia_nombre]=G$29)*(Produccion_mani[campania]=A49),Produccion_mani[produccion_tm]))</f>
        <v>0</v>
      </c>
      <c r="H49" s="31" cm="1">
        <f t="array" ref="H49">SUM(IF((Produccion_mani[provincia_nombre]=H$29)*(Produccion_mani[campania]=A49),Produccion_mani[produccion_tm]))</f>
        <v>262</v>
      </c>
      <c r="I49" s="31" cm="1">
        <f t="array" ref="I49">SUM(IF((Produccion_mani[provincia_nombre]=I$29)*(Produccion_mani[campania]=A49),Produccion_mani[produccion_tm]))</f>
        <v>6578</v>
      </c>
      <c r="J49" s="31" cm="1">
        <f t="array" ref="J49">SUM(IF((Produccion_mani[provincia_nombre]=J$29)*(Produccion_mani[campania]=A49),Produccion_mani[produccion_tm]))</f>
        <v>32</v>
      </c>
      <c r="K49" s="31" cm="1">
        <f t="array" ref="K49">SUM(IF((Produccion_mani[provincia_nombre]=K$29)*(Produccion_mani[campania]=A49),Produccion_mani[produccion_tm]))</f>
        <v>339</v>
      </c>
      <c r="L49" s="31" cm="1">
        <f t="array" ref="L49">SUM(IF((Produccion_mani[provincia_nombre]=L$29)*(Produccion_mani[campania]=A49),Produccion_mani[produccion_tm]))</f>
        <v>0</v>
      </c>
      <c r="M49" s="31" cm="1">
        <f t="array" ref="M49">SUM(IF((Produccion_mani[provincia_nombre]=M$29)*(Produccion_mani[campania]=A49),Produccion_mani[produccion_tm]))</f>
        <v>158</v>
      </c>
      <c r="N49" s="31" cm="1">
        <f t="array" ref="N49">SUM(IF((Produccion_mani[provincia_nombre]=N$29)*(Produccion_mani[campania]=A49),Produccion_mani[produccion_tm]))</f>
        <v>0</v>
      </c>
      <c r="O49" s="31" cm="1">
        <f t="array" ref="O49">SUM(IF((Produccion_mani[provincia_nombre]=O$29)*(Produccion_mani[campania]=A49),Produccion_mani[produccion_tm]))</f>
        <v>0</v>
      </c>
      <c r="P49" s="31" cm="1">
        <f t="array" ref="P49">SUM(IF((Produccion_mani[provincia_nombre]=P$29)*(Produccion_mani[campania]=A49),Produccion_mani[produccion_tm]))</f>
        <v>0</v>
      </c>
      <c r="Q49" s="31" cm="1">
        <f t="array" ref="Q49">SUM(IF((Produccion_mani[provincia_nombre]=Q$29)*(Produccion_mani[campania]=A49),Produccion_mani[produccion_tm]))</f>
        <v>0</v>
      </c>
      <c r="R49" s="31" cm="1">
        <f t="array" ref="R49">SUM(IF((Produccion_mani[provincia_nombre]=R$29)*(Produccion_mani[campania]=A49),Produccion_mani[produccion_tm]))</f>
        <v>0</v>
      </c>
      <c r="S49" s="31" cm="1">
        <f t="array" ref="S49">SUM(IF((Produccion_mani[provincia_nombre]=S$29)*(Produccion_mani[campania]=A49),Produccion_mani[produccion_tm]))</f>
        <v>0</v>
      </c>
    </row>
    <row r="50" spans="1:19" x14ac:dyDescent="0.25">
      <c r="A50" s="23" t="str">
        <v>1947/1948</v>
      </c>
      <c r="B50" s="31" cm="1">
        <f t="array" ref="B50">SUM(IF((Produccion_mani[provincia_nombre]=B$29)*(Produccion_mani[campania]=A50),Produccion_mani[produccion_tm]))</f>
        <v>70</v>
      </c>
      <c r="C50" s="31" cm="1">
        <f t="array" ref="C50">SUM(IF((Produccion_mani[provincia_nombre]=C$29)*(Produccion_mani[campania]=A50),Produccion_mani[produccion_tm]))</f>
        <v>91970</v>
      </c>
      <c r="D50" s="31" cm="1">
        <f t="array" ref="D50">SUM(IF((Produccion_mani[provincia_nombre]=D$29)*(Produccion_mani[campania]=A50),Produccion_mani[produccion_tm]))</f>
        <v>500</v>
      </c>
      <c r="E50" s="31" cm="1">
        <f t="array" ref="E50">SUM(IF((Produccion_mani[provincia_nombre]=E$29)*(Produccion_mani[campania]=A50),Produccion_mani[produccion_tm]))</f>
        <v>5910</v>
      </c>
      <c r="F50" s="31" cm="1">
        <f t="array" ref="F50">SUM(IF((Produccion_mani[provincia_nombre]=F$29)*(Produccion_mani[campania]=A50),Produccion_mani[produccion_tm]))</f>
        <v>120</v>
      </c>
      <c r="G50" s="31" cm="1">
        <f t="array" ref="G50">SUM(IF((Produccion_mani[provincia_nombre]=G$29)*(Produccion_mani[campania]=A50),Produccion_mani[produccion_tm]))</f>
        <v>0</v>
      </c>
      <c r="H50" s="31" cm="1">
        <f t="array" ref="H50">SUM(IF((Produccion_mani[provincia_nombre]=H$29)*(Produccion_mani[campania]=A50),Produccion_mani[produccion_tm]))</f>
        <v>92</v>
      </c>
      <c r="I50" s="31" cm="1">
        <f t="array" ref="I50">SUM(IF((Produccion_mani[provincia_nombre]=I$29)*(Produccion_mani[campania]=A50),Produccion_mani[produccion_tm]))</f>
        <v>5600</v>
      </c>
      <c r="J50" s="31" cm="1">
        <f t="array" ref="J50">SUM(IF((Produccion_mani[provincia_nombre]=J$29)*(Produccion_mani[campania]=A50),Produccion_mani[produccion_tm]))</f>
        <v>30</v>
      </c>
      <c r="K50" s="31" cm="1">
        <f t="array" ref="K50">SUM(IF((Produccion_mani[provincia_nombre]=K$29)*(Produccion_mani[campania]=A50),Produccion_mani[produccion_tm]))</f>
        <v>390</v>
      </c>
      <c r="L50" s="31" cm="1">
        <f t="array" ref="L50">SUM(IF((Produccion_mani[provincia_nombre]=L$29)*(Produccion_mani[campania]=A50),Produccion_mani[produccion_tm]))</f>
        <v>0</v>
      </c>
      <c r="M50" s="31" cm="1">
        <f t="array" ref="M50">SUM(IF((Produccion_mani[provincia_nombre]=M$29)*(Produccion_mani[campania]=A50),Produccion_mani[produccion_tm]))</f>
        <v>18</v>
      </c>
      <c r="N50" s="31" cm="1">
        <f t="array" ref="N50">SUM(IF((Produccion_mani[provincia_nombre]=N$29)*(Produccion_mani[campania]=A50),Produccion_mani[produccion_tm]))</f>
        <v>0</v>
      </c>
      <c r="O50" s="31" cm="1">
        <f t="array" ref="O50">SUM(IF((Produccion_mani[provincia_nombre]=O$29)*(Produccion_mani[campania]=A50),Produccion_mani[produccion_tm]))</f>
        <v>0</v>
      </c>
      <c r="P50" s="31" cm="1">
        <f t="array" ref="P50">SUM(IF((Produccion_mani[provincia_nombre]=P$29)*(Produccion_mani[campania]=A50),Produccion_mani[produccion_tm]))</f>
        <v>0</v>
      </c>
      <c r="Q50" s="31" cm="1">
        <f t="array" ref="Q50">SUM(IF((Produccion_mani[provincia_nombre]=Q$29)*(Produccion_mani[campania]=A50),Produccion_mani[produccion_tm]))</f>
        <v>0</v>
      </c>
      <c r="R50" s="31" cm="1">
        <f t="array" ref="R50">SUM(IF((Produccion_mani[provincia_nombre]=R$29)*(Produccion_mani[campania]=A50),Produccion_mani[produccion_tm]))</f>
        <v>0</v>
      </c>
      <c r="S50" s="31" cm="1">
        <f t="array" ref="S50">SUM(IF((Produccion_mani[provincia_nombre]=S$29)*(Produccion_mani[campania]=A50),Produccion_mani[produccion_tm]))</f>
        <v>0</v>
      </c>
    </row>
    <row r="51" spans="1:19" x14ac:dyDescent="0.25">
      <c r="A51" s="23" t="str">
        <v>1948/1949</v>
      </c>
      <c r="B51" s="31" cm="1">
        <f t="array" ref="B51">SUM(IF((Produccion_mani[provincia_nombre]=B$29)*(Produccion_mani[campania]=A51),Produccion_mani[produccion_tm]))</f>
        <v>68</v>
      </c>
      <c r="C51" s="31" cm="1">
        <f t="array" ref="C51">SUM(IF((Produccion_mani[provincia_nombre]=C$29)*(Produccion_mani[campania]=A51),Produccion_mani[produccion_tm]))</f>
        <v>78850</v>
      </c>
      <c r="D51" s="31" cm="1">
        <f t="array" ref="D51">SUM(IF((Produccion_mani[provincia_nombre]=D$29)*(Produccion_mani[campania]=A51),Produccion_mani[produccion_tm]))</f>
        <v>470</v>
      </c>
      <c r="E51" s="31" cm="1">
        <f t="array" ref="E51">SUM(IF((Produccion_mani[provincia_nombre]=E$29)*(Produccion_mani[campania]=A51),Produccion_mani[produccion_tm]))</f>
        <v>2730</v>
      </c>
      <c r="F51" s="31" cm="1">
        <f t="array" ref="F51">SUM(IF((Produccion_mani[provincia_nombre]=F$29)*(Produccion_mani[campania]=A51),Produccion_mani[produccion_tm]))</f>
        <v>96</v>
      </c>
      <c r="G51" s="31" cm="1">
        <f t="array" ref="G51">SUM(IF((Produccion_mani[provincia_nombre]=G$29)*(Produccion_mani[campania]=A51),Produccion_mani[produccion_tm]))</f>
        <v>0</v>
      </c>
      <c r="H51" s="31" cm="1">
        <f t="array" ref="H51">SUM(IF((Produccion_mani[provincia_nombre]=H$29)*(Produccion_mani[campania]=A51),Produccion_mani[produccion_tm]))</f>
        <v>127</v>
      </c>
      <c r="I51" s="31" cm="1">
        <f t="array" ref="I51">SUM(IF((Produccion_mani[provincia_nombre]=I$29)*(Produccion_mani[campania]=A51),Produccion_mani[produccion_tm]))</f>
        <v>2430</v>
      </c>
      <c r="J51" s="31" cm="1">
        <f t="array" ref="J51">SUM(IF((Produccion_mani[provincia_nombre]=J$29)*(Produccion_mani[campania]=A51),Produccion_mani[produccion_tm]))</f>
        <v>0</v>
      </c>
      <c r="K51" s="31" cm="1">
        <f t="array" ref="K51">SUM(IF((Produccion_mani[provincia_nombre]=K$29)*(Produccion_mani[campania]=A51),Produccion_mani[produccion_tm]))</f>
        <v>355</v>
      </c>
      <c r="L51" s="31" cm="1">
        <f t="array" ref="L51">SUM(IF((Produccion_mani[provincia_nombre]=L$29)*(Produccion_mani[campania]=A51),Produccion_mani[produccion_tm]))</f>
        <v>0</v>
      </c>
      <c r="M51" s="31" cm="1">
        <f t="array" ref="M51">SUM(IF((Produccion_mani[provincia_nombre]=M$29)*(Produccion_mani[campania]=A51),Produccion_mani[produccion_tm]))</f>
        <v>0</v>
      </c>
      <c r="N51" s="31" cm="1">
        <f t="array" ref="N51">SUM(IF((Produccion_mani[provincia_nombre]=N$29)*(Produccion_mani[campania]=A51),Produccion_mani[produccion_tm]))</f>
        <v>0</v>
      </c>
      <c r="O51" s="31" cm="1">
        <f t="array" ref="O51">SUM(IF((Produccion_mani[provincia_nombre]=O$29)*(Produccion_mani[campania]=A51),Produccion_mani[produccion_tm]))</f>
        <v>24</v>
      </c>
      <c r="P51" s="31" cm="1">
        <f t="array" ref="P51">SUM(IF((Produccion_mani[provincia_nombre]=P$29)*(Produccion_mani[campania]=A51),Produccion_mani[produccion_tm]))</f>
        <v>0</v>
      </c>
      <c r="Q51" s="31" cm="1">
        <f t="array" ref="Q51">SUM(IF((Produccion_mani[provincia_nombre]=Q$29)*(Produccion_mani[campania]=A51),Produccion_mani[produccion_tm]))</f>
        <v>0</v>
      </c>
      <c r="R51" s="31" cm="1">
        <f t="array" ref="R51">SUM(IF((Produccion_mani[provincia_nombre]=R$29)*(Produccion_mani[campania]=A51),Produccion_mani[produccion_tm]))</f>
        <v>0</v>
      </c>
      <c r="S51" s="31" cm="1">
        <f t="array" ref="S51">SUM(IF((Produccion_mani[provincia_nombre]=S$29)*(Produccion_mani[campania]=A51),Produccion_mani[produccion_tm]))</f>
        <v>0</v>
      </c>
    </row>
    <row r="52" spans="1:19" x14ac:dyDescent="0.25">
      <c r="A52" s="23" t="str">
        <v>1949/1950</v>
      </c>
      <c r="B52" s="31" cm="1">
        <f t="array" ref="B52">SUM(IF((Produccion_mani[provincia_nombre]=B$29)*(Produccion_mani[campania]=A52),Produccion_mani[produccion_tm]))</f>
        <v>0</v>
      </c>
      <c r="C52" s="31" cm="1">
        <f t="array" ref="C52">SUM(IF((Produccion_mani[provincia_nombre]=C$29)*(Produccion_mani[campania]=A52),Produccion_mani[produccion_tm]))</f>
        <v>57350</v>
      </c>
      <c r="D52" s="31" cm="1">
        <f t="array" ref="D52">SUM(IF((Produccion_mani[provincia_nombre]=D$29)*(Produccion_mani[campania]=A52),Produccion_mani[produccion_tm]))</f>
        <v>42</v>
      </c>
      <c r="E52" s="31" cm="1">
        <f t="array" ref="E52">SUM(IF((Produccion_mani[provincia_nombre]=E$29)*(Produccion_mani[campania]=A52),Produccion_mani[produccion_tm]))</f>
        <v>820</v>
      </c>
      <c r="F52" s="31" cm="1">
        <f t="array" ref="F52">SUM(IF((Produccion_mani[provincia_nombre]=F$29)*(Produccion_mani[campania]=A52),Produccion_mani[produccion_tm]))</f>
        <v>170</v>
      </c>
      <c r="G52" s="31" cm="1">
        <f t="array" ref="G52">SUM(IF((Produccion_mani[provincia_nombre]=G$29)*(Produccion_mani[campania]=A52),Produccion_mani[produccion_tm]))</f>
        <v>0</v>
      </c>
      <c r="H52" s="31" cm="1">
        <f t="array" ref="H52">SUM(IF((Produccion_mani[provincia_nombre]=H$29)*(Produccion_mani[campania]=A52),Produccion_mani[produccion_tm]))</f>
        <v>145</v>
      </c>
      <c r="I52" s="31" cm="1">
        <f t="array" ref="I52">SUM(IF((Produccion_mani[provincia_nombre]=I$29)*(Produccion_mani[campania]=A52),Produccion_mani[produccion_tm]))</f>
        <v>1630</v>
      </c>
      <c r="J52" s="31" cm="1">
        <f t="array" ref="J52">SUM(IF((Produccion_mani[provincia_nombre]=J$29)*(Produccion_mani[campania]=A52),Produccion_mani[produccion_tm]))</f>
        <v>0</v>
      </c>
      <c r="K52" s="31" cm="1">
        <f t="array" ref="K52">SUM(IF((Produccion_mani[provincia_nombre]=K$29)*(Produccion_mani[campania]=A52),Produccion_mani[produccion_tm]))</f>
        <v>288</v>
      </c>
      <c r="L52" s="31" cm="1">
        <f t="array" ref="L52">SUM(IF((Produccion_mani[provincia_nombre]=L$29)*(Produccion_mani[campania]=A52),Produccion_mani[produccion_tm]))</f>
        <v>0</v>
      </c>
      <c r="M52" s="31" cm="1">
        <f t="array" ref="M52">SUM(IF((Produccion_mani[provincia_nombre]=M$29)*(Produccion_mani[campania]=A52),Produccion_mani[produccion_tm]))</f>
        <v>75</v>
      </c>
      <c r="N52" s="31" cm="1">
        <f t="array" ref="N52">SUM(IF((Produccion_mani[provincia_nombre]=N$29)*(Produccion_mani[campania]=A52),Produccion_mani[produccion_tm]))</f>
        <v>0</v>
      </c>
      <c r="O52" s="31" cm="1">
        <f t="array" ref="O52">SUM(IF((Produccion_mani[provincia_nombre]=O$29)*(Produccion_mani[campania]=A52),Produccion_mani[produccion_tm]))</f>
        <v>80</v>
      </c>
      <c r="P52" s="31" cm="1">
        <f t="array" ref="P52">SUM(IF((Produccion_mani[provincia_nombre]=P$29)*(Produccion_mani[campania]=A52),Produccion_mani[produccion_tm]))</f>
        <v>0</v>
      </c>
      <c r="Q52" s="31" cm="1">
        <f t="array" ref="Q52">SUM(IF((Produccion_mani[provincia_nombre]=Q$29)*(Produccion_mani[campania]=A52),Produccion_mani[produccion_tm]))</f>
        <v>0</v>
      </c>
      <c r="R52" s="31" cm="1">
        <f t="array" ref="R52">SUM(IF((Produccion_mani[provincia_nombre]=R$29)*(Produccion_mani[campania]=A52),Produccion_mani[produccion_tm]))</f>
        <v>0</v>
      </c>
      <c r="S52" s="31" cm="1">
        <f t="array" ref="S52">SUM(IF((Produccion_mani[provincia_nombre]=S$29)*(Produccion_mani[campania]=A52),Produccion_mani[produccion_tm]))</f>
        <v>0</v>
      </c>
    </row>
    <row r="53" spans="1:19" x14ac:dyDescent="0.25">
      <c r="A53" s="23" t="str">
        <v>1950/1951</v>
      </c>
      <c r="B53" s="31" cm="1">
        <f t="array" ref="B53">SUM(IF((Produccion_mani[provincia_nombre]=B$29)*(Produccion_mani[campania]=A53),Produccion_mani[produccion_tm]))</f>
        <v>0</v>
      </c>
      <c r="C53" s="31" cm="1">
        <f t="array" ref="C53">SUM(IF((Produccion_mani[provincia_nombre]=C$29)*(Produccion_mani[campania]=A53),Produccion_mani[produccion_tm]))</f>
        <v>90200</v>
      </c>
      <c r="D53" s="31" cm="1">
        <f t="array" ref="D53">SUM(IF((Produccion_mani[provincia_nombre]=D$29)*(Produccion_mani[campania]=A53),Produccion_mani[produccion_tm]))</f>
        <v>0</v>
      </c>
      <c r="E53" s="31" cm="1">
        <f t="array" ref="E53">SUM(IF((Produccion_mani[provincia_nombre]=E$29)*(Produccion_mani[campania]=A53),Produccion_mani[produccion_tm]))</f>
        <v>1300</v>
      </c>
      <c r="F53" s="31" cm="1">
        <f t="array" ref="F53">SUM(IF((Produccion_mani[provincia_nombre]=F$29)*(Produccion_mani[campania]=A53),Produccion_mani[produccion_tm]))</f>
        <v>117</v>
      </c>
      <c r="G53" s="31" cm="1">
        <f t="array" ref="G53">SUM(IF((Produccion_mani[provincia_nombre]=G$29)*(Produccion_mani[campania]=A53),Produccion_mani[produccion_tm]))</f>
        <v>0</v>
      </c>
      <c r="H53" s="31" cm="1">
        <f t="array" ref="H53">SUM(IF((Produccion_mani[provincia_nombre]=H$29)*(Produccion_mani[campania]=A53),Produccion_mani[produccion_tm]))</f>
        <v>255</v>
      </c>
      <c r="I53" s="31" cm="1">
        <f t="array" ref="I53">SUM(IF((Produccion_mani[provincia_nombre]=I$29)*(Produccion_mani[campania]=A53),Produccion_mani[produccion_tm]))</f>
        <v>1200</v>
      </c>
      <c r="J53" s="31" cm="1">
        <f t="array" ref="J53">SUM(IF((Produccion_mani[provincia_nombre]=J$29)*(Produccion_mani[campania]=A53),Produccion_mani[produccion_tm]))</f>
        <v>0</v>
      </c>
      <c r="K53" s="31" cm="1">
        <f t="array" ref="K53">SUM(IF((Produccion_mani[provincia_nombre]=K$29)*(Produccion_mani[campania]=A53),Produccion_mani[produccion_tm]))</f>
        <v>50</v>
      </c>
      <c r="L53" s="31" cm="1">
        <f t="array" ref="L53">SUM(IF((Produccion_mani[provincia_nombre]=L$29)*(Produccion_mani[campania]=A53),Produccion_mani[produccion_tm]))</f>
        <v>0</v>
      </c>
      <c r="M53" s="31" cm="1">
        <f t="array" ref="M53">SUM(IF((Produccion_mani[provincia_nombre]=M$29)*(Produccion_mani[campania]=A53),Produccion_mani[produccion_tm]))</f>
        <v>70</v>
      </c>
      <c r="N53" s="31" cm="1">
        <f t="array" ref="N53">SUM(IF((Produccion_mani[provincia_nombre]=N$29)*(Produccion_mani[campania]=A53),Produccion_mani[produccion_tm]))</f>
        <v>0</v>
      </c>
      <c r="O53" s="31" cm="1">
        <f t="array" ref="O53">SUM(IF((Produccion_mani[provincia_nombre]=O$29)*(Produccion_mani[campania]=A53),Produccion_mani[produccion_tm]))</f>
        <v>8</v>
      </c>
      <c r="P53" s="31" cm="1">
        <f t="array" ref="P53">SUM(IF((Produccion_mani[provincia_nombre]=P$29)*(Produccion_mani[campania]=A53),Produccion_mani[produccion_tm]))</f>
        <v>0</v>
      </c>
      <c r="Q53" s="31" cm="1">
        <f t="array" ref="Q53">SUM(IF((Produccion_mani[provincia_nombre]=Q$29)*(Produccion_mani[campania]=A53),Produccion_mani[produccion_tm]))</f>
        <v>0</v>
      </c>
      <c r="R53" s="31" cm="1">
        <f t="array" ref="R53">SUM(IF((Produccion_mani[provincia_nombre]=R$29)*(Produccion_mani[campania]=A53),Produccion_mani[produccion_tm]))</f>
        <v>0</v>
      </c>
      <c r="S53" s="31" cm="1">
        <f t="array" ref="S53">SUM(IF((Produccion_mani[provincia_nombre]=S$29)*(Produccion_mani[campania]=A53),Produccion_mani[produccion_tm]))</f>
        <v>0</v>
      </c>
    </row>
    <row r="54" spans="1:19" x14ac:dyDescent="0.25">
      <c r="A54" s="23" t="str">
        <v>1951/1952</v>
      </c>
      <c r="B54" s="31" cm="1">
        <f t="array" ref="B54">SUM(IF((Produccion_mani[provincia_nombre]=B$29)*(Produccion_mani[campania]=A54),Produccion_mani[produccion_tm]))</f>
        <v>0</v>
      </c>
      <c r="C54" s="31" cm="1">
        <f t="array" ref="C54">SUM(IF((Produccion_mani[provincia_nombre]=C$29)*(Produccion_mani[campania]=A54),Produccion_mani[produccion_tm]))</f>
        <v>152800</v>
      </c>
      <c r="D54" s="31" cm="1">
        <f t="array" ref="D54">SUM(IF((Produccion_mani[provincia_nombre]=D$29)*(Produccion_mani[campania]=A54),Produccion_mani[produccion_tm]))</f>
        <v>480</v>
      </c>
      <c r="E54" s="31" cm="1">
        <f t="array" ref="E54">SUM(IF((Produccion_mani[provincia_nombre]=E$29)*(Produccion_mani[campania]=A54),Produccion_mani[produccion_tm]))</f>
        <v>390</v>
      </c>
      <c r="F54" s="31" cm="1">
        <f t="array" ref="F54">SUM(IF((Produccion_mani[provincia_nombre]=F$29)*(Produccion_mani[campania]=A54),Produccion_mani[produccion_tm]))</f>
        <v>100</v>
      </c>
      <c r="G54" s="31" cm="1">
        <f t="array" ref="G54">SUM(IF((Produccion_mani[provincia_nombre]=G$29)*(Produccion_mani[campania]=A54),Produccion_mani[produccion_tm]))</f>
        <v>0</v>
      </c>
      <c r="H54" s="31" cm="1">
        <f t="array" ref="H54">SUM(IF((Produccion_mani[provincia_nombre]=H$29)*(Produccion_mani[campania]=A54),Produccion_mani[produccion_tm]))</f>
        <v>225</v>
      </c>
      <c r="I54" s="31" cm="1">
        <f t="array" ref="I54">SUM(IF((Produccion_mani[provincia_nombre]=I$29)*(Produccion_mani[campania]=A54),Produccion_mani[produccion_tm]))</f>
        <v>640</v>
      </c>
      <c r="J54" s="31" cm="1">
        <f t="array" ref="J54">SUM(IF((Produccion_mani[provincia_nombre]=J$29)*(Produccion_mani[campania]=A54),Produccion_mani[produccion_tm]))</f>
        <v>0</v>
      </c>
      <c r="K54" s="31" cm="1">
        <f t="array" ref="K54">SUM(IF((Produccion_mani[provincia_nombre]=K$29)*(Produccion_mani[campania]=A54),Produccion_mani[produccion_tm]))</f>
        <v>0</v>
      </c>
      <c r="L54" s="31" cm="1">
        <f t="array" ref="L54">SUM(IF((Produccion_mani[provincia_nombre]=L$29)*(Produccion_mani[campania]=A54),Produccion_mani[produccion_tm]))</f>
        <v>0</v>
      </c>
      <c r="M54" s="31" cm="1">
        <f t="array" ref="M54">SUM(IF((Produccion_mani[provincia_nombre]=M$29)*(Produccion_mani[campania]=A54),Produccion_mani[produccion_tm]))</f>
        <v>58</v>
      </c>
      <c r="N54" s="31" cm="1">
        <f t="array" ref="N54">SUM(IF((Produccion_mani[provincia_nombre]=N$29)*(Produccion_mani[campania]=A54),Produccion_mani[produccion_tm]))</f>
        <v>0</v>
      </c>
      <c r="O54" s="31" cm="1">
        <f t="array" ref="O54">SUM(IF((Produccion_mani[provincia_nombre]=O$29)*(Produccion_mani[campania]=A54),Produccion_mani[produccion_tm]))</f>
        <v>7</v>
      </c>
      <c r="P54" s="31" cm="1">
        <f t="array" ref="P54">SUM(IF((Produccion_mani[provincia_nombre]=P$29)*(Produccion_mani[campania]=A54),Produccion_mani[produccion_tm]))</f>
        <v>0</v>
      </c>
      <c r="Q54" s="31" cm="1">
        <f t="array" ref="Q54">SUM(IF((Produccion_mani[provincia_nombre]=Q$29)*(Produccion_mani[campania]=A54),Produccion_mani[produccion_tm]))</f>
        <v>0</v>
      </c>
      <c r="R54" s="31" cm="1">
        <f t="array" ref="R54">SUM(IF((Produccion_mani[provincia_nombre]=R$29)*(Produccion_mani[campania]=A54),Produccion_mani[produccion_tm]))</f>
        <v>0</v>
      </c>
      <c r="S54" s="31" cm="1">
        <f t="array" ref="S54">SUM(IF((Produccion_mani[provincia_nombre]=S$29)*(Produccion_mani[campania]=A54),Produccion_mani[produccion_tm]))</f>
        <v>0</v>
      </c>
    </row>
    <row r="55" spans="1:19" x14ac:dyDescent="0.25">
      <c r="A55" s="23" t="str">
        <v>1952/1953</v>
      </c>
      <c r="B55" s="31" cm="1">
        <f t="array" ref="B55">SUM(IF((Produccion_mani[provincia_nombre]=B$29)*(Produccion_mani[campania]=A55),Produccion_mani[produccion_tm]))</f>
        <v>0</v>
      </c>
      <c r="C55" s="31" cm="1">
        <f t="array" ref="C55">SUM(IF((Produccion_mani[provincia_nombre]=C$29)*(Produccion_mani[campania]=A55),Produccion_mani[produccion_tm]))</f>
        <v>202050</v>
      </c>
      <c r="D55" s="31" cm="1">
        <f t="array" ref="D55">SUM(IF((Produccion_mani[provincia_nombre]=D$29)*(Produccion_mani[campania]=A55),Produccion_mani[produccion_tm]))</f>
        <v>425</v>
      </c>
      <c r="E55" s="31" cm="1">
        <f t="array" ref="E55">SUM(IF((Produccion_mani[provincia_nombre]=E$29)*(Produccion_mani[campania]=A55),Produccion_mani[produccion_tm]))</f>
        <v>350</v>
      </c>
      <c r="F55" s="31" cm="1">
        <f t="array" ref="F55">SUM(IF((Produccion_mani[provincia_nombre]=F$29)*(Produccion_mani[campania]=A55),Produccion_mani[produccion_tm]))</f>
        <v>110</v>
      </c>
      <c r="G55" s="31" cm="1">
        <f t="array" ref="G55">SUM(IF((Produccion_mani[provincia_nombre]=G$29)*(Produccion_mani[campania]=A55),Produccion_mani[produccion_tm]))</f>
        <v>0</v>
      </c>
      <c r="H55" s="31" cm="1">
        <f t="array" ref="H55">SUM(IF((Produccion_mani[provincia_nombre]=H$29)*(Produccion_mani[campania]=A55),Produccion_mani[produccion_tm]))</f>
        <v>305</v>
      </c>
      <c r="I55" s="31" cm="1">
        <f t="array" ref="I55">SUM(IF((Produccion_mani[provincia_nombre]=I$29)*(Produccion_mani[campania]=A55),Produccion_mani[produccion_tm]))</f>
        <v>700</v>
      </c>
      <c r="J55" s="31" cm="1">
        <f t="array" ref="J55">SUM(IF((Produccion_mani[provincia_nombre]=J$29)*(Produccion_mani[campania]=A55),Produccion_mani[produccion_tm]))</f>
        <v>0</v>
      </c>
      <c r="K55" s="31" cm="1">
        <f t="array" ref="K55">SUM(IF((Produccion_mani[provincia_nombre]=K$29)*(Produccion_mani[campania]=A55),Produccion_mani[produccion_tm]))</f>
        <v>0</v>
      </c>
      <c r="L55" s="31" cm="1">
        <f t="array" ref="L55">SUM(IF((Produccion_mani[provincia_nombre]=L$29)*(Produccion_mani[campania]=A55),Produccion_mani[produccion_tm]))</f>
        <v>0</v>
      </c>
      <c r="M55" s="31" cm="1">
        <f t="array" ref="M55">SUM(IF((Produccion_mani[provincia_nombre]=M$29)*(Produccion_mani[campania]=A55),Produccion_mani[produccion_tm]))</f>
        <v>60</v>
      </c>
      <c r="N55" s="31" cm="1">
        <f t="array" ref="N55">SUM(IF((Produccion_mani[provincia_nombre]=N$29)*(Produccion_mani[campania]=A55),Produccion_mani[produccion_tm]))</f>
        <v>0</v>
      </c>
      <c r="O55" s="31" cm="1">
        <f t="array" ref="O55">SUM(IF((Produccion_mani[provincia_nombre]=O$29)*(Produccion_mani[campania]=A55),Produccion_mani[produccion_tm]))</f>
        <v>0</v>
      </c>
      <c r="P55" s="31" cm="1">
        <f t="array" ref="P55">SUM(IF((Produccion_mani[provincia_nombre]=P$29)*(Produccion_mani[campania]=A55),Produccion_mani[produccion_tm]))</f>
        <v>0</v>
      </c>
      <c r="Q55" s="31" cm="1">
        <f t="array" ref="Q55">SUM(IF((Produccion_mani[provincia_nombre]=Q$29)*(Produccion_mani[campania]=A55),Produccion_mani[produccion_tm]))</f>
        <v>0</v>
      </c>
      <c r="R55" s="31" cm="1">
        <f t="array" ref="R55">SUM(IF((Produccion_mani[provincia_nombre]=R$29)*(Produccion_mani[campania]=A55),Produccion_mani[produccion_tm]))</f>
        <v>0</v>
      </c>
      <c r="S55" s="31" cm="1">
        <f t="array" ref="S55">SUM(IF((Produccion_mani[provincia_nombre]=S$29)*(Produccion_mani[campania]=A55),Produccion_mani[produccion_tm]))</f>
        <v>0</v>
      </c>
    </row>
    <row r="56" spans="1:19" x14ac:dyDescent="0.25">
      <c r="A56" s="23" t="str">
        <v>1953/1954</v>
      </c>
      <c r="B56" s="31" cm="1">
        <f t="array" ref="B56">SUM(IF((Produccion_mani[provincia_nombre]=B$29)*(Produccion_mani[campania]=A56),Produccion_mani[produccion_tm]))</f>
        <v>0</v>
      </c>
      <c r="C56" s="31" cm="1">
        <f t="array" ref="C56">SUM(IF((Produccion_mani[provincia_nombre]=C$29)*(Produccion_mani[campania]=A56),Produccion_mani[produccion_tm]))</f>
        <v>168180</v>
      </c>
      <c r="D56" s="31" cm="1">
        <f t="array" ref="D56">SUM(IF((Produccion_mani[provincia_nombre]=D$29)*(Produccion_mani[campania]=A56),Produccion_mani[produccion_tm]))</f>
        <v>392</v>
      </c>
      <c r="E56" s="31" cm="1">
        <f t="array" ref="E56">SUM(IF((Produccion_mani[provincia_nombre]=E$29)*(Produccion_mani[campania]=A56),Produccion_mani[produccion_tm]))</f>
        <v>234</v>
      </c>
      <c r="F56" s="31" cm="1">
        <f t="array" ref="F56">SUM(IF((Produccion_mani[provincia_nombre]=F$29)*(Produccion_mani[campania]=A56),Produccion_mani[produccion_tm]))</f>
        <v>172</v>
      </c>
      <c r="G56" s="31" cm="1">
        <f t="array" ref="G56">SUM(IF((Produccion_mani[provincia_nombre]=G$29)*(Produccion_mani[campania]=A56),Produccion_mani[produccion_tm]))</f>
        <v>0</v>
      </c>
      <c r="H56" s="31" cm="1">
        <f t="array" ref="H56">SUM(IF((Produccion_mani[provincia_nombre]=H$29)*(Produccion_mani[campania]=A56),Produccion_mani[produccion_tm]))</f>
        <v>265</v>
      </c>
      <c r="I56" s="31" cm="1">
        <f t="array" ref="I56">SUM(IF((Produccion_mani[provincia_nombre]=I$29)*(Produccion_mani[campania]=A56),Produccion_mani[produccion_tm]))</f>
        <v>330</v>
      </c>
      <c r="J56" s="31" cm="1">
        <f t="array" ref="J56">SUM(IF((Produccion_mani[provincia_nombre]=J$29)*(Produccion_mani[campania]=A56),Produccion_mani[produccion_tm]))</f>
        <v>0</v>
      </c>
      <c r="K56" s="31" cm="1">
        <f t="array" ref="K56">SUM(IF((Produccion_mani[provincia_nombre]=K$29)*(Produccion_mani[campania]=A56),Produccion_mani[produccion_tm]))</f>
        <v>19</v>
      </c>
      <c r="L56" s="31" cm="1">
        <f t="array" ref="L56">SUM(IF((Produccion_mani[provincia_nombre]=L$29)*(Produccion_mani[campania]=A56),Produccion_mani[produccion_tm]))</f>
        <v>0</v>
      </c>
      <c r="M56" s="31" cm="1">
        <f t="array" ref="M56">SUM(IF((Produccion_mani[provincia_nombre]=M$29)*(Produccion_mani[campania]=A56),Produccion_mani[produccion_tm]))</f>
        <v>52</v>
      </c>
      <c r="N56" s="31" cm="1">
        <f t="array" ref="N56">SUM(IF((Produccion_mani[provincia_nombre]=N$29)*(Produccion_mani[campania]=A56),Produccion_mani[produccion_tm]))</f>
        <v>0</v>
      </c>
      <c r="O56" s="31" cm="1">
        <f t="array" ref="O56">SUM(IF((Produccion_mani[provincia_nombre]=O$29)*(Produccion_mani[campania]=A56),Produccion_mani[produccion_tm]))</f>
        <v>0</v>
      </c>
      <c r="P56" s="31" cm="1">
        <f t="array" ref="P56">SUM(IF((Produccion_mani[provincia_nombre]=P$29)*(Produccion_mani[campania]=A56),Produccion_mani[produccion_tm]))</f>
        <v>0</v>
      </c>
      <c r="Q56" s="31" cm="1">
        <f t="array" ref="Q56">SUM(IF((Produccion_mani[provincia_nombre]=Q$29)*(Produccion_mani[campania]=A56),Produccion_mani[produccion_tm]))</f>
        <v>6</v>
      </c>
      <c r="R56" s="31" cm="1">
        <f t="array" ref="R56">SUM(IF((Produccion_mani[provincia_nombre]=R$29)*(Produccion_mani[campania]=A56),Produccion_mani[produccion_tm]))</f>
        <v>0</v>
      </c>
      <c r="S56" s="31" cm="1">
        <f t="array" ref="S56">SUM(IF((Produccion_mani[provincia_nombre]=S$29)*(Produccion_mani[campania]=A56),Produccion_mani[produccion_tm]))</f>
        <v>0</v>
      </c>
    </row>
    <row r="57" spans="1:19" x14ac:dyDescent="0.25">
      <c r="A57" s="23" t="str">
        <v>1954/1955</v>
      </c>
      <c r="B57" s="31" cm="1">
        <f t="array" ref="B57">SUM(IF((Produccion_mani[provincia_nombre]=B$29)*(Produccion_mani[campania]=A57),Produccion_mani[produccion_tm]))</f>
        <v>0</v>
      </c>
      <c r="C57" s="31" cm="1">
        <f t="array" ref="C57">SUM(IF((Produccion_mani[provincia_nombre]=C$29)*(Produccion_mani[campania]=A57),Produccion_mani[produccion_tm]))</f>
        <v>116776</v>
      </c>
      <c r="D57" s="31" cm="1">
        <f t="array" ref="D57">SUM(IF((Produccion_mani[provincia_nombre]=D$29)*(Produccion_mani[campania]=A57),Produccion_mani[produccion_tm]))</f>
        <v>556</v>
      </c>
      <c r="E57" s="31" cm="1">
        <f t="array" ref="E57">SUM(IF((Produccion_mani[provincia_nombre]=E$29)*(Produccion_mani[campania]=A57),Produccion_mani[produccion_tm]))</f>
        <v>120</v>
      </c>
      <c r="F57" s="31" cm="1">
        <f t="array" ref="F57">SUM(IF((Produccion_mani[provincia_nombre]=F$29)*(Produccion_mani[campania]=A57),Produccion_mani[produccion_tm]))</f>
        <v>121</v>
      </c>
      <c r="G57" s="31" cm="1">
        <f t="array" ref="G57">SUM(IF((Produccion_mani[provincia_nombre]=G$29)*(Produccion_mani[campania]=A57),Produccion_mani[produccion_tm]))</f>
        <v>0</v>
      </c>
      <c r="H57" s="31" cm="1">
        <f t="array" ref="H57">SUM(IF((Produccion_mani[provincia_nombre]=H$29)*(Produccion_mani[campania]=A57),Produccion_mani[produccion_tm]))</f>
        <v>193</v>
      </c>
      <c r="I57" s="31" cm="1">
        <f t="array" ref="I57">SUM(IF((Produccion_mani[provincia_nombre]=I$29)*(Produccion_mani[campania]=A57),Produccion_mani[produccion_tm]))</f>
        <v>170</v>
      </c>
      <c r="J57" s="31" cm="1">
        <f t="array" ref="J57">SUM(IF((Produccion_mani[provincia_nombre]=J$29)*(Produccion_mani[campania]=A57),Produccion_mani[produccion_tm]))</f>
        <v>0</v>
      </c>
      <c r="K57" s="31" cm="1">
        <f t="array" ref="K57">SUM(IF((Produccion_mani[provincia_nombre]=K$29)*(Produccion_mani[campania]=A57),Produccion_mani[produccion_tm]))</f>
        <v>28</v>
      </c>
      <c r="L57" s="31" cm="1">
        <f t="array" ref="L57">SUM(IF((Produccion_mani[provincia_nombre]=L$29)*(Produccion_mani[campania]=A57),Produccion_mani[produccion_tm]))</f>
        <v>0</v>
      </c>
      <c r="M57" s="31" cm="1">
        <f t="array" ref="M57">SUM(IF((Produccion_mani[provincia_nombre]=M$29)*(Produccion_mani[campania]=A57),Produccion_mani[produccion_tm]))</f>
        <v>36</v>
      </c>
      <c r="N57" s="31" cm="1">
        <f t="array" ref="N57">SUM(IF((Produccion_mani[provincia_nombre]=N$29)*(Produccion_mani[campania]=A57),Produccion_mani[produccion_tm]))</f>
        <v>0</v>
      </c>
      <c r="O57" s="31" cm="1">
        <f t="array" ref="O57">SUM(IF((Produccion_mani[provincia_nombre]=O$29)*(Produccion_mani[campania]=A57),Produccion_mani[produccion_tm]))</f>
        <v>0</v>
      </c>
      <c r="P57" s="31" cm="1">
        <f t="array" ref="P57">SUM(IF((Produccion_mani[provincia_nombre]=P$29)*(Produccion_mani[campania]=A57),Produccion_mani[produccion_tm]))</f>
        <v>0</v>
      </c>
      <c r="Q57" s="31" cm="1">
        <f t="array" ref="Q57">SUM(IF((Produccion_mani[provincia_nombre]=Q$29)*(Produccion_mani[campania]=A57),Produccion_mani[produccion_tm]))</f>
        <v>0</v>
      </c>
      <c r="R57" s="31" cm="1">
        <f t="array" ref="R57">SUM(IF((Produccion_mani[provincia_nombre]=R$29)*(Produccion_mani[campania]=A57),Produccion_mani[produccion_tm]))</f>
        <v>0</v>
      </c>
      <c r="S57" s="31" cm="1">
        <f t="array" ref="S57">SUM(IF((Produccion_mani[provincia_nombre]=S$29)*(Produccion_mani[campania]=A57),Produccion_mani[produccion_tm]))</f>
        <v>0</v>
      </c>
    </row>
    <row r="58" spans="1:19" x14ac:dyDescent="0.25">
      <c r="A58" s="23" t="str">
        <v>1955/1956</v>
      </c>
      <c r="B58" s="31" cm="1">
        <f t="array" ref="B58">SUM(IF((Produccion_mani[provincia_nombre]=B$29)*(Produccion_mani[campania]=A58),Produccion_mani[produccion_tm]))</f>
        <v>0</v>
      </c>
      <c r="C58" s="31" cm="1">
        <f t="array" ref="C58">SUM(IF((Produccion_mani[provincia_nombre]=C$29)*(Produccion_mani[campania]=A58),Produccion_mani[produccion_tm]))</f>
        <v>214800</v>
      </c>
      <c r="D58" s="31" cm="1">
        <f t="array" ref="D58">SUM(IF((Produccion_mani[provincia_nombre]=D$29)*(Produccion_mani[campania]=A58),Produccion_mani[produccion_tm]))</f>
        <v>420</v>
      </c>
      <c r="E58" s="31" cm="1">
        <f t="array" ref="E58">SUM(IF((Produccion_mani[provincia_nombre]=E$29)*(Produccion_mani[campania]=A58),Produccion_mani[produccion_tm]))</f>
        <v>95</v>
      </c>
      <c r="F58" s="31" cm="1">
        <f t="array" ref="F58">SUM(IF((Produccion_mani[provincia_nombre]=F$29)*(Produccion_mani[campania]=A58),Produccion_mani[produccion_tm]))</f>
        <v>133</v>
      </c>
      <c r="G58" s="31" cm="1">
        <f t="array" ref="G58">SUM(IF((Produccion_mani[provincia_nombre]=G$29)*(Produccion_mani[campania]=A58),Produccion_mani[produccion_tm]))</f>
        <v>0</v>
      </c>
      <c r="H58" s="31" cm="1">
        <f t="array" ref="H58">SUM(IF((Produccion_mani[provincia_nombre]=H$29)*(Produccion_mani[campania]=A58),Produccion_mani[produccion_tm]))</f>
        <v>146</v>
      </c>
      <c r="I58" s="31" cm="1">
        <f t="array" ref="I58">SUM(IF((Produccion_mani[provincia_nombre]=I$29)*(Produccion_mani[campania]=A58),Produccion_mani[produccion_tm]))</f>
        <v>525</v>
      </c>
      <c r="J58" s="31" cm="1">
        <f t="array" ref="J58">SUM(IF((Produccion_mani[provincia_nombre]=J$29)*(Produccion_mani[campania]=A58),Produccion_mani[produccion_tm]))</f>
        <v>0</v>
      </c>
      <c r="K58" s="31" cm="1">
        <f t="array" ref="K58">SUM(IF((Produccion_mani[provincia_nombre]=K$29)*(Produccion_mani[campania]=A58),Produccion_mani[produccion_tm]))</f>
        <v>45</v>
      </c>
      <c r="L58" s="31" cm="1">
        <f t="array" ref="L58">SUM(IF((Produccion_mani[provincia_nombre]=L$29)*(Produccion_mani[campania]=A58),Produccion_mani[produccion_tm]))</f>
        <v>0</v>
      </c>
      <c r="M58" s="31" cm="1">
        <f t="array" ref="M58">SUM(IF((Produccion_mani[provincia_nombre]=M$29)*(Produccion_mani[campania]=A58),Produccion_mani[produccion_tm]))</f>
        <v>36</v>
      </c>
      <c r="N58" s="31" cm="1">
        <f t="array" ref="N58">SUM(IF((Produccion_mani[provincia_nombre]=N$29)*(Produccion_mani[campania]=A58),Produccion_mani[produccion_tm]))</f>
        <v>0</v>
      </c>
      <c r="O58" s="31" cm="1">
        <f t="array" ref="O58">SUM(IF((Produccion_mani[provincia_nombre]=O$29)*(Produccion_mani[campania]=A58),Produccion_mani[produccion_tm]))</f>
        <v>0</v>
      </c>
      <c r="P58" s="31" cm="1">
        <f t="array" ref="P58">SUM(IF((Produccion_mani[provincia_nombre]=P$29)*(Produccion_mani[campania]=A58),Produccion_mani[produccion_tm]))</f>
        <v>0</v>
      </c>
      <c r="Q58" s="31" cm="1">
        <f t="array" ref="Q58">SUM(IF((Produccion_mani[provincia_nombre]=Q$29)*(Produccion_mani[campania]=A58),Produccion_mani[produccion_tm]))</f>
        <v>0</v>
      </c>
      <c r="R58" s="31" cm="1">
        <f t="array" ref="R58">SUM(IF((Produccion_mani[provincia_nombre]=R$29)*(Produccion_mani[campania]=A58),Produccion_mani[produccion_tm]))</f>
        <v>0</v>
      </c>
      <c r="S58" s="31" cm="1">
        <f t="array" ref="S58">SUM(IF((Produccion_mani[provincia_nombre]=S$29)*(Produccion_mani[campania]=A58),Produccion_mani[produccion_tm]))</f>
        <v>0</v>
      </c>
    </row>
    <row r="59" spans="1:19" x14ac:dyDescent="0.25">
      <c r="A59" s="23" t="str">
        <v>1956/1957</v>
      </c>
      <c r="B59" s="31" cm="1">
        <f t="array" ref="B59">SUM(IF((Produccion_mani[provincia_nombre]=B$29)*(Produccion_mani[campania]=A59),Produccion_mani[produccion_tm]))</f>
        <v>41</v>
      </c>
      <c r="C59" s="31" cm="1">
        <f t="array" ref="C59">SUM(IF((Produccion_mani[provincia_nombre]=C$29)*(Produccion_mani[campania]=A59),Produccion_mani[produccion_tm]))</f>
        <v>316200</v>
      </c>
      <c r="D59" s="31" cm="1">
        <f t="array" ref="D59">SUM(IF((Produccion_mani[provincia_nombre]=D$29)*(Produccion_mani[campania]=A59),Produccion_mani[produccion_tm]))</f>
        <v>433</v>
      </c>
      <c r="E59" s="31" cm="1">
        <f t="array" ref="E59">SUM(IF((Produccion_mani[provincia_nombre]=E$29)*(Produccion_mani[campania]=A59),Produccion_mani[produccion_tm]))</f>
        <v>84</v>
      </c>
      <c r="F59" s="31" cm="1">
        <f t="array" ref="F59">SUM(IF((Produccion_mani[provincia_nombre]=F$29)*(Produccion_mani[campania]=A59),Produccion_mani[produccion_tm]))</f>
        <v>110</v>
      </c>
      <c r="G59" s="31" cm="1">
        <f t="array" ref="G59">SUM(IF((Produccion_mani[provincia_nombre]=G$29)*(Produccion_mani[campania]=A59),Produccion_mani[produccion_tm]))</f>
        <v>0</v>
      </c>
      <c r="H59" s="31" cm="1">
        <f t="array" ref="H59">SUM(IF((Produccion_mani[provincia_nombre]=H$29)*(Produccion_mani[campania]=A59),Produccion_mani[produccion_tm]))</f>
        <v>280</v>
      </c>
      <c r="I59" s="31" cm="1">
        <f t="array" ref="I59">SUM(IF((Produccion_mani[provincia_nombre]=I$29)*(Produccion_mani[campania]=A59),Produccion_mani[produccion_tm]))</f>
        <v>420</v>
      </c>
      <c r="J59" s="31" cm="1">
        <f t="array" ref="J59">SUM(IF((Produccion_mani[provincia_nombre]=J$29)*(Produccion_mani[campania]=A59),Produccion_mani[produccion_tm]))</f>
        <v>0</v>
      </c>
      <c r="K59" s="31" cm="1">
        <f t="array" ref="K59">SUM(IF((Produccion_mani[provincia_nombre]=K$29)*(Produccion_mani[campania]=A59),Produccion_mani[produccion_tm]))</f>
        <v>35</v>
      </c>
      <c r="L59" s="31" cm="1">
        <f t="array" ref="L59">SUM(IF((Produccion_mani[provincia_nombre]=L$29)*(Produccion_mani[campania]=A59),Produccion_mani[produccion_tm]))</f>
        <v>0</v>
      </c>
      <c r="M59" s="31" cm="1">
        <f t="array" ref="M59">SUM(IF((Produccion_mani[provincia_nombre]=M$29)*(Produccion_mani[campania]=A59),Produccion_mani[produccion_tm]))</f>
        <v>397</v>
      </c>
      <c r="N59" s="31" cm="1">
        <f t="array" ref="N59">SUM(IF((Produccion_mani[provincia_nombre]=N$29)*(Produccion_mani[campania]=A59),Produccion_mani[produccion_tm]))</f>
        <v>0</v>
      </c>
      <c r="O59" s="31" cm="1">
        <f t="array" ref="O59">SUM(IF((Produccion_mani[provincia_nombre]=O$29)*(Produccion_mani[campania]=A59),Produccion_mani[produccion_tm]))</f>
        <v>0</v>
      </c>
      <c r="P59" s="31" cm="1">
        <f t="array" ref="P59">SUM(IF((Produccion_mani[provincia_nombre]=P$29)*(Produccion_mani[campania]=A59),Produccion_mani[produccion_tm]))</f>
        <v>0</v>
      </c>
      <c r="Q59" s="31" cm="1">
        <f t="array" ref="Q59">SUM(IF((Produccion_mani[provincia_nombre]=Q$29)*(Produccion_mani[campania]=A59),Produccion_mani[produccion_tm]))</f>
        <v>0</v>
      </c>
      <c r="R59" s="31" cm="1">
        <f t="array" ref="R59">SUM(IF((Produccion_mani[provincia_nombre]=R$29)*(Produccion_mani[campania]=A59),Produccion_mani[produccion_tm]))</f>
        <v>0</v>
      </c>
      <c r="S59" s="31" cm="1">
        <f t="array" ref="S59">SUM(IF((Produccion_mani[provincia_nombre]=S$29)*(Produccion_mani[campania]=A59),Produccion_mani[produccion_tm]))</f>
        <v>0</v>
      </c>
    </row>
    <row r="60" spans="1:19" x14ac:dyDescent="0.25">
      <c r="A60" s="23" t="str">
        <v>1957/1958</v>
      </c>
      <c r="B60" s="31" cm="1">
        <f t="array" ref="B60">SUM(IF((Produccion_mani[provincia_nombre]=B$29)*(Produccion_mani[campania]=A60),Produccion_mani[produccion_tm]))</f>
        <v>380</v>
      </c>
      <c r="C60" s="31" cm="1">
        <f t="array" ref="C60">SUM(IF((Produccion_mani[provincia_nombre]=C$29)*(Produccion_mani[campania]=A60),Produccion_mani[produccion_tm]))</f>
        <v>288000</v>
      </c>
      <c r="D60" s="31" cm="1">
        <f t="array" ref="D60">SUM(IF((Produccion_mani[provincia_nombre]=D$29)*(Produccion_mani[campania]=A60),Produccion_mani[produccion_tm]))</f>
        <v>400</v>
      </c>
      <c r="E60" s="31" cm="1">
        <f t="array" ref="E60">SUM(IF((Produccion_mani[provincia_nombre]=E$29)*(Produccion_mani[campania]=A60),Produccion_mani[produccion_tm]))</f>
        <v>70</v>
      </c>
      <c r="F60" s="31" cm="1">
        <f t="array" ref="F60">SUM(IF((Produccion_mani[provincia_nombre]=F$29)*(Produccion_mani[campania]=A60),Produccion_mani[produccion_tm]))</f>
        <v>100</v>
      </c>
      <c r="G60" s="31" cm="1">
        <f t="array" ref="G60">SUM(IF((Produccion_mani[provincia_nombre]=G$29)*(Produccion_mani[campania]=A60),Produccion_mani[produccion_tm]))</f>
        <v>0</v>
      </c>
      <c r="H60" s="31" cm="1">
        <f t="array" ref="H60">SUM(IF((Produccion_mani[provincia_nombre]=H$29)*(Produccion_mani[campania]=A60),Produccion_mani[produccion_tm]))</f>
        <v>200</v>
      </c>
      <c r="I60" s="31" cm="1">
        <f t="array" ref="I60">SUM(IF((Produccion_mani[provincia_nombre]=I$29)*(Produccion_mani[campania]=A60),Produccion_mani[produccion_tm]))</f>
        <v>970</v>
      </c>
      <c r="J60" s="31" cm="1">
        <f t="array" ref="J60">SUM(IF((Produccion_mani[provincia_nombre]=J$29)*(Produccion_mani[campania]=A60),Produccion_mani[produccion_tm]))</f>
        <v>0</v>
      </c>
      <c r="K60" s="31" cm="1">
        <f t="array" ref="K60">SUM(IF((Produccion_mani[provincia_nombre]=K$29)*(Produccion_mani[campania]=A60),Produccion_mani[produccion_tm]))</f>
        <v>30</v>
      </c>
      <c r="L60" s="31" cm="1">
        <f t="array" ref="L60">SUM(IF((Produccion_mani[provincia_nombre]=L$29)*(Produccion_mani[campania]=A60),Produccion_mani[produccion_tm]))</f>
        <v>0</v>
      </c>
      <c r="M60" s="31" cm="1">
        <f t="array" ref="M60">SUM(IF((Produccion_mani[provincia_nombre]=M$29)*(Produccion_mani[campania]=A60),Produccion_mani[produccion_tm]))</f>
        <v>150</v>
      </c>
      <c r="N60" s="31" cm="1">
        <f t="array" ref="N60">SUM(IF((Produccion_mani[provincia_nombre]=N$29)*(Produccion_mani[campania]=A60),Produccion_mani[produccion_tm]))</f>
        <v>0</v>
      </c>
      <c r="O60" s="31" cm="1">
        <f t="array" ref="O60">SUM(IF((Produccion_mani[provincia_nombre]=O$29)*(Produccion_mani[campania]=A60),Produccion_mani[produccion_tm]))</f>
        <v>0</v>
      </c>
      <c r="P60" s="31" cm="1">
        <f t="array" ref="P60">SUM(IF((Produccion_mani[provincia_nombre]=P$29)*(Produccion_mani[campania]=A60),Produccion_mani[produccion_tm]))</f>
        <v>0</v>
      </c>
      <c r="Q60" s="31" cm="1">
        <f t="array" ref="Q60">SUM(IF((Produccion_mani[provincia_nombre]=Q$29)*(Produccion_mani[campania]=A60),Produccion_mani[produccion_tm]))</f>
        <v>0</v>
      </c>
      <c r="R60" s="31" cm="1">
        <f t="array" ref="R60">SUM(IF((Produccion_mani[provincia_nombre]=R$29)*(Produccion_mani[campania]=A60),Produccion_mani[produccion_tm]))</f>
        <v>0</v>
      </c>
      <c r="S60" s="31" cm="1">
        <f t="array" ref="S60">SUM(IF((Produccion_mani[provincia_nombre]=S$29)*(Produccion_mani[campania]=A60),Produccion_mani[produccion_tm]))</f>
        <v>0</v>
      </c>
    </row>
    <row r="61" spans="1:19" x14ac:dyDescent="0.25">
      <c r="A61" s="23" t="str">
        <v>1958/1959</v>
      </c>
      <c r="B61" s="31" cm="1">
        <f t="array" ref="B61">SUM(IF((Produccion_mani[provincia_nombre]=B$29)*(Produccion_mani[campania]=A61),Produccion_mani[produccion_tm]))</f>
        <v>306</v>
      </c>
      <c r="C61" s="31" cm="1">
        <f t="array" ref="C61">SUM(IF((Produccion_mani[provincia_nombre]=C$29)*(Produccion_mani[campania]=A61),Produccion_mani[produccion_tm]))</f>
        <v>238900</v>
      </c>
      <c r="D61" s="31" cm="1">
        <f t="array" ref="D61">SUM(IF((Produccion_mani[provincia_nombre]=D$29)*(Produccion_mani[campania]=A61),Produccion_mani[produccion_tm]))</f>
        <v>210</v>
      </c>
      <c r="E61" s="31" cm="1">
        <f t="array" ref="E61">SUM(IF((Produccion_mani[provincia_nombre]=E$29)*(Produccion_mani[campania]=A61),Produccion_mani[produccion_tm]))</f>
        <v>48</v>
      </c>
      <c r="F61" s="31" cm="1">
        <f t="array" ref="F61">SUM(IF((Produccion_mani[provincia_nombre]=F$29)*(Produccion_mani[campania]=A61),Produccion_mani[produccion_tm]))</f>
        <v>60</v>
      </c>
      <c r="G61" s="31" cm="1">
        <f t="array" ref="G61">SUM(IF((Produccion_mani[provincia_nombre]=G$29)*(Produccion_mani[campania]=A61),Produccion_mani[produccion_tm]))</f>
        <v>0</v>
      </c>
      <c r="H61" s="31" cm="1">
        <f t="array" ref="H61">SUM(IF((Produccion_mani[provincia_nombre]=H$29)*(Produccion_mani[campania]=A61),Produccion_mani[produccion_tm]))</f>
        <v>260</v>
      </c>
      <c r="I61" s="31" cm="1">
        <f t="array" ref="I61">SUM(IF((Produccion_mani[provincia_nombre]=I$29)*(Produccion_mani[campania]=A61),Produccion_mani[produccion_tm]))</f>
        <v>600</v>
      </c>
      <c r="J61" s="31" cm="1">
        <f t="array" ref="J61">SUM(IF((Produccion_mani[provincia_nombre]=J$29)*(Produccion_mani[campania]=A61),Produccion_mani[produccion_tm]))</f>
        <v>0</v>
      </c>
      <c r="K61" s="31" cm="1">
        <f t="array" ref="K61">SUM(IF((Produccion_mani[provincia_nombre]=K$29)*(Produccion_mani[campania]=A61),Produccion_mani[produccion_tm]))</f>
        <v>28</v>
      </c>
      <c r="L61" s="31" cm="1">
        <f t="array" ref="L61">SUM(IF((Produccion_mani[provincia_nombre]=L$29)*(Produccion_mani[campania]=A61),Produccion_mani[produccion_tm]))</f>
        <v>0</v>
      </c>
      <c r="M61" s="31" cm="1">
        <f t="array" ref="M61">SUM(IF((Produccion_mani[provincia_nombre]=M$29)*(Produccion_mani[campania]=A61),Produccion_mani[produccion_tm]))</f>
        <v>38</v>
      </c>
      <c r="N61" s="31" cm="1">
        <f t="array" ref="N61">SUM(IF((Produccion_mani[provincia_nombre]=N$29)*(Produccion_mani[campania]=A61),Produccion_mani[produccion_tm]))</f>
        <v>0</v>
      </c>
      <c r="O61" s="31" cm="1">
        <f t="array" ref="O61">SUM(IF((Produccion_mani[provincia_nombre]=O$29)*(Produccion_mani[campania]=A61),Produccion_mani[produccion_tm]))</f>
        <v>350</v>
      </c>
      <c r="P61" s="31" cm="1">
        <f t="array" ref="P61">SUM(IF((Produccion_mani[provincia_nombre]=P$29)*(Produccion_mani[campania]=A61),Produccion_mani[produccion_tm]))</f>
        <v>0</v>
      </c>
      <c r="Q61" s="31" cm="1">
        <f t="array" ref="Q61">SUM(IF((Produccion_mani[provincia_nombre]=Q$29)*(Produccion_mani[campania]=A61),Produccion_mani[produccion_tm]))</f>
        <v>0</v>
      </c>
      <c r="R61" s="31" cm="1">
        <f t="array" ref="R61">SUM(IF((Produccion_mani[provincia_nombre]=R$29)*(Produccion_mani[campania]=A61),Produccion_mani[produccion_tm]))</f>
        <v>0</v>
      </c>
      <c r="S61" s="31" cm="1">
        <f t="array" ref="S61">SUM(IF((Produccion_mani[provincia_nombre]=S$29)*(Produccion_mani[campania]=A61),Produccion_mani[produccion_tm]))</f>
        <v>0</v>
      </c>
    </row>
    <row r="62" spans="1:19" x14ac:dyDescent="0.25">
      <c r="A62" s="23" t="str">
        <v>1959/1960</v>
      </c>
      <c r="B62" s="31" cm="1">
        <f t="array" ref="B62">SUM(IF((Produccion_mani[provincia_nombre]=B$29)*(Produccion_mani[campania]=A62),Produccion_mani[produccion_tm]))</f>
        <v>505</v>
      </c>
      <c r="C62" s="31" cm="1">
        <f t="array" ref="C62">SUM(IF((Produccion_mani[provincia_nombre]=C$29)*(Produccion_mani[campania]=A62),Produccion_mani[produccion_tm]))</f>
        <v>207400</v>
      </c>
      <c r="D62" s="31" cm="1">
        <f t="array" ref="D62">SUM(IF((Produccion_mani[provincia_nombre]=D$29)*(Produccion_mani[campania]=A62),Produccion_mani[produccion_tm]))</f>
        <v>290</v>
      </c>
      <c r="E62" s="31" cm="1">
        <f t="array" ref="E62">SUM(IF((Produccion_mani[provincia_nombre]=E$29)*(Produccion_mani[campania]=A62),Produccion_mani[produccion_tm]))</f>
        <v>27</v>
      </c>
      <c r="F62" s="31" cm="1">
        <f t="array" ref="F62">SUM(IF((Produccion_mani[provincia_nombre]=F$29)*(Produccion_mani[campania]=A62),Produccion_mani[produccion_tm]))</f>
        <v>130</v>
      </c>
      <c r="G62" s="31" cm="1">
        <f t="array" ref="G62">SUM(IF((Produccion_mani[provincia_nombre]=G$29)*(Produccion_mani[campania]=A62),Produccion_mani[produccion_tm]))</f>
        <v>0</v>
      </c>
      <c r="H62" s="31" cm="1">
        <f t="array" ref="H62">SUM(IF((Produccion_mani[provincia_nombre]=H$29)*(Produccion_mani[campania]=A62),Produccion_mani[produccion_tm]))</f>
        <v>255</v>
      </c>
      <c r="I62" s="31" cm="1">
        <f t="array" ref="I62">SUM(IF((Produccion_mani[provincia_nombre]=I$29)*(Produccion_mani[campania]=A62),Produccion_mani[produccion_tm]))</f>
        <v>415</v>
      </c>
      <c r="J62" s="31" cm="1">
        <f t="array" ref="J62">SUM(IF((Produccion_mani[provincia_nombre]=J$29)*(Produccion_mani[campania]=A62),Produccion_mani[produccion_tm]))</f>
        <v>0</v>
      </c>
      <c r="K62" s="31" cm="1">
        <f t="array" ref="K62">SUM(IF((Produccion_mani[provincia_nombre]=K$29)*(Produccion_mani[campania]=A62),Produccion_mani[produccion_tm]))</f>
        <v>36</v>
      </c>
      <c r="L62" s="31" cm="1">
        <f t="array" ref="L62">SUM(IF((Produccion_mani[provincia_nombre]=L$29)*(Produccion_mani[campania]=A62),Produccion_mani[produccion_tm]))</f>
        <v>0</v>
      </c>
      <c r="M62" s="31" cm="1">
        <f t="array" ref="M62">SUM(IF((Produccion_mani[provincia_nombre]=M$29)*(Produccion_mani[campania]=A62),Produccion_mani[produccion_tm]))</f>
        <v>42</v>
      </c>
      <c r="N62" s="31" cm="1">
        <f t="array" ref="N62">SUM(IF((Produccion_mani[provincia_nombre]=N$29)*(Produccion_mani[campania]=A62),Produccion_mani[produccion_tm]))</f>
        <v>0</v>
      </c>
      <c r="O62" s="31" cm="1">
        <f t="array" ref="O62">SUM(IF((Produccion_mani[provincia_nombre]=O$29)*(Produccion_mani[campania]=A62),Produccion_mani[produccion_tm]))</f>
        <v>200</v>
      </c>
      <c r="P62" s="31" cm="1">
        <f t="array" ref="P62">SUM(IF((Produccion_mani[provincia_nombre]=P$29)*(Produccion_mani[campania]=A62),Produccion_mani[produccion_tm]))</f>
        <v>0</v>
      </c>
      <c r="Q62" s="31" cm="1">
        <f t="array" ref="Q62">SUM(IF((Produccion_mani[provincia_nombre]=Q$29)*(Produccion_mani[campania]=A62),Produccion_mani[produccion_tm]))</f>
        <v>0</v>
      </c>
      <c r="R62" s="31" cm="1">
        <f t="array" ref="R62">SUM(IF((Produccion_mani[provincia_nombre]=R$29)*(Produccion_mani[campania]=A62),Produccion_mani[produccion_tm]))</f>
        <v>0</v>
      </c>
      <c r="S62" s="31" cm="1">
        <f t="array" ref="S62">SUM(IF((Produccion_mani[provincia_nombre]=S$29)*(Produccion_mani[campania]=A62),Produccion_mani[produccion_tm]))</f>
        <v>0</v>
      </c>
    </row>
    <row r="63" spans="1:19" x14ac:dyDescent="0.25">
      <c r="A63" s="23" t="str">
        <v>1960/1961</v>
      </c>
      <c r="B63" s="31" cm="1">
        <f t="array" ref="B63">SUM(IF((Produccion_mani[provincia_nombre]=B$29)*(Produccion_mani[campania]=A63),Produccion_mani[produccion_tm]))</f>
        <v>520</v>
      </c>
      <c r="C63" s="31" cm="1">
        <f t="array" ref="C63">SUM(IF((Produccion_mani[provincia_nombre]=C$29)*(Produccion_mani[campania]=A63),Produccion_mani[produccion_tm]))</f>
        <v>264000</v>
      </c>
      <c r="D63" s="31" cm="1">
        <f t="array" ref="D63">SUM(IF((Produccion_mani[provincia_nombre]=D$29)*(Produccion_mani[campania]=A63),Produccion_mani[produccion_tm]))</f>
        <v>100</v>
      </c>
      <c r="E63" s="31" cm="1">
        <f t="array" ref="E63">SUM(IF((Produccion_mani[provincia_nombre]=E$29)*(Produccion_mani[campania]=A63),Produccion_mani[produccion_tm]))</f>
        <v>40</v>
      </c>
      <c r="F63" s="31" cm="1">
        <f t="array" ref="F63">SUM(IF((Produccion_mani[provincia_nombre]=F$29)*(Produccion_mani[campania]=A63),Produccion_mani[produccion_tm]))</f>
        <v>145</v>
      </c>
      <c r="G63" s="31" cm="1">
        <f t="array" ref="G63">SUM(IF((Produccion_mani[provincia_nombre]=G$29)*(Produccion_mani[campania]=A63),Produccion_mani[produccion_tm]))</f>
        <v>0</v>
      </c>
      <c r="H63" s="31" cm="1">
        <f t="array" ref="H63">SUM(IF((Produccion_mani[provincia_nombre]=H$29)*(Produccion_mani[campania]=A63),Produccion_mani[produccion_tm]))</f>
        <v>270</v>
      </c>
      <c r="I63" s="31" cm="1">
        <f t="array" ref="I63">SUM(IF((Produccion_mani[provincia_nombre]=I$29)*(Produccion_mani[campania]=A63),Produccion_mani[produccion_tm]))</f>
        <v>670</v>
      </c>
      <c r="J63" s="31" cm="1">
        <f t="array" ref="J63">SUM(IF((Produccion_mani[provincia_nombre]=J$29)*(Produccion_mani[campania]=A63),Produccion_mani[produccion_tm]))</f>
        <v>0</v>
      </c>
      <c r="K63" s="31" cm="1">
        <f t="array" ref="K63">SUM(IF((Produccion_mani[provincia_nombre]=K$29)*(Produccion_mani[campania]=A63),Produccion_mani[produccion_tm]))</f>
        <v>220</v>
      </c>
      <c r="L63" s="31" cm="1">
        <f t="array" ref="L63">SUM(IF((Produccion_mani[provincia_nombre]=L$29)*(Produccion_mani[campania]=A63),Produccion_mani[produccion_tm]))</f>
        <v>0</v>
      </c>
      <c r="M63" s="31" cm="1">
        <f t="array" ref="M63">SUM(IF((Produccion_mani[provincia_nombre]=M$29)*(Produccion_mani[campania]=A63),Produccion_mani[produccion_tm]))</f>
        <v>35</v>
      </c>
      <c r="N63" s="31" cm="1">
        <f t="array" ref="N63">SUM(IF((Produccion_mani[provincia_nombre]=N$29)*(Produccion_mani[campania]=A63),Produccion_mani[produccion_tm]))</f>
        <v>0</v>
      </c>
      <c r="O63" s="31" cm="1">
        <f t="array" ref="O63">SUM(IF((Produccion_mani[provincia_nombre]=O$29)*(Produccion_mani[campania]=A63),Produccion_mani[produccion_tm]))</f>
        <v>0</v>
      </c>
      <c r="P63" s="31" cm="1">
        <f t="array" ref="P63">SUM(IF((Produccion_mani[provincia_nombre]=P$29)*(Produccion_mani[campania]=A63),Produccion_mani[produccion_tm]))</f>
        <v>0</v>
      </c>
      <c r="Q63" s="31" cm="1">
        <f t="array" ref="Q63">SUM(IF((Produccion_mani[provincia_nombre]=Q$29)*(Produccion_mani[campania]=A63),Produccion_mani[produccion_tm]))</f>
        <v>0</v>
      </c>
      <c r="R63" s="31" cm="1">
        <f t="array" ref="R63">SUM(IF((Produccion_mani[provincia_nombre]=R$29)*(Produccion_mani[campania]=A63),Produccion_mani[produccion_tm]))</f>
        <v>0</v>
      </c>
      <c r="S63" s="31" cm="1">
        <f t="array" ref="S63">SUM(IF((Produccion_mani[provincia_nombre]=S$29)*(Produccion_mani[campania]=A63),Produccion_mani[produccion_tm]))</f>
        <v>0</v>
      </c>
    </row>
    <row r="64" spans="1:19" x14ac:dyDescent="0.25">
      <c r="A64" s="23" t="str">
        <v>1961/1962</v>
      </c>
      <c r="B64" s="31" cm="1">
        <f t="array" ref="B64">SUM(IF((Produccion_mani[provincia_nombre]=B$29)*(Produccion_mani[campania]=A64),Produccion_mani[produccion_tm]))</f>
        <v>543</v>
      </c>
      <c r="C64" s="31" cm="1">
        <f t="array" ref="C64">SUM(IF((Produccion_mani[provincia_nombre]=C$29)*(Produccion_mani[campania]=A64),Produccion_mani[produccion_tm]))</f>
        <v>430500</v>
      </c>
      <c r="D64" s="31" cm="1">
        <f t="array" ref="D64">SUM(IF((Produccion_mani[provincia_nombre]=D$29)*(Produccion_mani[campania]=A64),Produccion_mani[produccion_tm]))</f>
        <v>47</v>
      </c>
      <c r="E64" s="31" cm="1">
        <f t="array" ref="E64">SUM(IF((Produccion_mani[provincia_nombre]=E$29)*(Produccion_mani[campania]=A64),Produccion_mani[produccion_tm]))</f>
        <v>24</v>
      </c>
      <c r="F64" s="31" cm="1">
        <f t="array" ref="F64">SUM(IF((Produccion_mani[provincia_nombre]=F$29)*(Produccion_mani[campania]=A64),Produccion_mani[produccion_tm]))</f>
        <v>77</v>
      </c>
      <c r="G64" s="31" cm="1">
        <f t="array" ref="G64">SUM(IF((Produccion_mani[provincia_nombre]=G$29)*(Produccion_mani[campania]=A64),Produccion_mani[produccion_tm]))</f>
        <v>0</v>
      </c>
      <c r="H64" s="31" cm="1">
        <f t="array" ref="H64">SUM(IF((Produccion_mani[provincia_nombre]=H$29)*(Produccion_mani[campania]=A64),Produccion_mani[produccion_tm]))</f>
        <v>270</v>
      </c>
      <c r="I64" s="31" cm="1">
        <f t="array" ref="I64">SUM(IF((Produccion_mani[provincia_nombre]=I$29)*(Produccion_mani[campania]=A64),Produccion_mani[produccion_tm]))</f>
        <v>1040</v>
      </c>
      <c r="J64" s="31" cm="1">
        <f t="array" ref="J64">SUM(IF((Produccion_mani[provincia_nombre]=J$29)*(Produccion_mani[campania]=A64),Produccion_mani[produccion_tm]))</f>
        <v>0</v>
      </c>
      <c r="K64" s="31" cm="1">
        <f t="array" ref="K64">SUM(IF((Produccion_mani[provincia_nombre]=K$29)*(Produccion_mani[campania]=A64),Produccion_mani[produccion_tm]))</f>
        <v>470</v>
      </c>
      <c r="L64" s="31" cm="1">
        <f t="array" ref="L64">SUM(IF((Produccion_mani[provincia_nombre]=L$29)*(Produccion_mani[campania]=A64),Produccion_mani[produccion_tm]))</f>
        <v>0</v>
      </c>
      <c r="M64" s="31" cm="1">
        <f t="array" ref="M64">SUM(IF((Produccion_mani[provincia_nombre]=M$29)*(Produccion_mani[campania]=A64),Produccion_mani[produccion_tm]))</f>
        <v>29</v>
      </c>
      <c r="N64" s="31" cm="1">
        <f t="array" ref="N64">SUM(IF((Produccion_mani[provincia_nombre]=N$29)*(Produccion_mani[campania]=A64),Produccion_mani[produccion_tm]))</f>
        <v>0</v>
      </c>
      <c r="O64" s="31" cm="1">
        <f t="array" ref="O64">SUM(IF((Produccion_mani[provincia_nombre]=O$29)*(Produccion_mani[campania]=A64),Produccion_mani[produccion_tm]))</f>
        <v>0</v>
      </c>
      <c r="P64" s="31" cm="1">
        <f t="array" ref="P64">SUM(IF((Produccion_mani[provincia_nombre]=P$29)*(Produccion_mani[campania]=A64),Produccion_mani[produccion_tm]))</f>
        <v>0</v>
      </c>
      <c r="Q64" s="31" cm="1">
        <f t="array" ref="Q64">SUM(IF((Produccion_mani[provincia_nombre]=Q$29)*(Produccion_mani[campania]=A64),Produccion_mani[produccion_tm]))</f>
        <v>0</v>
      </c>
      <c r="R64" s="31" cm="1">
        <f t="array" ref="R64">SUM(IF((Produccion_mani[provincia_nombre]=R$29)*(Produccion_mani[campania]=A64),Produccion_mani[produccion_tm]))</f>
        <v>0</v>
      </c>
      <c r="S64" s="31" cm="1">
        <f t="array" ref="S64">SUM(IF((Produccion_mani[provincia_nombre]=S$29)*(Produccion_mani[campania]=A64),Produccion_mani[produccion_tm]))</f>
        <v>0</v>
      </c>
    </row>
    <row r="65" spans="1:19" x14ac:dyDescent="0.25">
      <c r="A65" s="23" t="str">
        <v>1962/1963</v>
      </c>
      <c r="B65" s="31" cm="1">
        <f t="array" ref="B65">SUM(IF((Produccion_mani[provincia_nombre]=B$29)*(Produccion_mani[campania]=A65),Produccion_mani[produccion_tm]))</f>
        <v>480</v>
      </c>
      <c r="C65" s="31" cm="1">
        <f t="array" ref="C65">SUM(IF((Produccion_mani[provincia_nombre]=C$29)*(Produccion_mani[campania]=A65),Produccion_mani[produccion_tm]))</f>
        <v>307200</v>
      </c>
      <c r="D65" s="31" cm="1">
        <f t="array" ref="D65">SUM(IF((Produccion_mani[provincia_nombre]=D$29)*(Produccion_mani[campania]=A65),Produccion_mani[produccion_tm]))</f>
        <v>2410</v>
      </c>
      <c r="E65" s="31" cm="1">
        <f t="array" ref="E65">SUM(IF((Produccion_mani[provincia_nombre]=E$29)*(Produccion_mani[campania]=A65),Produccion_mani[produccion_tm]))</f>
        <v>30</v>
      </c>
      <c r="F65" s="31" cm="1">
        <f t="array" ref="F65">SUM(IF((Produccion_mani[provincia_nombre]=F$29)*(Produccion_mani[campania]=A65),Produccion_mani[produccion_tm]))</f>
        <v>170</v>
      </c>
      <c r="G65" s="31" cm="1">
        <f t="array" ref="G65">SUM(IF((Produccion_mani[provincia_nombre]=G$29)*(Produccion_mani[campania]=A65),Produccion_mani[produccion_tm]))</f>
        <v>0</v>
      </c>
      <c r="H65" s="31" cm="1">
        <f t="array" ref="H65">SUM(IF((Produccion_mani[provincia_nombre]=H$29)*(Produccion_mani[campania]=A65),Produccion_mani[produccion_tm]))</f>
        <v>260</v>
      </c>
      <c r="I65" s="31" cm="1">
        <f t="array" ref="I65">SUM(IF((Produccion_mani[provincia_nombre]=I$29)*(Produccion_mani[campania]=A65),Produccion_mani[produccion_tm]))</f>
        <v>1100</v>
      </c>
      <c r="J65" s="31" cm="1">
        <f t="array" ref="J65">SUM(IF((Produccion_mani[provincia_nombre]=J$29)*(Produccion_mani[campania]=A65),Produccion_mani[produccion_tm]))</f>
        <v>0</v>
      </c>
      <c r="K65" s="31" cm="1">
        <f t="array" ref="K65">SUM(IF((Produccion_mani[provincia_nombre]=K$29)*(Produccion_mani[campania]=A65),Produccion_mani[produccion_tm]))</f>
        <v>310</v>
      </c>
      <c r="L65" s="31" cm="1">
        <f t="array" ref="L65">SUM(IF((Produccion_mani[provincia_nombre]=L$29)*(Produccion_mani[campania]=A65),Produccion_mani[produccion_tm]))</f>
        <v>0</v>
      </c>
      <c r="M65" s="31" cm="1">
        <f t="array" ref="M65">SUM(IF((Produccion_mani[provincia_nombre]=M$29)*(Produccion_mani[campania]=A65),Produccion_mani[produccion_tm]))</f>
        <v>40</v>
      </c>
      <c r="N65" s="31" cm="1">
        <f t="array" ref="N65">SUM(IF((Produccion_mani[provincia_nombre]=N$29)*(Produccion_mani[campania]=A65),Produccion_mani[produccion_tm]))</f>
        <v>0</v>
      </c>
      <c r="O65" s="31" cm="1">
        <f t="array" ref="O65">SUM(IF((Produccion_mani[provincia_nombre]=O$29)*(Produccion_mani[campania]=A65),Produccion_mani[produccion_tm]))</f>
        <v>0</v>
      </c>
      <c r="P65" s="31" cm="1">
        <f t="array" ref="P65">SUM(IF((Produccion_mani[provincia_nombre]=P$29)*(Produccion_mani[campania]=A65),Produccion_mani[produccion_tm]))</f>
        <v>0</v>
      </c>
      <c r="Q65" s="31" cm="1">
        <f t="array" ref="Q65">SUM(IF((Produccion_mani[provincia_nombre]=Q$29)*(Produccion_mani[campania]=A65),Produccion_mani[produccion_tm]))</f>
        <v>0</v>
      </c>
      <c r="R65" s="31" cm="1">
        <f t="array" ref="R65">SUM(IF((Produccion_mani[provincia_nombre]=R$29)*(Produccion_mani[campania]=A65),Produccion_mani[produccion_tm]))</f>
        <v>0</v>
      </c>
      <c r="S65" s="31" cm="1">
        <f t="array" ref="S65">SUM(IF((Produccion_mani[provincia_nombre]=S$29)*(Produccion_mani[campania]=A65),Produccion_mani[produccion_tm]))</f>
        <v>0</v>
      </c>
    </row>
    <row r="66" spans="1:19" x14ac:dyDescent="0.25">
      <c r="A66" s="23" t="str">
        <v>1963/1964</v>
      </c>
      <c r="B66" s="31" cm="1">
        <f t="array" ref="B66">SUM(IF((Produccion_mani[provincia_nombre]=B$29)*(Produccion_mani[campania]=A66),Produccion_mani[produccion_tm]))</f>
        <v>540</v>
      </c>
      <c r="C66" s="31" cm="1">
        <f t="array" ref="C66">SUM(IF((Produccion_mani[provincia_nombre]=C$29)*(Produccion_mani[campania]=A66),Produccion_mani[produccion_tm]))</f>
        <v>329700</v>
      </c>
      <c r="D66" s="31" cm="1">
        <f t="array" ref="D66">SUM(IF((Produccion_mani[provincia_nombre]=D$29)*(Produccion_mani[campania]=A66),Produccion_mani[produccion_tm]))</f>
        <v>250</v>
      </c>
      <c r="E66" s="31" cm="1">
        <f t="array" ref="E66">SUM(IF((Produccion_mani[provincia_nombre]=E$29)*(Produccion_mani[campania]=A66),Produccion_mani[produccion_tm]))</f>
        <v>25</v>
      </c>
      <c r="F66" s="31" cm="1">
        <f t="array" ref="F66">SUM(IF((Produccion_mani[provincia_nombre]=F$29)*(Produccion_mani[campania]=A66),Produccion_mani[produccion_tm]))</f>
        <v>75</v>
      </c>
      <c r="G66" s="31" cm="1">
        <f t="array" ref="G66">SUM(IF((Produccion_mani[provincia_nombre]=G$29)*(Produccion_mani[campania]=A66),Produccion_mani[produccion_tm]))</f>
        <v>0</v>
      </c>
      <c r="H66" s="31" cm="1">
        <f t="array" ref="H66">SUM(IF((Produccion_mani[provincia_nombre]=H$29)*(Produccion_mani[campania]=A66),Produccion_mani[produccion_tm]))</f>
        <v>270</v>
      </c>
      <c r="I66" s="31" cm="1">
        <f t="array" ref="I66">SUM(IF((Produccion_mani[provincia_nombre]=I$29)*(Produccion_mani[campania]=A66),Produccion_mani[produccion_tm]))</f>
        <v>1230</v>
      </c>
      <c r="J66" s="31" cm="1">
        <f t="array" ref="J66">SUM(IF((Produccion_mani[provincia_nombre]=J$29)*(Produccion_mani[campania]=A66),Produccion_mani[produccion_tm]))</f>
        <v>0</v>
      </c>
      <c r="K66" s="31" cm="1">
        <f t="array" ref="K66">SUM(IF((Produccion_mani[provincia_nombre]=K$29)*(Produccion_mani[campania]=A66),Produccion_mani[produccion_tm]))</f>
        <v>230</v>
      </c>
      <c r="L66" s="31" cm="1">
        <f t="array" ref="L66">SUM(IF((Produccion_mani[provincia_nombre]=L$29)*(Produccion_mani[campania]=A66),Produccion_mani[produccion_tm]))</f>
        <v>0</v>
      </c>
      <c r="M66" s="31" cm="1">
        <f t="array" ref="M66">SUM(IF((Produccion_mani[provincia_nombre]=M$29)*(Produccion_mani[campania]=A66),Produccion_mani[produccion_tm]))</f>
        <v>570</v>
      </c>
      <c r="N66" s="31" cm="1">
        <f t="array" ref="N66">SUM(IF((Produccion_mani[provincia_nombre]=N$29)*(Produccion_mani[campania]=A66),Produccion_mani[produccion_tm]))</f>
        <v>0</v>
      </c>
      <c r="O66" s="31" cm="1">
        <f t="array" ref="O66">SUM(IF((Produccion_mani[provincia_nombre]=O$29)*(Produccion_mani[campania]=A66),Produccion_mani[produccion_tm]))</f>
        <v>0</v>
      </c>
      <c r="P66" s="31" cm="1">
        <f t="array" ref="P66">SUM(IF((Produccion_mani[provincia_nombre]=P$29)*(Produccion_mani[campania]=A66),Produccion_mani[produccion_tm]))</f>
        <v>0</v>
      </c>
      <c r="Q66" s="31" cm="1">
        <f t="array" ref="Q66">SUM(IF((Produccion_mani[provincia_nombre]=Q$29)*(Produccion_mani[campania]=A66),Produccion_mani[produccion_tm]))</f>
        <v>110</v>
      </c>
      <c r="R66" s="31" cm="1">
        <f t="array" ref="R66">SUM(IF((Produccion_mani[provincia_nombre]=R$29)*(Produccion_mani[campania]=A66),Produccion_mani[produccion_tm]))</f>
        <v>0</v>
      </c>
      <c r="S66" s="31" cm="1">
        <f t="array" ref="S66">SUM(IF((Produccion_mani[provincia_nombre]=S$29)*(Produccion_mani[campania]=A66),Produccion_mani[produccion_tm]))</f>
        <v>0</v>
      </c>
    </row>
    <row r="67" spans="1:19" x14ac:dyDescent="0.25">
      <c r="A67" s="23" t="str">
        <v>1964/1965</v>
      </c>
      <c r="B67" s="31" cm="1">
        <f t="array" ref="B67">SUM(IF((Produccion_mani[provincia_nombre]=B$29)*(Produccion_mani[campania]=A67),Produccion_mani[produccion_tm]))</f>
        <v>580</v>
      </c>
      <c r="C67" s="31" cm="1">
        <f t="array" ref="C67">SUM(IF((Produccion_mani[provincia_nombre]=C$29)*(Produccion_mani[campania]=A67),Produccion_mani[produccion_tm]))</f>
        <v>435900</v>
      </c>
      <c r="D67" s="31" cm="1">
        <f t="array" ref="D67">SUM(IF((Produccion_mani[provincia_nombre]=D$29)*(Produccion_mani[campania]=A67),Produccion_mani[produccion_tm]))</f>
        <v>120</v>
      </c>
      <c r="E67" s="31" cm="1">
        <f t="array" ref="E67">SUM(IF((Produccion_mani[provincia_nombre]=E$29)*(Produccion_mani[campania]=A67),Produccion_mani[produccion_tm]))</f>
        <v>8</v>
      </c>
      <c r="F67" s="31" cm="1">
        <f t="array" ref="F67">SUM(IF((Produccion_mani[provincia_nombre]=F$29)*(Produccion_mani[campania]=A67),Produccion_mani[produccion_tm]))</f>
        <v>54</v>
      </c>
      <c r="G67" s="31" cm="1">
        <f t="array" ref="G67">SUM(IF((Produccion_mani[provincia_nombre]=G$29)*(Produccion_mani[campania]=A67),Produccion_mani[produccion_tm]))</f>
        <v>0</v>
      </c>
      <c r="H67" s="31" cm="1">
        <f t="array" ref="H67">SUM(IF((Produccion_mani[provincia_nombre]=H$29)*(Produccion_mani[campania]=A67),Produccion_mani[produccion_tm]))</f>
        <v>330</v>
      </c>
      <c r="I67" s="31" cm="1">
        <f t="array" ref="I67">SUM(IF((Produccion_mani[provincia_nombre]=I$29)*(Produccion_mani[campania]=A67),Produccion_mani[produccion_tm]))</f>
        <v>218</v>
      </c>
      <c r="J67" s="31" cm="1">
        <f t="array" ref="J67">SUM(IF((Produccion_mani[provincia_nombre]=J$29)*(Produccion_mani[campania]=A67),Produccion_mani[produccion_tm]))</f>
        <v>0</v>
      </c>
      <c r="K67" s="31" cm="1">
        <f t="array" ref="K67">SUM(IF((Produccion_mani[provincia_nombre]=K$29)*(Produccion_mani[campania]=A67),Produccion_mani[produccion_tm]))</f>
        <v>430</v>
      </c>
      <c r="L67" s="31" cm="1">
        <f t="array" ref="L67">SUM(IF((Produccion_mani[provincia_nombre]=L$29)*(Produccion_mani[campania]=A67),Produccion_mani[produccion_tm]))</f>
        <v>0</v>
      </c>
      <c r="M67" s="31" cm="1">
        <f t="array" ref="M67">SUM(IF((Produccion_mani[provincia_nombre]=M$29)*(Produccion_mani[campania]=A67),Produccion_mani[produccion_tm]))</f>
        <v>690</v>
      </c>
      <c r="N67" s="31" cm="1">
        <f t="array" ref="N67">SUM(IF((Produccion_mani[provincia_nombre]=N$29)*(Produccion_mani[campania]=A67),Produccion_mani[produccion_tm]))</f>
        <v>0</v>
      </c>
      <c r="O67" s="31" cm="1">
        <f t="array" ref="O67">SUM(IF((Produccion_mani[provincia_nombre]=O$29)*(Produccion_mani[campania]=A67),Produccion_mani[produccion_tm]))</f>
        <v>970</v>
      </c>
      <c r="P67" s="31" cm="1">
        <f t="array" ref="P67">SUM(IF((Produccion_mani[provincia_nombre]=P$29)*(Produccion_mani[campania]=A67),Produccion_mani[produccion_tm]))</f>
        <v>0</v>
      </c>
      <c r="Q67" s="31" cm="1">
        <f t="array" ref="Q67">SUM(IF((Produccion_mani[provincia_nombre]=Q$29)*(Produccion_mani[campania]=A67),Produccion_mani[produccion_tm]))</f>
        <v>0</v>
      </c>
      <c r="R67" s="31" cm="1">
        <f t="array" ref="R67">SUM(IF((Produccion_mani[provincia_nombre]=R$29)*(Produccion_mani[campania]=A67),Produccion_mani[produccion_tm]))</f>
        <v>0</v>
      </c>
      <c r="S67" s="31" cm="1">
        <f t="array" ref="S67">SUM(IF((Produccion_mani[provincia_nombre]=S$29)*(Produccion_mani[campania]=A67),Produccion_mani[produccion_tm]))</f>
        <v>0</v>
      </c>
    </row>
    <row r="68" spans="1:19" x14ac:dyDescent="0.25">
      <c r="A68" s="23" t="str">
        <v>1965/1966</v>
      </c>
      <c r="B68" s="31" cm="1">
        <f t="array" ref="B68">SUM(IF((Produccion_mani[provincia_nombre]=B$29)*(Produccion_mani[campania]=A68),Produccion_mani[produccion_tm]))</f>
        <v>170</v>
      </c>
      <c r="C68" s="31" cm="1">
        <f t="array" ref="C68">SUM(IF((Produccion_mani[provincia_nombre]=C$29)*(Produccion_mani[campania]=A68),Produccion_mani[produccion_tm]))</f>
        <v>407500</v>
      </c>
      <c r="D68" s="31" cm="1">
        <f t="array" ref="D68">SUM(IF((Produccion_mani[provincia_nombre]=D$29)*(Produccion_mani[campania]=A68),Produccion_mani[produccion_tm]))</f>
        <v>80</v>
      </c>
      <c r="E68" s="31" cm="1">
        <f t="array" ref="E68">SUM(IF((Produccion_mani[provincia_nombre]=E$29)*(Produccion_mani[campania]=A68),Produccion_mani[produccion_tm]))</f>
        <v>10</v>
      </c>
      <c r="F68" s="31" cm="1">
        <f t="array" ref="F68">SUM(IF((Produccion_mani[provincia_nombre]=F$29)*(Produccion_mani[campania]=A68),Produccion_mani[produccion_tm]))</f>
        <v>80</v>
      </c>
      <c r="G68" s="31" cm="1">
        <f t="array" ref="G68">SUM(IF((Produccion_mani[provincia_nombre]=G$29)*(Produccion_mani[campania]=A68),Produccion_mani[produccion_tm]))</f>
        <v>0</v>
      </c>
      <c r="H68" s="31" cm="1">
        <f t="array" ref="H68">SUM(IF((Produccion_mani[provincia_nombre]=H$29)*(Produccion_mani[campania]=A68),Produccion_mani[produccion_tm]))</f>
        <v>350</v>
      </c>
      <c r="I68" s="31" cm="1">
        <f t="array" ref="I68">SUM(IF((Produccion_mani[provincia_nombre]=I$29)*(Produccion_mani[campania]=A68),Produccion_mani[produccion_tm]))</f>
        <v>360</v>
      </c>
      <c r="J68" s="31" cm="1">
        <f t="array" ref="J68">SUM(IF((Produccion_mani[provincia_nombre]=J$29)*(Produccion_mani[campania]=A68),Produccion_mani[produccion_tm]))</f>
        <v>0</v>
      </c>
      <c r="K68" s="31" cm="1">
        <f t="array" ref="K68">SUM(IF((Produccion_mani[provincia_nombre]=K$29)*(Produccion_mani[campania]=A68),Produccion_mani[produccion_tm]))</f>
        <v>1280</v>
      </c>
      <c r="L68" s="31" cm="1">
        <f t="array" ref="L68">SUM(IF((Produccion_mani[provincia_nombre]=L$29)*(Produccion_mani[campania]=A68),Produccion_mani[produccion_tm]))</f>
        <v>0</v>
      </c>
      <c r="M68" s="31" cm="1">
        <f t="array" ref="M68">SUM(IF((Produccion_mani[provincia_nombre]=M$29)*(Produccion_mani[campania]=A68),Produccion_mani[produccion_tm]))</f>
        <v>570</v>
      </c>
      <c r="N68" s="31" cm="1">
        <f t="array" ref="N68">SUM(IF((Produccion_mani[provincia_nombre]=N$29)*(Produccion_mani[campania]=A68),Produccion_mani[produccion_tm]))</f>
        <v>0</v>
      </c>
      <c r="O68" s="31" cm="1">
        <f t="array" ref="O68">SUM(IF((Produccion_mani[provincia_nombre]=O$29)*(Produccion_mani[campania]=A68),Produccion_mani[produccion_tm]))</f>
        <v>400</v>
      </c>
      <c r="P68" s="31" cm="1">
        <f t="array" ref="P68">SUM(IF((Produccion_mani[provincia_nombre]=P$29)*(Produccion_mani[campania]=A68),Produccion_mani[produccion_tm]))</f>
        <v>0</v>
      </c>
      <c r="Q68" s="31" cm="1">
        <f t="array" ref="Q68">SUM(IF((Produccion_mani[provincia_nombre]=Q$29)*(Produccion_mani[campania]=A68),Produccion_mani[produccion_tm]))</f>
        <v>0</v>
      </c>
      <c r="R68" s="31" cm="1">
        <f t="array" ref="R68">SUM(IF((Produccion_mani[provincia_nombre]=R$29)*(Produccion_mani[campania]=A68),Produccion_mani[produccion_tm]))</f>
        <v>0</v>
      </c>
      <c r="S68" s="31" cm="1">
        <f t="array" ref="S68">SUM(IF((Produccion_mani[provincia_nombre]=S$29)*(Produccion_mani[campania]=A68),Produccion_mani[produccion_tm]))</f>
        <v>0</v>
      </c>
    </row>
    <row r="69" spans="1:19" x14ac:dyDescent="0.25">
      <c r="A69" s="23" t="str">
        <v>1966/1967</v>
      </c>
      <c r="B69" s="31" cm="1">
        <f t="array" ref="B69">SUM(IF((Produccion_mani[provincia_nombre]=B$29)*(Produccion_mani[campania]=A69),Produccion_mani[produccion_tm]))</f>
        <v>220</v>
      </c>
      <c r="C69" s="31" cm="1">
        <f t="array" ref="C69">SUM(IF((Produccion_mani[provincia_nombre]=C$29)*(Produccion_mani[campania]=A69),Produccion_mani[produccion_tm]))</f>
        <v>350300</v>
      </c>
      <c r="D69" s="31" cm="1">
        <f t="array" ref="D69">SUM(IF((Produccion_mani[provincia_nombre]=D$29)*(Produccion_mani[campania]=A69),Produccion_mani[produccion_tm]))</f>
        <v>1000</v>
      </c>
      <c r="E69" s="31" cm="1">
        <f t="array" ref="E69">SUM(IF((Produccion_mani[provincia_nombre]=E$29)*(Produccion_mani[campania]=A69),Produccion_mani[produccion_tm]))</f>
        <v>10</v>
      </c>
      <c r="F69" s="31" cm="1">
        <f t="array" ref="F69">SUM(IF((Produccion_mani[provincia_nombre]=F$29)*(Produccion_mani[campania]=A69),Produccion_mani[produccion_tm]))</f>
        <v>180</v>
      </c>
      <c r="G69" s="31" cm="1">
        <f t="array" ref="G69">SUM(IF((Produccion_mani[provincia_nombre]=G$29)*(Produccion_mani[campania]=A69),Produccion_mani[produccion_tm]))</f>
        <v>0</v>
      </c>
      <c r="H69" s="31" cm="1">
        <f t="array" ref="H69">SUM(IF((Produccion_mani[provincia_nombre]=H$29)*(Produccion_mani[campania]=A69),Produccion_mani[produccion_tm]))</f>
        <v>330</v>
      </c>
      <c r="I69" s="31" cm="1">
        <f t="array" ref="I69">SUM(IF((Produccion_mani[provincia_nombre]=I$29)*(Produccion_mani[campania]=A69),Produccion_mani[produccion_tm]))</f>
        <v>250</v>
      </c>
      <c r="J69" s="31" cm="1">
        <f t="array" ref="J69">SUM(IF((Produccion_mani[provincia_nombre]=J$29)*(Produccion_mani[campania]=A69),Produccion_mani[produccion_tm]))</f>
        <v>0</v>
      </c>
      <c r="K69" s="31" cm="1">
        <f t="array" ref="K69">SUM(IF((Produccion_mani[provincia_nombre]=K$29)*(Produccion_mani[campania]=A69),Produccion_mani[produccion_tm]))</f>
        <v>1350</v>
      </c>
      <c r="L69" s="31" cm="1">
        <f t="array" ref="L69">SUM(IF((Produccion_mani[provincia_nombre]=L$29)*(Produccion_mani[campania]=A69),Produccion_mani[produccion_tm]))</f>
        <v>0</v>
      </c>
      <c r="M69" s="31" cm="1">
        <f t="array" ref="M69">SUM(IF((Produccion_mani[provincia_nombre]=M$29)*(Produccion_mani[campania]=A69),Produccion_mani[produccion_tm]))</f>
        <v>360</v>
      </c>
      <c r="N69" s="31" cm="1">
        <f t="array" ref="N69">SUM(IF((Produccion_mani[provincia_nombre]=N$29)*(Produccion_mani[campania]=A69),Produccion_mani[produccion_tm]))</f>
        <v>0</v>
      </c>
      <c r="O69" s="31" cm="1">
        <f t="array" ref="O69">SUM(IF((Produccion_mani[provincia_nombre]=O$29)*(Produccion_mani[campania]=A69),Produccion_mani[produccion_tm]))</f>
        <v>0</v>
      </c>
      <c r="P69" s="31" cm="1">
        <f t="array" ref="P69">SUM(IF((Produccion_mani[provincia_nombre]=P$29)*(Produccion_mani[campania]=A69),Produccion_mani[produccion_tm]))</f>
        <v>0</v>
      </c>
      <c r="Q69" s="31" cm="1">
        <f t="array" ref="Q69">SUM(IF((Produccion_mani[provincia_nombre]=Q$29)*(Produccion_mani[campania]=A69),Produccion_mani[produccion_tm]))</f>
        <v>0</v>
      </c>
      <c r="R69" s="31" cm="1">
        <f t="array" ref="R69">SUM(IF((Produccion_mani[provincia_nombre]=R$29)*(Produccion_mani[campania]=A69),Produccion_mani[produccion_tm]))</f>
        <v>0</v>
      </c>
      <c r="S69" s="31" cm="1">
        <f t="array" ref="S69">SUM(IF((Produccion_mani[provincia_nombre]=S$29)*(Produccion_mani[campania]=A69),Produccion_mani[produccion_tm]))</f>
        <v>0</v>
      </c>
    </row>
    <row r="70" spans="1:19" x14ac:dyDescent="0.25">
      <c r="A70" s="23" t="str">
        <v>1967/1968</v>
      </c>
      <c r="B70" s="31" cm="1">
        <f t="array" ref="B70">SUM(IF((Produccion_mani[provincia_nombre]=B$29)*(Produccion_mani[campania]=A70),Produccion_mani[produccion_tm]))</f>
        <v>175</v>
      </c>
      <c r="C70" s="31" cm="1">
        <f t="array" ref="C70">SUM(IF((Produccion_mani[provincia_nombre]=C$29)*(Produccion_mani[campania]=A70),Produccion_mani[produccion_tm]))</f>
        <v>279400</v>
      </c>
      <c r="D70" s="31" cm="1">
        <f t="array" ref="D70">SUM(IF((Produccion_mani[provincia_nombre]=D$29)*(Produccion_mani[campania]=A70),Produccion_mani[produccion_tm]))</f>
        <v>45</v>
      </c>
      <c r="E70" s="31" cm="1">
        <f t="array" ref="E70">SUM(IF((Produccion_mani[provincia_nombre]=E$29)*(Produccion_mani[campania]=A70),Produccion_mani[produccion_tm]))</f>
        <v>20</v>
      </c>
      <c r="F70" s="31" cm="1">
        <f t="array" ref="F70">SUM(IF((Produccion_mani[provincia_nombre]=F$29)*(Produccion_mani[campania]=A70),Produccion_mani[produccion_tm]))</f>
        <v>210</v>
      </c>
      <c r="G70" s="31" cm="1">
        <f t="array" ref="G70">SUM(IF((Produccion_mani[provincia_nombre]=G$29)*(Produccion_mani[campania]=A70),Produccion_mani[produccion_tm]))</f>
        <v>0</v>
      </c>
      <c r="H70" s="31" cm="1">
        <f t="array" ref="H70">SUM(IF((Produccion_mani[provincia_nombre]=H$29)*(Produccion_mani[campania]=A70),Produccion_mani[produccion_tm]))</f>
        <v>310</v>
      </c>
      <c r="I70" s="31" cm="1">
        <f t="array" ref="I70">SUM(IF((Produccion_mani[provincia_nombre]=I$29)*(Produccion_mani[campania]=A70),Produccion_mani[produccion_tm]))</f>
        <v>440</v>
      </c>
      <c r="J70" s="31" cm="1">
        <f t="array" ref="J70">SUM(IF((Produccion_mani[provincia_nombre]=J$29)*(Produccion_mani[campania]=A70),Produccion_mani[produccion_tm]))</f>
        <v>0</v>
      </c>
      <c r="K70" s="31" cm="1">
        <f t="array" ref="K70">SUM(IF((Produccion_mani[provincia_nombre]=K$29)*(Produccion_mani[campania]=A70),Produccion_mani[produccion_tm]))</f>
        <v>1500</v>
      </c>
      <c r="L70" s="31" cm="1">
        <f t="array" ref="L70">SUM(IF((Produccion_mani[provincia_nombre]=L$29)*(Produccion_mani[campania]=A70),Produccion_mani[produccion_tm]))</f>
        <v>0</v>
      </c>
      <c r="M70" s="31" cm="1">
        <f t="array" ref="M70">SUM(IF((Produccion_mani[provincia_nombre]=M$29)*(Produccion_mani[campania]=A70),Produccion_mani[produccion_tm]))</f>
        <v>700</v>
      </c>
      <c r="N70" s="31" cm="1">
        <f t="array" ref="N70">SUM(IF((Produccion_mani[provincia_nombre]=N$29)*(Produccion_mani[campania]=A70),Produccion_mani[produccion_tm]))</f>
        <v>0</v>
      </c>
      <c r="O70" s="31" cm="1">
        <f t="array" ref="O70">SUM(IF((Produccion_mani[provincia_nombre]=O$29)*(Produccion_mani[campania]=A70),Produccion_mani[produccion_tm]))</f>
        <v>0</v>
      </c>
      <c r="P70" s="31" cm="1">
        <f t="array" ref="P70">SUM(IF((Produccion_mani[provincia_nombre]=P$29)*(Produccion_mani[campania]=A70),Produccion_mani[produccion_tm]))</f>
        <v>0</v>
      </c>
      <c r="Q70" s="31" cm="1">
        <f t="array" ref="Q70">SUM(IF((Produccion_mani[provincia_nombre]=Q$29)*(Produccion_mani[campania]=A70),Produccion_mani[produccion_tm]))</f>
        <v>0</v>
      </c>
      <c r="R70" s="31" cm="1">
        <f t="array" ref="R70">SUM(IF((Produccion_mani[provincia_nombre]=R$29)*(Produccion_mani[campania]=A70),Produccion_mani[produccion_tm]))</f>
        <v>0</v>
      </c>
      <c r="S70" s="31" cm="1">
        <f t="array" ref="S70">SUM(IF((Produccion_mani[provincia_nombre]=S$29)*(Produccion_mani[campania]=A70),Produccion_mani[produccion_tm]))</f>
        <v>0</v>
      </c>
    </row>
    <row r="71" spans="1:19" x14ac:dyDescent="0.25">
      <c r="A71" s="23" t="str">
        <v>1968/1969</v>
      </c>
      <c r="B71" s="31" cm="1">
        <f t="array" ref="B71">SUM(IF((Produccion_mani[provincia_nombre]=B$29)*(Produccion_mani[campania]=A71),Produccion_mani[produccion_tm]))</f>
        <v>110</v>
      </c>
      <c r="C71" s="31" cm="1">
        <f t="array" ref="C71">SUM(IF((Produccion_mani[provincia_nombre]=C$29)*(Produccion_mani[campania]=A71),Produccion_mani[produccion_tm]))</f>
        <v>213100</v>
      </c>
      <c r="D71" s="31" cm="1">
        <f t="array" ref="D71">SUM(IF((Produccion_mani[provincia_nombre]=D$29)*(Produccion_mani[campania]=A71),Produccion_mani[produccion_tm]))</f>
        <v>50</v>
      </c>
      <c r="E71" s="31" cm="1">
        <f t="array" ref="E71">SUM(IF((Produccion_mani[provincia_nombre]=E$29)*(Produccion_mani[campania]=A71),Produccion_mani[produccion_tm]))</f>
        <v>20</v>
      </c>
      <c r="F71" s="31" cm="1">
        <f t="array" ref="F71">SUM(IF((Produccion_mani[provincia_nombre]=F$29)*(Produccion_mani[campania]=A71),Produccion_mani[produccion_tm]))</f>
        <v>600</v>
      </c>
      <c r="G71" s="31" cm="1">
        <f t="array" ref="G71">SUM(IF((Produccion_mani[provincia_nombre]=G$29)*(Produccion_mani[campania]=A71),Produccion_mani[produccion_tm]))</f>
        <v>0</v>
      </c>
      <c r="H71" s="31" cm="1">
        <f t="array" ref="H71">SUM(IF((Produccion_mani[provincia_nombre]=H$29)*(Produccion_mani[campania]=A71),Produccion_mani[produccion_tm]))</f>
        <v>320</v>
      </c>
      <c r="I71" s="31" cm="1">
        <f t="array" ref="I71">SUM(IF((Produccion_mani[provincia_nombre]=I$29)*(Produccion_mani[campania]=A71),Produccion_mani[produccion_tm]))</f>
        <v>150</v>
      </c>
      <c r="J71" s="31" cm="1">
        <f t="array" ref="J71">SUM(IF((Produccion_mani[provincia_nombre]=J$29)*(Produccion_mani[campania]=A71),Produccion_mani[produccion_tm]))</f>
        <v>0</v>
      </c>
      <c r="K71" s="31" cm="1">
        <f t="array" ref="K71">SUM(IF((Produccion_mani[provincia_nombre]=K$29)*(Produccion_mani[campania]=A71),Produccion_mani[produccion_tm]))</f>
        <v>1850</v>
      </c>
      <c r="L71" s="31" cm="1">
        <f t="array" ref="L71">SUM(IF((Produccion_mani[provincia_nombre]=L$29)*(Produccion_mani[campania]=A71),Produccion_mani[produccion_tm]))</f>
        <v>0</v>
      </c>
      <c r="M71" s="31" cm="1">
        <f t="array" ref="M71">SUM(IF((Produccion_mani[provincia_nombre]=M$29)*(Produccion_mani[campania]=A71),Produccion_mani[produccion_tm]))</f>
        <v>800</v>
      </c>
      <c r="N71" s="31" cm="1">
        <f t="array" ref="N71">SUM(IF((Produccion_mani[provincia_nombre]=N$29)*(Produccion_mani[campania]=A71),Produccion_mani[produccion_tm]))</f>
        <v>0</v>
      </c>
      <c r="O71" s="31" cm="1">
        <f t="array" ref="O71">SUM(IF((Produccion_mani[provincia_nombre]=O$29)*(Produccion_mani[campania]=A71),Produccion_mani[produccion_tm]))</f>
        <v>0</v>
      </c>
      <c r="P71" s="31" cm="1">
        <f t="array" ref="P71">SUM(IF((Produccion_mani[provincia_nombre]=P$29)*(Produccion_mani[campania]=A71),Produccion_mani[produccion_tm]))</f>
        <v>0</v>
      </c>
      <c r="Q71" s="31" cm="1">
        <f t="array" ref="Q71">SUM(IF((Produccion_mani[provincia_nombre]=Q$29)*(Produccion_mani[campania]=A71),Produccion_mani[produccion_tm]))</f>
        <v>0</v>
      </c>
      <c r="R71" s="31" cm="1">
        <f t="array" ref="R71">SUM(IF((Produccion_mani[provincia_nombre]=R$29)*(Produccion_mani[campania]=A71),Produccion_mani[produccion_tm]))</f>
        <v>0</v>
      </c>
      <c r="S71" s="31" cm="1">
        <f t="array" ref="S71">SUM(IF((Produccion_mani[provincia_nombre]=S$29)*(Produccion_mani[campania]=A71),Produccion_mani[produccion_tm]))</f>
        <v>0</v>
      </c>
    </row>
    <row r="72" spans="1:19" x14ac:dyDescent="0.25">
      <c r="A72" s="23" t="str">
        <v>1969/1970</v>
      </c>
      <c r="B72" s="31" cm="1">
        <f t="array" ref="B72">SUM(IF((Produccion_mani[provincia_nombre]=B$29)*(Produccion_mani[campania]=A72),Produccion_mani[produccion_tm]))</f>
        <v>0</v>
      </c>
      <c r="C72" s="31" cm="1">
        <f t="array" ref="C72">SUM(IF((Produccion_mani[provincia_nombre]=C$29)*(Produccion_mani[campania]=A72),Produccion_mani[produccion_tm]))</f>
        <v>231200</v>
      </c>
      <c r="D72" s="31" cm="1">
        <f t="array" ref="D72">SUM(IF((Produccion_mani[provincia_nombre]=D$29)*(Produccion_mani[campania]=A72),Produccion_mani[produccion_tm]))</f>
        <v>900</v>
      </c>
      <c r="E72" s="31" cm="1">
        <f t="array" ref="E72">SUM(IF((Produccion_mani[provincia_nombre]=E$29)*(Produccion_mani[campania]=A72),Produccion_mani[produccion_tm]))</f>
        <v>40</v>
      </c>
      <c r="F72" s="31" cm="1">
        <f t="array" ref="F72">SUM(IF((Produccion_mani[provincia_nombre]=F$29)*(Produccion_mani[campania]=A72),Produccion_mani[produccion_tm]))</f>
        <v>300</v>
      </c>
      <c r="G72" s="31" cm="1">
        <f t="array" ref="G72">SUM(IF((Produccion_mani[provincia_nombre]=G$29)*(Produccion_mani[campania]=A72),Produccion_mani[produccion_tm]))</f>
        <v>0</v>
      </c>
      <c r="H72" s="31" cm="1">
        <f t="array" ref="H72">SUM(IF((Produccion_mani[provincia_nombre]=H$29)*(Produccion_mani[campania]=A72),Produccion_mani[produccion_tm]))</f>
        <v>400</v>
      </c>
      <c r="I72" s="31" cm="1">
        <f t="array" ref="I72">SUM(IF((Produccion_mani[provincia_nombre]=I$29)*(Produccion_mani[campania]=A72),Produccion_mani[produccion_tm]))</f>
        <v>420</v>
      </c>
      <c r="J72" s="31" cm="1">
        <f t="array" ref="J72">SUM(IF((Produccion_mani[provincia_nombre]=J$29)*(Produccion_mani[campania]=A72),Produccion_mani[produccion_tm]))</f>
        <v>0</v>
      </c>
      <c r="K72" s="31" cm="1">
        <f t="array" ref="K72">SUM(IF((Produccion_mani[provincia_nombre]=K$29)*(Produccion_mani[campania]=A72),Produccion_mani[produccion_tm]))</f>
        <v>950</v>
      </c>
      <c r="L72" s="31" cm="1">
        <f t="array" ref="L72">SUM(IF((Produccion_mani[provincia_nombre]=L$29)*(Produccion_mani[campania]=A72),Produccion_mani[produccion_tm]))</f>
        <v>0</v>
      </c>
      <c r="M72" s="31" cm="1">
        <f t="array" ref="M72">SUM(IF((Produccion_mani[provincia_nombre]=M$29)*(Produccion_mani[campania]=A72),Produccion_mani[produccion_tm]))</f>
        <v>290</v>
      </c>
      <c r="N72" s="31" cm="1">
        <f t="array" ref="N72">SUM(IF((Produccion_mani[provincia_nombre]=N$29)*(Produccion_mani[campania]=A72),Produccion_mani[produccion_tm]))</f>
        <v>0</v>
      </c>
      <c r="O72" s="31" cm="1">
        <f t="array" ref="O72">SUM(IF((Produccion_mani[provincia_nombre]=O$29)*(Produccion_mani[campania]=A72),Produccion_mani[produccion_tm]))</f>
        <v>0</v>
      </c>
      <c r="P72" s="31" cm="1">
        <f t="array" ref="P72">SUM(IF((Produccion_mani[provincia_nombre]=P$29)*(Produccion_mani[campania]=A72),Produccion_mani[produccion_tm]))</f>
        <v>0</v>
      </c>
      <c r="Q72" s="31" cm="1">
        <f t="array" ref="Q72">SUM(IF((Produccion_mani[provincia_nombre]=Q$29)*(Produccion_mani[campania]=A72),Produccion_mani[produccion_tm]))</f>
        <v>0</v>
      </c>
      <c r="R72" s="31" cm="1">
        <f t="array" ref="R72">SUM(IF((Produccion_mani[provincia_nombre]=R$29)*(Produccion_mani[campania]=A72),Produccion_mani[produccion_tm]))</f>
        <v>0</v>
      </c>
      <c r="S72" s="31" cm="1">
        <f t="array" ref="S72">SUM(IF((Produccion_mani[provincia_nombre]=S$29)*(Produccion_mani[campania]=A72),Produccion_mani[produccion_tm]))</f>
        <v>0</v>
      </c>
    </row>
    <row r="73" spans="1:19" x14ac:dyDescent="0.25">
      <c r="A73" s="23" t="str">
        <v>1970/1971</v>
      </c>
      <c r="B73" s="31" cm="1">
        <f t="array" ref="B73">SUM(IF((Produccion_mani[provincia_nombre]=B$29)*(Produccion_mani[campania]=A73),Produccion_mani[produccion_tm]))</f>
        <v>0</v>
      </c>
      <c r="C73" s="31" cm="1">
        <f t="array" ref="C73">SUM(IF((Produccion_mani[provincia_nombre]=C$29)*(Produccion_mani[campania]=A73),Produccion_mani[produccion_tm]))</f>
        <v>376000</v>
      </c>
      <c r="D73" s="31" cm="1">
        <f t="array" ref="D73">SUM(IF((Produccion_mani[provincia_nombre]=D$29)*(Produccion_mani[campania]=A73),Produccion_mani[produccion_tm]))</f>
        <v>2300</v>
      </c>
      <c r="E73" s="31" cm="1">
        <f t="array" ref="E73">SUM(IF((Produccion_mani[provincia_nombre]=E$29)*(Produccion_mani[campania]=A73),Produccion_mani[produccion_tm]))</f>
        <v>100</v>
      </c>
      <c r="F73" s="31" cm="1">
        <f t="array" ref="F73">SUM(IF((Produccion_mani[provincia_nombre]=F$29)*(Produccion_mani[campania]=A73),Produccion_mani[produccion_tm]))</f>
        <v>120</v>
      </c>
      <c r="G73" s="31" cm="1">
        <f t="array" ref="G73">SUM(IF((Produccion_mani[provincia_nombre]=G$29)*(Produccion_mani[campania]=A73),Produccion_mani[produccion_tm]))</f>
        <v>0</v>
      </c>
      <c r="H73" s="31" cm="1">
        <f t="array" ref="H73">SUM(IF((Produccion_mani[provincia_nombre]=H$29)*(Produccion_mani[campania]=A73),Produccion_mani[produccion_tm]))</f>
        <v>250</v>
      </c>
      <c r="I73" s="31" cm="1">
        <f t="array" ref="I73">SUM(IF((Produccion_mani[provincia_nombre]=I$29)*(Produccion_mani[campania]=A73),Produccion_mani[produccion_tm]))</f>
        <v>1700</v>
      </c>
      <c r="J73" s="31" cm="1">
        <f t="array" ref="J73">SUM(IF((Produccion_mani[provincia_nombre]=J$29)*(Produccion_mani[campania]=A73),Produccion_mani[produccion_tm]))</f>
        <v>0</v>
      </c>
      <c r="K73" s="31" cm="1">
        <f t="array" ref="K73">SUM(IF((Produccion_mani[provincia_nombre]=K$29)*(Produccion_mani[campania]=A73),Produccion_mani[produccion_tm]))</f>
        <v>6900</v>
      </c>
      <c r="L73" s="31" cm="1">
        <f t="array" ref="L73">SUM(IF((Produccion_mani[provincia_nombre]=L$29)*(Produccion_mani[campania]=A73),Produccion_mani[produccion_tm]))</f>
        <v>0</v>
      </c>
      <c r="M73" s="31" cm="1">
        <f t="array" ref="M73">SUM(IF((Produccion_mani[provincia_nombre]=M$29)*(Produccion_mani[campania]=A73),Produccion_mani[produccion_tm]))</f>
        <v>230</v>
      </c>
      <c r="N73" s="31" cm="1">
        <f t="array" ref="N73">SUM(IF((Produccion_mani[provincia_nombre]=N$29)*(Produccion_mani[campania]=A73),Produccion_mani[produccion_tm]))</f>
        <v>0</v>
      </c>
      <c r="O73" s="31" cm="1">
        <f t="array" ref="O73">SUM(IF((Produccion_mani[provincia_nombre]=O$29)*(Produccion_mani[campania]=A73),Produccion_mani[produccion_tm]))</f>
        <v>0</v>
      </c>
      <c r="P73" s="31" cm="1">
        <f t="array" ref="P73">SUM(IF((Produccion_mani[provincia_nombre]=P$29)*(Produccion_mani[campania]=A73),Produccion_mani[produccion_tm]))</f>
        <v>0</v>
      </c>
      <c r="Q73" s="31" cm="1">
        <f t="array" ref="Q73">SUM(IF((Produccion_mani[provincia_nombre]=Q$29)*(Produccion_mani[campania]=A73),Produccion_mani[produccion_tm]))</f>
        <v>0</v>
      </c>
      <c r="R73" s="31" cm="1">
        <f t="array" ref="R73">SUM(IF((Produccion_mani[provincia_nombre]=R$29)*(Produccion_mani[campania]=A73),Produccion_mani[produccion_tm]))</f>
        <v>0</v>
      </c>
      <c r="S73" s="31" cm="1">
        <f t="array" ref="S73">SUM(IF((Produccion_mani[provincia_nombre]=S$29)*(Produccion_mani[campania]=A73),Produccion_mani[produccion_tm]))</f>
        <v>0</v>
      </c>
    </row>
    <row r="74" spans="1:19" x14ac:dyDescent="0.25">
      <c r="A74" s="23" t="str">
        <v>1971/1972</v>
      </c>
      <c r="B74" s="31" cm="1">
        <f t="array" ref="B74">SUM(IF((Produccion_mani[provincia_nombre]=B$29)*(Produccion_mani[campania]=A74),Produccion_mani[produccion_tm]))</f>
        <v>0</v>
      </c>
      <c r="C74" s="31" cm="1">
        <f t="array" ref="C74">SUM(IF((Produccion_mani[provincia_nombre]=C$29)*(Produccion_mani[campania]=A74),Produccion_mani[produccion_tm]))</f>
        <v>247500</v>
      </c>
      <c r="D74" s="31" cm="1">
        <f t="array" ref="D74">SUM(IF((Produccion_mani[provincia_nombre]=D$29)*(Produccion_mani[campania]=A74),Produccion_mani[produccion_tm]))</f>
        <v>1700</v>
      </c>
      <c r="E74" s="31" cm="1">
        <f t="array" ref="E74">SUM(IF((Produccion_mani[provincia_nombre]=E$29)*(Produccion_mani[campania]=A74),Produccion_mani[produccion_tm]))</f>
        <v>160</v>
      </c>
      <c r="F74" s="31" cm="1">
        <f t="array" ref="F74">SUM(IF((Produccion_mani[provincia_nombre]=F$29)*(Produccion_mani[campania]=A74),Produccion_mani[produccion_tm]))</f>
        <v>320</v>
      </c>
      <c r="G74" s="31" cm="1">
        <f t="array" ref="G74">SUM(IF((Produccion_mani[provincia_nombre]=G$29)*(Produccion_mani[campania]=A74),Produccion_mani[produccion_tm]))</f>
        <v>0</v>
      </c>
      <c r="H74" s="31" cm="1">
        <f t="array" ref="H74">SUM(IF((Produccion_mani[provincia_nombre]=H$29)*(Produccion_mani[campania]=A74),Produccion_mani[produccion_tm]))</f>
        <v>120</v>
      </c>
      <c r="I74" s="31" cm="1">
        <f t="array" ref="I74">SUM(IF((Produccion_mani[provincia_nombre]=I$29)*(Produccion_mani[campania]=A74),Produccion_mani[produccion_tm]))</f>
        <v>1220</v>
      </c>
      <c r="J74" s="31" cm="1">
        <f t="array" ref="J74">SUM(IF((Produccion_mani[provincia_nombre]=J$29)*(Produccion_mani[campania]=A74),Produccion_mani[produccion_tm]))</f>
        <v>0</v>
      </c>
      <c r="K74" s="31" cm="1">
        <f t="array" ref="K74">SUM(IF((Produccion_mani[provincia_nombre]=K$29)*(Produccion_mani[campania]=A74),Produccion_mani[produccion_tm]))</f>
        <v>740</v>
      </c>
      <c r="L74" s="31" cm="1">
        <f t="array" ref="L74">SUM(IF((Produccion_mani[provincia_nombre]=L$29)*(Produccion_mani[campania]=A74),Produccion_mani[produccion_tm]))</f>
        <v>0</v>
      </c>
      <c r="M74" s="31" cm="1">
        <f t="array" ref="M74">SUM(IF((Produccion_mani[provincia_nombre]=M$29)*(Produccion_mani[campania]=A74),Produccion_mani[produccion_tm]))</f>
        <v>240</v>
      </c>
      <c r="N74" s="31" cm="1">
        <f t="array" ref="N74">SUM(IF((Produccion_mani[provincia_nombre]=N$29)*(Produccion_mani[campania]=A74),Produccion_mani[produccion_tm]))</f>
        <v>0</v>
      </c>
      <c r="O74" s="31" cm="1">
        <f t="array" ref="O74">SUM(IF((Produccion_mani[provincia_nombre]=O$29)*(Produccion_mani[campania]=A74),Produccion_mani[produccion_tm]))</f>
        <v>0</v>
      </c>
      <c r="P74" s="31" cm="1">
        <f t="array" ref="P74">SUM(IF((Produccion_mani[provincia_nombre]=P$29)*(Produccion_mani[campania]=A74),Produccion_mani[produccion_tm]))</f>
        <v>0</v>
      </c>
      <c r="Q74" s="31" cm="1">
        <f t="array" ref="Q74">SUM(IF((Produccion_mani[provincia_nombre]=Q$29)*(Produccion_mani[campania]=A74),Produccion_mani[produccion_tm]))</f>
        <v>0</v>
      </c>
      <c r="R74" s="31" cm="1">
        <f t="array" ref="R74">SUM(IF((Produccion_mani[provincia_nombre]=R$29)*(Produccion_mani[campania]=A74),Produccion_mani[produccion_tm]))</f>
        <v>0</v>
      </c>
      <c r="S74" s="31" cm="1">
        <f t="array" ref="S74">SUM(IF((Produccion_mani[provincia_nombre]=S$29)*(Produccion_mani[campania]=A74),Produccion_mani[produccion_tm]))</f>
        <v>0</v>
      </c>
    </row>
    <row r="75" spans="1:19" x14ac:dyDescent="0.25">
      <c r="A75" s="23" t="str">
        <v>1972/1973</v>
      </c>
      <c r="B75" s="31" cm="1">
        <f t="array" ref="B75">SUM(IF((Produccion_mani[provincia_nombre]=B$29)*(Produccion_mani[campania]=A75),Produccion_mani[produccion_tm]))</f>
        <v>0</v>
      </c>
      <c r="C75" s="31" cm="1">
        <f t="array" ref="C75">SUM(IF((Produccion_mani[provincia_nombre]=C$29)*(Produccion_mani[campania]=A75),Produccion_mani[produccion_tm]))</f>
        <v>435400</v>
      </c>
      <c r="D75" s="31" cm="1">
        <f t="array" ref="D75">SUM(IF((Produccion_mani[provincia_nombre]=D$29)*(Produccion_mani[campania]=A75),Produccion_mani[produccion_tm]))</f>
        <v>1860</v>
      </c>
      <c r="E75" s="31" cm="1">
        <f t="array" ref="E75">SUM(IF((Produccion_mani[provincia_nombre]=E$29)*(Produccion_mani[campania]=A75),Produccion_mani[produccion_tm]))</f>
        <v>120</v>
      </c>
      <c r="F75" s="31" cm="1">
        <f t="array" ref="F75">SUM(IF((Produccion_mani[provincia_nombre]=F$29)*(Produccion_mani[campania]=A75),Produccion_mani[produccion_tm]))</f>
        <v>941</v>
      </c>
      <c r="G75" s="31" cm="1">
        <f t="array" ref="G75">SUM(IF((Produccion_mani[provincia_nombre]=G$29)*(Produccion_mani[campania]=A75),Produccion_mani[produccion_tm]))</f>
        <v>160</v>
      </c>
      <c r="H75" s="31" cm="1">
        <f t="array" ref="H75">SUM(IF((Produccion_mani[provincia_nombre]=H$29)*(Produccion_mani[campania]=A75),Produccion_mani[produccion_tm]))</f>
        <v>74</v>
      </c>
      <c r="I75" s="31" cm="1">
        <f t="array" ref="I75">SUM(IF((Produccion_mani[provincia_nombre]=I$29)*(Produccion_mani[campania]=A75),Produccion_mani[produccion_tm]))</f>
        <v>1330</v>
      </c>
      <c r="J75" s="31" cm="1">
        <f t="array" ref="J75">SUM(IF((Produccion_mani[provincia_nombre]=J$29)*(Produccion_mani[campania]=A75),Produccion_mani[produccion_tm]))</f>
        <v>0</v>
      </c>
      <c r="K75" s="31" cm="1">
        <f t="array" ref="K75">SUM(IF((Produccion_mani[provincia_nombre]=K$29)*(Produccion_mani[campania]=A75),Produccion_mani[produccion_tm]))</f>
        <v>10</v>
      </c>
      <c r="L75" s="31" cm="1">
        <f t="array" ref="L75">SUM(IF((Produccion_mani[provincia_nombre]=L$29)*(Produccion_mani[campania]=A75),Produccion_mani[produccion_tm]))</f>
        <v>0</v>
      </c>
      <c r="M75" s="31" cm="1">
        <f t="array" ref="M75">SUM(IF((Produccion_mani[provincia_nombre]=M$29)*(Produccion_mani[campania]=A75),Produccion_mani[produccion_tm]))</f>
        <v>105</v>
      </c>
      <c r="N75" s="31" cm="1">
        <f t="array" ref="N75">SUM(IF((Produccion_mani[provincia_nombre]=N$29)*(Produccion_mani[campania]=A75),Produccion_mani[produccion_tm]))</f>
        <v>0</v>
      </c>
      <c r="O75" s="31" cm="1">
        <f t="array" ref="O75">SUM(IF((Produccion_mani[provincia_nombre]=O$29)*(Produccion_mani[campania]=A75),Produccion_mani[produccion_tm]))</f>
        <v>0</v>
      </c>
      <c r="P75" s="31" cm="1">
        <f t="array" ref="P75">SUM(IF((Produccion_mani[provincia_nombre]=P$29)*(Produccion_mani[campania]=A75),Produccion_mani[produccion_tm]))</f>
        <v>0</v>
      </c>
      <c r="Q75" s="31" cm="1">
        <f t="array" ref="Q75">SUM(IF((Produccion_mani[provincia_nombre]=Q$29)*(Produccion_mani[campania]=A75),Produccion_mani[produccion_tm]))</f>
        <v>0</v>
      </c>
      <c r="R75" s="31" cm="1">
        <f t="array" ref="R75">SUM(IF((Produccion_mani[provincia_nombre]=R$29)*(Produccion_mani[campania]=A75),Produccion_mani[produccion_tm]))</f>
        <v>0</v>
      </c>
      <c r="S75" s="31" cm="1">
        <f t="array" ref="S75">SUM(IF((Produccion_mani[provincia_nombre]=S$29)*(Produccion_mani[campania]=A75),Produccion_mani[produccion_tm]))</f>
        <v>0</v>
      </c>
    </row>
    <row r="76" spans="1:19" x14ac:dyDescent="0.25">
      <c r="A76" s="23" t="str">
        <v>1973/1974</v>
      </c>
      <c r="B76" s="31" cm="1">
        <f t="array" ref="B76">SUM(IF((Produccion_mani[provincia_nombre]=B$29)*(Produccion_mani[campania]=A76),Produccion_mani[produccion_tm]))</f>
        <v>0</v>
      </c>
      <c r="C76" s="31" cm="1">
        <f t="array" ref="C76">SUM(IF((Produccion_mani[provincia_nombre]=C$29)*(Produccion_mani[campania]=A76),Produccion_mani[produccion_tm]))</f>
        <v>286000</v>
      </c>
      <c r="D76" s="31" cm="1">
        <f t="array" ref="D76">SUM(IF((Produccion_mani[provincia_nombre]=D$29)*(Produccion_mani[campania]=A76),Produccion_mani[produccion_tm]))</f>
        <v>530</v>
      </c>
      <c r="E76" s="31" cm="1">
        <f t="array" ref="E76">SUM(IF((Produccion_mani[provincia_nombre]=E$29)*(Produccion_mani[campania]=A76),Produccion_mani[produccion_tm]))</f>
        <v>70</v>
      </c>
      <c r="F76" s="31" cm="1">
        <f t="array" ref="F76">SUM(IF((Produccion_mani[provincia_nombre]=F$29)*(Produccion_mani[campania]=A76),Produccion_mani[produccion_tm]))</f>
        <v>750</v>
      </c>
      <c r="G76" s="31" cm="1">
        <f t="array" ref="G76">SUM(IF((Produccion_mani[provincia_nombre]=G$29)*(Produccion_mani[campania]=A76),Produccion_mani[produccion_tm]))</f>
        <v>150</v>
      </c>
      <c r="H76" s="31" cm="1">
        <f t="array" ref="H76">SUM(IF((Produccion_mani[provincia_nombre]=H$29)*(Produccion_mani[campania]=A76),Produccion_mani[produccion_tm]))</f>
        <v>150</v>
      </c>
      <c r="I76" s="31" cm="1">
        <f t="array" ref="I76">SUM(IF((Produccion_mani[provincia_nombre]=I$29)*(Produccion_mani[campania]=A76),Produccion_mani[produccion_tm]))</f>
        <v>2250</v>
      </c>
      <c r="J76" s="31" cm="1">
        <f t="array" ref="J76">SUM(IF((Produccion_mani[provincia_nombre]=J$29)*(Produccion_mani[campania]=A76),Produccion_mani[produccion_tm]))</f>
        <v>0</v>
      </c>
      <c r="K76" s="31" cm="1">
        <f t="array" ref="K76">SUM(IF((Produccion_mani[provincia_nombre]=K$29)*(Produccion_mani[campania]=A76),Produccion_mani[produccion_tm]))</f>
        <v>0</v>
      </c>
      <c r="L76" s="31" cm="1">
        <f t="array" ref="L76">SUM(IF((Produccion_mani[provincia_nombre]=L$29)*(Produccion_mani[campania]=A76),Produccion_mani[produccion_tm]))</f>
        <v>0</v>
      </c>
      <c r="M76" s="31" cm="1">
        <f t="array" ref="M76">SUM(IF((Produccion_mani[provincia_nombre]=M$29)*(Produccion_mani[campania]=A76),Produccion_mani[produccion_tm]))</f>
        <v>100</v>
      </c>
      <c r="N76" s="31" cm="1">
        <f t="array" ref="N76">SUM(IF((Produccion_mani[provincia_nombre]=N$29)*(Produccion_mani[campania]=A76),Produccion_mani[produccion_tm]))</f>
        <v>0</v>
      </c>
      <c r="O76" s="31" cm="1">
        <f t="array" ref="O76">SUM(IF((Produccion_mani[provincia_nombre]=O$29)*(Produccion_mani[campania]=A76),Produccion_mani[produccion_tm]))</f>
        <v>0</v>
      </c>
      <c r="P76" s="31" cm="1">
        <f t="array" ref="P76">SUM(IF((Produccion_mani[provincia_nombre]=P$29)*(Produccion_mani[campania]=A76),Produccion_mani[produccion_tm]))</f>
        <v>0</v>
      </c>
      <c r="Q76" s="31" cm="1">
        <f t="array" ref="Q76">SUM(IF((Produccion_mani[provincia_nombre]=Q$29)*(Produccion_mani[campania]=A76),Produccion_mani[produccion_tm]))</f>
        <v>0</v>
      </c>
      <c r="R76" s="31" cm="1">
        <f t="array" ref="R76">SUM(IF((Produccion_mani[provincia_nombre]=R$29)*(Produccion_mani[campania]=A76),Produccion_mani[produccion_tm]))</f>
        <v>0</v>
      </c>
      <c r="S76" s="31" cm="1">
        <f t="array" ref="S76">SUM(IF((Produccion_mani[provincia_nombre]=S$29)*(Produccion_mani[campania]=A76),Produccion_mani[produccion_tm]))</f>
        <v>0</v>
      </c>
    </row>
    <row r="77" spans="1:19" x14ac:dyDescent="0.25">
      <c r="A77" s="23" t="str">
        <v>1974/1975</v>
      </c>
      <c r="B77" s="31" cm="1">
        <f t="array" ref="B77">SUM(IF((Produccion_mani[provincia_nombre]=B$29)*(Produccion_mani[campania]=A77),Produccion_mani[produccion_tm]))</f>
        <v>0</v>
      </c>
      <c r="C77" s="31" cm="1">
        <f t="array" ref="C77">SUM(IF((Produccion_mani[provincia_nombre]=C$29)*(Produccion_mani[campania]=A77),Produccion_mani[produccion_tm]))</f>
        <v>372000</v>
      </c>
      <c r="D77" s="31" cm="1">
        <f t="array" ref="D77">SUM(IF((Produccion_mani[provincia_nombre]=D$29)*(Produccion_mani[campania]=A77),Produccion_mani[produccion_tm]))</f>
        <v>700</v>
      </c>
      <c r="E77" s="31" cm="1">
        <f t="array" ref="E77">SUM(IF((Produccion_mani[provincia_nombre]=E$29)*(Produccion_mani[campania]=A77),Produccion_mani[produccion_tm]))</f>
        <v>90</v>
      </c>
      <c r="F77" s="31" cm="1">
        <f t="array" ref="F77">SUM(IF((Produccion_mani[provincia_nombre]=F$29)*(Produccion_mani[campania]=A77),Produccion_mani[produccion_tm]))</f>
        <v>200</v>
      </c>
      <c r="G77" s="31" cm="1">
        <f t="array" ref="G77">SUM(IF((Produccion_mani[provincia_nombre]=G$29)*(Produccion_mani[campania]=A77),Produccion_mani[produccion_tm]))</f>
        <v>0</v>
      </c>
      <c r="H77" s="31" cm="1">
        <f t="array" ref="H77">SUM(IF((Produccion_mani[provincia_nombre]=H$29)*(Produccion_mani[campania]=A77),Produccion_mani[produccion_tm]))</f>
        <v>280</v>
      </c>
      <c r="I77" s="31" cm="1">
        <f t="array" ref="I77">SUM(IF((Produccion_mani[provincia_nombre]=I$29)*(Produccion_mani[campania]=A77),Produccion_mani[produccion_tm]))</f>
        <v>1800</v>
      </c>
      <c r="J77" s="31" cm="1">
        <f t="array" ref="J77">SUM(IF((Produccion_mani[provincia_nombre]=J$29)*(Produccion_mani[campania]=A77),Produccion_mani[produccion_tm]))</f>
        <v>0</v>
      </c>
      <c r="K77" s="31" cm="1">
        <f t="array" ref="K77">SUM(IF((Produccion_mani[provincia_nombre]=K$29)*(Produccion_mani[campania]=A77),Produccion_mani[produccion_tm]))</f>
        <v>0</v>
      </c>
      <c r="L77" s="31" cm="1">
        <f t="array" ref="L77">SUM(IF((Produccion_mani[provincia_nombre]=L$29)*(Produccion_mani[campania]=A77),Produccion_mani[produccion_tm]))</f>
        <v>0</v>
      </c>
      <c r="M77" s="31" cm="1">
        <f t="array" ref="M77">SUM(IF((Produccion_mani[provincia_nombre]=M$29)*(Produccion_mani[campania]=A77),Produccion_mani[produccion_tm]))</f>
        <v>130</v>
      </c>
      <c r="N77" s="31" cm="1">
        <f t="array" ref="N77">SUM(IF((Produccion_mani[provincia_nombre]=N$29)*(Produccion_mani[campania]=A77),Produccion_mani[produccion_tm]))</f>
        <v>0</v>
      </c>
      <c r="O77" s="31" cm="1">
        <f t="array" ref="O77">SUM(IF((Produccion_mani[provincia_nombre]=O$29)*(Produccion_mani[campania]=A77),Produccion_mani[produccion_tm]))</f>
        <v>0</v>
      </c>
      <c r="P77" s="31" cm="1">
        <f t="array" ref="P77">SUM(IF((Produccion_mani[provincia_nombre]=P$29)*(Produccion_mani[campania]=A77),Produccion_mani[produccion_tm]))</f>
        <v>0</v>
      </c>
      <c r="Q77" s="31" cm="1">
        <f t="array" ref="Q77">SUM(IF((Produccion_mani[provincia_nombre]=Q$29)*(Produccion_mani[campania]=A77),Produccion_mani[produccion_tm]))</f>
        <v>0</v>
      </c>
      <c r="R77" s="31" cm="1">
        <f t="array" ref="R77">SUM(IF((Produccion_mani[provincia_nombre]=R$29)*(Produccion_mani[campania]=A77),Produccion_mani[produccion_tm]))</f>
        <v>0</v>
      </c>
      <c r="S77" s="31" cm="1">
        <f t="array" ref="S77">SUM(IF((Produccion_mani[provincia_nombre]=S$29)*(Produccion_mani[campania]=A77),Produccion_mani[produccion_tm]))</f>
        <v>0</v>
      </c>
    </row>
    <row r="78" spans="1:19" x14ac:dyDescent="0.25">
      <c r="A78" s="23" t="str">
        <v>1975/1976</v>
      </c>
      <c r="B78" s="31" cm="1">
        <f t="array" ref="B78">SUM(IF((Produccion_mani[provincia_nombre]=B$29)*(Produccion_mani[campania]=A78),Produccion_mani[produccion_tm]))</f>
        <v>0</v>
      </c>
      <c r="C78" s="31" cm="1">
        <f t="array" ref="C78">SUM(IF((Produccion_mani[provincia_nombre]=C$29)*(Produccion_mani[campania]=A78),Produccion_mani[produccion_tm]))</f>
        <v>335700</v>
      </c>
      <c r="D78" s="31" cm="1">
        <f t="array" ref="D78">SUM(IF((Produccion_mani[provincia_nombre]=D$29)*(Produccion_mani[campania]=A78),Produccion_mani[produccion_tm]))</f>
        <v>470</v>
      </c>
      <c r="E78" s="31" cm="1">
        <f t="array" ref="E78">SUM(IF((Produccion_mani[provincia_nombre]=E$29)*(Produccion_mani[campania]=A78),Produccion_mani[produccion_tm]))</f>
        <v>75</v>
      </c>
      <c r="F78" s="31" cm="1">
        <f t="array" ref="F78">SUM(IF((Produccion_mani[provincia_nombre]=F$29)*(Produccion_mani[campania]=A78),Produccion_mani[produccion_tm]))</f>
        <v>22</v>
      </c>
      <c r="G78" s="31" cm="1">
        <f t="array" ref="G78">SUM(IF((Produccion_mani[provincia_nombre]=G$29)*(Produccion_mani[campania]=A78),Produccion_mani[produccion_tm]))</f>
        <v>0</v>
      </c>
      <c r="H78" s="31" cm="1">
        <f t="array" ref="H78">SUM(IF((Produccion_mani[provincia_nombre]=H$29)*(Produccion_mani[campania]=A78),Produccion_mani[produccion_tm]))</f>
        <v>213</v>
      </c>
      <c r="I78" s="31" cm="1">
        <f t="array" ref="I78">SUM(IF((Produccion_mani[provincia_nombre]=I$29)*(Produccion_mani[campania]=A78),Produccion_mani[produccion_tm]))</f>
        <v>1280</v>
      </c>
      <c r="J78" s="31" cm="1">
        <f t="array" ref="J78">SUM(IF((Produccion_mani[provincia_nombre]=J$29)*(Produccion_mani[campania]=A78),Produccion_mani[produccion_tm]))</f>
        <v>0</v>
      </c>
      <c r="K78" s="31" cm="1">
        <f t="array" ref="K78">SUM(IF((Produccion_mani[provincia_nombre]=K$29)*(Produccion_mani[campania]=A78),Produccion_mani[produccion_tm]))</f>
        <v>0</v>
      </c>
      <c r="L78" s="31" cm="1">
        <f t="array" ref="L78">SUM(IF((Produccion_mani[provincia_nombre]=L$29)*(Produccion_mani[campania]=A78),Produccion_mani[produccion_tm]))</f>
        <v>0</v>
      </c>
      <c r="M78" s="31" cm="1">
        <f t="array" ref="M78">SUM(IF((Produccion_mani[provincia_nombre]=M$29)*(Produccion_mani[campania]=A78),Produccion_mani[produccion_tm]))</f>
        <v>140</v>
      </c>
      <c r="N78" s="31" cm="1">
        <f t="array" ref="N78">SUM(IF((Produccion_mani[provincia_nombre]=N$29)*(Produccion_mani[campania]=A78),Produccion_mani[produccion_tm]))</f>
        <v>0</v>
      </c>
      <c r="O78" s="31" cm="1">
        <f t="array" ref="O78">SUM(IF((Produccion_mani[provincia_nombre]=O$29)*(Produccion_mani[campania]=A78),Produccion_mani[produccion_tm]))</f>
        <v>0</v>
      </c>
      <c r="P78" s="31" cm="1">
        <f t="array" ref="P78">SUM(IF((Produccion_mani[provincia_nombre]=P$29)*(Produccion_mani[campania]=A78),Produccion_mani[produccion_tm]))</f>
        <v>0</v>
      </c>
      <c r="Q78" s="31" cm="1">
        <f t="array" ref="Q78">SUM(IF((Produccion_mani[provincia_nombre]=Q$29)*(Produccion_mani[campania]=A78),Produccion_mani[produccion_tm]))</f>
        <v>0</v>
      </c>
      <c r="R78" s="31" cm="1">
        <f t="array" ref="R78">SUM(IF((Produccion_mani[provincia_nombre]=R$29)*(Produccion_mani[campania]=A78),Produccion_mani[produccion_tm]))</f>
        <v>0</v>
      </c>
      <c r="S78" s="31" cm="1">
        <f t="array" ref="S78">SUM(IF((Produccion_mani[provincia_nombre]=S$29)*(Produccion_mani[campania]=A78),Produccion_mani[produccion_tm]))</f>
        <v>0</v>
      </c>
    </row>
    <row r="79" spans="1:19" x14ac:dyDescent="0.25">
      <c r="A79" s="23" t="str">
        <v>1976/1977</v>
      </c>
      <c r="B79" s="31" cm="1">
        <f t="array" ref="B79">SUM(IF((Produccion_mani[provincia_nombre]=B$29)*(Produccion_mani[campania]=A79),Produccion_mani[produccion_tm]))</f>
        <v>0</v>
      </c>
      <c r="C79" s="31" cm="1">
        <f t="array" ref="C79">SUM(IF((Produccion_mani[provincia_nombre]=C$29)*(Produccion_mani[campania]=A79),Produccion_mani[produccion_tm]))</f>
        <v>598000</v>
      </c>
      <c r="D79" s="31" cm="1">
        <f t="array" ref="D79">SUM(IF((Produccion_mani[provincia_nombre]=D$29)*(Produccion_mani[campania]=A79),Produccion_mani[produccion_tm]))</f>
        <v>450</v>
      </c>
      <c r="E79" s="31" cm="1">
        <f t="array" ref="E79">SUM(IF((Produccion_mani[provincia_nombre]=E$29)*(Produccion_mani[campania]=A79),Produccion_mani[produccion_tm]))</f>
        <v>100</v>
      </c>
      <c r="F79" s="31" cm="1">
        <f t="array" ref="F79">SUM(IF((Produccion_mani[provincia_nombre]=F$29)*(Produccion_mani[campania]=A79),Produccion_mani[produccion_tm]))</f>
        <v>0</v>
      </c>
      <c r="G79" s="31" cm="1">
        <f t="array" ref="G79">SUM(IF((Produccion_mani[provincia_nombre]=G$29)*(Produccion_mani[campania]=A79),Produccion_mani[produccion_tm]))</f>
        <v>0</v>
      </c>
      <c r="H79" s="31" cm="1">
        <f t="array" ref="H79">SUM(IF((Produccion_mani[provincia_nombre]=H$29)*(Produccion_mani[campania]=A79),Produccion_mani[produccion_tm]))</f>
        <v>210</v>
      </c>
      <c r="I79" s="31" cm="1">
        <f t="array" ref="I79">SUM(IF((Produccion_mani[provincia_nombre]=I$29)*(Produccion_mani[campania]=A79),Produccion_mani[produccion_tm]))</f>
        <v>700</v>
      </c>
      <c r="J79" s="31" cm="1">
        <f t="array" ref="J79">SUM(IF((Produccion_mani[provincia_nombre]=J$29)*(Produccion_mani[campania]=A79),Produccion_mani[produccion_tm]))</f>
        <v>0</v>
      </c>
      <c r="K79" s="31" cm="1">
        <f t="array" ref="K79">SUM(IF((Produccion_mani[provincia_nombre]=K$29)*(Produccion_mani[campania]=A79),Produccion_mani[produccion_tm]))</f>
        <v>110</v>
      </c>
      <c r="L79" s="31" cm="1">
        <f t="array" ref="L79">SUM(IF((Produccion_mani[provincia_nombre]=L$29)*(Produccion_mani[campania]=A79),Produccion_mani[produccion_tm]))</f>
        <v>0</v>
      </c>
      <c r="M79" s="31" cm="1">
        <f t="array" ref="M79">SUM(IF((Produccion_mani[provincia_nombre]=M$29)*(Produccion_mani[campania]=A79),Produccion_mani[produccion_tm]))</f>
        <v>260</v>
      </c>
      <c r="N79" s="31" cm="1">
        <f t="array" ref="N79">SUM(IF((Produccion_mani[provincia_nombre]=N$29)*(Produccion_mani[campania]=A79),Produccion_mani[produccion_tm]))</f>
        <v>0</v>
      </c>
      <c r="O79" s="31" cm="1">
        <f t="array" ref="O79">SUM(IF((Produccion_mani[provincia_nombre]=O$29)*(Produccion_mani[campania]=A79),Produccion_mani[produccion_tm]))</f>
        <v>0</v>
      </c>
      <c r="P79" s="31" cm="1">
        <f t="array" ref="P79">SUM(IF((Produccion_mani[provincia_nombre]=P$29)*(Produccion_mani[campania]=A79),Produccion_mani[produccion_tm]))</f>
        <v>170</v>
      </c>
      <c r="Q79" s="31" cm="1">
        <f t="array" ref="Q79">SUM(IF((Produccion_mani[provincia_nombre]=Q$29)*(Produccion_mani[campania]=A79),Produccion_mani[produccion_tm]))</f>
        <v>0</v>
      </c>
      <c r="R79" s="31" cm="1">
        <f t="array" ref="R79">SUM(IF((Produccion_mani[provincia_nombre]=R$29)*(Produccion_mani[campania]=A79),Produccion_mani[produccion_tm]))</f>
        <v>0</v>
      </c>
      <c r="S79" s="31" cm="1">
        <f t="array" ref="S79">SUM(IF((Produccion_mani[provincia_nombre]=S$29)*(Produccion_mani[campania]=A79),Produccion_mani[produccion_tm]))</f>
        <v>0</v>
      </c>
    </row>
    <row r="80" spans="1:19" x14ac:dyDescent="0.25">
      <c r="A80" s="23" t="str">
        <v>1977/1978</v>
      </c>
      <c r="B80" s="31" cm="1">
        <f t="array" ref="B80">SUM(IF((Produccion_mani[provincia_nombre]=B$29)*(Produccion_mani[campania]=A80),Produccion_mani[produccion_tm]))</f>
        <v>0</v>
      </c>
      <c r="C80" s="31" cm="1">
        <f t="array" ref="C80">SUM(IF((Produccion_mani[provincia_nombre]=C$29)*(Produccion_mani[campania]=A80),Produccion_mani[produccion_tm]))</f>
        <v>258000</v>
      </c>
      <c r="D80" s="31" cm="1">
        <f t="array" ref="D80">SUM(IF((Produccion_mani[provincia_nombre]=D$29)*(Produccion_mani[campania]=A80),Produccion_mani[produccion_tm]))</f>
        <v>560</v>
      </c>
      <c r="E80" s="31" cm="1">
        <f t="array" ref="E80">SUM(IF((Produccion_mani[provincia_nombre]=E$29)*(Produccion_mani[campania]=A80),Produccion_mani[produccion_tm]))</f>
        <v>60</v>
      </c>
      <c r="F80" s="31" cm="1">
        <f t="array" ref="F80">SUM(IF((Produccion_mani[provincia_nombre]=F$29)*(Produccion_mani[campania]=A80),Produccion_mani[produccion_tm]))</f>
        <v>0</v>
      </c>
      <c r="G80" s="31" cm="1">
        <f t="array" ref="G80">SUM(IF((Produccion_mani[provincia_nombre]=G$29)*(Produccion_mani[campania]=A80),Produccion_mani[produccion_tm]))</f>
        <v>0</v>
      </c>
      <c r="H80" s="31" cm="1">
        <f t="array" ref="H80">SUM(IF((Produccion_mani[provincia_nombre]=H$29)*(Produccion_mani[campania]=A80),Produccion_mani[produccion_tm]))</f>
        <v>30</v>
      </c>
      <c r="I80" s="31" cm="1">
        <f t="array" ref="I80">SUM(IF((Produccion_mani[provincia_nombre]=I$29)*(Produccion_mani[campania]=A80),Produccion_mani[produccion_tm]))</f>
        <v>280</v>
      </c>
      <c r="J80" s="31" cm="1">
        <f t="array" ref="J80">SUM(IF((Produccion_mani[provincia_nombre]=J$29)*(Produccion_mani[campania]=A80),Produccion_mani[produccion_tm]))</f>
        <v>0</v>
      </c>
      <c r="K80" s="31" cm="1">
        <f t="array" ref="K80">SUM(IF((Produccion_mani[provincia_nombre]=K$29)*(Produccion_mani[campania]=A80),Produccion_mani[produccion_tm]))</f>
        <v>0</v>
      </c>
      <c r="L80" s="31" cm="1">
        <f t="array" ref="L80">SUM(IF((Produccion_mani[provincia_nombre]=L$29)*(Produccion_mani[campania]=A80),Produccion_mani[produccion_tm]))</f>
        <v>0</v>
      </c>
      <c r="M80" s="31" cm="1">
        <f t="array" ref="M80">SUM(IF((Produccion_mani[provincia_nombre]=M$29)*(Produccion_mani[campania]=A80),Produccion_mani[produccion_tm]))</f>
        <v>200</v>
      </c>
      <c r="N80" s="31" cm="1">
        <f t="array" ref="N80">SUM(IF((Produccion_mani[provincia_nombre]=N$29)*(Produccion_mani[campania]=A80),Produccion_mani[produccion_tm]))</f>
        <v>0</v>
      </c>
      <c r="O80" s="31" cm="1">
        <f t="array" ref="O80">SUM(IF((Produccion_mani[provincia_nombre]=O$29)*(Produccion_mani[campania]=A80),Produccion_mani[produccion_tm]))</f>
        <v>700</v>
      </c>
      <c r="P80" s="31" cm="1">
        <f t="array" ref="P80">SUM(IF((Produccion_mani[provincia_nombre]=P$29)*(Produccion_mani[campania]=A80),Produccion_mani[produccion_tm]))</f>
        <v>170</v>
      </c>
      <c r="Q80" s="31" cm="1">
        <f t="array" ref="Q80">SUM(IF((Produccion_mani[provincia_nombre]=Q$29)*(Produccion_mani[campania]=A80),Produccion_mani[produccion_tm]))</f>
        <v>0</v>
      </c>
      <c r="R80" s="31" cm="1">
        <f t="array" ref="R80">SUM(IF((Produccion_mani[provincia_nombre]=R$29)*(Produccion_mani[campania]=A80),Produccion_mani[produccion_tm]))</f>
        <v>0</v>
      </c>
      <c r="S80" s="31" cm="1">
        <f t="array" ref="S80">SUM(IF((Produccion_mani[provincia_nombre]=S$29)*(Produccion_mani[campania]=A80),Produccion_mani[produccion_tm]))</f>
        <v>0</v>
      </c>
    </row>
    <row r="81" spans="1:19" x14ac:dyDescent="0.25">
      <c r="A81" s="23" t="str">
        <v>1978/1979</v>
      </c>
      <c r="B81" s="31" cm="1">
        <f t="array" ref="B81">SUM(IF((Produccion_mani[provincia_nombre]=B$29)*(Produccion_mani[campania]=A81),Produccion_mani[produccion_tm]))</f>
        <v>400</v>
      </c>
      <c r="C81" s="31" cm="1">
        <f t="array" ref="C81">SUM(IF((Produccion_mani[provincia_nombre]=C$29)*(Produccion_mani[campania]=A81),Produccion_mani[produccion_tm]))</f>
        <v>460500</v>
      </c>
      <c r="D81" s="31" cm="1">
        <f t="array" ref="D81">SUM(IF((Produccion_mani[provincia_nombre]=D$29)*(Produccion_mani[campania]=A81),Produccion_mani[produccion_tm]))</f>
        <v>360</v>
      </c>
      <c r="E81" s="31" cm="1">
        <f t="array" ref="E81">SUM(IF((Produccion_mani[provincia_nombre]=E$29)*(Produccion_mani[campania]=A81),Produccion_mani[produccion_tm]))</f>
        <v>25</v>
      </c>
      <c r="F81" s="31" cm="1">
        <f t="array" ref="F81">SUM(IF((Produccion_mani[provincia_nombre]=F$29)*(Produccion_mani[campania]=A81),Produccion_mani[produccion_tm]))</f>
        <v>100</v>
      </c>
      <c r="G81" s="31" cm="1">
        <f t="array" ref="G81">SUM(IF((Produccion_mani[provincia_nombre]=G$29)*(Produccion_mani[campania]=A81),Produccion_mani[produccion_tm]))</f>
        <v>120</v>
      </c>
      <c r="H81" s="31" cm="1">
        <f t="array" ref="H81">SUM(IF((Produccion_mani[provincia_nombre]=H$29)*(Produccion_mani[campania]=A81),Produccion_mani[produccion_tm]))</f>
        <v>25</v>
      </c>
      <c r="I81" s="31" cm="1">
        <f t="array" ref="I81">SUM(IF((Produccion_mani[provincia_nombre]=I$29)*(Produccion_mani[campania]=A81),Produccion_mani[produccion_tm]))</f>
        <v>440</v>
      </c>
      <c r="J81" s="31" cm="1">
        <f t="array" ref="J81">SUM(IF((Produccion_mani[provincia_nombre]=J$29)*(Produccion_mani[campania]=A81),Produccion_mani[produccion_tm]))</f>
        <v>0</v>
      </c>
      <c r="K81" s="31" cm="1">
        <f t="array" ref="K81">SUM(IF((Produccion_mani[provincia_nombre]=K$29)*(Produccion_mani[campania]=A81),Produccion_mani[produccion_tm]))</f>
        <v>0</v>
      </c>
      <c r="L81" s="31" cm="1">
        <f t="array" ref="L81">SUM(IF((Produccion_mani[provincia_nombre]=L$29)*(Produccion_mani[campania]=A81),Produccion_mani[produccion_tm]))</f>
        <v>0</v>
      </c>
      <c r="M81" s="31" cm="1">
        <f t="array" ref="M81">SUM(IF((Produccion_mani[provincia_nombre]=M$29)*(Produccion_mani[campania]=A81),Produccion_mani[produccion_tm]))</f>
        <v>6200</v>
      </c>
      <c r="N81" s="31" cm="1">
        <f t="array" ref="N81">SUM(IF((Produccion_mani[provincia_nombre]=N$29)*(Produccion_mani[campania]=A81),Produccion_mani[produccion_tm]))</f>
        <v>0</v>
      </c>
      <c r="O81" s="31" cm="1">
        <f t="array" ref="O81">SUM(IF((Produccion_mani[provincia_nombre]=O$29)*(Produccion_mani[campania]=A81),Produccion_mani[produccion_tm]))</f>
        <v>1700</v>
      </c>
      <c r="P81" s="31" cm="1">
        <f t="array" ref="P81">SUM(IF((Produccion_mani[provincia_nombre]=P$29)*(Produccion_mani[campania]=A81),Produccion_mani[produccion_tm]))</f>
        <v>130</v>
      </c>
      <c r="Q81" s="31" cm="1">
        <f t="array" ref="Q81">SUM(IF((Produccion_mani[provincia_nombre]=Q$29)*(Produccion_mani[campania]=A81),Produccion_mani[produccion_tm]))</f>
        <v>0</v>
      </c>
      <c r="R81" s="31" cm="1">
        <f t="array" ref="R81">SUM(IF((Produccion_mani[provincia_nombre]=R$29)*(Produccion_mani[campania]=A81),Produccion_mani[produccion_tm]))</f>
        <v>0</v>
      </c>
      <c r="S81" s="31" cm="1">
        <f t="array" ref="S81">SUM(IF((Produccion_mani[provincia_nombre]=S$29)*(Produccion_mani[campania]=A81),Produccion_mani[produccion_tm]))</f>
        <v>0</v>
      </c>
    </row>
    <row r="82" spans="1:19" x14ac:dyDescent="0.25">
      <c r="A82" s="23" t="str">
        <v>1979/1980</v>
      </c>
      <c r="B82" s="31" cm="1">
        <f t="array" ref="B82">SUM(IF((Produccion_mani[provincia_nombre]=B$29)*(Produccion_mani[campania]=A82),Produccion_mani[produccion_tm]))</f>
        <v>790</v>
      </c>
      <c r="C82" s="31" cm="1">
        <f t="array" ref="C82">SUM(IF((Produccion_mani[provincia_nombre]=C$29)*(Produccion_mani[campania]=A82),Produccion_mani[produccion_tm]))</f>
        <v>203000</v>
      </c>
      <c r="D82" s="31" cm="1">
        <f t="array" ref="D82">SUM(IF((Produccion_mani[provincia_nombre]=D$29)*(Produccion_mani[campania]=A82),Produccion_mani[produccion_tm]))</f>
        <v>210</v>
      </c>
      <c r="E82" s="31" cm="1">
        <f t="array" ref="E82">SUM(IF((Produccion_mani[provincia_nombre]=E$29)*(Produccion_mani[campania]=A82),Produccion_mani[produccion_tm]))</f>
        <v>15</v>
      </c>
      <c r="F82" s="31" cm="1">
        <f t="array" ref="F82">SUM(IF((Produccion_mani[provincia_nombre]=F$29)*(Produccion_mani[campania]=A82),Produccion_mani[produccion_tm]))</f>
        <v>450</v>
      </c>
      <c r="G82" s="31" cm="1">
        <f t="array" ref="G82">SUM(IF((Produccion_mani[provincia_nombre]=G$29)*(Produccion_mani[campania]=A82),Produccion_mani[produccion_tm]))</f>
        <v>15</v>
      </c>
      <c r="H82" s="31" cm="1">
        <f t="array" ref="H82">SUM(IF((Produccion_mani[provincia_nombre]=H$29)*(Produccion_mani[campania]=A82),Produccion_mani[produccion_tm]))</f>
        <v>40</v>
      </c>
      <c r="I82" s="31" cm="1">
        <f t="array" ref="I82">SUM(IF((Produccion_mani[provincia_nombre]=I$29)*(Produccion_mani[campania]=A82),Produccion_mani[produccion_tm]))</f>
        <v>400</v>
      </c>
      <c r="J82" s="31" cm="1">
        <f t="array" ref="J82">SUM(IF((Produccion_mani[provincia_nombre]=J$29)*(Produccion_mani[campania]=A82),Produccion_mani[produccion_tm]))</f>
        <v>0</v>
      </c>
      <c r="K82" s="31" cm="1">
        <f t="array" ref="K82">SUM(IF((Produccion_mani[provincia_nombre]=K$29)*(Produccion_mani[campania]=A82),Produccion_mani[produccion_tm]))</f>
        <v>0</v>
      </c>
      <c r="L82" s="31" cm="1">
        <f t="array" ref="L82">SUM(IF((Produccion_mani[provincia_nombre]=L$29)*(Produccion_mani[campania]=A82),Produccion_mani[produccion_tm]))</f>
        <v>280</v>
      </c>
      <c r="M82" s="31" cm="1">
        <f t="array" ref="M82">SUM(IF((Produccion_mani[provincia_nombre]=M$29)*(Produccion_mani[campania]=A82),Produccion_mani[produccion_tm]))</f>
        <v>600</v>
      </c>
      <c r="N82" s="31" cm="1">
        <f t="array" ref="N82">SUM(IF((Produccion_mani[provincia_nombre]=N$29)*(Produccion_mani[campania]=A82),Produccion_mani[produccion_tm]))</f>
        <v>0</v>
      </c>
      <c r="O82" s="31" cm="1">
        <f t="array" ref="O82">SUM(IF((Produccion_mani[provincia_nombre]=O$29)*(Produccion_mani[campania]=A82),Produccion_mani[produccion_tm]))</f>
        <v>80</v>
      </c>
      <c r="P82" s="31" cm="1">
        <f t="array" ref="P82">SUM(IF((Produccion_mani[provincia_nombre]=P$29)*(Produccion_mani[campania]=A82),Produccion_mani[produccion_tm]))</f>
        <v>120</v>
      </c>
      <c r="Q82" s="31" cm="1">
        <f t="array" ref="Q82">SUM(IF((Produccion_mani[provincia_nombre]=Q$29)*(Produccion_mani[campania]=A82),Produccion_mani[produccion_tm]))</f>
        <v>0</v>
      </c>
      <c r="R82" s="31" cm="1">
        <f t="array" ref="R82">SUM(IF((Produccion_mani[provincia_nombre]=R$29)*(Produccion_mani[campania]=A82),Produccion_mani[produccion_tm]))</f>
        <v>0</v>
      </c>
      <c r="S82" s="31" cm="1">
        <f t="array" ref="S82">SUM(IF((Produccion_mani[provincia_nombre]=S$29)*(Produccion_mani[campania]=A82),Produccion_mani[produccion_tm]))</f>
        <v>0</v>
      </c>
    </row>
    <row r="83" spans="1:19" x14ac:dyDescent="0.25">
      <c r="A83" s="23" t="str">
        <v>1980/1981</v>
      </c>
      <c r="B83" s="31" cm="1">
        <f t="array" ref="B83">SUM(IF((Produccion_mani[provincia_nombre]=B$29)*(Produccion_mani[campania]=A83),Produccion_mani[produccion_tm]))</f>
        <v>0</v>
      </c>
      <c r="C83" s="31" cm="1">
        <f t="array" ref="C83">SUM(IF((Produccion_mani[provincia_nombre]=C$29)*(Produccion_mani[campania]=A83),Produccion_mani[produccion_tm]))</f>
        <v>169500</v>
      </c>
      <c r="D83" s="31" cm="1">
        <f t="array" ref="D83">SUM(IF((Produccion_mani[provincia_nombre]=D$29)*(Produccion_mani[campania]=A83),Produccion_mani[produccion_tm]))</f>
        <v>188</v>
      </c>
      <c r="E83" s="31" cm="1">
        <f t="array" ref="E83">SUM(IF((Produccion_mani[provincia_nombre]=E$29)*(Produccion_mani[campania]=A83),Produccion_mani[produccion_tm]))</f>
        <v>12</v>
      </c>
      <c r="F83" s="31" cm="1">
        <f t="array" ref="F83">SUM(IF((Produccion_mani[provincia_nombre]=F$29)*(Produccion_mani[campania]=A83),Produccion_mani[produccion_tm]))</f>
        <v>0</v>
      </c>
      <c r="G83" s="31" cm="1">
        <f t="array" ref="G83">SUM(IF((Produccion_mani[provincia_nombre]=G$29)*(Produccion_mani[campania]=A83),Produccion_mani[produccion_tm]))</f>
        <v>0</v>
      </c>
      <c r="H83" s="31" cm="1">
        <f t="array" ref="H83">SUM(IF((Produccion_mani[provincia_nombre]=H$29)*(Produccion_mani[campania]=A83),Produccion_mani[produccion_tm]))</f>
        <v>50</v>
      </c>
      <c r="I83" s="31" cm="1">
        <f t="array" ref="I83">SUM(IF((Produccion_mani[provincia_nombre]=I$29)*(Produccion_mani[campania]=A83),Produccion_mani[produccion_tm]))</f>
        <v>220</v>
      </c>
      <c r="J83" s="31" cm="1">
        <f t="array" ref="J83">SUM(IF((Produccion_mani[provincia_nombre]=J$29)*(Produccion_mani[campania]=A83),Produccion_mani[produccion_tm]))</f>
        <v>0</v>
      </c>
      <c r="K83" s="31" cm="1">
        <f t="array" ref="K83">SUM(IF((Produccion_mani[provincia_nombre]=K$29)*(Produccion_mani[campania]=A83),Produccion_mani[produccion_tm]))</f>
        <v>0</v>
      </c>
      <c r="L83" s="31" cm="1">
        <f t="array" ref="L83">SUM(IF((Produccion_mani[provincia_nombre]=L$29)*(Produccion_mani[campania]=A83),Produccion_mani[produccion_tm]))</f>
        <v>0</v>
      </c>
      <c r="M83" s="31" cm="1">
        <f t="array" ref="M83">SUM(IF((Produccion_mani[provincia_nombre]=M$29)*(Produccion_mani[campania]=A83),Produccion_mani[produccion_tm]))</f>
        <v>30</v>
      </c>
      <c r="N83" s="31" cm="1">
        <f t="array" ref="N83">SUM(IF((Produccion_mani[provincia_nombre]=N$29)*(Produccion_mani[campania]=A83),Produccion_mani[produccion_tm]))</f>
        <v>0</v>
      </c>
      <c r="O83" s="31" cm="1">
        <f t="array" ref="O83">SUM(IF((Produccion_mani[provincia_nombre]=O$29)*(Produccion_mani[campania]=A83),Produccion_mani[produccion_tm]))</f>
        <v>0</v>
      </c>
      <c r="P83" s="31" cm="1">
        <f t="array" ref="P83">SUM(IF((Produccion_mani[provincia_nombre]=P$29)*(Produccion_mani[campania]=A83),Produccion_mani[produccion_tm]))</f>
        <v>0</v>
      </c>
      <c r="Q83" s="31" cm="1">
        <f t="array" ref="Q83">SUM(IF((Produccion_mani[provincia_nombre]=Q$29)*(Produccion_mani[campania]=A83),Produccion_mani[produccion_tm]))</f>
        <v>0</v>
      </c>
      <c r="R83" s="31" cm="1">
        <f t="array" ref="R83">SUM(IF((Produccion_mani[provincia_nombre]=R$29)*(Produccion_mani[campania]=A83),Produccion_mani[produccion_tm]))</f>
        <v>0</v>
      </c>
      <c r="S83" s="31" cm="1">
        <f t="array" ref="S83">SUM(IF((Produccion_mani[provincia_nombre]=S$29)*(Produccion_mani[campania]=A83),Produccion_mani[produccion_tm]))</f>
        <v>0</v>
      </c>
    </row>
    <row r="84" spans="1:19" x14ac:dyDescent="0.25">
      <c r="A84" s="23" t="str">
        <v>1981/1982</v>
      </c>
      <c r="B84" s="31" cm="1">
        <f t="array" ref="B84">SUM(IF((Produccion_mani[provincia_nombre]=B$29)*(Produccion_mani[campania]=A84),Produccion_mani[produccion_tm]))</f>
        <v>200</v>
      </c>
      <c r="C84" s="31" cm="1">
        <f t="array" ref="C84">SUM(IF((Produccion_mani[provincia_nombre]=C$29)*(Produccion_mani[campania]=A84),Produccion_mani[produccion_tm]))</f>
        <v>204200</v>
      </c>
      <c r="D84" s="31" cm="1">
        <f t="array" ref="D84">SUM(IF((Produccion_mani[provincia_nombre]=D$29)*(Produccion_mani[campania]=A84),Produccion_mani[produccion_tm]))</f>
        <v>260</v>
      </c>
      <c r="E84" s="31" cm="1">
        <f t="array" ref="E84">SUM(IF((Produccion_mani[provincia_nombre]=E$29)*(Produccion_mani[campania]=A84),Produccion_mani[produccion_tm]))</f>
        <v>0</v>
      </c>
      <c r="F84" s="31" cm="1">
        <f t="array" ref="F84">SUM(IF((Produccion_mani[provincia_nombre]=F$29)*(Produccion_mani[campania]=A84),Produccion_mani[produccion_tm]))</f>
        <v>100</v>
      </c>
      <c r="G84" s="31" cm="1">
        <f t="array" ref="G84">SUM(IF((Produccion_mani[provincia_nombre]=G$29)*(Produccion_mani[campania]=A84),Produccion_mani[produccion_tm]))</f>
        <v>0</v>
      </c>
      <c r="H84" s="31" cm="1">
        <f t="array" ref="H84">SUM(IF((Produccion_mani[provincia_nombre]=H$29)*(Produccion_mani[campania]=A84),Produccion_mani[produccion_tm]))</f>
        <v>80</v>
      </c>
      <c r="I84" s="31" cm="1">
        <f t="array" ref="I84">SUM(IF((Produccion_mani[provincia_nombre]=I$29)*(Produccion_mani[campania]=A84),Produccion_mani[produccion_tm]))</f>
        <v>130</v>
      </c>
      <c r="J84" s="31" cm="1">
        <f t="array" ref="J84">SUM(IF((Produccion_mani[provincia_nombre]=J$29)*(Produccion_mani[campania]=A84),Produccion_mani[produccion_tm]))</f>
        <v>0</v>
      </c>
      <c r="K84" s="31" cm="1">
        <f t="array" ref="K84">SUM(IF((Produccion_mani[provincia_nombre]=K$29)*(Produccion_mani[campania]=A84),Produccion_mani[produccion_tm]))</f>
        <v>0</v>
      </c>
      <c r="L84" s="31" cm="1">
        <f t="array" ref="L84">SUM(IF((Produccion_mani[provincia_nombre]=L$29)*(Produccion_mani[campania]=A84),Produccion_mani[produccion_tm]))</f>
        <v>0</v>
      </c>
      <c r="M84" s="31" cm="1">
        <f t="array" ref="M84">SUM(IF((Produccion_mani[provincia_nombre]=M$29)*(Produccion_mani[campania]=A84),Produccion_mani[produccion_tm]))</f>
        <v>30</v>
      </c>
      <c r="N84" s="31" cm="1">
        <f t="array" ref="N84">SUM(IF((Produccion_mani[provincia_nombre]=N$29)*(Produccion_mani[campania]=A84),Produccion_mani[produccion_tm]))</f>
        <v>0</v>
      </c>
      <c r="O84" s="31" cm="1">
        <f t="array" ref="O84">SUM(IF((Produccion_mani[provincia_nombre]=O$29)*(Produccion_mani[campania]=A84),Produccion_mani[produccion_tm]))</f>
        <v>0</v>
      </c>
      <c r="P84" s="31" cm="1">
        <f t="array" ref="P84">SUM(IF((Produccion_mani[provincia_nombre]=P$29)*(Produccion_mani[campania]=A84),Produccion_mani[produccion_tm]))</f>
        <v>0</v>
      </c>
      <c r="Q84" s="31" cm="1">
        <f t="array" ref="Q84">SUM(IF((Produccion_mani[provincia_nombre]=Q$29)*(Produccion_mani[campania]=A84),Produccion_mani[produccion_tm]))</f>
        <v>0</v>
      </c>
      <c r="R84" s="31" cm="1">
        <f t="array" ref="R84">SUM(IF((Produccion_mani[provincia_nombre]=R$29)*(Produccion_mani[campania]=A84),Produccion_mani[produccion_tm]))</f>
        <v>0</v>
      </c>
      <c r="S84" s="31" cm="1">
        <f t="array" ref="S84">SUM(IF((Produccion_mani[provincia_nombre]=S$29)*(Produccion_mani[campania]=A84),Produccion_mani[produccion_tm]))</f>
        <v>0</v>
      </c>
    </row>
    <row r="85" spans="1:19" x14ac:dyDescent="0.25">
      <c r="A85" s="23" t="str">
        <v>1982/1983</v>
      </c>
      <c r="B85" s="31" cm="1">
        <f t="array" ref="B85">SUM(IF((Produccion_mani[provincia_nombre]=B$29)*(Produccion_mani[campania]=A85),Produccion_mani[produccion_tm]))</f>
        <v>0</v>
      </c>
      <c r="C85" s="31" cm="1">
        <f t="array" ref="C85">SUM(IF((Produccion_mani[provincia_nombre]=C$29)*(Produccion_mani[campania]=A85),Produccion_mani[produccion_tm]))</f>
        <v>164700</v>
      </c>
      <c r="D85" s="31" cm="1">
        <f t="array" ref="D85">SUM(IF((Produccion_mani[provincia_nombre]=D$29)*(Produccion_mani[campania]=A85),Produccion_mani[produccion_tm]))</f>
        <v>103</v>
      </c>
      <c r="E85" s="31" cm="1">
        <f t="array" ref="E85">SUM(IF((Produccion_mani[provincia_nombre]=E$29)*(Produccion_mani[campania]=A85),Produccion_mani[produccion_tm]))</f>
        <v>0</v>
      </c>
      <c r="F85" s="31" cm="1">
        <f t="array" ref="F85">SUM(IF((Produccion_mani[provincia_nombre]=F$29)*(Produccion_mani[campania]=A85),Produccion_mani[produccion_tm]))</f>
        <v>7</v>
      </c>
      <c r="G85" s="31" cm="1">
        <f t="array" ref="G85">SUM(IF((Produccion_mani[provincia_nombre]=G$29)*(Produccion_mani[campania]=A85),Produccion_mani[produccion_tm]))</f>
        <v>0</v>
      </c>
      <c r="H85" s="31" cm="1">
        <f t="array" ref="H85">SUM(IF((Produccion_mani[provincia_nombre]=H$29)*(Produccion_mani[campania]=A85),Produccion_mani[produccion_tm]))</f>
        <v>90</v>
      </c>
      <c r="I85" s="31" cm="1">
        <f t="array" ref="I85">SUM(IF((Produccion_mani[provincia_nombre]=I$29)*(Produccion_mani[campania]=A85),Produccion_mani[produccion_tm]))</f>
        <v>100</v>
      </c>
      <c r="J85" s="31" cm="1">
        <f t="array" ref="J85">SUM(IF((Produccion_mani[provincia_nombre]=J$29)*(Produccion_mani[campania]=A85),Produccion_mani[produccion_tm]))</f>
        <v>0</v>
      </c>
      <c r="K85" s="31" cm="1">
        <f t="array" ref="K85">SUM(IF((Produccion_mani[provincia_nombre]=K$29)*(Produccion_mani[campania]=A85),Produccion_mani[produccion_tm]))</f>
        <v>0</v>
      </c>
      <c r="L85" s="31" cm="1">
        <f t="array" ref="L85">SUM(IF((Produccion_mani[provincia_nombre]=L$29)*(Produccion_mani[campania]=A85),Produccion_mani[produccion_tm]))</f>
        <v>0</v>
      </c>
      <c r="M85" s="31" cm="1">
        <f t="array" ref="M85">SUM(IF((Produccion_mani[provincia_nombre]=M$29)*(Produccion_mani[campania]=A85),Produccion_mani[produccion_tm]))</f>
        <v>0</v>
      </c>
      <c r="N85" s="31" cm="1">
        <f t="array" ref="N85">SUM(IF((Produccion_mani[provincia_nombre]=N$29)*(Produccion_mani[campania]=A85),Produccion_mani[produccion_tm]))</f>
        <v>0</v>
      </c>
      <c r="O85" s="31" cm="1">
        <f t="array" ref="O85">SUM(IF((Produccion_mani[provincia_nombre]=O$29)*(Produccion_mani[campania]=A85),Produccion_mani[produccion_tm]))</f>
        <v>0</v>
      </c>
      <c r="P85" s="31" cm="1">
        <f t="array" ref="P85">SUM(IF((Produccion_mani[provincia_nombre]=P$29)*(Produccion_mani[campania]=A85),Produccion_mani[produccion_tm]))</f>
        <v>0</v>
      </c>
      <c r="Q85" s="31" cm="1">
        <f t="array" ref="Q85">SUM(IF((Produccion_mani[provincia_nombre]=Q$29)*(Produccion_mani[campania]=A85),Produccion_mani[produccion_tm]))</f>
        <v>0</v>
      </c>
      <c r="R85" s="31" cm="1">
        <f t="array" ref="R85">SUM(IF((Produccion_mani[provincia_nombre]=R$29)*(Produccion_mani[campania]=A85),Produccion_mani[produccion_tm]))</f>
        <v>0</v>
      </c>
      <c r="S85" s="31" cm="1">
        <f t="array" ref="S85">SUM(IF((Produccion_mani[provincia_nombre]=S$29)*(Produccion_mani[campania]=A85),Produccion_mani[produccion_tm]))</f>
        <v>0</v>
      </c>
    </row>
    <row r="86" spans="1:19" x14ac:dyDescent="0.25">
      <c r="A86" s="23" t="str">
        <v>1983/1984</v>
      </c>
      <c r="B86" s="31" cm="1">
        <f t="array" ref="B86">SUM(IF((Produccion_mani[provincia_nombre]=B$29)*(Produccion_mani[campania]=A86),Produccion_mani[produccion_tm]))</f>
        <v>0</v>
      </c>
      <c r="C86" s="31" cm="1">
        <f t="array" ref="C86">SUM(IF((Produccion_mani[provincia_nombre]=C$29)*(Produccion_mani[campania]=A86),Produccion_mani[produccion_tm]))</f>
        <v>234500</v>
      </c>
      <c r="D86" s="31" cm="1">
        <f t="array" ref="D86">SUM(IF((Produccion_mani[provincia_nombre]=D$29)*(Produccion_mani[campania]=A86),Produccion_mani[produccion_tm]))</f>
        <v>180</v>
      </c>
      <c r="E86" s="31" cm="1">
        <f t="array" ref="E86">SUM(IF((Produccion_mani[provincia_nombre]=E$29)*(Produccion_mani[campania]=A86),Produccion_mani[produccion_tm]))</f>
        <v>0</v>
      </c>
      <c r="F86" s="31" cm="1">
        <f t="array" ref="F86">SUM(IF((Produccion_mani[provincia_nombre]=F$29)*(Produccion_mani[campania]=A86),Produccion_mani[produccion_tm]))</f>
        <v>28</v>
      </c>
      <c r="G86" s="31" cm="1">
        <f t="array" ref="G86">SUM(IF((Produccion_mani[provincia_nombre]=G$29)*(Produccion_mani[campania]=A86),Produccion_mani[produccion_tm]))</f>
        <v>0</v>
      </c>
      <c r="H86" s="31" cm="1">
        <f t="array" ref="H86">SUM(IF((Produccion_mani[provincia_nombre]=H$29)*(Produccion_mani[campania]=A86),Produccion_mani[produccion_tm]))</f>
        <v>128</v>
      </c>
      <c r="I86" s="31" cm="1">
        <f t="array" ref="I86">SUM(IF((Produccion_mani[provincia_nombre]=I$29)*(Produccion_mani[campania]=A86),Produccion_mani[produccion_tm]))</f>
        <v>164</v>
      </c>
      <c r="J86" s="31" cm="1">
        <f t="array" ref="J86">SUM(IF((Produccion_mani[provincia_nombre]=J$29)*(Produccion_mani[campania]=A86),Produccion_mani[produccion_tm]))</f>
        <v>0</v>
      </c>
      <c r="K86" s="31" cm="1">
        <f t="array" ref="K86">SUM(IF((Produccion_mani[provincia_nombre]=K$29)*(Produccion_mani[campania]=A86),Produccion_mani[produccion_tm]))</f>
        <v>0</v>
      </c>
      <c r="L86" s="31" cm="1">
        <f t="array" ref="L86">SUM(IF((Produccion_mani[provincia_nombre]=L$29)*(Produccion_mani[campania]=A86),Produccion_mani[produccion_tm]))</f>
        <v>0</v>
      </c>
      <c r="M86" s="31" cm="1">
        <f t="array" ref="M86">SUM(IF((Produccion_mani[provincia_nombre]=M$29)*(Produccion_mani[campania]=A86),Produccion_mani[produccion_tm]))</f>
        <v>0</v>
      </c>
      <c r="N86" s="31" cm="1">
        <f t="array" ref="N86">SUM(IF((Produccion_mani[provincia_nombre]=N$29)*(Produccion_mani[campania]=A86),Produccion_mani[produccion_tm]))</f>
        <v>0</v>
      </c>
      <c r="O86" s="31" cm="1">
        <f t="array" ref="O86">SUM(IF((Produccion_mani[provincia_nombre]=O$29)*(Produccion_mani[campania]=A86),Produccion_mani[produccion_tm]))</f>
        <v>0</v>
      </c>
      <c r="P86" s="31" cm="1">
        <f t="array" ref="P86">SUM(IF((Produccion_mani[provincia_nombre]=P$29)*(Produccion_mani[campania]=A86),Produccion_mani[produccion_tm]))</f>
        <v>0</v>
      </c>
      <c r="Q86" s="31" cm="1">
        <f t="array" ref="Q86">SUM(IF((Produccion_mani[provincia_nombre]=Q$29)*(Produccion_mani[campania]=A86),Produccion_mani[produccion_tm]))</f>
        <v>0</v>
      </c>
      <c r="R86" s="31" cm="1">
        <f t="array" ref="R86">SUM(IF((Produccion_mani[provincia_nombre]=R$29)*(Produccion_mani[campania]=A86),Produccion_mani[produccion_tm]))</f>
        <v>0</v>
      </c>
      <c r="S86" s="31" cm="1">
        <f t="array" ref="S86">SUM(IF((Produccion_mani[provincia_nombre]=S$29)*(Produccion_mani[campania]=A86),Produccion_mani[produccion_tm]))</f>
        <v>0</v>
      </c>
    </row>
    <row r="87" spans="1:19" x14ac:dyDescent="0.25">
      <c r="A87" s="23" t="str">
        <v>1984/1985</v>
      </c>
      <c r="B87" s="31" cm="1">
        <f t="array" ref="B87">SUM(IF((Produccion_mani[provincia_nombre]=B$29)*(Produccion_mani[campania]=A87),Produccion_mani[produccion_tm]))</f>
        <v>0</v>
      </c>
      <c r="C87" s="31" cm="1">
        <f t="array" ref="C87">SUM(IF((Produccion_mani[provincia_nombre]=C$29)*(Produccion_mani[campania]=A87),Produccion_mani[produccion_tm]))</f>
        <v>239650</v>
      </c>
      <c r="D87" s="31" cm="1">
        <f t="array" ref="D87">SUM(IF((Produccion_mani[provincia_nombre]=D$29)*(Produccion_mani[campania]=A87),Produccion_mani[produccion_tm]))</f>
        <v>70</v>
      </c>
      <c r="E87" s="31" cm="1">
        <f t="array" ref="E87">SUM(IF((Produccion_mani[provincia_nombre]=E$29)*(Produccion_mani[campania]=A87),Produccion_mani[produccion_tm]))</f>
        <v>0</v>
      </c>
      <c r="F87" s="31" cm="1">
        <f t="array" ref="F87">SUM(IF((Produccion_mani[provincia_nombre]=F$29)*(Produccion_mani[campania]=A87),Produccion_mani[produccion_tm]))</f>
        <v>16</v>
      </c>
      <c r="G87" s="31" cm="1">
        <f t="array" ref="G87">SUM(IF((Produccion_mani[provincia_nombre]=G$29)*(Produccion_mani[campania]=A87),Produccion_mani[produccion_tm]))</f>
        <v>0</v>
      </c>
      <c r="H87" s="31" cm="1">
        <f t="array" ref="H87">SUM(IF((Produccion_mani[provincia_nombre]=H$29)*(Produccion_mani[campania]=A87),Produccion_mani[produccion_tm]))</f>
        <v>220</v>
      </c>
      <c r="I87" s="31" cm="1">
        <f t="array" ref="I87">SUM(IF((Produccion_mani[provincia_nombre]=I$29)*(Produccion_mani[campania]=A87),Produccion_mani[produccion_tm]))</f>
        <v>44</v>
      </c>
      <c r="J87" s="31" cm="1">
        <f t="array" ref="J87">SUM(IF((Produccion_mani[provincia_nombre]=J$29)*(Produccion_mani[campania]=A87),Produccion_mani[produccion_tm]))</f>
        <v>0</v>
      </c>
      <c r="K87" s="31" cm="1">
        <f t="array" ref="K87">SUM(IF((Produccion_mani[provincia_nombre]=K$29)*(Produccion_mani[campania]=A87),Produccion_mani[produccion_tm]))</f>
        <v>0</v>
      </c>
      <c r="L87" s="31" cm="1">
        <f t="array" ref="L87">SUM(IF((Produccion_mani[provincia_nombre]=L$29)*(Produccion_mani[campania]=A87),Produccion_mani[produccion_tm]))</f>
        <v>0</v>
      </c>
      <c r="M87" s="31" cm="1">
        <f t="array" ref="M87">SUM(IF((Produccion_mani[provincia_nombre]=M$29)*(Produccion_mani[campania]=A87),Produccion_mani[produccion_tm]))</f>
        <v>0</v>
      </c>
      <c r="N87" s="31" cm="1">
        <f t="array" ref="N87">SUM(IF((Produccion_mani[provincia_nombre]=N$29)*(Produccion_mani[campania]=A87),Produccion_mani[produccion_tm]))</f>
        <v>0</v>
      </c>
      <c r="O87" s="31" cm="1">
        <f t="array" ref="O87">SUM(IF((Produccion_mani[provincia_nombre]=O$29)*(Produccion_mani[campania]=A87),Produccion_mani[produccion_tm]))</f>
        <v>0</v>
      </c>
      <c r="P87" s="31" cm="1">
        <f t="array" ref="P87">SUM(IF((Produccion_mani[provincia_nombre]=P$29)*(Produccion_mani[campania]=A87),Produccion_mani[produccion_tm]))</f>
        <v>0</v>
      </c>
      <c r="Q87" s="31" cm="1">
        <f t="array" ref="Q87">SUM(IF((Produccion_mani[provincia_nombre]=Q$29)*(Produccion_mani[campania]=A87),Produccion_mani[produccion_tm]))</f>
        <v>0</v>
      </c>
      <c r="R87" s="31" cm="1">
        <f t="array" ref="R87">SUM(IF((Produccion_mani[provincia_nombre]=R$29)*(Produccion_mani[campania]=A87),Produccion_mani[produccion_tm]))</f>
        <v>0</v>
      </c>
      <c r="S87" s="31" cm="1">
        <f t="array" ref="S87">SUM(IF((Produccion_mani[provincia_nombre]=S$29)*(Produccion_mani[campania]=A87),Produccion_mani[produccion_tm]))</f>
        <v>0</v>
      </c>
    </row>
    <row r="88" spans="1:19" x14ac:dyDescent="0.25">
      <c r="A88" s="23" t="str">
        <v>1985/1986</v>
      </c>
      <c r="B88" s="31" cm="1">
        <f t="array" ref="B88">SUM(IF((Produccion_mani[provincia_nombre]=B$29)*(Produccion_mani[campania]=A88),Produccion_mani[produccion_tm]))</f>
        <v>0</v>
      </c>
      <c r="C88" s="31" cm="1">
        <f t="array" ref="C88">SUM(IF((Produccion_mani[provincia_nombre]=C$29)*(Produccion_mani[campania]=A88),Produccion_mani[produccion_tm]))</f>
        <v>258650</v>
      </c>
      <c r="D88" s="31" cm="1">
        <f t="array" ref="D88">SUM(IF((Produccion_mani[provincia_nombre]=D$29)*(Produccion_mani[campania]=A88),Produccion_mani[produccion_tm]))</f>
        <v>70</v>
      </c>
      <c r="E88" s="31" cm="1">
        <f t="array" ref="E88">SUM(IF((Produccion_mani[provincia_nombre]=E$29)*(Produccion_mani[campania]=A88),Produccion_mani[produccion_tm]))</f>
        <v>0</v>
      </c>
      <c r="F88" s="31" cm="1">
        <f t="array" ref="F88">SUM(IF((Produccion_mani[provincia_nombre]=F$29)*(Produccion_mani[campania]=A88),Produccion_mani[produccion_tm]))</f>
        <v>12</v>
      </c>
      <c r="G88" s="31" cm="1">
        <f t="array" ref="G88">SUM(IF((Produccion_mani[provincia_nombre]=G$29)*(Produccion_mani[campania]=A88),Produccion_mani[produccion_tm]))</f>
        <v>0</v>
      </c>
      <c r="H88" s="31" cm="1">
        <f t="array" ref="H88">SUM(IF((Produccion_mani[provincia_nombre]=H$29)*(Produccion_mani[campania]=A88),Produccion_mani[produccion_tm]))</f>
        <v>224</v>
      </c>
      <c r="I88" s="31" cm="1">
        <f t="array" ref="I88">SUM(IF((Produccion_mani[provincia_nombre]=I$29)*(Produccion_mani[campania]=A88),Produccion_mani[produccion_tm]))</f>
        <v>44</v>
      </c>
      <c r="J88" s="31" cm="1">
        <f t="array" ref="J88">SUM(IF((Produccion_mani[provincia_nombre]=J$29)*(Produccion_mani[campania]=A88),Produccion_mani[produccion_tm]))</f>
        <v>0</v>
      </c>
      <c r="K88" s="31" cm="1">
        <f t="array" ref="K88">SUM(IF((Produccion_mani[provincia_nombre]=K$29)*(Produccion_mani[campania]=A88),Produccion_mani[produccion_tm]))</f>
        <v>0</v>
      </c>
      <c r="L88" s="31" cm="1">
        <f t="array" ref="L88">SUM(IF((Produccion_mani[provincia_nombre]=L$29)*(Produccion_mani[campania]=A88),Produccion_mani[produccion_tm]))</f>
        <v>0</v>
      </c>
      <c r="M88" s="31" cm="1">
        <f t="array" ref="M88">SUM(IF((Produccion_mani[provincia_nombre]=M$29)*(Produccion_mani[campania]=A88),Produccion_mani[produccion_tm]))</f>
        <v>0</v>
      </c>
      <c r="N88" s="31" cm="1">
        <f t="array" ref="N88">SUM(IF((Produccion_mani[provincia_nombre]=N$29)*(Produccion_mani[campania]=A88),Produccion_mani[produccion_tm]))</f>
        <v>0</v>
      </c>
      <c r="O88" s="31" cm="1">
        <f t="array" ref="O88">SUM(IF((Produccion_mani[provincia_nombre]=O$29)*(Produccion_mani[campania]=A88),Produccion_mani[produccion_tm]))</f>
        <v>0</v>
      </c>
      <c r="P88" s="31" cm="1">
        <f t="array" ref="P88">SUM(IF((Produccion_mani[provincia_nombre]=P$29)*(Produccion_mani[campania]=A88),Produccion_mani[produccion_tm]))</f>
        <v>0</v>
      </c>
      <c r="Q88" s="31" cm="1">
        <f t="array" ref="Q88">SUM(IF((Produccion_mani[provincia_nombre]=Q$29)*(Produccion_mani[campania]=A88),Produccion_mani[produccion_tm]))</f>
        <v>0</v>
      </c>
      <c r="R88" s="31" cm="1">
        <f t="array" ref="R88">SUM(IF((Produccion_mani[provincia_nombre]=R$29)*(Produccion_mani[campania]=A88),Produccion_mani[produccion_tm]))</f>
        <v>0</v>
      </c>
      <c r="S88" s="31" cm="1">
        <f t="array" ref="S88">SUM(IF((Produccion_mani[provincia_nombre]=S$29)*(Produccion_mani[campania]=A88),Produccion_mani[produccion_tm]))</f>
        <v>0</v>
      </c>
    </row>
    <row r="89" spans="1:19" x14ac:dyDescent="0.25">
      <c r="A89" s="23" t="str">
        <v>1986/1987</v>
      </c>
      <c r="B89" s="31" cm="1">
        <f t="array" ref="B89">SUM(IF((Produccion_mani[provincia_nombre]=B$29)*(Produccion_mani[campania]=A89),Produccion_mani[produccion_tm]))</f>
        <v>0</v>
      </c>
      <c r="C89" s="31" cm="1">
        <f t="array" ref="C89">SUM(IF((Produccion_mani[provincia_nombre]=C$29)*(Produccion_mani[campania]=A89),Produccion_mani[produccion_tm]))</f>
        <v>349500</v>
      </c>
      <c r="D89" s="31" cm="1">
        <f t="array" ref="D89">SUM(IF((Produccion_mani[provincia_nombre]=D$29)*(Produccion_mani[campania]=A89),Produccion_mani[produccion_tm]))</f>
        <v>240</v>
      </c>
      <c r="E89" s="31" cm="1">
        <f t="array" ref="E89">SUM(IF((Produccion_mani[provincia_nombre]=E$29)*(Produccion_mani[campania]=A89),Produccion_mani[produccion_tm]))</f>
        <v>0</v>
      </c>
      <c r="F89" s="31" cm="1">
        <f t="array" ref="F89">SUM(IF((Produccion_mani[provincia_nombre]=F$29)*(Produccion_mani[campania]=A89),Produccion_mani[produccion_tm]))</f>
        <v>15</v>
      </c>
      <c r="G89" s="31" cm="1">
        <f t="array" ref="G89">SUM(IF((Produccion_mani[provincia_nombre]=G$29)*(Produccion_mani[campania]=A89),Produccion_mani[produccion_tm]))</f>
        <v>0</v>
      </c>
      <c r="H89" s="31" cm="1">
        <f t="array" ref="H89">SUM(IF((Produccion_mani[provincia_nombre]=H$29)*(Produccion_mani[campania]=A89),Produccion_mani[produccion_tm]))</f>
        <v>245</v>
      </c>
      <c r="I89" s="31" cm="1">
        <f t="array" ref="I89">SUM(IF((Produccion_mani[provincia_nombre]=I$29)*(Produccion_mani[campania]=A89),Produccion_mani[produccion_tm]))</f>
        <v>0</v>
      </c>
      <c r="J89" s="31" cm="1">
        <f t="array" ref="J89">SUM(IF((Produccion_mani[provincia_nombre]=J$29)*(Produccion_mani[campania]=A89),Produccion_mani[produccion_tm]))</f>
        <v>0</v>
      </c>
      <c r="K89" s="31" cm="1">
        <f t="array" ref="K89">SUM(IF((Produccion_mani[provincia_nombre]=K$29)*(Produccion_mani[campania]=A89),Produccion_mani[produccion_tm]))</f>
        <v>0</v>
      </c>
      <c r="L89" s="31" cm="1">
        <f t="array" ref="L89">SUM(IF((Produccion_mani[provincia_nombre]=L$29)*(Produccion_mani[campania]=A89),Produccion_mani[produccion_tm]))</f>
        <v>0</v>
      </c>
      <c r="M89" s="31" cm="1">
        <f t="array" ref="M89">SUM(IF((Produccion_mani[provincia_nombre]=M$29)*(Produccion_mani[campania]=A89),Produccion_mani[produccion_tm]))</f>
        <v>0</v>
      </c>
      <c r="N89" s="31" cm="1">
        <f t="array" ref="N89">SUM(IF((Produccion_mani[provincia_nombre]=N$29)*(Produccion_mani[campania]=A89),Produccion_mani[produccion_tm]))</f>
        <v>0</v>
      </c>
      <c r="O89" s="31" cm="1">
        <f t="array" ref="O89">SUM(IF((Produccion_mani[provincia_nombre]=O$29)*(Produccion_mani[campania]=A89),Produccion_mani[produccion_tm]))</f>
        <v>0</v>
      </c>
      <c r="P89" s="31" cm="1">
        <f t="array" ref="P89">SUM(IF((Produccion_mani[provincia_nombre]=P$29)*(Produccion_mani[campania]=A89),Produccion_mani[produccion_tm]))</f>
        <v>0</v>
      </c>
      <c r="Q89" s="31" cm="1">
        <f t="array" ref="Q89">SUM(IF((Produccion_mani[provincia_nombre]=Q$29)*(Produccion_mani[campania]=A89),Produccion_mani[produccion_tm]))</f>
        <v>0</v>
      </c>
      <c r="R89" s="31" cm="1">
        <f t="array" ref="R89">SUM(IF((Produccion_mani[provincia_nombre]=R$29)*(Produccion_mani[campania]=A89),Produccion_mani[produccion_tm]))</f>
        <v>0</v>
      </c>
      <c r="S89" s="31" cm="1">
        <f t="array" ref="S89">SUM(IF((Produccion_mani[provincia_nombre]=S$29)*(Produccion_mani[campania]=A89),Produccion_mani[produccion_tm]))</f>
        <v>0</v>
      </c>
    </row>
    <row r="90" spans="1:19" x14ac:dyDescent="0.25">
      <c r="A90" s="23" t="str">
        <v>1987/1988</v>
      </c>
      <c r="B90" s="31" cm="1">
        <f t="array" ref="B90">SUM(IF((Produccion_mani[provincia_nombre]=B$29)*(Produccion_mani[campania]=A90),Produccion_mani[produccion_tm]))</f>
        <v>0</v>
      </c>
      <c r="C90" s="31" cm="1">
        <f t="array" ref="C90">SUM(IF((Produccion_mani[provincia_nombre]=C$29)*(Produccion_mani[campania]=A90),Produccion_mani[produccion_tm]))</f>
        <v>273830</v>
      </c>
      <c r="D90" s="31" cm="1">
        <f t="array" ref="D90">SUM(IF((Produccion_mani[provincia_nombre]=D$29)*(Produccion_mani[campania]=A90),Produccion_mani[produccion_tm]))</f>
        <v>101</v>
      </c>
      <c r="E90" s="31" cm="1">
        <f t="array" ref="E90">SUM(IF((Produccion_mani[provincia_nombre]=E$29)*(Produccion_mani[campania]=A90),Produccion_mani[produccion_tm]))</f>
        <v>0</v>
      </c>
      <c r="F90" s="31" cm="1">
        <f t="array" ref="F90">SUM(IF((Produccion_mani[provincia_nombre]=F$29)*(Produccion_mani[campania]=A90),Produccion_mani[produccion_tm]))</f>
        <v>25</v>
      </c>
      <c r="G90" s="31" cm="1">
        <f t="array" ref="G90">SUM(IF((Produccion_mani[provincia_nombre]=G$29)*(Produccion_mani[campania]=A90),Produccion_mani[produccion_tm]))</f>
        <v>0</v>
      </c>
      <c r="H90" s="31" cm="1">
        <f t="array" ref="H90">SUM(IF((Produccion_mani[provincia_nombre]=H$29)*(Produccion_mani[campania]=A90),Produccion_mani[produccion_tm]))</f>
        <v>144</v>
      </c>
      <c r="I90" s="31" cm="1">
        <f t="array" ref="I90">SUM(IF((Produccion_mani[provincia_nombre]=I$29)*(Produccion_mani[campania]=A90),Produccion_mani[produccion_tm]))</f>
        <v>0</v>
      </c>
      <c r="J90" s="31" cm="1">
        <f t="array" ref="J90">SUM(IF((Produccion_mani[provincia_nombre]=J$29)*(Produccion_mani[campania]=A90),Produccion_mani[produccion_tm]))</f>
        <v>0</v>
      </c>
      <c r="K90" s="31" cm="1">
        <f t="array" ref="K90">SUM(IF((Produccion_mani[provincia_nombre]=K$29)*(Produccion_mani[campania]=A90),Produccion_mani[produccion_tm]))</f>
        <v>0</v>
      </c>
      <c r="L90" s="31" cm="1">
        <f t="array" ref="L90">SUM(IF((Produccion_mani[provincia_nombre]=L$29)*(Produccion_mani[campania]=A90),Produccion_mani[produccion_tm]))</f>
        <v>0</v>
      </c>
      <c r="M90" s="31" cm="1">
        <f t="array" ref="M90">SUM(IF((Produccion_mani[provincia_nombre]=M$29)*(Produccion_mani[campania]=A90),Produccion_mani[produccion_tm]))</f>
        <v>0</v>
      </c>
      <c r="N90" s="31" cm="1">
        <f t="array" ref="N90">SUM(IF((Produccion_mani[provincia_nombre]=N$29)*(Produccion_mani[campania]=A90),Produccion_mani[produccion_tm]))</f>
        <v>0</v>
      </c>
      <c r="O90" s="31" cm="1">
        <f t="array" ref="O90">SUM(IF((Produccion_mani[provincia_nombre]=O$29)*(Produccion_mani[campania]=A90),Produccion_mani[produccion_tm]))</f>
        <v>0</v>
      </c>
      <c r="P90" s="31" cm="1">
        <f t="array" ref="P90">SUM(IF((Produccion_mani[provincia_nombre]=P$29)*(Produccion_mani[campania]=A90),Produccion_mani[produccion_tm]))</f>
        <v>0</v>
      </c>
      <c r="Q90" s="31" cm="1">
        <f t="array" ref="Q90">SUM(IF((Produccion_mani[provincia_nombre]=Q$29)*(Produccion_mani[campania]=A90),Produccion_mani[produccion_tm]))</f>
        <v>0</v>
      </c>
      <c r="R90" s="31" cm="1">
        <f t="array" ref="R90">SUM(IF((Produccion_mani[provincia_nombre]=R$29)*(Produccion_mani[campania]=A90),Produccion_mani[produccion_tm]))</f>
        <v>0</v>
      </c>
      <c r="S90" s="31" cm="1">
        <f t="array" ref="S90">SUM(IF((Produccion_mani[provincia_nombre]=S$29)*(Produccion_mani[campania]=A90),Produccion_mani[produccion_tm]))</f>
        <v>0</v>
      </c>
    </row>
    <row r="91" spans="1:19" x14ac:dyDescent="0.25">
      <c r="A91" s="23" t="str">
        <v>1988/1989</v>
      </c>
      <c r="B91" s="31" cm="1">
        <f t="array" ref="B91">SUM(IF((Produccion_mani[provincia_nombre]=B$29)*(Produccion_mani[campania]=A91),Produccion_mani[produccion_tm]))</f>
        <v>0</v>
      </c>
      <c r="C91" s="31" cm="1">
        <f t="array" ref="C91">SUM(IF((Produccion_mani[provincia_nombre]=C$29)*(Produccion_mani[campania]=A91),Produccion_mani[produccion_tm]))</f>
        <v>190000</v>
      </c>
      <c r="D91" s="31" cm="1">
        <f t="array" ref="D91">SUM(IF((Produccion_mani[provincia_nombre]=D$29)*(Produccion_mani[campania]=A91),Produccion_mani[produccion_tm]))</f>
        <v>100</v>
      </c>
      <c r="E91" s="31" cm="1">
        <f t="array" ref="E91">SUM(IF((Produccion_mani[provincia_nombre]=E$29)*(Produccion_mani[campania]=A91),Produccion_mani[produccion_tm]))</f>
        <v>0</v>
      </c>
      <c r="F91" s="31" cm="1">
        <f t="array" ref="F91">SUM(IF((Produccion_mani[provincia_nombre]=F$29)*(Produccion_mani[campania]=A91),Produccion_mani[produccion_tm]))</f>
        <v>0</v>
      </c>
      <c r="G91" s="31" cm="1">
        <f t="array" ref="G91">SUM(IF((Produccion_mani[provincia_nombre]=G$29)*(Produccion_mani[campania]=A91),Produccion_mani[produccion_tm]))</f>
        <v>0</v>
      </c>
      <c r="H91" s="31" cm="1">
        <f t="array" ref="H91">SUM(IF((Produccion_mani[provincia_nombre]=H$29)*(Produccion_mani[campania]=A91),Produccion_mani[produccion_tm]))</f>
        <v>100</v>
      </c>
      <c r="I91" s="31" cm="1">
        <f t="array" ref="I91">SUM(IF((Produccion_mani[provincia_nombre]=I$29)*(Produccion_mani[campania]=A91),Produccion_mani[produccion_tm]))</f>
        <v>0</v>
      </c>
      <c r="J91" s="31" cm="1">
        <f t="array" ref="J91">SUM(IF((Produccion_mani[provincia_nombre]=J$29)*(Produccion_mani[campania]=A91),Produccion_mani[produccion_tm]))</f>
        <v>0</v>
      </c>
      <c r="K91" s="31" cm="1">
        <f t="array" ref="K91">SUM(IF((Produccion_mani[provincia_nombre]=K$29)*(Produccion_mani[campania]=A91),Produccion_mani[produccion_tm]))</f>
        <v>0</v>
      </c>
      <c r="L91" s="31" cm="1">
        <f t="array" ref="L91">SUM(IF((Produccion_mani[provincia_nombre]=L$29)*(Produccion_mani[campania]=A91),Produccion_mani[produccion_tm]))</f>
        <v>0</v>
      </c>
      <c r="M91" s="31" cm="1">
        <f t="array" ref="M91">SUM(IF((Produccion_mani[provincia_nombre]=M$29)*(Produccion_mani[campania]=A91),Produccion_mani[produccion_tm]))</f>
        <v>0</v>
      </c>
      <c r="N91" s="31" cm="1">
        <f t="array" ref="N91">SUM(IF((Produccion_mani[provincia_nombre]=N$29)*(Produccion_mani[campania]=A91),Produccion_mani[produccion_tm]))</f>
        <v>0</v>
      </c>
      <c r="O91" s="31" cm="1">
        <f t="array" ref="O91">SUM(IF((Produccion_mani[provincia_nombre]=O$29)*(Produccion_mani[campania]=A91),Produccion_mani[produccion_tm]))</f>
        <v>0</v>
      </c>
      <c r="P91" s="31" cm="1">
        <f t="array" ref="P91">SUM(IF((Produccion_mani[provincia_nombre]=P$29)*(Produccion_mani[campania]=A91),Produccion_mani[produccion_tm]))</f>
        <v>0</v>
      </c>
      <c r="Q91" s="31" cm="1">
        <f t="array" ref="Q91">SUM(IF((Produccion_mani[provincia_nombre]=Q$29)*(Produccion_mani[campania]=A91),Produccion_mani[produccion_tm]))</f>
        <v>0</v>
      </c>
      <c r="R91" s="31" cm="1">
        <f t="array" ref="R91">SUM(IF((Produccion_mani[provincia_nombre]=R$29)*(Produccion_mani[campania]=A91),Produccion_mani[produccion_tm]))</f>
        <v>0</v>
      </c>
      <c r="S91" s="31" cm="1">
        <f t="array" ref="S91">SUM(IF((Produccion_mani[provincia_nombre]=S$29)*(Produccion_mani[campania]=A91),Produccion_mani[produccion_tm]))</f>
        <v>0</v>
      </c>
    </row>
    <row r="92" spans="1:19" x14ac:dyDescent="0.25">
      <c r="A92" s="23" t="str">
        <v>1989/1990</v>
      </c>
      <c r="B92" s="31" cm="1">
        <f t="array" ref="B92">SUM(IF((Produccion_mani[provincia_nombre]=B$29)*(Produccion_mani[campania]=A92),Produccion_mani[produccion_tm]))</f>
        <v>0</v>
      </c>
      <c r="C92" s="31" cm="1">
        <f t="array" ref="C92">SUM(IF((Produccion_mani[provincia_nombre]=C$29)*(Produccion_mani[campania]=A92),Produccion_mani[produccion_tm]))</f>
        <v>226600</v>
      </c>
      <c r="D92" s="31" cm="1">
        <f t="array" ref="D92">SUM(IF((Produccion_mani[provincia_nombre]=D$29)*(Produccion_mani[campania]=A92),Produccion_mani[produccion_tm]))</f>
        <v>55</v>
      </c>
      <c r="E92" s="31" cm="1">
        <f t="array" ref="E92">SUM(IF((Produccion_mani[provincia_nombre]=E$29)*(Produccion_mani[campania]=A92),Produccion_mani[produccion_tm]))</f>
        <v>0</v>
      </c>
      <c r="F92" s="31" cm="1">
        <f t="array" ref="F92">SUM(IF((Produccion_mani[provincia_nombre]=F$29)*(Produccion_mani[campania]=A92),Produccion_mani[produccion_tm]))</f>
        <v>0</v>
      </c>
      <c r="G92" s="31" cm="1">
        <f t="array" ref="G92">SUM(IF((Produccion_mani[provincia_nombre]=G$29)*(Produccion_mani[campania]=A92),Produccion_mani[produccion_tm]))</f>
        <v>0</v>
      </c>
      <c r="H92" s="31" cm="1">
        <f t="array" ref="H92">SUM(IF((Produccion_mani[provincia_nombre]=H$29)*(Produccion_mani[campania]=A92),Produccion_mani[produccion_tm]))</f>
        <v>45</v>
      </c>
      <c r="I92" s="31" cm="1">
        <f t="array" ref="I92">SUM(IF((Produccion_mani[provincia_nombre]=I$29)*(Produccion_mani[campania]=A92),Produccion_mani[produccion_tm]))</f>
        <v>0</v>
      </c>
      <c r="J92" s="31" cm="1">
        <f t="array" ref="J92">SUM(IF((Produccion_mani[provincia_nombre]=J$29)*(Produccion_mani[campania]=A92),Produccion_mani[produccion_tm]))</f>
        <v>0</v>
      </c>
      <c r="K92" s="31" cm="1">
        <f t="array" ref="K92">SUM(IF((Produccion_mani[provincia_nombre]=K$29)*(Produccion_mani[campania]=A92),Produccion_mani[produccion_tm]))</f>
        <v>0</v>
      </c>
      <c r="L92" s="31" cm="1">
        <f t="array" ref="L92">SUM(IF((Produccion_mani[provincia_nombre]=L$29)*(Produccion_mani[campania]=A92),Produccion_mani[produccion_tm]))</f>
        <v>0</v>
      </c>
      <c r="M92" s="31" cm="1">
        <f t="array" ref="M92">SUM(IF((Produccion_mani[provincia_nombre]=M$29)*(Produccion_mani[campania]=A92),Produccion_mani[produccion_tm]))</f>
        <v>8000</v>
      </c>
      <c r="N92" s="31" cm="1">
        <f t="array" ref="N92">SUM(IF((Produccion_mani[provincia_nombre]=N$29)*(Produccion_mani[campania]=A92),Produccion_mani[produccion_tm]))</f>
        <v>0</v>
      </c>
      <c r="O92" s="31" cm="1">
        <f t="array" ref="O92">SUM(IF((Produccion_mani[provincia_nombre]=O$29)*(Produccion_mani[campania]=A92),Produccion_mani[produccion_tm]))</f>
        <v>0</v>
      </c>
      <c r="P92" s="31" cm="1">
        <f t="array" ref="P92">SUM(IF((Produccion_mani[provincia_nombre]=P$29)*(Produccion_mani[campania]=A92),Produccion_mani[produccion_tm]))</f>
        <v>0</v>
      </c>
      <c r="Q92" s="31" cm="1">
        <f t="array" ref="Q92">SUM(IF((Produccion_mani[provincia_nombre]=Q$29)*(Produccion_mani[campania]=A92),Produccion_mani[produccion_tm]))</f>
        <v>0</v>
      </c>
      <c r="R92" s="31" cm="1">
        <f t="array" ref="R92">SUM(IF((Produccion_mani[provincia_nombre]=R$29)*(Produccion_mani[campania]=A92),Produccion_mani[produccion_tm]))</f>
        <v>0</v>
      </c>
      <c r="S92" s="31" cm="1">
        <f t="array" ref="S92">SUM(IF((Produccion_mani[provincia_nombre]=S$29)*(Produccion_mani[campania]=A92),Produccion_mani[produccion_tm]))</f>
        <v>0</v>
      </c>
    </row>
    <row r="93" spans="1:19" x14ac:dyDescent="0.25">
      <c r="A93" s="23" t="str">
        <v>1990/1991</v>
      </c>
      <c r="B93" s="31" cm="1">
        <f t="array" ref="B93">SUM(IF((Produccion_mani[provincia_nombre]=B$29)*(Produccion_mani[campania]=A93),Produccion_mani[produccion_tm]))</f>
        <v>0</v>
      </c>
      <c r="C93" s="31" cm="1">
        <f t="array" ref="C93">SUM(IF((Produccion_mani[provincia_nombre]=C$29)*(Produccion_mani[campania]=A93),Produccion_mani[produccion_tm]))</f>
        <v>287200</v>
      </c>
      <c r="D93" s="31" cm="1">
        <f t="array" ref="D93">SUM(IF((Produccion_mani[provincia_nombre]=D$29)*(Produccion_mani[campania]=A93),Produccion_mani[produccion_tm]))</f>
        <v>0</v>
      </c>
      <c r="E93" s="31" cm="1">
        <f t="array" ref="E93">SUM(IF((Produccion_mani[provincia_nombre]=E$29)*(Produccion_mani[campania]=A93),Produccion_mani[produccion_tm]))</f>
        <v>0</v>
      </c>
      <c r="F93" s="31" cm="1">
        <f t="array" ref="F93">SUM(IF((Produccion_mani[provincia_nombre]=F$29)*(Produccion_mani[campania]=A93),Produccion_mani[produccion_tm]))</f>
        <v>0</v>
      </c>
      <c r="G93" s="31" cm="1">
        <f t="array" ref="G93">SUM(IF((Produccion_mani[provincia_nombre]=G$29)*(Produccion_mani[campania]=A93),Produccion_mani[produccion_tm]))</f>
        <v>0</v>
      </c>
      <c r="H93" s="31" cm="1">
        <f t="array" ref="H93">SUM(IF((Produccion_mani[provincia_nombre]=H$29)*(Produccion_mani[campania]=A93),Produccion_mani[produccion_tm]))</f>
        <v>0</v>
      </c>
      <c r="I93" s="31" cm="1">
        <f t="array" ref="I93">SUM(IF((Produccion_mani[provincia_nombre]=I$29)*(Produccion_mani[campania]=A93),Produccion_mani[produccion_tm]))</f>
        <v>0</v>
      </c>
      <c r="J93" s="31" cm="1">
        <f t="array" ref="J93">SUM(IF((Produccion_mani[provincia_nombre]=J$29)*(Produccion_mani[campania]=A93),Produccion_mani[produccion_tm]))</f>
        <v>0</v>
      </c>
      <c r="K93" s="31" cm="1">
        <f t="array" ref="K93">SUM(IF((Produccion_mani[provincia_nombre]=K$29)*(Produccion_mani[campania]=A93),Produccion_mani[produccion_tm]))</f>
        <v>0</v>
      </c>
      <c r="L93" s="31" cm="1">
        <f t="array" ref="L93">SUM(IF((Produccion_mani[provincia_nombre]=L$29)*(Produccion_mani[campania]=A93),Produccion_mani[produccion_tm]))</f>
        <v>0</v>
      </c>
      <c r="M93" s="31" cm="1">
        <f t="array" ref="M93">SUM(IF((Produccion_mani[provincia_nombre]=M$29)*(Produccion_mani[campania]=A93),Produccion_mani[produccion_tm]))</f>
        <v>23400</v>
      </c>
      <c r="N93" s="31" cm="1">
        <f t="array" ref="N93">SUM(IF((Produccion_mani[provincia_nombre]=N$29)*(Produccion_mani[campania]=A93),Produccion_mani[produccion_tm]))</f>
        <v>0</v>
      </c>
      <c r="O93" s="31" cm="1">
        <f t="array" ref="O93">SUM(IF((Produccion_mani[provincia_nombre]=O$29)*(Produccion_mani[campania]=A93),Produccion_mani[produccion_tm]))</f>
        <v>0</v>
      </c>
      <c r="P93" s="31" cm="1">
        <f t="array" ref="P93">SUM(IF((Produccion_mani[provincia_nombre]=P$29)*(Produccion_mani[campania]=A93),Produccion_mani[produccion_tm]))</f>
        <v>0</v>
      </c>
      <c r="Q93" s="31" cm="1">
        <f t="array" ref="Q93">SUM(IF((Produccion_mani[provincia_nombre]=Q$29)*(Produccion_mani[campania]=A93),Produccion_mani[produccion_tm]))</f>
        <v>0</v>
      </c>
      <c r="R93" s="31" cm="1">
        <f t="array" ref="R93">SUM(IF((Produccion_mani[provincia_nombre]=R$29)*(Produccion_mani[campania]=A93),Produccion_mani[produccion_tm]))</f>
        <v>0</v>
      </c>
      <c r="S93" s="31" cm="1">
        <f t="array" ref="S93">SUM(IF((Produccion_mani[provincia_nombre]=S$29)*(Produccion_mani[campania]=A93),Produccion_mani[produccion_tm]))</f>
        <v>0</v>
      </c>
    </row>
    <row r="94" spans="1:19" x14ac:dyDescent="0.25">
      <c r="A94" s="23" t="str">
        <v>1991/1992</v>
      </c>
      <c r="B94" s="31" cm="1">
        <f t="array" ref="B94">SUM(IF((Produccion_mani[provincia_nombre]=B$29)*(Produccion_mani[campania]=A94),Produccion_mani[produccion_tm]))</f>
        <v>0</v>
      </c>
      <c r="C94" s="31" cm="1">
        <f t="array" ref="C94">SUM(IF((Produccion_mani[provincia_nombre]=C$29)*(Produccion_mani[campania]=A94),Produccion_mani[produccion_tm]))</f>
        <v>216200</v>
      </c>
      <c r="D94" s="31" cm="1">
        <f t="array" ref="D94">SUM(IF((Produccion_mani[provincia_nombre]=D$29)*(Produccion_mani[campania]=A94),Produccion_mani[produccion_tm]))</f>
        <v>0</v>
      </c>
      <c r="E94" s="31" cm="1">
        <f t="array" ref="E94">SUM(IF((Produccion_mani[provincia_nombre]=E$29)*(Produccion_mani[campania]=A94),Produccion_mani[produccion_tm]))</f>
        <v>0</v>
      </c>
      <c r="F94" s="31" cm="1">
        <f t="array" ref="F94">SUM(IF((Produccion_mani[provincia_nombre]=F$29)*(Produccion_mani[campania]=A94),Produccion_mani[produccion_tm]))</f>
        <v>0</v>
      </c>
      <c r="G94" s="31" cm="1">
        <f t="array" ref="G94">SUM(IF((Produccion_mani[provincia_nombre]=G$29)*(Produccion_mani[campania]=A94),Produccion_mani[produccion_tm]))</f>
        <v>0</v>
      </c>
      <c r="H94" s="31" cm="1">
        <f t="array" ref="H94">SUM(IF((Produccion_mani[provincia_nombre]=H$29)*(Produccion_mani[campania]=A94),Produccion_mani[produccion_tm]))</f>
        <v>0</v>
      </c>
      <c r="I94" s="31" cm="1">
        <f t="array" ref="I94">SUM(IF((Produccion_mani[provincia_nombre]=I$29)*(Produccion_mani[campania]=A94),Produccion_mani[produccion_tm]))</f>
        <v>0</v>
      </c>
      <c r="J94" s="31" cm="1">
        <f t="array" ref="J94">SUM(IF((Produccion_mani[provincia_nombre]=J$29)*(Produccion_mani[campania]=A94),Produccion_mani[produccion_tm]))</f>
        <v>0</v>
      </c>
      <c r="K94" s="31" cm="1">
        <f t="array" ref="K94">SUM(IF((Produccion_mani[provincia_nombre]=K$29)*(Produccion_mani[campania]=A94),Produccion_mani[produccion_tm]))</f>
        <v>0</v>
      </c>
      <c r="L94" s="31" cm="1">
        <f t="array" ref="L94">SUM(IF((Produccion_mani[provincia_nombre]=L$29)*(Produccion_mani[campania]=A94),Produccion_mani[produccion_tm]))</f>
        <v>0</v>
      </c>
      <c r="M94" s="31" cm="1">
        <f t="array" ref="M94">SUM(IF((Produccion_mani[provincia_nombre]=M$29)*(Produccion_mani[campania]=A94),Produccion_mani[produccion_tm]))</f>
        <v>5200</v>
      </c>
      <c r="N94" s="31" cm="1">
        <f t="array" ref="N94">SUM(IF((Produccion_mani[provincia_nombre]=N$29)*(Produccion_mani[campania]=A94),Produccion_mani[produccion_tm]))</f>
        <v>0</v>
      </c>
      <c r="O94" s="31" cm="1">
        <f t="array" ref="O94">SUM(IF((Produccion_mani[provincia_nombre]=O$29)*(Produccion_mani[campania]=A94),Produccion_mani[produccion_tm]))</f>
        <v>0</v>
      </c>
      <c r="P94" s="31" cm="1">
        <f t="array" ref="P94">SUM(IF((Produccion_mani[provincia_nombre]=P$29)*(Produccion_mani[campania]=A94),Produccion_mani[produccion_tm]))</f>
        <v>0</v>
      </c>
      <c r="Q94" s="31" cm="1">
        <f t="array" ref="Q94">SUM(IF((Produccion_mani[provincia_nombre]=Q$29)*(Produccion_mani[campania]=A94),Produccion_mani[produccion_tm]))</f>
        <v>0</v>
      </c>
      <c r="R94" s="31" cm="1">
        <f t="array" ref="R94">SUM(IF((Produccion_mani[provincia_nombre]=R$29)*(Produccion_mani[campania]=A94),Produccion_mani[produccion_tm]))</f>
        <v>0</v>
      </c>
      <c r="S94" s="31" cm="1">
        <f t="array" ref="S94">SUM(IF((Produccion_mani[provincia_nombre]=S$29)*(Produccion_mani[campania]=A94),Produccion_mani[produccion_tm]))</f>
        <v>0</v>
      </c>
    </row>
    <row r="95" spans="1:19" x14ac:dyDescent="0.25">
      <c r="A95" s="23" t="str">
        <v>1992/1993</v>
      </c>
      <c r="B95" s="31" cm="1">
        <f t="array" ref="B95">SUM(IF((Produccion_mani[provincia_nombre]=B$29)*(Produccion_mani[campania]=A95),Produccion_mani[produccion_tm]))</f>
        <v>0</v>
      </c>
      <c r="C95" s="31" cm="1">
        <f t="array" ref="C95">SUM(IF((Produccion_mani[provincia_nombre]=C$29)*(Produccion_mani[campania]=A95),Produccion_mani[produccion_tm]))</f>
        <v>233400</v>
      </c>
      <c r="D95" s="31" cm="1">
        <f t="array" ref="D95">SUM(IF((Produccion_mani[provincia_nombre]=D$29)*(Produccion_mani[campania]=A95),Produccion_mani[produccion_tm]))</f>
        <v>0</v>
      </c>
      <c r="E95" s="31" cm="1">
        <f t="array" ref="E95">SUM(IF((Produccion_mani[provincia_nombre]=E$29)*(Produccion_mani[campania]=A95),Produccion_mani[produccion_tm]))</f>
        <v>0</v>
      </c>
      <c r="F95" s="31" cm="1">
        <f t="array" ref="F95">SUM(IF((Produccion_mani[provincia_nombre]=F$29)*(Produccion_mani[campania]=A95),Produccion_mani[produccion_tm]))</f>
        <v>0</v>
      </c>
      <c r="G95" s="31" cm="1">
        <f t="array" ref="G95">SUM(IF((Produccion_mani[provincia_nombre]=G$29)*(Produccion_mani[campania]=A95),Produccion_mani[produccion_tm]))</f>
        <v>0</v>
      </c>
      <c r="H95" s="31" cm="1">
        <f t="array" ref="H95">SUM(IF((Produccion_mani[provincia_nombre]=H$29)*(Produccion_mani[campania]=A95),Produccion_mani[produccion_tm]))</f>
        <v>0</v>
      </c>
      <c r="I95" s="31" cm="1">
        <f t="array" ref="I95">SUM(IF((Produccion_mani[provincia_nombre]=I$29)*(Produccion_mani[campania]=A95),Produccion_mani[produccion_tm]))</f>
        <v>0</v>
      </c>
      <c r="J95" s="31" cm="1">
        <f t="array" ref="J95">SUM(IF((Produccion_mani[provincia_nombre]=J$29)*(Produccion_mani[campania]=A95),Produccion_mani[produccion_tm]))</f>
        <v>0</v>
      </c>
      <c r="K95" s="31" cm="1">
        <f t="array" ref="K95">SUM(IF((Produccion_mani[provincia_nombre]=K$29)*(Produccion_mani[campania]=A95),Produccion_mani[produccion_tm]))</f>
        <v>0</v>
      </c>
      <c r="L95" s="31" cm="1">
        <f t="array" ref="L95">SUM(IF((Produccion_mani[provincia_nombre]=L$29)*(Produccion_mani[campania]=A95),Produccion_mani[produccion_tm]))</f>
        <v>0</v>
      </c>
      <c r="M95" s="31" cm="1">
        <f t="array" ref="M95">SUM(IF((Produccion_mani[provincia_nombre]=M$29)*(Produccion_mani[campania]=A95),Produccion_mani[produccion_tm]))</f>
        <v>0</v>
      </c>
      <c r="N95" s="31" cm="1">
        <f t="array" ref="N95">SUM(IF((Produccion_mani[provincia_nombre]=N$29)*(Produccion_mani[campania]=A95),Produccion_mani[produccion_tm]))</f>
        <v>0</v>
      </c>
      <c r="O95" s="31" cm="1">
        <f t="array" ref="O95">SUM(IF((Produccion_mani[provincia_nombre]=O$29)*(Produccion_mani[campania]=A95),Produccion_mani[produccion_tm]))</f>
        <v>0</v>
      </c>
      <c r="P95" s="31" cm="1">
        <f t="array" ref="P95">SUM(IF((Produccion_mani[provincia_nombre]=P$29)*(Produccion_mani[campania]=A95),Produccion_mani[produccion_tm]))</f>
        <v>0</v>
      </c>
      <c r="Q95" s="31" cm="1">
        <f t="array" ref="Q95">SUM(IF((Produccion_mani[provincia_nombre]=Q$29)*(Produccion_mani[campania]=A95),Produccion_mani[produccion_tm]))</f>
        <v>0</v>
      </c>
      <c r="R95" s="31" cm="1">
        <f t="array" ref="R95">SUM(IF((Produccion_mani[provincia_nombre]=R$29)*(Produccion_mani[campania]=A95),Produccion_mani[produccion_tm]))</f>
        <v>0</v>
      </c>
      <c r="S95" s="31" cm="1">
        <f t="array" ref="S95">SUM(IF((Produccion_mani[provincia_nombre]=S$29)*(Produccion_mani[campania]=A95),Produccion_mani[produccion_tm]))</f>
        <v>0</v>
      </c>
    </row>
    <row r="96" spans="1:19" x14ac:dyDescent="0.25">
      <c r="A96" s="23" t="str">
        <v>1993/1994</v>
      </c>
      <c r="B96" s="31" cm="1">
        <f t="array" ref="B96">SUM(IF((Produccion_mani[provincia_nombre]=B$29)*(Produccion_mani[campania]=A96),Produccion_mani[produccion_tm]))</f>
        <v>0</v>
      </c>
      <c r="C96" s="31" cm="1">
        <f t="array" ref="C96">SUM(IF((Produccion_mani[provincia_nombre]=C$29)*(Produccion_mani[campania]=A96),Produccion_mani[produccion_tm]))</f>
        <v>208100</v>
      </c>
      <c r="D96" s="31" cm="1">
        <f t="array" ref="D96">SUM(IF((Produccion_mani[provincia_nombre]=D$29)*(Produccion_mani[campania]=A96),Produccion_mani[produccion_tm]))</f>
        <v>0</v>
      </c>
      <c r="E96" s="31" cm="1">
        <f t="array" ref="E96">SUM(IF((Produccion_mani[provincia_nombre]=E$29)*(Produccion_mani[campania]=A96),Produccion_mani[produccion_tm]))</f>
        <v>0</v>
      </c>
      <c r="F96" s="31" cm="1">
        <f t="array" ref="F96">SUM(IF((Produccion_mani[provincia_nombre]=F$29)*(Produccion_mani[campania]=A96),Produccion_mani[produccion_tm]))</f>
        <v>0</v>
      </c>
      <c r="G96" s="31" cm="1">
        <f t="array" ref="G96">SUM(IF((Produccion_mani[provincia_nombre]=G$29)*(Produccion_mani[campania]=A96),Produccion_mani[produccion_tm]))</f>
        <v>0</v>
      </c>
      <c r="H96" s="31" cm="1">
        <f t="array" ref="H96">SUM(IF((Produccion_mani[provincia_nombre]=H$29)*(Produccion_mani[campania]=A96),Produccion_mani[produccion_tm]))</f>
        <v>0</v>
      </c>
      <c r="I96" s="31" cm="1">
        <f t="array" ref="I96">SUM(IF((Produccion_mani[provincia_nombre]=I$29)*(Produccion_mani[campania]=A96),Produccion_mani[produccion_tm]))</f>
        <v>0</v>
      </c>
      <c r="J96" s="31" cm="1">
        <f t="array" ref="J96">SUM(IF((Produccion_mani[provincia_nombre]=J$29)*(Produccion_mani[campania]=A96),Produccion_mani[produccion_tm]))</f>
        <v>0</v>
      </c>
      <c r="K96" s="31" cm="1">
        <f t="array" ref="K96">SUM(IF((Produccion_mani[provincia_nombre]=K$29)*(Produccion_mani[campania]=A96),Produccion_mani[produccion_tm]))</f>
        <v>0</v>
      </c>
      <c r="L96" s="31" cm="1">
        <f t="array" ref="L96">SUM(IF((Produccion_mani[provincia_nombre]=L$29)*(Produccion_mani[campania]=A96),Produccion_mani[produccion_tm]))</f>
        <v>0</v>
      </c>
      <c r="M96" s="31" cm="1">
        <f t="array" ref="M96">SUM(IF((Produccion_mani[provincia_nombre]=M$29)*(Produccion_mani[campania]=A96),Produccion_mani[produccion_tm]))</f>
        <v>0</v>
      </c>
      <c r="N96" s="31" cm="1">
        <f t="array" ref="N96">SUM(IF((Produccion_mani[provincia_nombre]=N$29)*(Produccion_mani[campania]=A96),Produccion_mani[produccion_tm]))</f>
        <v>0</v>
      </c>
      <c r="O96" s="31" cm="1">
        <f t="array" ref="O96">SUM(IF((Produccion_mani[provincia_nombre]=O$29)*(Produccion_mani[campania]=A96),Produccion_mani[produccion_tm]))</f>
        <v>0</v>
      </c>
      <c r="P96" s="31" cm="1">
        <f t="array" ref="P96">SUM(IF((Produccion_mani[provincia_nombre]=P$29)*(Produccion_mani[campania]=A96),Produccion_mani[produccion_tm]))</f>
        <v>0</v>
      </c>
      <c r="Q96" s="31" cm="1">
        <f t="array" ref="Q96">SUM(IF((Produccion_mani[provincia_nombre]=Q$29)*(Produccion_mani[campania]=A96),Produccion_mani[produccion_tm]))</f>
        <v>0</v>
      </c>
      <c r="R96" s="31" cm="1">
        <f t="array" ref="R96">SUM(IF((Produccion_mani[provincia_nombre]=R$29)*(Produccion_mani[campania]=A96),Produccion_mani[produccion_tm]))</f>
        <v>0</v>
      </c>
      <c r="S96" s="31" cm="1">
        <f t="array" ref="S96">SUM(IF((Produccion_mani[provincia_nombre]=S$29)*(Produccion_mani[campania]=A96),Produccion_mani[produccion_tm]))</f>
        <v>0</v>
      </c>
    </row>
    <row r="97" spans="1:19" x14ac:dyDescent="0.25">
      <c r="A97" s="23" t="str">
        <v>1994/1995</v>
      </c>
      <c r="B97" s="31" cm="1">
        <f t="array" ref="B97">SUM(IF((Produccion_mani[provincia_nombre]=B$29)*(Produccion_mani[campania]=A97),Produccion_mani[produccion_tm]))</f>
        <v>0</v>
      </c>
      <c r="C97" s="31" cm="1">
        <f t="array" ref="C97">SUM(IF((Produccion_mani[provincia_nombre]=C$29)*(Produccion_mani[campania]=A97),Produccion_mani[produccion_tm]))</f>
        <v>237400</v>
      </c>
      <c r="D97" s="31" cm="1">
        <f t="array" ref="D97">SUM(IF((Produccion_mani[provincia_nombre]=D$29)*(Produccion_mani[campania]=A97),Produccion_mani[produccion_tm]))</f>
        <v>247</v>
      </c>
      <c r="E97" s="31" cm="1">
        <f t="array" ref="E97">SUM(IF((Produccion_mani[provincia_nombre]=E$29)*(Produccion_mani[campania]=A97),Produccion_mani[produccion_tm]))</f>
        <v>0</v>
      </c>
      <c r="F97" s="31" cm="1">
        <f t="array" ref="F97">SUM(IF((Produccion_mani[provincia_nombre]=F$29)*(Produccion_mani[campania]=A97),Produccion_mani[produccion_tm]))</f>
        <v>0</v>
      </c>
      <c r="G97" s="31" cm="1">
        <f t="array" ref="G97">SUM(IF((Produccion_mani[provincia_nombre]=G$29)*(Produccion_mani[campania]=A97),Produccion_mani[produccion_tm]))</f>
        <v>0</v>
      </c>
      <c r="H97" s="31" cm="1">
        <f t="array" ref="H97">SUM(IF((Produccion_mani[provincia_nombre]=H$29)*(Produccion_mani[campania]=A97),Produccion_mani[produccion_tm]))</f>
        <v>0</v>
      </c>
      <c r="I97" s="31" cm="1">
        <f t="array" ref="I97">SUM(IF((Produccion_mani[provincia_nombre]=I$29)*(Produccion_mani[campania]=A97),Produccion_mani[produccion_tm]))</f>
        <v>0</v>
      </c>
      <c r="J97" s="31" cm="1">
        <f t="array" ref="J97">SUM(IF((Produccion_mani[provincia_nombre]=J$29)*(Produccion_mani[campania]=A97),Produccion_mani[produccion_tm]))</f>
        <v>0</v>
      </c>
      <c r="K97" s="31" cm="1">
        <f t="array" ref="K97">SUM(IF((Produccion_mani[provincia_nombre]=K$29)*(Produccion_mani[campania]=A97),Produccion_mani[produccion_tm]))</f>
        <v>0</v>
      </c>
      <c r="L97" s="31" cm="1">
        <f t="array" ref="L97">SUM(IF((Produccion_mani[provincia_nombre]=L$29)*(Produccion_mani[campania]=A97),Produccion_mani[produccion_tm]))</f>
        <v>0</v>
      </c>
      <c r="M97" s="31" cm="1">
        <f t="array" ref="M97">SUM(IF((Produccion_mani[provincia_nombre]=M$29)*(Produccion_mani[campania]=A97),Produccion_mani[produccion_tm]))</f>
        <v>170</v>
      </c>
      <c r="N97" s="31" cm="1">
        <f t="array" ref="N97">SUM(IF((Produccion_mani[provincia_nombre]=N$29)*(Produccion_mani[campania]=A97),Produccion_mani[produccion_tm]))</f>
        <v>0</v>
      </c>
      <c r="O97" s="31" cm="1">
        <f t="array" ref="O97">SUM(IF((Produccion_mani[provincia_nombre]=O$29)*(Produccion_mani[campania]=A97),Produccion_mani[produccion_tm]))</f>
        <v>0</v>
      </c>
      <c r="P97" s="31" cm="1">
        <f t="array" ref="P97">SUM(IF((Produccion_mani[provincia_nombre]=P$29)*(Produccion_mani[campania]=A97),Produccion_mani[produccion_tm]))</f>
        <v>0</v>
      </c>
      <c r="Q97" s="31" cm="1">
        <f t="array" ref="Q97">SUM(IF((Produccion_mani[provincia_nombre]=Q$29)*(Produccion_mani[campania]=A97),Produccion_mani[produccion_tm]))</f>
        <v>0</v>
      </c>
      <c r="R97" s="31" cm="1">
        <f t="array" ref="R97">SUM(IF((Produccion_mani[provincia_nombre]=R$29)*(Produccion_mani[campania]=A97),Produccion_mani[produccion_tm]))</f>
        <v>0</v>
      </c>
      <c r="S97" s="31" cm="1">
        <f t="array" ref="S97">SUM(IF((Produccion_mani[provincia_nombre]=S$29)*(Produccion_mani[campania]=A97),Produccion_mani[produccion_tm]))</f>
        <v>0</v>
      </c>
    </row>
    <row r="98" spans="1:19" x14ac:dyDescent="0.25">
      <c r="A98" s="23" t="str">
        <v>1995/1996</v>
      </c>
      <c r="B98" s="31" cm="1">
        <f t="array" ref="B98">SUM(IF((Produccion_mani[provincia_nombre]=B$29)*(Produccion_mani[campania]=A98),Produccion_mani[produccion_tm]))</f>
        <v>0</v>
      </c>
      <c r="C98" s="31" cm="1">
        <f t="array" ref="C98">SUM(IF((Produccion_mani[provincia_nombre]=C$29)*(Produccion_mani[campania]=A98),Produccion_mani[produccion_tm]))</f>
        <v>461950</v>
      </c>
      <c r="D98" s="31" cm="1">
        <f t="array" ref="D98">SUM(IF((Produccion_mani[provincia_nombre]=D$29)*(Produccion_mani[campania]=A98),Produccion_mani[produccion_tm]))</f>
        <v>140</v>
      </c>
      <c r="E98" s="31" cm="1">
        <f t="array" ref="E98">SUM(IF((Produccion_mani[provincia_nombre]=E$29)*(Produccion_mani[campania]=A98),Produccion_mani[produccion_tm]))</f>
        <v>0</v>
      </c>
      <c r="F98" s="31" cm="1">
        <f t="array" ref="F98">SUM(IF((Produccion_mani[provincia_nombre]=F$29)*(Produccion_mani[campania]=A98),Produccion_mani[produccion_tm]))</f>
        <v>0</v>
      </c>
      <c r="G98" s="31" cm="1">
        <f t="array" ref="G98">SUM(IF((Produccion_mani[provincia_nombre]=G$29)*(Produccion_mani[campania]=A98),Produccion_mani[produccion_tm]))</f>
        <v>0</v>
      </c>
      <c r="H98" s="31" cm="1">
        <f t="array" ref="H98">SUM(IF((Produccion_mani[provincia_nombre]=H$29)*(Produccion_mani[campania]=A98),Produccion_mani[produccion_tm]))</f>
        <v>0</v>
      </c>
      <c r="I98" s="31" cm="1">
        <f t="array" ref="I98">SUM(IF((Produccion_mani[provincia_nombre]=I$29)*(Produccion_mani[campania]=A98),Produccion_mani[produccion_tm]))</f>
        <v>0</v>
      </c>
      <c r="J98" s="31" cm="1">
        <f t="array" ref="J98">SUM(IF((Produccion_mani[provincia_nombre]=J$29)*(Produccion_mani[campania]=A98),Produccion_mani[produccion_tm]))</f>
        <v>0</v>
      </c>
      <c r="K98" s="31" cm="1">
        <f t="array" ref="K98">SUM(IF((Produccion_mani[provincia_nombre]=K$29)*(Produccion_mani[campania]=A98),Produccion_mani[produccion_tm]))</f>
        <v>0</v>
      </c>
      <c r="L98" s="31" cm="1">
        <f t="array" ref="L98">SUM(IF((Produccion_mani[provincia_nombre]=L$29)*(Produccion_mani[campania]=A98),Produccion_mani[produccion_tm]))</f>
        <v>0</v>
      </c>
      <c r="M98" s="31" cm="1">
        <f t="array" ref="M98">SUM(IF((Produccion_mani[provincia_nombre]=M$29)*(Produccion_mani[campania]=A98),Produccion_mani[produccion_tm]))</f>
        <v>300</v>
      </c>
      <c r="N98" s="31" cm="1">
        <f t="array" ref="N98">SUM(IF((Produccion_mani[provincia_nombre]=N$29)*(Produccion_mani[campania]=A98),Produccion_mani[produccion_tm]))</f>
        <v>0</v>
      </c>
      <c r="O98" s="31" cm="1">
        <f t="array" ref="O98">SUM(IF((Produccion_mani[provincia_nombre]=O$29)*(Produccion_mani[campania]=A98),Produccion_mani[produccion_tm]))</f>
        <v>0</v>
      </c>
      <c r="P98" s="31" cm="1">
        <f t="array" ref="P98">SUM(IF((Produccion_mani[provincia_nombre]=P$29)*(Produccion_mani[campania]=A98),Produccion_mani[produccion_tm]))</f>
        <v>0</v>
      </c>
      <c r="Q98" s="31" cm="1">
        <f t="array" ref="Q98">SUM(IF((Produccion_mani[provincia_nombre]=Q$29)*(Produccion_mani[campania]=A98),Produccion_mani[produccion_tm]))</f>
        <v>0</v>
      </c>
      <c r="R98" s="31" cm="1">
        <f t="array" ref="R98">SUM(IF((Produccion_mani[provincia_nombre]=R$29)*(Produccion_mani[campania]=A98),Produccion_mani[produccion_tm]))</f>
        <v>0</v>
      </c>
      <c r="S98" s="31" cm="1">
        <f t="array" ref="S98">SUM(IF((Produccion_mani[provincia_nombre]=S$29)*(Produccion_mani[campania]=A98),Produccion_mani[produccion_tm]))</f>
        <v>0</v>
      </c>
    </row>
    <row r="99" spans="1:19" x14ac:dyDescent="0.25">
      <c r="A99" s="23" t="str">
        <v>1996/1997</v>
      </c>
      <c r="B99" s="31" cm="1">
        <f t="array" ref="B99">SUM(IF((Produccion_mani[provincia_nombre]=B$29)*(Produccion_mani[campania]=A99),Produccion_mani[produccion_tm]))</f>
        <v>0</v>
      </c>
      <c r="C99" s="31" cm="1">
        <f t="array" ref="C99">SUM(IF((Produccion_mani[provincia_nombre]=C$29)*(Produccion_mani[campania]=A99),Produccion_mani[produccion_tm]))</f>
        <v>280366</v>
      </c>
      <c r="D99" s="31" cm="1">
        <f t="array" ref="D99">SUM(IF((Produccion_mani[provincia_nombre]=D$29)*(Produccion_mani[campania]=A99),Produccion_mani[produccion_tm]))</f>
        <v>170</v>
      </c>
      <c r="E99" s="31" cm="1">
        <f t="array" ref="E99">SUM(IF((Produccion_mani[provincia_nombre]=E$29)*(Produccion_mani[campania]=A99),Produccion_mani[produccion_tm]))</f>
        <v>0</v>
      </c>
      <c r="F99" s="31" cm="1">
        <f t="array" ref="F99">SUM(IF((Produccion_mani[provincia_nombre]=F$29)*(Produccion_mani[campania]=A99),Produccion_mani[produccion_tm]))</f>
        <v>0</v>
      </c>
      <c r="G99" s="31" cm="1">
        <f t="array" ref="G99">SUM(IF((Produccion_mani[provincia_nombre]=G$29)*(Produccion_mani[campania]=A99),Produccion_mani[produccion_tm]))</f>
        <v>0</v>
      </c>
      <c r="H99" s="31" cm="1">
        <f t="array" ref="H99">SUM(IF((Produccion_mani[provincia_nombre]=H$29)*(Produccion_mani[campania]=A99),Produccion_mani[produccion_tm]))</f>
        <v>0</v>
      </c>
      <c r="I99" s="31" cm="1">
        <f t="array" ref="I99">SUM(IF((Produccion_mani[provincia_nombre]=I$29)*(Produccion_mani[campania]=A99),Produccion_mani[produccion_tm]))</f>
        <v>0</v>
      </c>
      <c r="J99" s="31" cm="1">
        <f t="array" ref="J99">SUM(IF((Produccion_mani[provincia_nombre]=J$29)*(Produccion_mani[campania]=A99),Produccion_mani[produccion_tm]))</f>
        <v>0</v>
      </c>
      <c r="K99" s="31" cm="1">
        <f t="array" ref="K99">SUM(IF((Produccion_mani[provincia_nombre]=K$29)*(Produccion_mani[campania]=A99),Produccion_mani[produccion_tm]))</f>
        <v>0</v>
      </c>
      <c r="L99" s="31" cm="1">
        <f t="array" ref="L99">SUM(IF((Produccion_mani[provincia_nombre]=L$29)*(Produccion_mani[campania]=A99),Produccion_mani[produccion_tm]))</f>
        <v>0</v>
      </c>
      <c r="M99" s="31" cm="1">
        <f t="array" ref="M99">SUM(IF((Produccion_mani[provincia_nombre]=M$29)*(Produccion_mani[campania]=A99),Produccion_mani[produccion_tm]))</f>
        <v>320</v>
      </c>
      <c r="N99" s="31" cm="1">
        <f t="array" ref="N99">SUM(IF((Produccion_mani[provincia_nombre]=N$29)*(Produccion_mani[campania]=A99),Produccion_mani[produccion_tm]))</f>
        <v>0</v>
      </c>
      <c r="O99" s="31" cm="1">
        <f t="array" ref="O99">SUM(IF((Produccion_mani[provincia_nombre]=O$29)*(Produccion_mani[campania]=A99),Produccion_mani[produccion_tm]))</f>
        <v>0</v>
      </c>
      <c r="P99" s="31" cm="1">
        <f t="array" ref="P99">SUM(IF((Produccion_mani[provincia_nombre]=P$29)*(Produccion_mani[campania]=A99),Produccion_mani[produccion_tm]))</f>
        <v>0</v>
      </c>
      <c r="Q99" s="31" cm="1">
        <f t="array" ref="Q99">SUM(IF((Produccion_mani[provincia_nombre]=Q$29)*(Produccion_mani[campania]=A99),Produccion_mani[produccion_tm]))</f>
        <v>0</v>
      </c>
      <c r="R99" s="31" cm="1">
        <f t="array" ref="R99">SUM(IF((Produccion_mani[provincia_nombre]=R$29)*(Produccion_mani[campania]=A99),Produccion_mani[produccion_tm]))</f>
        <v>0</v>
      </c>
      <c r="S99" s="31" cm="1">
        <f t="array" ref="S99">SUM(IF((Produccion_mani[provincia_nombre]=S$29)*(Produccion_mani[campania]=A99),Produccion_mani[produccion_tm]))</f>
        <v>0</v>
      </c>
    </row>
    <row r="100" spans="1:19" x14ac:dyDescent="0.25">
      <c r="A100" s="23" t="str">
        <v>1997/1998</v>
      </c>
      <c r="B100" s="31" cm="1">
        <f t="array" ref="B100">SUM(IF((Produccion_mani[provincia_nombre]=B$29)*(Produccion_mani[campania]=A100),Produccion_mani[produccion_tm]))</f>
        <v>0</v>
      </c>
      <c r="C100" s="31" cm="1">
        <f t="array" ref="C100">SUM(IF((Produccion_mani[provincia_nombre]=C$29)*(Produccion_mani[campania]=A100),Produccion_mani[produccion_tm]))</f>
        <v>626300</v>
      </c>
      <c r="D100" s="31" cm="1">
        <f t="array" ref="D100">SUM(IF((Produccion_mani[provincia_nombre]=D$29)*(Produccion_mani[campania]=A100),Produccion_mani[produccion_tm]))</f>
        <v>55</v>
      </c>
      <c r="E100" s="31" cm="1">
        <f t="array" ref="E100">SUM(IF((Produccion_mani[provincia_nombre]=E$29)*(Produccion_mani[campania]=A100),Produccion_mani[produccion_tm]))</f>
        <v>0</v>
      </c>
      <c r="F100" s="31" cm="1">
        <f t="array" ref="F100">SUM(IF((Produccion_mani[provincia_nombre]=F$29)*(Produccion_mani[campania]=A100),Produccion_mani[produccion_tm]))</f>
        <v>0</v>
      </c>
      <c r="G100" s="31" cm="1">
        <f t="array" ref="G100">SUM(IF((Produccion_mani[provincia_nombre]=G$29)*(Produccion_mani[campania]=A100),Produccion_mani[produccion_tm]))</f>
        <v>0</v>
      </c>
      <c r="H100" s="31" cm="1">
        <f t="array" ref="H100">SUM(IF((Produccion_mani[provincia_nombre]=H$29)*(Produccion_mani[campania]=A100),Produccion_mani[produccion_tm]))</f>
        <v>0</v>
      </c>
      <c r="I100" s="31" cm="1">
        <f t="array" ref="I100">SUM(IF((Produccion_mani[provincia_nombre]=I$29)*(Produccion_mani[campania]=A100),Produccion_mani[produccion_tm]))</f>
        <v>0</v>
      </c>
      <c r="J100" s="31" cm="1">
        <f t="array" ref="J100">SUM(IF((Produccion_mani[provincia_nombre]=J$29)*(Produccion_mani[campania]=A100),Produccion_mani[produccion_tm]))</f>
        <v>0</v>
      </c>
      <c r="K100" s="31" cm="1">
        <f t="array" ref="K100">SUM(IF((Produccion_mani[provincia_nombre]=K$29)*(Produccion_mani[campania]=A100),Produccion_mani[produccion_tm]))</f>
        <v>0</v>
      </c>
      <c r="L100" s="31" cm="1">
        <f t="array" ref="L100">SUM(IF((Produccion_mani[provincia_nombre]=L$29)*(Produccion_mani[campania]=A100),Produccion_mani[produccion_tm]))</f>
        <v>0</v>
      </c>
      <c r="M100" s="31" cm="1">
        <f t="array" ref="M100">SUM(IF((Produccion_mani[provincia_nombre]=M$29)*(Produccion_mani[campania]=A100),Produccion_mani[produccion_tm]))</f>
        <v>1340</v>
      </c>
      <c r="N100" s="31" cm="1">
        <f t="array" ref="N100">SUM(IF((Produccion_mani[provincia_nombre]=N$29)*(Produccion_mani[campania]=A100),Produccion_mani[produccion_tm]))</f>
        <v>0</v>
      </c>
      <c r="O100" s="31" cm="1">
        <f t="array" ref="O100">SUM(IF((Produccion_mani[provincia_nombre]=O$29)*(Produccion_mani[campania]=A100),Produccion_mani[produccion_tm]))</f>
        <v>0</v>
      </c>
      <c r="P100" s="31" cm="1">
        <f t="array" ref="P100">SUM(IF((Produccion_mani[provincia_nombre]=P$29)*(Produccion_mani[campania]=A100),Produccion_mani[produccion_tm]))</f>
        <v>0</v>
      </c>
      <c r="Q100" s="31" cm="1">
        <f t="array" ref="Q100">SUM(IF((Produccion_mani[provincia_nombre]=Q$29)*(Produccion_mani[campania]=A100),Produccion_mani[produccion_tm]))</f>
        <v>0</v>
      </c>
      <c r="R100" s="31" cm="1">
        <f t="array" ref="R100">SUM(IF((Produccion_mani[provincia_nombre]=R$29)*(Produccion_mani[campania]=A100),Produccion_mani[produccion_tm]))</f>
        <v>0</v>
      </c>
      <c r="S100" s="31" cm="1">
        <f t="array" ref="S100">SUM(IF((Produccion_mani[provincia_nombre]=S$29)*(Produccion_mani[campania]=A100),Produccion_mani[produccion_tm]))</f>
        <v>0</v>
      </c>
    </row>
    <row r="101" spans="1:19" x14ac:dyDescent="0.25">
      <c r="A101" s="23" t="str">
        <v>1998/1999</v>
      </c>
      <c r="B101" s="31" cm="1">
        <f t="array" ref="B101">SUM(IF((Produccion_mani[provincia_nombre]=B$29)*(Produccion_mani[campania]=A101),Produccion_mani[produccion_tm]))</f>
        <v>0</v>
      </c>
      <c r="C101" s="31" cm="1">
        <f t="array" ref="C101">SUM(IF((Produccion_mani[provincia_nombre]=C$29)*(Produccion_mani[campania]=A101),Produccion_mani[produccion_tm]))</f>
        <v>339300</v>
      </c>
      <c r="D101" s="31" cm="1">
        <f t="array" ref="D101">SUM(IF((Produccion_mani[provincia_nombre]=D$29)*(Produccion_mani[campania]=A101),Produccion_mani[produccion_tm]))</f>
        <v>187</v>
      </c>
      <c r="E101" s="31" cm="1">
        <f t="array" ref="E101">SUM(IF((Produccion_mani[provincia_nombre]=E$29)*(Produccion_mani[campania]=A101),Produccion_mani[produccion_tm]))</f>
        <v>0</v>
      </c>
      <c r="F101" s="31" cm="1">
        <f t="array" ref="F101">SUM(IF((Produccion_mani[provincia_nombre]=F$29)*(Produccion_mani[campania]=A101),Produccion_mani[produccion_tm]))</f>
        <v>0</v>
      </c>
      <c r="G101" s="31" cm="1">
        <f t="array" ref="G101">SUM(IF((Produccion_mani[provincia_nombre]=G$29)*(Produccion_mani[campania]=A101),Produccion_mani[produccion_tm]))</f>
        <v>0</v>
      </c>
      <c r="H101" s="31" cm="1">
        <f t="array" ref="H101">SUM(IF((Produccion_mani[provincia_nombre]=H$29)*(Produccion_mani[campania]=A101),Produccion_mani[produccion_tm]))</f>
        <v>0</v>
      </c>
      <c r="I101" s="31" cm="1">
        <f t="array" ref="I101">SUM(IF((Produccion_mani[provincia_nombre]=I$29)*(Produccion_mani[campania]=A101),Produccion_mani[produccion_tm]))</f>
        <v>0</v>
      </c>
      <c r="J101" s="31" cm="1">
        <f t="array" ref="J101">SUM(IF((Produccion_mani[provincia_nombre]=J$29)*(Produccion_mani[campania]=A101),Produccion_mani[produccion_tm]))</f>
        <v>0</v>
      </c>
      <c r="K101" s="31" cm="1">
        <f t="array" ref="K101">SUM(IF((Produccion_mani[provincia_nombre]=K$29)*(Produccion_mani[campania]=A101),Produccion_mani[produccion_tm]))</f>
        <v>0</v>
      </c>
      <c r="L101" s="31" cm="1">
        <f t="array" ref="L101">SUM(IF((Produccion_mani[provincia_nombre]=L$29)*(Produccion_mani[campania]=A101),Produccion_mani[produccion_tm]))</f>
        <v>0</v>
      </c>
      <c r="M101" s="31" cm="1">
        <f t="array" ref="M101">SUM(IF((Produccion_mani[provincia_nombre]=M$29)*(Produccion_mani[campania]=A101),Produccion_mani[produccion_tm]))</f>
        <v>720</v>
      </c>
      <c r="N101" s="31" cm="1">
        <f t="array" ref="N101">SUM(IF((Produccion_mani[provincia_nombre]=N$29)*(Produccion_mani[campania]=A101),Produccion_mani[produccion_tm]))</f>
        <v>0</v>
      </c>
      <c r="O101" s="31" cm="1">
        <f t="array" ref="O101">SUM(IF((Produccion_mani[provincia_nombre]=O$29)*(Produccion_mani[campania]=A101),Produccion_mani[produccion_tm]))</f>
        <v>0</v>
      </c>
      <c r="P101" s="31" cm="1">
        <f t="array" ref="P101">SUM(IF((Produccion_mani[provincia_nombre]=P$29)*(Produccion_mani[campania]=A101),Produccion_mani[produccion_tm]))</f>
        <v>0</v>
      </c>
      <c r="Q101" s="31" cm="1">
        <f t="array" ref="Q101">SUM(IF((Produccion_mani[provincia_nombre]=Q$29)*(Produccion_mani[campania]=A101),Produccion_mani[produccion_tm]))</f>
        <v>0</v>
      </c>
      <c r="R101" s="31" cm="1">
        <f t="array" ref="R101">SUM(IF((Produccion_mani[provincia_nombre]=R$29)*(Produccion_mani[campania]=A101),Produccion_mani[produccion_tm]))</f>
        <v>0</v>
      </c>
      <c r="S101" s="31" cm="1">
        <f t="array" ref="S101">SUM(IF((Produccion_mani[provincia_nombre]=S$29)*(Produccion_mani[campania]=A101),Produccion_mani[produccion_tm]))</f>
        <v>0</v>
      </c>
    </row>
    <row r="102" spans="1:19" x14ac:dyDescent="0.25">
      <c r="A102" s="23" t="str">
        <v>1999/2000</v>
      </c>
      <c r="B102" s="31" cm="1">
        <f t="array" ref="B102">SUM(IF((Produccion_mani[provincia_nombre]=B$29)*(Produccion_mani[campania]=A102),Produccion_mani[produccion_tm]))</f>
        <v>0</v>
      </c>
      <c r="C102" s="31" cm="1">
        <f t="array" ref="C102">SUM(IF((Produccion_mani[provincia_nombre]=C$29)*(Produccion_mani[campania]=A102),Produccion_mani[produccion_tm]))</f>
        <v>418500</v>
      </c>
      <c r="D102" s="31" cm="1">
        <f t="array" ref="D102">SUM(IF((Produccion_mani[provincia_nombre]=D$29)*(Produccion_mani[campania]=A102),Produccion_mani[produccion_tm]))</f>
        <v>200</v>
      </c>
      <c r="E102" s="31" cm="1">
        <f t="array" ref="E102">SUM(IF((Produccion_mani[provincia_nombre]=E$29)*(Produccion_mani[campania]=A102),Produccion_mani[produccion_tm]))</f>
        <v>0</v>
      </c>
      <c r="F102" s="31" cm="1">
        <f t="array" ref="F102">SUM(IF((Produccion_mani[provincia_nombre]=F$29)*(Produccion_mani[campania]=A102),Produccion_mani[produccion_tm]))</f>
        <v>0</v>
      </c>
      <c r="G102" s="31" cm="1">
        <f t="array" ref="G102">SUM(IF((Produccion_mani[provincia_nombre]=G$29)*(Produccion_mani[campania]=A102),Produccion_mani[produccion_tm]))</f>
        <v>0</v>
      </c>
      <c r="H102" s="31" cm="1">
        <f t="array" ref="H102">SUM(IF((Produccion_mani[provincia_nombre]=H$29)*(Produccion_mani[campania]=A102),Produccion_mani[produccion_tm]))</f>
        <v>0</v>
      </c>
      <c r="I102" s="31" cm="1">
        <f t="array" ref="I102">SUM(IF((Produccion_mani[provincia_nombre]=I$29)*(Produccion_mani[campania]=A102),Produccion_mani[produccion_tm]))</f>
        <v>0</v>
      </c>
      <c r="J102" s="31" cm="1">
        <f t="array" ref="J102">SUM(IF((Produccion_mani[provincia_nombre]=J$29)*(Produccion_mani[campania]=A102),Produccion_mani[produccion_tm]))</f>
        <v>0</v>
      </c>
      <c r="K102" s="31" cm="1">
        <f t="array" ref="K102">SUM(IF((Produccion_mani[provincia_nombre]=K$29)*(Produccion_mani[campania]=A102),Produccion_mani[produccion_tm]))</f>
        <v>0</v>
      </c>
      <c r="L102" s="31" cm="1">
        <f t="array" ref="L102">SUM(IF((Produccion_mani[provincia_nombre]=L$29)*(Produccion_mani[campania]=A102),Produccion_mani[produccion_tm]))</f>
        <v>0</v>
      </c>
      <c r="M102" s="31" cm="1">
        <f t="array" ref="M102">SUM(IF((Produccion_mani[provincia_nombre]=M$29)*(Produccion_mani[campania]=A102),Produccion_mani[produccion_tm]))</f>
        <v>900</v>
      </c>
      <c r="N102" s="31" cm="1">
        <f t="array" ref="N102">SUM(IF((Produccion_mani[provincia_nombre]=N$29)*(Produccion_mani[campania]=A102),Produccion_mani[produccion_tm]))</f>
        <v>0</v>
      </c>
      <c r="O102" s="31" cm="1">
        <f t="array" ref="O102">SUM(IF((Produccion_mani[provincia_nombre]=O$29)*(Produccion_mani[campania]=A102),Produccion_mani[produccion_tm]))</f>
        <v>0</v>
      </c>
      <c r="P102" s="31" cm="1">
        <f t="array" ref="P102">SUM(IF((Produccion_mani[provincia_nombre]=P$29)*(Produccion_mani[campania]=A102),Produccion_mani[produccion_tm]))</f>
        <v>0</v>
      </c>
      <c r="Q102" s="31" cm="1">
        <f t="array" ref="Q102">SUM(IF((Produccion_mani[provincia_nombre]=Q$29)*(Produccion_mani[campania]=A102),Produccion_mani[produccion_tm]))</f>
        <v>0</v>
      </c>
      <c r="R102" s="31" cm="1">
        <f t="array" ref="R102">SUM(IF((Produccion_mani[provincia_nombre]=R$29)*(Produccion_mani[campania]=A102),Produccion_mani[produccion_tm]))</f>
        <v>0</v>
      </c>
      <c r="S102" s="31" cm="1">
        <f t="array" ref="S102">SUM(IF((Produccion_mani[provincia_nombre]=S$29)*(Produccion_mani[campania]=A102),Produccion_mani[produccion_tm]))</f>
        <v>0</v>
      </c>
    </row>
    <row r="103" spans="1:19" x14ac:dyDescent="0.25">
      <c r="A103" s="23" t="str">
        <v>2000/2001</v>
      </c>
      <c r="B103" s="31" cm="1">
        <f t="array" ref="B103">SUM(IF((Produccion_mani[provincia_nombre]=B$29)*(Produccion_mani[campania]=A103),Produccion_mani[produccion_tm]))</f>
        <v>0</v>
      </c>
      <c r="C103" s="31" cm="1">
        <f t="array" ref="C103">SUM(IF((Produccion_mani[provincia_nombre]=C$29)*(Produccion_mani[campania]=A103),Produccion_mani[produccion_tm]))</f>
        <v>381500</v>
      </c>
      <c r="D103" s="31" cm="1">
        <f t="array" ref="D103">SUM(IF((Produccion_mani[provincia_nombre]=D$29)*(Produccion_mani[campania]=A103),Produccion_mani[produccion_tm]))</f>
        <v>300</v>
      </c>
      <c r="E103" s="31" cm="1">
        <f t="array" ref="E103">SUM(IF((Produccion_mani[provincia_nombre]=E$29)*(Produccion_mani[campania]=A103),Produccion_mani[produccion_tm]))</f>
        <v>0</v>
      </c>
      <c r="F103" s="31" cm="1">
        <f t="array" ref="F103">SUM(IF((Produccion_mani[provincia_nombre]=F$29)*(Produccion_mani[campania]=A103),Produccion_mani[produccion_tm]))</f>
        <v>0</v>
      </c>
      <c r="G103" s="31" cm="1">
        <f t="array" ref="G103">SUM(IF((Produccion_mani[provincia_nombre]=G$29)*(Produccion_mani[campania]=A103),Produccion_mani[produccion_tm]))</f>
        <v>0</v>
      </c>
      <c r="H103" s="31" cm="1">
        <f t="array" ref="H103">SUM(IF((Produccion_mani[provincia_nombre]=H$29)*(Produccion_mani[campania]=A103),Produccion_mani[produccion_tm]))</f>
        <v>0</v>
      </c>
      <c r="I103" s="31" cm="1">
        <f t="array" ref="I103">SUM(IF((Produccion_mani[provincia_nombre]=I$29)*(Produccion_mani[campania]=A103),Produccion_mani[produccion_tm]))</f>
        <v>0</v>
      </c>
      <c r="J103" s="31" cm="1">
        <f t="array" ref="J103">SUM(IF((Produccion_mani[provincia_nombre]=J$29)*(Produccion_mani[campania]=A103),Produccion_mani[produccion_tm]))</f>
        <v>0</v>
      </c>
      <c r="K103" s="31" cm="1">
        <f t="array" ref="K103">SUM(IF((Produccion_mani[provincia_nombre]=K$29)*(Produccion_mani[campania]=A103),Produccion_mani[produccion_tm]))</f>
        <v>0</v>
      </c>
      <c r="L103" s="31" cm="1">
        <f t="array" ref="L103">SUM(IF((Produccion_mani[provincia_nombre]=L$29)*(Produccion_mani[campania]=A103),Produccion_mani[produccion_tm]))</f>
        <v>0</v>
      </c>
      <c r="M103" s="31" cm="1">
        <f t="array" ref="M103">SUM(IF((Produccion_mani[provincia_nombre]=M$29)*(Produccion_mani[campania]=A103),Produccion_mani[produccion_tm]))</f>
        <v>12600</v>
      </c>
      <c r="N103" s="31" cm="1">
        <f t="array" ref="N103">SUM(IF((Produccion_mani[provincia_nombre]=N$29)*(Produccion_mani[campania]=A103),Produccion_mani[produccion_tm]))</f>
        <v>0</v>
      </c>
      <c r="O103" s="31" cm="1">
        <f t="array" ref="O103">SUM(IF((Produccion_mani[provincia_nombre]=O$29)*(Produccion_mani[campania]=A103),Produccion_mani[produccion_tm]))</f>
        <v>400</v>
      </c>
      <c r="P103" s="31" cm="1">
        <f t="array" ref="P103">SUM(IF((Produccion_mani[provincia_nombre]=P$29)*(Produccion_mani[campania]=A103),Produccion_mani[produccion_tm]))</f>
        <v>0</v>
      </c>
      <c r="Q103" s="31" cm="1">
        <f t="array" ref="Q103">SUM(IF((Produccion_mani[provincia_nombre]=Q$29)*(Produccion_mani[campania]=A103),Produccion_mani[produccion_tm]))</f>
        <v>0</v>
      </c>
      <c r="R103" s="31" cm="1">
        <f t="array" ref="R103">SUM(IF((Produccion_mani[provincia_nombre]=R$29)*(Produccion_mani[campania]=A103),Produccion_mani[produccion_tm]))</f>
        <v>0</v>
      </c>
      <c r="S103" s="31" cm="1">
        <f t="array" ref="S103">SUM(IF((Produccion_mani[provincia_nombre]=S$29)*(Produccion_mani[campania]=A103),Produccion_mani[produccion_tm]))</f>
        <v>0</v>
      </c>
    </row>
    <row r="104" spans="1:19" x14ac:dyDescent="0.25">
      <c r="A104" s="23" t="str">
        <v>2001/2002</v>
      </c>
      <c r="B104" s="31" cm="1">
        <f t="array" ref="B104">SUM(IF((Produccion_mani[provincia_nombre]=B$29)*(Produccion_mani[campania]=A104),Produccion_mani[produccion_tm]))</f>
        <v>0</v>
      </c>
      <c r="C104" s="31" cm="1">
        <f t="array" ref="C104">SUM(IF((Produccion_mani[provincia_nombre]=C$29)*(Produccion_mani[campania]=A104),Produccion_mani[produccion_tm]))</f>
        <v>346500</v>
      </c>
      <c r="D104" s="31" cm="1">
        <f t="array" ref="D104">SUM(IF((Produccion_mani[provincia_nombre]=D$29)*(Produccion_mani[campania]=A104),Produccion_mani[produccion_tm]))</f>
        <v>900</v>
      </c>
      <c r="E104" s="31" cm="1">
        <f t="array" ref="E104">SUM(IF((Produccion_mani[provincia_nombre]=E$29)*(Produccion_mani[campania]=A104),Produccion_mani[produccion_tm]))</f>
        <v>0</v>
      </c>
      <c r="F104" s="31" cm="1">
        <f t="array" ref="F104">SUM(IF((Produccion_mani[provincia_nombre]=F$29)*(Produccion_mani[campania]=A104),Produccion_mani[produccion_tm]))</f>
        <v>1000</v>
      </c>
      <c r="G104" s="31" cm="1">
        <f t="array" ref="G104">SUM(IF((Produccion_mani[provincia_nombre]=G$29)*(Produccion_mani[campania]=A104),Produccion_mani[produccion_tm]))</f>
        <v>0</v>
      </c>
      <c r="H104" s="31" cm="1">
        <f t="array" ref="H104">SUM(IF((Produccion_mani[provincia_nombre]=H$29)*(Produccion_mani[campania]=A104),Produccion_mani[produccion_tm]))</f>
        <v>0</v>
      </c>
      <c r="I104" s="31" cm="1">
        <f t="array" ref="I104">SUM(IF((Produccion_mani[provincia_nombre]=I$29)*(Produccion_mani[campania]=A104),Produccion_mani[produccion_tm]))</f>
        <v>0</v>
      </c>
      <c r="J104" s="31" cm="1">
        <f t="array" ref="J104">SUM(IF((Produccion_mani[provincia_nombre]=J$29)*(Produccion_mani[campania]=A104),Produccion_mani[produccion_tm]))</f>
        <v>0</v>
      </c>
      <c r="K104" s="31" cm="1">
        <f t="array" ref="K104">SUM(IF((Produccion_mani[provincia_nombre]=K$29)*(Produccion_mani[campania]=A104),Produccion_mani[produccion_tm]))</f>
        <v>0</v>
      </c>
      <c r="L104" s="31" cm="1">
        <f t="array" ref="L104">SUM(IF((Produccion_mani[provincia_nombre]=L$29)*(Produccion_mani[campania]=A104),Produccion_mani[produccion_tm]))</f>
        <v>0</v>
      </c>
      <c r="M104" s="31" cm="1">
        <f t="array" ref="M104">SUM(IF((Produccion_mani[provincia_nombre]=M$29)*(Produccion_mani[campania]=A104),Produccion_mani[produccion_tm]))</f>
        <v>12000</v>
      </c>
      <c r="N104" s="31" cm="1">
        <f t="array" ref="N104">SUM(IF((Produccion_mani[provincia_nombre]=N$29)*(Produccion_mani[campania]=A104),Produccion_mani[produccion_tm]))</f>
        <v>0</v>
      </c>
      <c r="O104" s="31" cm="1">
        <f t="array" ref="O104">SUM(IF((Produccion_mani[provincia_nombre]=O$29)*(Produccion_mani[campania]=A104),Produccion_mani[produccion_tm]))</f>
        <v>1500</v>
      </c>
      <c r="P104" s="31" cm="1">
        <f t="array" ref="P104">SUM(IF((Produccion_mani[provincia_nombre]=P$29)*(Produccion_mani[campania]=A104),Produccion_mani[produccion_tm]))</f>
        <v>0</v>
      </c>
      <c r="Q104" s="31" cm="1">
        <f t="array" ref="Q104">SUM(IF((Produccion_mani[provincia_nombre]=Q$29)*(Produccion_mani[campania]=A104),Produccion_mani[produccion_tm]))</f>
        <v>0</v>
      </c>
      <c r="R104" s="31" cm="1">
        <f t="array" ref="R104">SUM(IF((Produccion_mani[provincia_nombre]=R$29)*(Produccion_mani[campania]=A104),Produccion_mani[produccion_tm]))</f>
        <v>0</v>
      </c>
      <c r="S104" s="31" cm="1">
        <f t="array" ref="S104">SUM(IF((Produccion_mani[provincia_nombre]=S$29)*(Produccion_mani[campania]=A104),Produccion_mani[produccion_tm]))</f>
        <v>0</v>
      </c>
    </row>
    <row r="105" spans="1:19" x14ac:dyDescent="0.25">
      <c r="A105" s="23" t="str">
        <v>2002/2003</v>
      </c>
      <c r="B105" s="31" cm="1">
        <f t="array" ref="B105">SUM(IF((Produccion_mani[provincia_nombre]=B$29)*(Produccion_mani[campania]=A105),Produccion_mani[produccion_tm]))</f>
        <v>0</v>
      </c>
      <c r="C105" s="31" cm="1">
        <f t="array" ref="C105">SUM(IF((Produccion_mani[provincia_nombre]=C$29)*(Produccion_mani[campania]=A105),Produccion_mani[produccion_tm]))</f>
        <v>211400</v>
      </c>
      <c r="D105" s="31" cm="1">
        <f t="array" ref="D105">SUM(IF((Produccion_mani[provincia_nombre]=D$29)*(Produccion_mani[campania]=A105),Produccion_mani[produccion_tm]))</f>
        <v>700</v>
      </c>
      <c r="E105" s="31" cm="1">
        <f t="array" ref="E105">SUM(IF((Produccion_mani[provincia_nombre]=E$29)*(Produccion_mani[campania]=A105),Produccion_mani[produccion_tm]))</f>
        <v>0</v>
      </c>
      <c r="F105" s="31" cm="1">
        <f t="array" ref="F105">SUM(IF((Produccion_mani[provincia_nombre]=F$29)*(Produccion_mani[campania]=A105),Produccion_mani[produccion_tm]))</f>
        <v>1600</v>
      </c>
      <c r="G105" s="31" cm="1">
        <f t="array" ref="G105">SUM(IF((Produccion_mani[provincia_nombre]=G$29)*(Produccion_mani[campania]=A105),Produccion_mani[produccion_tm]))</f>
        <v>0</v>
      </c>
      <c r="H105" s="31" cm="1">
        <f t="array" ref="H105">SUM(IF((Produccion_mani[provincia_nombre]=H$29)*(Produccion_mani[campania]=A105),Produccion_mani[produccion_tm]))</f>
        <v>0</v>
      </c>
      <c r="I105" s="31" cm="1">
        <f t="array" ref="I105">SUM(IF((Produccion_mani[provincia_nombre]=I$29)*(Produccion_mani[campania]=A105),Produccion_mani[produccion_tm]))</f>
        <v>0</v>
      </c>
      <c r="J105" s="31" cm="1">
        <f t="array" ref="J105">SUM(IF((Produccion_mani[provincia_nombre]=J$29)*(Produccion_mani[campania]=A105),Produccion_mani[produccion_tm]))</f>
        <v>0</v>
      </c>
      <c r="K105" s="31" cm="1">
        <f t="array" ref="K105">SUM(IF((Produccion_mani[provincia_nombre]=K$29)*(Produccion_mani[campania]=A105),Produccion_mani[produccion_tm]))</f>
        <v>0</v>
      </c>
      <c r="L105" s="31" cm="1">
        <f t="array" ref="L105">SUM(IF((Produccion_mani[provincia_nombre]=L$29)*(Produccion_mani[campania]=A105),Produccion_mani[produccion_tm]))</f>
        <v>0</v>
      </c>
      <c r="M105" s="31" cm="1">
        <f t="array" ref="M105">SUM(IF((Produccion_mani[provincia_nombre]=M$29)*(Produccion_mani[campania]=A105),Produccion_mani[produccion_tm]))</f>
        <v>6400</v>
      </c>
      <c r="N105" s="31" cm="1">
        <f t="array" ref="N105">SUM(IF((Produccion_mani[provincia_nombre]=N$29)*(Produccion_mani[campania]=A105),Produccion_mani[produccion_tm]))</f>
        <v>0</v>
      </c>
      <c r="O105" s="31" cm="1">
        <f t="array" ref="O105">SUM(IF((Produccion_mani[provincia_nombre]=O$29)*(Produccion_mani[campania]=A105),Produccion_mani[produccion_tm]))</f>
        <v>800</v>
      </c>
      <c r="P105" s="31" cm="1">
        <f t="array" ref="P105">SUM(IF((Produccion_mani[provincia_nombre]=P$29)*(Produccion_mani[campania]=A105),Produccion_mani[produccion_tm]))</f>
        <v>0</v>
      </c>
      <c r="Q105" s="31" cm="1">
        <f t="array" ref="Q105">SUM(IF((Produccion_mani[provincia_nombre]=Q$29)*(Produccion_mani[campania]=A105),Produccion_mani[produccion_tm]))</f>
        <v>0</v>
      </c>
      <c r="R105" s="31" cm="1">
        <f t="array" ref="R105">SUM(IF((Produccion_mani[provincia_nombre]=R$29)*(Produccion_mani[campania]=A105),Produccion_mani[produccion_tm]))</f>
        <v>0</v>
      </c>
      <c r="S105" s="31" cm="1">
        <f t="array" ref="S105">SUM(IF((Produccion_mani[provincia_nombre]=S$29)*(Produccion_mani[campania]=A105),Produccion_mani[produccion_tm]))</f>
        <v>0</v>
      </c>
    </row>
    <row r="106" spans="1:19" x14ac:dyDescent="0.25">
      <c r="A106" s="23" t="str">
        <v>2003/2004</v>
      </c>
      <c r="B106" s="31" cm="1">
        <f t="array" ref="B106">SUM(IF((Produccion_mani[provincia_nombre]=B$29)*(Produccion_mani[campania]=A106),Produccion_mani[produccion_tm]))</f>
        <v>0</v>
      </c>
      <c r="C106" s="31" cm="1">
        <f t="array" ref="C106">SUM(IF((Produccion_mani[provincia_nombre]=C$29)*(Produccion_mani[campania]=A106),Produccion_mani[produccion_tm]))</f>
        <v>263700</v>
      </c>
      <c r="D106" s="31" cm="1">
        <f t="array" ref="D106">SUM(IF((Produccion_mani[provincia_nombre]=D$29)*(Produccion_mani[campania]=A106),Produccion_mani[produccion_tm]))</f>
        <v>427</v>
      </c>
      <c r="E106" s="31" cm="1">
        <f t="array" ref="E106">SUM(IF((Produccion_mani[provincia_nombre]=E$29)*(Produccion_mani[campania]=A106),Produccion_mani[produccion_tm]))</f>
        <v>0</v>
      </c>
      <c r="F106" s="31" cm="1">
        <f t="array" ref="F106">SUM(IF((Produccion_mani[provincia_nombre]=F$29)*(Produccion_mani[campania]=A106),Produccion_mani[produccion_tm]))</f>
        <v>1623</v>
      </c>
      <c r="G106" s="31" cm="1">
        <f t="array" ref="G106">SUM(IF((Produccion_mani[provincia_nombre]=G$29)*(Produccion_mani[campania]=A106),Produccion_mani[produccion_tm]))</f>
        <v>0</v>
      </c>
      <c r="H106" s="31" cm="1">
        <f t="array" ref="H106">SUM(IF((Produccion_mani[provincia_nombre]=H$29)*(Produccion_mani[campania]=A106),Produccion_mani[produccion_tm]))</f>
        <v>0</v>
      </c>
      <c r="I106" s="31" cm="1">
        <f t="array" ref="I106">SUM(IF((Produccion_mani[provincia_nombre]=I$29)*(Produccion_mani[campania]=A106),Produccion_mani[produccion_tm]))</f>
        <v>1400</v>
      </c>
      <c r="J106" s="31" cm="1">
        <f t="array" ref="J106">SUM(IF((Produccion_mani[provincia_nombre]=J$29)*(Produccion_mani[campania]=A106),Produccion_mani[produccion_tm]))</f>
        <v>0</v>
      </c>
      <c r="K106" s="31" cm="1">
        <f t="array" ref="K106">SUM(IF((Produccion_mani[provincia_nombre]=K$29)*(Produccion_mani[campania]=A106),Produccion_mani[produccion_tm]))</f>
        <v>0</v>
      </c>
      <c r="L106" s="31" cm="1">
        <f t="array" ref="L106">SUM(IF((Produccion_mani[provincia_nombre]=L$29)*(Produccion_mani[campania]=A106),Produccion_mani[produccion_tm]))</f>
        <v>0</v>
      </c>
      <c r="M106" s="31" cm="1">
        <f t="array" ref="M106">SUM(IF((Produccion_mani[provincia_nombre]=M$29)*(Produccion_mani[campania]=A106),Produccion_mani[produccion_tm]))</f>
        <v>21100</v>
      </c>
      <c r="N106" s="31" cm="1">
        <f t="array" ref="N106">SUM(IF((Produccion_mani[provincia_nombre]=N$29)*(Produccion_mani[campania]=A106),Produccion_mani[produccion_tm]))</f>
        <v>0</v>
      </c>
      <c r="O106" s="31" cm="1">
        <f t="array" ref="O106">SUM(IF((Produccion_mani[provincia_nombre]=O$29)*(Produccion_mani[campania]=A106),Produccion_mani[produccion_tm]))</f>
        <v>4700</v>
      </c>
      <c r="P106" s="31" cm="1">
        <f t="array" ref="P106">SUM(IF((Produccion_mani[provincia_nombre]=P$29)*(Produccion_mani[campania]=A106),Produccion_mani[produccion_tm]))</f>
        <v>0</v>
      </c>
      <c r="Q106" s="31" cm="1">
        <f t="array" ref="Q106">SUM(IF((Produccion_mani[provincia_nombre]=Q$29)*(Produccion_mani[campania]=A106),Produccion_mani[produccion_tm]))</f>
        <v>0</v>
      </c>
      <c r="R106" s="31" cm="1">
        <f t="array" ref="R106">SUM(IF((Produccion_mani[provincia_nombre]=R$29)*(Produccion_mani[campania]=A106),Produccion_mani[produccion_tm]))</f>
        <v>0</v>
      </c>
      <c r="S106" s="31" cm="1">
        <f t="array" ref="S106">SUM(IF((Produccion_mani[provincia_nombre]=S$29)*(Produccion_mani[campania]=A106),Produccion_mani[produccion_tm]))</f>
        <v>0</v>
      </c>
    </row>
    <row r="107" spans="1:19" x14ac:dyDescent="0.25">
      <c r="A107" s="23" t="str">
        <v>2004/2005</v>
      </c>
      <c r="B107" s="31" cm="1">
        <f t="array" ref="B107">SUM(IF((Produccion_mani[provincia_nombre]=B$29)*(Produccion_mani[campania]=A107),Produccion_mani[produccion_tm]))</f>
        <v>0</v>
      </c>
      <c r="C107" s="31" cm="1">
        <f t="array" ref="C107">SUM(IF((Produccion_mani[provincia_nombre]=C$29)*(Produccion_mani[campania]=A107),Produccion_mani[produccion_tm]))</f>
        <v>418300</v>
      </c>
      <c r="D107" s="31" cm="1">
        <f t="array" ref="D107">SUM(IF((Produccion_mani[provincia_nombre]=D$29)*(Produccion_mani[campania]=A107),Produccion_mani[produccion_tm]))</f>
        <v>800</v>
      </c>
      <c r="E107" s="31" cm="1">
        <f t="array" ref="E107">SUM(IF((Produccion_mani[provincia_nombre]=E$29)*(Produccion_mani[campania]=A107),Produccion_mani[produccion_tm]))</f>
        <v>0</v>
      </c>
      <c r="F107" s="31" cm="1">
        <f t="array" ref="F107">SUM(IF((Produccion_mani[provincia_nombre]=F$29)*(Produccion_mani[campania]=A107),Produccion_mani[produccion_tm]))</f>
        <v>2500</v>
      </c>
      <c r="G107" s="31" cm="1">
        <f t="array" ref="G107">SUM(IF((Produccion_mani[provincia_nombre]=G$29)*(Produccion_mani[campania]=A107),Produccion_mani[produccion_tm]))</f>
        <v>1600</v>
      </c>
      <c r="H107" s="31" cm="1">
        <f t="array" ref="H107">SUM(IF((Produccion_mani[provincia_nombre]=H$29)*(Produccion_mani[campania]=A107),Produccion_mani[produccion_tm]))</f>
        <v>0</v>
      </c>
      <c r="I107" s="31" cm="1">
        <f t="array" ref="I107">SUM(IF((Produccion_mani[provincia_nombre]=I$29)*(Produccion_mani[campania]=A107),Produccion_mani[produccion_tm]))</f>
        <v>2300</v>
      </c>
      <c r="J107" s="31" cm="1">
        <f t="array" ref="J107">SUM(IF((Produccion_mani[provincia_nombre]=J$29)*(Produccion_mani[campania]=A107),Produccion_mani[produccion_tm]))</f>
        <v>0</v>
      </c>
      <c r="K107" s="31" cm="1">
        <f t="array" ref="K107">SUM(IF((Produccion_mani[provincia_nombre]=K$29)*(Produccion_mani[campania]=A107),Produccion_mani[produccion_tm]))</f>
        <v>0</v>
      </c>
      <c r="L107" s="31" cm="1">
        <f t="array" ref="L107">SUM(IF((Produccion_mani[provincia_nombre]=L$29)*(Produccion_mani[campania]=A107),Produccion_mani[produccion_tm]))</f>
        <v>0</v>
      </c>
      <c r="M107" s="31" cm="1">
        <f t="array" ref="M107">SUM(IF((Produccion_mani[provincia_nombre]=M$29)*(Produccion_mani[campania]=A107),Produccion_mani[produccion_tm]))</f>
        <v>13100</v>
      </c>
      <c r="N107" s="31" cm="1">
        <f t="array" ref="N107">SUM(IF((Produccion_mani[provincia_nombre]=N$29)*(Produccion_mani[campania]=A107),Produccion_mani[produccion_tm]))</f>
        <v>0</v>
      </c>
      <c r="O107" s="31" cm="1">
        <f t="array" ref="O107">SUM(IF((Produccion_mani[provincia_nombre]=O$29)*(Produccion_mani[campania]=A107),Produccion_mani[produccion_tm]))</f>
        <v>6200</v>
      </c>
      <c r="P107" s="31" cm="1">
        <f t="array" ref="P107">SUM(IF((Produccion_mani[provincia_nombre]=P$29)*(Produccion_mani[campania]=A107),Produccion_mani[produccion_tm]))</f>
        <v>0</v>
      </c>
      <c r="Q107" s="31" cm="1">
        <f t="array" ref="Q107">SUM(IF((Produccion_mani[provincia_nombre]=Q$29)*(Produccion_mani[campania]=A107),Produccion_mani[produccion_tm]))</f>
        <v>0</v>
      </c>
      <c r="R107" s="31" cm="1">
        <f t="array" ref="R107">SUM(IF((Produccion_mani[provincia_nombre]=R$29)*(Produccion_mani[campania]=A107),Produccion_mani[produccion_tm]))</f>
        <v>0</v>
      </c>
      <c r="S107" s="31" cm="1">
        <f t="array" ref="S107">SUM(IF((Produccion_mani[provincia_nombre]=S$29)*(Produccion_mani[campania]=A107),Produccion_mani[produccion_tm]))</f>
        <v>0</v>
      </c>
    </row>
    <row r="108" spans="1:19" x14ac:dyDescent="0.25">
      <c r="A108" s="23" t="str">
        <v>2005/2006</v>
      </c>
      <c r="B108" s="31" cm="1">
        <f t="array" ref="B108">SUM(IF((Produccion_mani[provincia_nombre]=B$29)*(Produccion_mani[campania]=A108),Produccion_mani[produccion_tm]))</f>
        <v>0</v>
      </c>
      <c r="C108" s="31" cm="1">
        <f t="array" ref="C108">SUM(IF((Produccion_mani[provincia_nombre]=C$29)*(Produccion_mani[campania]=A108),Produccion_mani[produccion_tm]))</f>
        <v>320400</v>
      </c>
      <c r="D108" s="31" cm="1">
        <f t="array" ref="D108">SUM(IF((Produccion_mani[provincia_nombre]=D$29)*(Produccion_mani[campania]=A108),Produccion_mani[produccion_tm]))</f>
        <v>103</v>
      </c>
      <c r="E108" s="31" cm="1">
        <f t="array" ref="E108">SUM(IF((Produccion_mani[provincia_nombre]=E$29)*(Produccion_mani[campania]=A108),Produccion_mani[produccion_tm]))</f>
        <v>0</v>
      </c>
      <c r="F108" s="31" cm="1">
        <f t="array" ref="F108">SUM(IF((Produccion_mani[provincia_nombre]=F$29)*(Produccion_mani[campania]=A108),Produccion_mani[produccion_tm]))</f>
        <v>2800</v>
      </c>
      <c r="G108" s="31" cm="1">
        <f t="array" ref="G108">SUM(IF((Produccion_mani[provincia_nombre]=G$29)*(Produccion_mani[campania]=A108),Produccion_mani[produccion_tm]))</f>
        <v>600</v>
      </c>
      <c r="H108" s="31" cm="1">
        <f t="array" ref="H108">SUM(IF((Produccion_mani[provincia_nombre]=H$29)*(Produccion_mani[campania]=A108),Produccion_mani[produccion_tm]))</f>
        <v>0</v>
      </c>
      <c r="I108" s="31" cm="1">
        <f t="array" ref="I108">SUM(IF((Produccion_mani[provincia_nombre]=I$29)*(Produccion_mani[campania]=A108),Produccion_mani[produccion_tm]))</f>
        <v>2030</v>
      </c>
      <c r="J108" s="31" cm="1">
        <f t="array" ref="J108">SUM(IF((Produccion_mani[provincia_nombre]=J$29)*(Produccion_mani[campania]=A108),Produccion_mani[produccion_tm]))</f>
        <v>0</v>
      </c>
      <c r="K108" s="31" cm="1">
        <f t="array" ref="K108">SUM(IF((Produccion_mani[provincia_nombre]=K$29)*(Produccion_mani[campania]=A108),Produccion_mani[produccion_tm]))</f>
        <v>0</v>
      </c>
      <c r="L108" s="31" cm="1">
        <f t="array" ref="L108">SUM(IF((Produccion_mani[provincia_nombre]=L$29)*(Produccion_mani[campania]=A108),Produccion_mani[produccion_tm]))</f>
        <v>0</v>
      </c>
      <c r="M108" s="31" cm="1">
        <f t="array" ref="M108">SUM(IF((Produccion_mani[provincia_nombre]=M$29)*(Produccion_mani[campania]=A108),Produccion_mani[produccion_tm]))</f>
        <v>8000</v>
      </c>
      <c r="N108" s="31" cm="1">
        <f t="array" ref="N108">SUM(IF((Produccion_mani[provincia_nombre]=N$29)*(Produccion_mani[campania]=A108),Produccion_mani[produccion_tm]))</f>
        <v>0</v>
      </c>
      <c r="O108" s="31" cm="1">
        <f t="array" ref="O108">SUM(IF((Produccion_mani[provincia_nombre]=O$29)*(Produccion_mani[campania]=A108),Produccion_mani[produccion_tm]))</f>
        <v>13390</v>
      </c>
      <c r="P108" s="31" cm="1">
        <f t="array" ref="P108">SUM(IF((Produccion_mani[provincia_nombre]=P$29)*(Produccion_mani[campania]=A108),Produccion_mani[produccion_tm]))</f>
        <v>0</v>
      </c>
      <c r="Q108" s="31" cm="1">
        <f t="array" ref="Q108">SUM(IF((Produccion_mani[provincia_nombre]=Q$29)*(Produccion_mani[campania]=A108),Produccion_mani[produccion_tm]))</f>
        <v>0</v>
      </c>
      <c r="R108" s="31" cm="1">
        <f t="array" ref="R108">SUM(IF((Produccion_mani[provincia_nombre]=R$29)*(Produccion_mani[campania]=A108),Produccion_mani[produccion_tm]))</f>
        <v>0</v>
      </c>
      <c r="S108" s="31" cm="1">
        <f t="array" ref="S108">SUM(IF((Produccion_mani[provincia_nombre]=S$29)*(Produccion_mani[campania]=A108),Produccion_mani[produccion_tm]))</f>
        <v>0</v>
      </c>
    </row>
    <row r="109" spans="1:19" x14ac:dyDescent="0.25">
      <c r="A109" s="23" t="str">
        <v>2006/2007</v>
      </c>
      <c r="B109" s="31" cm="1">
        <f t="array" ref="B109">SUM(IF((Produccion_mani[provincia_nombre]=B$29)*(Produccion_mani[campania]=A109),Produccion_mani[produccion_tm]))</f>
        <v>0</v>
      </c>
      <c r="C109" s="31" cm="1">
        <f t="array" ref="C109">SUM(IF((Produccion_mani[provincia_nombre]=C$29)*(Produccion_mani[campania]=A109),Produccion_mani[produccion_tm]))</f>
        <v>561800</v>
      </c>
      <c r="D109" s="31" cm="1">
        <f t="array" ref="D109">SUM(IF((Produccion_mani[provincia_nombre]=D$29)*(Produccion_mani[campania]=A109),Produccion_mani[produccion_tm]))</f>
        <v>0</v>
      </c>
      <c r="E109" s="31" cm="1">
        <f t="array" ref="E109">SUM(IF((Produccion_mani[provincia_nombre]=E$29)*(Produccion_mani[campania]=A109),Produccion_mani[produccion_tm]))</f>
        <v>0</v>
      </c>
      <c r="F109" s="31" cm="1">
        <f t="array" ref="F109">SUM(IF((Produccion_mani[provincia_nombre]=F$29)*(Produccion_mani[campania]=A109),Produccion_mani[produccion_tm]))</f>
        <v>3295</v>
      </c>
      <c r="G109" s="31" cm="1">
        <f t="array" ref="G109">SUM(IF((Produccion_mani[provincia_nombre]=G$29)*(Produccion_mani[campania]=A109),Produccion_mani[produccion_tm]))</f>
        <v>900</v>
      </c>
      <c r="H109" s="31" cm="1">
        <f t="array" ref="H109">SUM(IF((Produccion_mani[provincia_nombre]=H$29)*(Produccion_mani[campania]=A109),Produccion_mani[produccion_tm]))</f>
        <v>0</v>
      </c>
      <c r="I109" s="31" cm="1">
        <f t="array" ref="I109">SUM(IF((Produccion_mani[provincia_nombre]=I$29)*(Produccion_mani[campania]=A109),Produccion_mani[produccion_tm]))</f>
        <v>750</v>
      </c>
      <c r="J109" s="31" cm="1">
        <f t="array" ref="J109">SUM(IF((Produccion_mani[provincia_nombre]=J$29)*(Produccion_mani[campania]=A109),Produccion_mani[produccion_tm]))</f>
        <v>0</v>
      </c>
      <c r="K109" s="31" cm="1">
        <f t="array" ref="K109">SUM(IF((Produccion_mani[provincia_nombre]=K$29)*(Produccion_mani[campania]=A109),Produccion_mani[produccion_tm]))</f>
        <v>0</v>
      </c>
      <c r="L109" s="31" cm="1">
        <f t="array" ref="L109">SUM(IF((Produccion_mani[provincia_nombre]=L$29)*(Produccion_mani[campania]=A109),Produccion_mani[produccion_tm]))</f>
        <v>0</v>
      </c>
      <c r="M109" s="31" cm="1">
        <f t="array" ref="M109">SUM(IF((Produccion_mani[provincia_nombre]=M$29)*(Produccion_mani[campania]=A109),Produccion_mani[produccion_tm]))</f>
        <v>8500</v>
      </c>
      <c r="N109" s="31" cm="1">
        <f t="array" ref="N109">SUM(IF((Produccion_mani[provincia_nombre]=N$29)*(Produccion_mani[campania]=A109),Produccion_mani[produccion_tm]))</f>
        <v>0</v>
      </c>
      <c r="O109" s="31" cm="1">
        <f t="array" ref="O109">SUM(IF((Produccion_mani[provincia_nombre]=O$29)*(Produccion_mani[campania]=A109),Produccion_mani[produccion_tm]))</f>
        <v>8540</v>
      </c>
      <c r="P109" s="31" cm="1">
        <f t="array" ref="P109">SUM(IF((Produccion_mani[provincia_nombre]=P$29)*(Produccion_mani[campania]=A109),Produccion_mani[produccion_tm]))</f>
        <v>0</v>
      </c>
      <c r="Q109" s="31" cm="1">
        <f t="array" ref="Q109">SUM(IF((Produccion_mani[provincia_nombre]=Q$29)*(Produccion_mani[campania]=A109),Produccion_mani[produccion_tm]))</f>
        <v>0</v>
      </c>
      <c r="R109" s="31" cm="1">
        <f t="array" ref="R109">SUM(IF((Produccion_mani[provincia_nombre]=R$29)*(Produccion_mani[campania]=A109),Produccion_mani[produccion_tm]))</f>
        <v>16250</v>
      </c>
      <c r="S109" s="31" cm="1">
        <f t="array" ref="S109">SUM(IF((Produccion_mani[provincia_nombre]=S$29)*(Produccion_mani[campania]=A109),Produccion_mani[produccion_tm]))</f>
        <v>0</v>
      </c>
    </row>
    <row r="110" spans="1:19" x14ac:dyDescent="0.25">
      <c r="A110" s="23" t="str">
        <v>2007/2008</v>
      </c>
      <c r="B110" s="31" cm="1">
        <f t="array" ref="B110">SUM(IF((Produccion_mani[provincia_nombre]=B$29)*(Produccion_mani[campania]=A110),Produccion_mani[produccion_tm]))</f>
        <v>0</v>
      </c>
      <c r="C110" s="31" cm="1">
        <f t="array" ref="C110">SUM(IF((Produccion_mani[provincia_nombre]=C$29)*(Produccion_mani[campania]=A110),Produccion_mani[produccion_tm]))</f>
        <v>517090</v>
      </c>
      <c r="D110" s="31" cm="1">
        <f t="array" ref="D110">SUM(IF((Produccion_mani[provincia_nombre]=D$29)*(Produccion_mani[campania]=A110),Produccion_mani[produccion_tm]))</f>
        <v>0</v>
      </c>
      <c r="E110" s="31" cm="1">
        <f t="array" ref="E110">SUM(IF((Produccion_mani[provincia_nombre]=E$29)*(Produccion_mani[campania]=A110),Produccion_mani[produccion_tm]))</f>
        <v>0</v>
      </c>
      <c r="F110" s="31" cm="1">
        <f t="array" ref="F110">SUM(IF((Produccion_mani[provincia_nombre]=F$29)*(Produccion_mani[campania]=A110),Produccion_mani[produccion_tm]))</f>
        <v>39</v>
      </c>
      <c r="G110" s="31" cm="1">
        <f t="array" ref="G110">SUM(IF((Produccion_mani[provincia_nombre]=G$29)*(Produccion_mani[campania]=A110),Produccion_mani[produccion_tm]))</f>
        <v>800</v>
      </c>
      <c r="H110" s="31" cm="1">
        <f t="array" ref="H110">SUM(IF((Produccion_mani[provincia_nombre]=H$29)*(Produccion_mani[campania]=A110),Produccion_mani[produccion_tm]))</f>
        <v>0</v>
      </c>
      <c r="I110" s="31" cm="1">
        <f t="array" ref="I110">SUM(IF((Produccion_mani[provincia_nombre]=I$29)*(Produccion_mani[campania]=A110),Produccion_mani[produccion_tm]))</f>
        <v>1400</v>
      </c>
      <c r="J110" s="31" cm="1">
        <f t="array" ref="J110">SUM(IF((Produccion_mani[provincia_nombre]=J$29)*(Produccion_mani[campania]=A110),Produccion_mani[produccion_tm]))</f>
        <v>0</v>
      </c>
      <c r="K110" s="31" cm="1">
        <f t="array" ref="K110">SUM(IF((Produccion_mani[provincia_nombre]=K$29)*(Produccion_mani[campania]=A110),Produccion_mani[produccion_tm]))</f>
        <v>0</v>
      </c>
      <c r="L110" s="31" cm="1">
        <f t="array" ref="L110">SUM(IF((Produccion_mani[provincia_nombre]=L$29)*(Produccion_mani[campania]=A110),Produccion_mani[produccion_tm]))</f>
        <v>0</v>
      </c>
      <c r="M110" s="31" cm="1">
        <f t="array" ref="M110">SUM(IF((Produccion_mani[provincia_nombre]=M$29)*(Produccion_mani[campania]=A110),Produccion_mani[produccion_tm]))</f>
        <v>8300</v>
      </c>
      <c r="N110" s="31" cm="1">
        <f t="array" ref="N110">SUM(IF((Produccion_mani[provincia_nombre]=N$29)*(Produccion_mani[campania]=A110),Produccion_mani[produccion_tm]))</f>
        <v>0</v>
      </c>
      <c r="O110" s="31" cm="1">
        <f t="array" ref="O110">SUM(IF((Produccion_mani[provincia_nombre]=O$29)*(Produccion_mani[campania]=A110),Produccion_mani[produccion_tm]))</f>
        <v>7720</v>
      </c>
      <c r="P110" s="31" cm="1">
        <f t="array" ref="P110">SUM(IF((Produccion_mani[provincia_nombre]=P$29)*(Produccion_mani[campania]=A110),Produccion_mani[produccion_tm]))</f>
        <v>0</v>
      </c>
      <c r="Q110" s="31" cm="1">
        <f t="array" ref="Q110">SUM(IF((Produccion_mani[provincia_nombre]=Q$29)*(Produccion_mani[campania]=A110),Produccion_mani[produccion_tm]))</f>
        <v>0</v>
      </c>
      <c r="R110" s="31" cm="1">
        <f t="array" ref="R110">SUM(IF((Produccion_mani[provincia_nombre]=R$29)*(Produccion_mani[campania]=A110),Produccion_mani[produccion_tm]))</f>
        <v>90000</v>
      </c>
      <c r="S110" s="31" cm="1">
        <f t="array" ref="S110">SUM(IF((Produccion_mani[provincia_nombre]=S$29)*(Produccion_mani[campania]=A110),Produccion_mani[produccion_tm]))</f>
        <v>0</v>
      </c>
    </row>
    <row r="111" spans="1:19" x14ac:dyDescent="0.25">
      <c r="A111" s="23" t="str">
        <v>2008/2009</v>
      </c>
      <c r="B111" s="31" cm="1">
        <f t="array" ref="B111">SUM(IF((Produccion_mani[provincia_nombre]=B$29)*(Produccion_mani[campania]=A111),Produccion_mani[produccion_tm]))</f>
        <v>0</v>
      </c>
      <c r="C111" s="31" cm="1">
        <f t="array" ref="C111">SUM(IF((Produccion_mani[provincia_nombre]=C$29)*(Produccion_mani[campania]=A111),Produccion_mani[produccion_tm]))</f>
        <v>554950</v>
      </c>
      <c r="D111" s="31" cm="1">
        <f t="array" ref="D111">SUM(IF((Produccion_mani[provincia_nombre]=D$29)*(Produccion_mani[campania]=A111),Produccion_mani[produccion_tm]))</f>
        <v>0</v>
      </c>
      <c r="E111" s="31" cm="1">
        <f t="array" ref="E111">SUM(IF((Produccion_mani[provincia_nombre]=E$29)*(Produccion_mani[campania]=A111),Produccion_mani[produccion_tm]))</f>
        <v>0</v>
      </c>
      <c r="F111" s="31" cm="1">
        <f t="array" ref="F111">SUM(IF((Produccion_mani[provincia_nombre]=F$29)*(Produccion_mani[campania]=A111),Produccion_mani[produccion_tm]))</f>
        <v>0</v>
      </c>
      <c r="G111" s="31" cm="1">
        <f t="array" ref="G111">SUM(IF((Produccion_mani[provincia_nombre]=G$29)*(Produccion_mani[campania]=A111),Produccion_mani[produccion_tm]))</f>
        <v>580</v>
      </c>
      <c r="H111" s="31" cm="1">
        <f t="array" ref="H111">SUM(IF((Produccion_mani[provincia_nombre]=H$29)*(Produccion_mani[campania]=A111),Produccion_mani[produccion_tm]))</f>
        <v>0</v>
      </c>
      <c r="I111" s="31" cm="1">
        <f t="array" ref="I111">SUM(IF((Produccion_mani[provincia_nombre]=I$29)*(Produccion_mani[campania]=A111),Produccion_mani[produccion_tm]))</f>
        <v>1296</v>
      </c>
      <c r="J111" s="31" cm="1">
        <f t="array" ref="J111">SUM(IF((Produccion_mani[provincia_nombre]=J$29)*(Produccion_mani[campania]=A111),Produccion_mani[produccion_tm]))</f>
        <v>0</v>
      </c>
      <c r="K111" s="31" cm="1">
        <f t="array" ref="K111">SUM(IF((Produccion_mani[provincia_nombre]=K$29)*(Produccion_mani[campania]=A111),Produccion_mani[produccion_tm]))</f>
        <v>0</v>
      </c>
      <c r="L111" s="31" cm="1">
        <f t="array" ref="L111">SUM(IF((Produccion_mani[provincia_nombre]=L$29)*(Produccion_mani[campania]=A111),Produccion_mani[produccion_tm]))</f>
        <v>0</v>
      </c>
      <c r="M111" s="31" cm="1">
        <f t="array" ref="M111">SUM(IF((Produccion_mani[provincia_nombre]=M$29)*(Produccion_mani[campania]=A111),Produccion_mani[produccion_tm]))</f>
        <v>5900</v>
      </c>
      <c r="N111" s="31" cm="1">
        <f t="array" ref="N111">SUM(IF((Produccion_mani[provincia_nombre]=N$29)*(Produccion_mani[campania]=A111),Produccion_mani[produccion_tm]))</f>
        <v>0</v>
      </c>
      <c r="O111" s="31" cm="1">
        <f t="array" ref="O111">SUM(IF((Produccion_mani[provincia_nombre]=O$29)*(Produccion_mani[campania]=A111),Produccion_mani[produccion_tm]))</f>
        <v>12365</v>
      </c>
      <c r="P111" s="31" cm="1">
        <f t="array" ref="P111">SUM(IF((Produccion_mani[provincia_nombre]=P$29)*(Produccion_mani[campania]=A111),Produccion_mani[produccion_tm]))</f>
        <v>0</v>
      </c>
      <c r="Q111" s="31" cm="1">
        <f t="array" ref="Q111">SUM(IF((Produccion_mani[provincia_nombre]=Q$29)*(Produccion_mani[campania]=A111),Produccion_mani[produccion_tm]))</f>
        <v>0</v>
      </c>
      <c r="R111" s="31" cm="1">
        <f t="array" ref="R111">SUM(IF((Produccion_mani[provincia_nombre]=R$29)*(Produccion_mani[campania]=A111),Produccion_mani[produccion_tm]))</f>
        <v>30400</v>
      </c>
      <c r="S111" s="31" cm="1">
        <f t="array" ref="S111">SUM(IF((Produccion_mani[provincia_nombre]=S$29)*(Produccion_mani[campania]=A111),Produccion_mani[produccion_tm]))</f>
        <v>0</v>
      </c>
    </row>
    <row r="112" spans="1:19" x14ac:dyDescent="0.25">
      <c r="A112" s="23" t="str">
        <v>2009/2010</v>
      </c>
      <c r="B112" s="31" cm="1">
        <f t="array" ref="B112">SUM(IF((Produccion_mani[provincia_nombre]=B$29)*(Produccion_mani[campania]=A112),Produccion_mani[produccion_tm]))</f>
        <v>0</v>
      </c>
      <c r="C112" s="31" cm="1">
        <f t="array" ref="C112">SUM(IF((Produccion_mani[provincia_nombre]=C$29)*(Produccion_mani[campania]=A112),Produccion_mani[produccion_tm]))</f>
        <v>473185</v>
      </c>
      <c r="D112" s="31" cm="1">
        <f t="array" ref="D112">SUM(IF((Produccion_mani[provincia_nombre]=D$29)*(Produccion_mani[campania]=A112),Produccion_mani[produccion_tm]))</f>
        <v>0</v>
      </c>
      <c r="E112" s="31" cm="1">
        <f t="array" ref="E112">SUM(IF((Produccion_mani[provincia_nombre]=E$29)*(Produccion_mani[campania]=A112),Produccion_mani[produccion_tm]))</f>
        <v>0</v>
      </c>
      <c r="F112" s="31" cm="1">
        <f t="array" ref="F112">SUM(IF((Produccion_mani[provincia_nombre]=F$29)*(Produccion_mani[campania]=A112),Produccion_mani[produccion_tm]))</f>
        <v>0</v>
      </c>
      <c r="G112" s="31" cm="1">
        <f t="array" ref="G112">SUM(IF((Produccion_mani[provincia_nombre]=G$29)*(Produccion_mani[campania]=A112),Produccion_mani[produccion_tm]))</f>
        <v>745</v>
      </c>
      <c r="H112" s="31" cm="1">
        <f t="array" ref="H112">SUM(IF((Produccion_mani[provincia_nombre]=H$29)*(Produccion_mani[campania]=A112),Produccion_mani[produccion_tm]))</f>
        <v>0</v>
      </c>
      <c r="I112" s="31" cm="1">
        <f t="array" ref="I112">SUM(IF((Produccion_mani[provincia_nombre]=I$29)*(Produccion_mani[campania]=A112),Produccion_mani[produccion_tm]))</f>
        <v>225</v>
      </c>
      <c r="J112" s="31" cm="1">
        <f t="array" ref="J112">SUM(IF((Produccion_mani[provincia_nombre]=J$29)*(Produccion_mani[campania]=A112),Produccion_mani[produccion_tm]))</f>
        <v>0</v>
      </c>
      <c r="K112" s="31" cm="1">
        <f t="array" ref="K112">SUM(IF((Produccion_mani[provincia_nombre]=K$29)*(Produccion_mani[campania]=A112),Produccion_mani[produccion_tm]))</f>
        <v>0</v>
      </c>
      <c r="L112" s="31" cm="1">
        <f t="array" ref="L112">SUM(IF((Produccion_mani[provincia_nombre]=L$29)*(Produccion_mani[campania]=A112),Produccion_mani[produccion_tm]))</f>
        <v>0</v>
      </c>
      <c r="M112" s="31" cm="1">
        <f t="array" ref="M112">SUM(IF((Produccion_mani[provincia_nombre]=M$29)*(Produccion_mani[campania]=A112),Produccion_mani[produccion_tm]))</f>
        <v>8585</v>
      </c>
      <c r="N112" s="31" cm="1">
        <f t="array" ref="N112">SUM(IF((Produccion_mani[provincia_nombre]=N$29)*(Produccion_mani[campania]=A112),Produccion_mani[produccion_tm]))</f>
        <v>0</v>
      </c>
      <c r="O112" s="31" cm="1">
        <f t="array" ref="O112">SUM(IF((Produccion_mani[provincia_nombre]=O$29)*(Produccion_mani[campania]=A112),Produccion_mani[produccion_tm]))</f>
        <v>4800</v>
      </c>
      <c r="P112" s="31" cm="1">
        <f t="array" ref="P112">SUM(IF((Produccion_mani[provincia_nombre]=P$29)*(Produccion_mani[campania]=A112),Produccion_mani[produccion_tm]))</f>
        <v>0</v>
      </c>
      <c r="Q112" s="31" cm="1">
        <f t="array" ref="Q112">SUM(IF((Produccion_mani[provincia_nombre]=Q$29)*(Produccion_mani[campania]=A112),Produccion_mani[produccion_tm]))</f>
        <v>0</v>
      </c>
      <c r="R112" s="31" cm="1">
        <f t="array" ref="R112">SUM(IF((Produccion_mani[provincia_nombre]=R$29)*(Produccion_mani[campania]=A112),Produccion_mani[produccion_tm]))</f>
        <v>123500</v>
      </c>
      <c r="S112" s="31" cm="1">
        <f t="array" ref="S112">SUM(IF((Produccion_mani[provincia_nombre]=S$29)*(Produccion_mani[campania]=A112),Produccion_mani[produccion_tm]))</f>
        <v>0</v>
      </c>
    </row>
    <row r="113" spans="1:19" x14ac:dyDescent="0.25">
      <c r="A113" s="23" t="str">
        <v>2010/2011</v>
      </c>
      <c r="B113" s="31" cm="1">
        <f t="array" ref="B113">SUM(IF((Produccion_mani[provincia_nombre]=B$29)*(Produccion_mani[campania]=A113),Produccion_mani[produccion_tm]))</f>
        <v>0</v>
      </c>
      <c r="C113" s="31" cm="1">
        <f t="array" ref="C113">SUM(IF((Produccion_mani[provincia_nombre]=C$29)*(Produccion_mani[campania]=A113),Produccion_mani[produccion_tm]))</f>
        <v>576870</v>
      </c>
      <c r="D113" s="31" cm="1">
        <f t="array" ref="D113">SUM(IF((Produccion_mani[provincia_nombre]=D$29)*(Produccion_mani[campania]=A113),Produccion_mani[produccion_tm]))</f>
        <v>0</v>
      </c>
      <c r="E113" s="31" cm="1">
        <f t="array" ref="E113">SUM(IF((Produccion_mani[provincia_nombre]=E$29)*(Produccion_mani[campania]=A113),Produccion_mani[produccion_tm]))</f>
        <v>0</v>
      </c>
      <c r="F113" s="31" cm="1">
        <f t="array" ref="F113">SUM(IF((Produccion_mani[provincia_nombre]=F$29)*(Produccion_mani[campania]=A113),Produccion_mani[produccion_tm]))</f>
        <v>0</v>
      </c>
      <c r="G113" s="31" cm="1">
        <f t="array" ref="G113">SUM(IF((Produccion_mani[provincia_nombre]=G$29)*(Produccion_mani[campania]=A113),Produccion_mani[produccion_tm]))</f>
        <v>666</v>
      </c>
      <c r="H113" s="31" cm="1">
        <f t="array" ref="H113">SUM(IF((Produccion_mani[provincia_nombre]=H$29)*(Produccion_mani[campania]=A113),Produccion_mani[produccion_tm]))</f>
        <v>0</v>
      </c>
      <c r="I113" s="31" cm="1">
        <f t="array" ref="I113">SUM(IF((Produccion_mani[provincia_nombre]=I$29)*(Produccion_mani[campania]=A113),Produccion_mani[produccion_tm]))</f>
        <v>299</v>
      </c>
      <c r="J113" s="31" cm="1">
        <f t="array" ref="J113">SUM(IF((Produccion_mani[provincia_nombre]=J$29)*(Produccion_mani[campania]=A113),Produccion_mani[produccion_tm]))</f>
        <v>0</v>
      </c>
      <c r="K113" s="31" cm="1">
        <f t="array" ref="K113">SUM(IF((Produccion_mani[provincia_nombre]=K$29)*(Produccion_mani[campania]=A113),Produccion_mani[produccion_tm]))</f>
        <v>0</v>
      </c>
      <c r="L113" s="31" cm="1">
        <f t="array" ref="L113">SUM(IF((Produccion_mani[provincia_nombre]=L$29)*(Produccion_mani[campania]=A113),Produccion_mani[produccion_tm]))</f>
        <v>0</v>
      </c>
      <c r="M113" s="31" cm="1">
        <f t="array" ref="M113">SUM(IF((Produccion_mani[provincia_nombre]=M$29)*(Produccion_mani[campania]=A113),Produccion_mani[produccion_tm]))</f>
        <v>7920</v>
      </c>
      <c r="N113" s="31" cm="1">
        <f t="array" ref="N113">SUM(IF((Produccion_mani[provincia_nombre]=N$29)*(Produccion_mani[campania]=A113),Produccion_mani[produccion_tm]))</f>
        <v>0</v>
      </c>
      <c r="O113" s="31" cm="1">
        <f t="array" ref="O113">SUM(IF((Produccion_mani[provincia_nombre]=O$29)*(Produccion_mani[campania]=A113),Produccion_mani[produccion_tm]))</f>
        <v>21740</v>
      </c>
      <c r="P113" s="31" cm="1">
        <f t="array" ref="P113">SUM(IF((Produccion_mani[provincia_nombre]=P$29)*(Produccion_mani[campania]=A113),Produccion_mani[produccion_tm]))</f>
        <v>0</v>
      </c>
      <c r="Q113" s="31" cm="1">
        <f t="array" ref="Q113">SUM(IF((Produccion_mani[provincia_nombre]=Q$29)*(Produccion_mani[campania]=A113),Produccion_mani[produccion_tm]))</f>
        <v>0</v>
      </c>
      <c r="R113" s="31" cm="1">
        <f t="array" ref="R113">SUM(IF((Produccion_mani[provincia_nombre]=R$29)*(Produccion_mani[campania]=A113),Produccion_mani[produccion_tm]))</f>
        <v>94040</v>
      </c>
      <c r="S113" s="31" cm="1">
        <f t="array" ref="S113">SUM(IF((Produccion_mani[provincia_nombre]=S$29)*(Produccion_mani[campania]=A113),Produccion_mani[produccion_tm]))</f>
        <v>0</v>
      </c>
    </row>
    <row r="114" spans="1:19" x14ac:dyDescent="0.25">
      <c r="A114" s="23" t="str">
        <v>2011/2012</v>
      </c>
      <c r="B114" s="31" cm="1">
        <f t="array" ref="B114">SUM(IF((Produccion_mani[provincia_nombre]=B$29)*(Produccion_mani[campania]=A114),Produccion_mani[produccion_tm]))</f>
        <v>0</v>
      </c>
      <c r="C114" s="31" cm="1">
        <f t="array" ref="C114">SUM(IF((Produccion_mani[provincia_nombre]=C$29)*(Produccion_mani[campania]=A114),Produccion_mani[produccion_tm]))</f>
        <v>626470</v>
      </c>
      <c r="D114" s="31" cm="1">
        <f t="array" ref="D114">SUM(IF((Produccion_mani[provincia_nombre]=D$29)*(Produccion_mani[campania]=A114),Produccion_mani[produccion_tm]))</f>
        <v>0</v>
      </c>
      <c r="E114" s="31" cm="1">
        <f t="array" ref="E114">SUM(IF((Produccion_mani[provincia_nombre]=E$29)*(Produccion_mani[campania]=A114),Produccion_mani[produccion_tm]))</f>
        <v>0</v>
      </c>
      <c r="F114" s="31" cm="1">
        <f t="array" ref="F114">SUM(IF((Produccion_mani[provincia_nombre]=F$29)*(Produccion_mani[campania]=A114),Produccion_mani[produccion_tm]))</f>
        <v>0</v>
      </c>
      <c r="G114" s="31" cm="1">
        <f t="array" ref="G114">SUM(IF((Produccion_mani[provincia_nombre]=G$29)*(Produccion_mani[campania]=A114),Produccion_mani[produccion_tm]))</f>
        <v>745</v>
      </c>
      <c r="H114" s="31" cm="1">
        <f t="array" ref="H114">SUM(IF((Produccion_mani[provincia_nombre]=H$29)*(Produccion_mani[campania]=A114),Produccion_mani[produccion_tm]))</f>
        <v>0</v>
      </c>
      <c r="I114" s="31" cm="1">
        <f t="array" ref="I114">SUM(IF((Produccion_mani[provincia_nombre]=I$29)*(Produccion_mani[campania]=A114),Produccion_mani[produccion_tm]))</f>
        <v>600</v>
      </c>
      <c r="J114" s="31" cm="1">
        <f t="array" ref="J114">SUM(IF((Produccion_mani[provincia_nombre]=J$29)*(Produccion_mani[campania]=A114),Produccion_mani[produccion_tm]))</f>
        <v>0</v>
      </c>
      <c r="K114" s="31" cm="1">
        <f t="array" ref="K114">SUM(IF((Produccion_mani[provincia_nombre]=K$29)*(Produccion_mani[campania]=A114),Produccion_mani[produccion_tm]))</f>
        <v>0</v>
      </c>
      <c r="L114" s="31" cm="1">
        <f t="array" ref="L114">SUM(IF((Produccion_mani[provincia_nombre]=L$29)*(Produccion_mani[campania]=A114),Produccion_mani[produccion_tm]))</f>
        <v>0</v>
      </c>
      <c r="M114" s="31" cm="1">
        <f t="array" ref="M114">SUM(IF((Produccion_mani[provincia_nombre]=M$29)*(Produccion_mani[campania]=A114),Produccion_mani[produccion_tm]))</f>
        <v>5157</v>
      </c>
      <c r="N114" s="31" cm="1">
        <f t="array" ref="N114">SUM(IF((Produccion_mani[provincia_nombre]=N$29)*(Produccion_mani[campania]=A114),Produccion_mani[produccion_tm]))</f>
        <v>0</v>
      </c>
      <c r="O114" s="31" cm="1">
        <f t="array" ref="O114">SUM(IF((Produccion_mani[provincia_nombre]=O$29)*(Produccion_mani[campania]=A114),Produccion_mani[produccion_tm]))</f>
        <v>22350</v>
      </c>
      <c r="P114" s="31" cm="1">
        <f t="array" ref="P114">SUM(IF((Produccion_mani[provincia_nombre]=P$29)*(Produccion_mani[campania]=A114),Produccion_mani[produccion_tm]))</f>
        <v>0</v>
      </c>
      <c r="Q114" s="31" cm="1">
        <f t="array" ref="Q114">SUM(IF((Produccion_mani[provincia_nombre]=Q$29)*(Produccion_mani[campania]=A114),Produccion_mani[produccion_tm]))</f>
        <v>0</v>
      </c>
      <c r="R114" s="31" cm="1">
        <f t="array" ref="R114">SUM(IF((Produccion_mani[provincia_nombre]=R$29)*(Produccion_mani[campania]=A114),Produccion_mani[produccion_tm]))</f>
        <v>30400</v>
      </c>
      <c r="S114" s="31" cm="1">
        <f t="array" ref="S114">SUM(IF((Produccion_mani[provincia_nombre]=S$29)*(Produccion_mani[campania]=A114),Produccion_mani[produccion_tm]))</f>
        <v>0</v>
      </c>
    </row>
    <row r="115" spans="1:19" x14ac:dyDescent="0.25">
      <c r="A115" s="23" t="str">
        <v>2012/2013</v>
      </c>
      <c r="B115" s="31" cm="1">
        <f t="array" ref="B115">SUM(IF((Produccion_mani[provincia_nombre]=B$29)*(Produccion_mani[campania]=A115),Produccion_mani[produccion_tm]))</f>
        <v>0</v>
      </c>
      <c r="C115" s="31" cm="1">
        <f t="array" ref="C115">SUM(IF((Produccion_mani[provincia_nombre]=C$29)*(Produccion_mani[campania]=A115),Produccion_mani[produccion_tm]))</f>
        <v>935180</v>
      </c>
      <c r="D115" s="31" cm="1">
        <f t="array" ref="D115">SUM(IF((Produccion_mani[provincia_nombre]=D$29)*(Produccion_mani[campania]=A115),Produccion_mani[produccion_tm]))</f>
        <v>0</v>
      </c>
      <c r="E115" s="31" cm="1">
        <f t="array" ref="E115">SUM(IF((Produccion_mani[provincia_nombre]=E$29)*(Produccion_mani[campania]=A115),Produccion_mani[produccion_tm]))</f>
        <v>0</v>
      </c>
      <c r="F115" s="31" cm="1">
        <f t="array" ref="F115">SUM(IF((Produccion_mani[provincia_nombre]=F$29)*(Produccion_mani[campania]=A115),Produccion_mani[produccion_tm]))</f>
        <v>0</v>
      </c>
      <c r="G115" s="31" cm="1">
        <f t="array" ref="G115">SUM(IF((Produccion_mani[provincia_nombre]=G$29)*(Produccion_mani[campania]=A115),Produccion_mani[produccion_tm]))</f>
        <v>428</v>
      </c>
      <c r="H115" s="31" cm="1">
        <f t="array" ref="H115">SUM(IF((Produccion_mani[provincia_nombre]=H$29)*(Produccion_mani[campania]=A115),Produccion_mani[produccion_tm]))</f>
        <v>0</v>
      </c>
      <c r="I115" s="31" cm="1">
        <f t="array" ref="I115">SUM(IF((Produccion_mani[provincia_nombre]=I$29)*(Produccion_mani[campania]=A115),Produccion_mani[produccion_tm]))</f>
        <v>900</v>
      </c>
      <c r="J115" s="31" cm="1">
        <f t="array" ref="J115">SUM(IF((Produccion_mani[provincia_nombre]=J$29)*(Produccion_mani[campania]=A115),Produccion_mani[produccion_tm]))</f>
        <v>0</v>
      </c>
      <c r="K115" s="31" cm="1">
        <f t="array" ref="K115">SUM(IF((Produccion_mani[provincia_nombre]=K$29)*(Produccion_mani[campania]=A115),Produccion_mani[produccion_tm]))</f>
        <v>0</v>
      </c>
      <c r="L115" s="31" cm="1">
        <f t="array" ref="L115">SUM(IF((Produccion_mani[provincia_nombre]=L$29)*(Produccion_mani[campania]=A115),Produccion_mani[produccion_tm]))</f>
        <v>0</v>
      </c>
      <c r="M115" s="31" cm="1">
        <f t="array" ref="M115">SUM(IF((Produccion_mani[provincia_nombre]=M$29)*(Produccion_mani[campania]=A115),Produccion_mani[produccion_tm]))</f>
        <v>4292</v>
      </c>
      <c r="N115" s="31" cm="1">
        <f t="array" ref="N115">SUM(IF((Produccion_mani[provincia_nombre]=N$29)*(Produccion_mani[campania]=A115),Produccion_mani[produccion_tm]))</f>
        <v>0</v>
      </c>
      <c r="O115" s="31" cm="1">
        <f t="array" ref="O115">SUM(IF((Produccion_mani[provincia_nombre]=O$29)*(Produccion_mani[campania]=A115),Produccion_mani[produccion_tm]))</f>
        <v>45437</v>
      </c>
      <c r="P115" s="31" cm="1">
        <f t="array" ref="P115">SUM(IF((Produccion_mani[provincia_nombre]=P$29)*(Produccion_mani[campania]=A115),Produccion_mani[produccion_tm]))</f>
        <v>0</v>
      </c>
      <c r="Q115" s="31" cm="1">
        <f t="array" ref="Q115">SUM(IF((Produccion_mani[provincia_nombre]=Q$29)*(Produccion_mani[campania]=A115),Produccion_mani[produccion_tm]))</f>
        <v>3600</v>
      </c>
      <c r="R115" s="31" cm="1">
        <f t="array" ref="R115">SUM(IF((Produccion_mani[provincia_nombre]=R$29)*(Produccion_mani[campania]=A115),Produccion_mani[produccion_tm]))</f>
        <v>36020</v>
      </c>
      <c r="S115" s="31" cm="1">
        <f t="array" ref="S115">SUM(IF((Produccion_mani[provincia_nombre]=S$29)*(Produccion_mani[campania]=A115),Produccion_mani[produccion_tm]))</f>
        <v>0</v>
      </c>
    </row>
    <row r="116" spans="1:19" x14ac:dyDescent="0.25">
      <c r="A116" s="23" t="str">
        <v>2013/2014</v>
      </c>
      <c r="B116" s="31" cm="1">
        <f t="array" ref="B116">SUM(IF((Produccion_mani[provincia_nombre]=B$29)*(Produccion_mani[campania]=A116),Produccion_mani[produccion_tm]))</f>
        <v>0</v>
      </c>
      <c r="C116" s="31" cm="1">
        <f t="array" ref="C116">SUM(IF((Produccion_mani[provincia_nombre]=C$29)*(Produccion_mani[campania]=A116),Produccion_mani[produccion_tm]))</f>
        <v>1075195</v>
      </c>
      <c r="D116" s="31" cm="1">
        <f t="array" ref="D116">SUM(IF((Produccion_mani[provincia_nombre]=D$29)*(Produccion_mani[campania]=A116),Produccion_mani[produccion_tm]))</f>
        <v>0</v>
      </c>
      <c r="E116" s="31" cm="1">
        <f t="array" ref="E116">SUM(IF((Produccion_mani[provincia_nombre]=E$29)*(Produccion_mani[campania]=A116),Produccion_mani[produccion_tm]))</f>
        <v>0</v>
      </c>
      <c r="F116" s="31" cm="1">
        <f t="array" ref="F116">SUM(IF((Produccion_mani[provincia_nombre]=F$29)*(Produccion_mani[campania]=A116),Produccion_mani[produccion_tm]))</f>
        <v>0</v>
      </c>
      <c r="G116" s="31" cm="1">
        <f t="array" ref="G116">SUM(IF((Produccion_mani[provincia_nombre]=G$29)*(Produccion_mani[campania]=A116),Produccion_mani[produccion_tm]))</f>
        <v>705</v>
      </c>
      <c r="H116" s="31" cm="1">
        <f t="array" ref="H116">SUM(IF((Produccion_mani[provincia_nombre]=H$29)*(Produccion_mani[campania]=A116),Produccion_mani[produccion_tm]))</f>
        <v>0</v>
      </c>
      <c r="I116" s="31" cm="1">
        <f t="array" ref="I116">SUM(IF((Produccion_mani[provincia_nombre]=I$29)*(Produccion_mani[campania]=A116),Produccion_mani[produccion_tm]))</f>
        <v>750</v>
      </c>
      <c r="J116" s="31" cm="1">
        <f t="array" ref="J116">SUM(IF((Produccion_mani[provincia_nombre]=J$29)*(Produccion_mani[campania]=A116),Produccion_mani[produccion_tm]))</f>
        <v>0</v>
      </c>
      <c r="K116" s="31" cm="1">
        <f t="array" ref="K116">SUM(IF((Produccion_mani[provincia_nombre]=K$29)*(Produccion_mani[campania]=A116),Produccion_mani[produccion_tm]))</f>
        <v>0</v>
      </c>
      <c r="L116" s="31" cm="1">
        <f t="array" ref="L116">SUM(IF((Produccion_mani[provincia_nombre]=L$29)*(Produccion_mani[campania]=A116),Produccion_mani[produccion_tm]))</f>
        <v>0</v>
      </c>
      <c r="M116" s="31" cm="1">
        <f t="array" ref="M116">SUM(IF((Produccion_mani[provincia_nombre]=M$29)*(Produccion_mani[campania]=A116),Produccion_mani[produccion_tm]))</f>
        <v>8099</v>
      </c>
      <c r="N116" s="31" cm="1">
        <f t="array" ref="N116">SUM(IF((Produccion_mani[provincia_nombre]=N$29)*(Produccion_mani[campania]=A116),Produccion_mani[produccion_tm]))</f>
        <v>0</v>
      </c>
      <c r="O116" s="31" cm="1">
        <f t="array" ref="O116">SUM(IF((Produccion_mani[provincia_nombre]=O$29)*(Produccion_mani[campania]=A116),Produccion_mani[produccion_tm]))</f>
        <v>40850</v>
      </c>
      <c r="P116" s="31" cm="1">
        <f t="array" ref="P116">SUM(IF((Produccion_mani[provincia_nombre]=P$29)*(Produccion_mani[campania]=A116),Produccion_mani[produccion_tm]))</f>
        <v>0</v>
      </c>
      <c r="Q116" s="31" cm="1">
        <f t="array" ref="Q116">SUM(IF((Produccion_mani[provincia_nombre]=Q$29)*(Produccion_mani[campania]=A116),Produccion_mani[produccion_tm]))</f>
        <v>3600</v>
      </c>
      <c r="R116" s="31" cm="1">
        <f t="array" ref="R116">SUM(IF((Produccion_mani[provincia_nombre]=R$29)*(Produccion_mani[campania]=A116),Produccion_mani[produccion_tm]))</f>
        <v>36725</v>
      </c>
      <c r="S116" s="31" cm="1">
        <f t="array" ref="S116">SUM(IF((Produccion_mani[provincia_nombre]=S$29)*(Produccion_mani[campania]=A116),Produccion_mani[produccion_tm]))</f>
        <v>0</v>
      </c>
    </row>
    <row r="117" spans="1:19" x14ac:dyDescent="0.25">
      <c r="A117" s="23" t="str">
        <v>2014/2015</v>
      </c>
      <c r="B117" s="31" cm="1">
        <f t="array" ref="B117">SUM(IF((Produccion_mani[provincia_nombre]=B$29)*(Produccion_mani[campania]=A117),Produccion_mani[produccion_tm]))</f>
        <v>0</v>
      </c>
      <c r="C117" s="31" cm="1">
        <f t="array" ref="C117">SUM(IF((Produccion_mani[provincia_nombre]=C$29)*(Produccion_mani[campania]=A117),Produccion_mani[produccion_tm]))</f>
        <v>931644</v>
      </c>
      <c r="D117" s="31" cm="1">
        <f t="array" ref="D117">SUM(IF((Produccion_mani[provincia_nombre]=D$29)*(Produccion_mani[campania]=A117),Produccion_mani[produccion_tm]))</f>
        <v>0</v>
      </c>
      <c r="E117" s="31" cm="1">
        <f t="array" ref="E117">SUM(IF((Produccion_mani[provincia_nombre]=E$29)*(Produccion_mani[campania]=A117),Produccion_mani[produccion_tm]))</f>
        <v>0</v>
      </c>
      <c r="F117" s="31" cm="1">
        <f t="array" ref="F117">SUM(IF((Produccion_mani[provincia_nombre]=F$29)*(Produccion_mani[campania]=A117),Produccion_mani[produccion_tm]))</f>
        <v>0</v>
      </c>
      <c r="G117" s="31" cm="1">
        <f t="array" ref="G117">SUM(IF((Produccion_mani[provincia_nombre]=G$29)*(Produccion_mani[campania]=A117),Produccion_mani[produccion_tm]))</f>
        <v>882</v>
      </c>
      <c r="H117" s="31" cm="1">
        <f t="array" ref="H117">SUM(IF((Produccion_mani[provincia_nombre]=H$29)*(Produccion_mani[campania]=A117),Produccion_mani[produccion_tm]))</f>
        <v>0</v>
      </c>
      <c r="I117" s="31" cm="1">
        <f t="array" ref="I117">SUM(IF((Produccion_mani[provincia_nombre]=I$29)*(Produccion_mani[campania]=A117),Produccion_mani[produccion_tm]))</f>
        <v>2520</v>
      </c>
      <c r="J117" s="31" cm="1">
        <f t="array" ref="J117">SUM(IF((Produccion_mani[provincia_nombre]=J$29)*(Produccion_mani[campania]=A117),Produccion_mani[produccion_tm]))</f>
        <v>0</v>
      </c>
      <c r="K117" s="31" cm="1">
        <f t="array" ref="K117">SUM(IF((Produccion_mani[provincia_nombre]=K$29)*(Produccion_mani[campania]=A117),Produccion_mani[produccion_tm]))</f>
        <v>0</v>
      </c>
      <c r="L117" s="31" cm="1">
        <f t="array" ref="L117">SUM(IF((Produccion_mani[provincia_nombre]=L$29)*(Produccion_mani[campania]=A117),Produccion_mani[produccion_tm]))</f>
        <v>0</v>
      </c>
      <c r="M117" s="31" cm="1">
        <f t="array" ref="M117">SUM(IF((Produccion_mani[provincia_nombre]=M$29)*(Produccion_mani[campania]=A117),Produccion_mani[produccion_tm]))</f>
        <v>11079</v>
      </c>
      <c r="N117" s="31" cm="1">
        <f t="array" ref="N117">SUM(IF((Produccion_mani[provincia_nombre]=N$29)*(Produccion_mani[campania]=A117),Produccion_mani[produccion_tm]))</f>
        <v>0</v>
      </c>
      <c r="O117" s="31" cm="1">
        <f t="array" ref="O117">SUM(IF((Produccion_mani[provincia_nombre]=O$29)*(Produccion_mani[campania]=A117),Produccion_mani[produccion_tm]))</f>
        <v>33180</v>
      </c>
      <c r="P117" s="31" cm="1">
        <f t="array" ref="P117">SUM(IF((Produccion_mani[provincia_nombre]=P$29)*(Produccion_mani[campania]=A117),Produccion_mani[produccion_tm]))</f>
        <v>0</v>
      </c>
      <c r="Q117" s="31" cm="1">
        <f t="array" ref="Q117">SUM(IF((Produccion_mani[provincia_nombre]=Q$29)*(Produccion_mani[campania]=A117),Produccion_mani[produccion_tm]))</f>
        <v>9252</v>
      </c>
      <c r="R117" s="31" cm="1">
        <f t="array" ref="R117">SUM(IF((Produccion_mani[provincia_nombre]=R$29)*(Produccion_mani[campania]=A117),Produccion_mani[produccion_tm]))</f>
        <v>22220</v>
      </c>
      <c r="S117" s="31" cm="1">
        <f t="array" ref="S117">SUM(IF((Produccion_mani[provincia_nombre]=S$29)*(Produccion_mani[campania]=A117),Produccion_mani[produccion_tm]))</f>
        <v>0</v>
      </c>
    </row>
    <row r="118" spans="1:19" x14ac:dyDescent="0.25">
      <c r="A118" s="23" t="str">
        <v>2015/2016</v>
      </c>
      <c r="B118" s="31" cm="1">
        <f t="array" ref="B118">SUM(IF((Produccion_mani[provincia_nombre]=B$29)*(Produccion_mani[campania]=A118),Produccion_mani[produccion_tm]))</f>
        <v>0</v>
      </c>
      <c r="C118" s="31" cm="1">
        <f t="array" ref="C118">SUM(IF((Produccion_mani[provincia_nombre]=C$29)*(Produccion_mani[campania]=A118),Produccion_mani[produccion_tm]))</f>
        <v>902294</v>
      </c>
      <c r="D118" s="31" cm="1">
        <f t="array" ref="D118">SUM(IF((Produccion_mani[provincia_nombre]=D$29)*(Produccion_mani[campania]=A118),Produccion_mani[produccion_tm]))</f>
        <v>0</v>
      </c>
      <c r="E118" s="31" cm="1">
        <f t="array" ref="E118">SUM(IF((Produccion_mani[provincia_nombre]=E$29)*(Produccion_mani[campania]=A118),Produccion_mani[produccion_tm]))</f>
        <v>0</v>
      </c>
      <c r="F118" s="31" cm="1">
        <f t="array" ref="F118">SUM(IF((Produccion_mani[provincia_nombre]=F$29)*(Produccion_mani[campania]=A118),Produccion_mani[produccion_tm]))</f>
        <v>0</v>
      </c>
      <c r="G118" s="31" cm="1">
        <f t="array" ref="G118">SUM(IF((Produccion_mani[provincia_nombre]=G$29)*(Produccion_mani[campania]=A118),Produccion_mani[produccion_tm]))</f>
        <v>705</v>
      </c>
      <c r="H118" s="31" cm="1">
        <f t="array" ref="H118">SUM(IF((Produccion_mani[provincia_nombre]=H$29)*(Produccion_mani[campania]=A118),Produccion_mani[produccion_tm]))</f>
        <v>0</v>
      </c>
      <c r="I118" s="31" cm="1">
        <f t="array" ref="I118">SUM(IF((Produccion_mani[provincia_nombre]=I$29)*(Produccion_mani[campania]=A118),Produccion_mani[produccion_tm]))</f>
        <v>640</v>
      </c>
      <c r="J118" s="31" cm="1">
        <f t="array" ref="J118">SUM(IF((Produccion_mani[provincia_nombre]=J$29)*(Produccion_mani[campania]=A118),Produccion_mani[produccion_tm]))</f>
        <v>0</v>
      </c>
      <c r="K118" s="31" cm="1">
        <f t="array" ref="K118">SUM(IF((Produccion_mani[provincia_nombre]=K$29)*(Produccion_mani[campania]=A118),Produccion_mani[produccion_tm]))</f>
        <v>0</v>
      </c>
      <c r="L118" s="31" cm="1">
        <f t="array" ref="L118">SUM(IF((Produccion_mani[provincia_nombre]=L$29)*(Produccion_mani[campania]=A118),Produccion_mani[produccion_tm]))</f>
        <v>0</v>
      </c>
      <c r="M118" s="31" cm="1">
        <f t="array" ref="M118">SUM(IF((Produccion_mani[provincia_nombre]=M$29)*(Produccion_mani[campania]=A118),Produccion_mani[produccion_tm]))</f>
        <v>6749</v>
      </c>
      <c r="N118" s="31" cm="1">
        <f t="array" ref="N118">SUM(IF((Produccion_mani[provincia_nombre]=N$29)*(Produccion_mani[campania]=A118),Produccion_mani[produccion_tm]))</f>
        <v>0</v>
      </c>
      <c r="O118" s="31" cm="1">
        <f t="array" ref="O118">SUM(IF((Produccion_mani[provincia_nombre]=O$29)*(Produccion_mani[campania]=A118),Produccion_mani[produccion_tm]))</f>
        <v>42075</v>
      </c>
      <c r="P118" s="31" cm="1">
        <f t="array" ref="P118">SUM(IF((Produccion_mani[provincia_nombre]=P$29)*(Produccion_mani[campania]=A118),Produccion_mani[produccion_tm]))</f>
        <v>0</v>
      </c>
      <c r="Q118" s="31" cm="1">
        <f t="array" ref="Q118">SUM(IF((Produccion_mani[provincia_nombre]=Q$29)*(Produccion_mani[campania]=A118),Produccion_mani[produccion_tm]))</f>
        <v>3000</v>
      </c>
      <c r="R118" s="31" cm="1">
        <f t="array" ref="R118">SUM(IF((Produccion_mani[provincia_nombre]=R$29)*(Produccion_mani[campania]=A118),Produccion_mani[produccion_tm]))</f>
        <v>45650</v>
      </c>
      <c r="S118" s="31" cm="1">
        <f t="array" ref="S118">SUM(IF((Produccion_mani[provincia_nombre]=S$29)*(Produccion_mani[campania]=A118),Produccion_mani[produccion_tm]))</f>
        <v>0</v>
      </c>
    </row>
    <row r="119" spans="1:19" x14ac:dyDescent="0.25">
      <c r="A119" s="23" t="str">
        <v>2016/2017</v>
      </c>
      <c r="B119" s="31" cm="1">
        <f t="array" ref="B119">SUM(IF((Produccion_mani[provincia_nombre]=B$29)*(Produccion_mani[campania]=A119),Produccion_mani[produccion_tm]))</f>
        <v>0</v>
      </c>
      <c r="C119" s="31" cm="1">
        <f t="array" ref="C119">SUM(IF((Produccion_mani[provincia_nombre]=C$29)*(Produccion_mani[campania]=A119),Produccion_mani[produccion_tm]))</f>
        <v>955513</v>
      </c>
      <c r="D119" s="31" cm="1">
        <f t="array" ref="D119">SUM(IF((Produccion_mani[provincia_nombre]=D$29)*(Produccion_mani[campania]=A119),Produccion_mani[produccion_tm]))</f>
        <v>0</v>
      </c>
      <c r="E119" s="31" cm="1">
        <f t="array" ref="E119">SUM(IF((Produccion_mani[provincia_nombre]=E$29)*(Produccion_mani[campania]=A119),Produccion_mani[produccion_tm]))</f>
        <v>0</v>
      </c>
      <c r="F119" s="31" cm="1">
        <f t="array" ref="F119">SUM(IF((Produccion_mani[provincia_nombre]=F$29)*(Produccion_mani[campania]=A119),Produccion_mani[produccion_tm]))</f>
        <v>0</v>
      </c>
      <c r="G119" s="31" cm="1">
        <f t="array" ref="G119">SUM(IF((Produccion_mani[provincia_nombre]=G$29)*(Produccion_mani[campania]=A119),Produccion_mani[produccion_tm]))</f>
        <v>588</v>
      </c>
      <c r="H119" s="31" cm="1">
        <f t="array" ref="H119">SUM(IF((Produccion_mani[provincia_nombre]=H$29)*(Produccion_mani[campania]=A119),Produccion_mani[produccion_tm]))</f>
        <v>0</v>
      </c>
      <c r="I119" s="31" cm="1">
        <f t="array" ref="I119">SUM(IF((Produccion_mani[provincia_nombre]=I$29)*(Produccion_mani[campania]=A119),Produccion_mani[produccion_tm]))</f>
        <v>10270</v>
      </c>
      <c r="J119" s="31" cm="1">
        <f t="array" ref="J119">SUM(IF((Produccion_mani[provincia_nombre]=J$29)*(Produccion_mani[campania]=A119),Produccion_mani[produccion_tm]))</f>
        <v>0</v>
      </c>
      <c r="K119" s="31" cm="1">
        <f t="array" ref="K119">SUM(IF((Produccion_mani[provincia_nombre]=K$29)*(Produccion_mani[campania]=A119),Produccion_mani[produccion_tm]))</f>
        <v>0</v>
      </c>
      <c r="L119" s="31" cm="1">
        <f t="array" ref="L119">SUM(IF((Produccion_mani[provincia_nombre]=L$29)*(Produccion_mani[campania]=A119),Produccion_mani[produccion_tm]))</f>
        <v>0</v>
      </c>
      <c r="M119" s="31" cm="1">
        <f t="array" ref="M119">SUM(IF((Produccion_mani[provincia_nombre]=M$29)*(Produccion_mani[campania]=A119),Produccion_mani[produccion_tm]))</f>
        <v>5567</v>
      </c>
      <c r="N119" s="31" cm="1">
        <f t="array" ref="N119">SUM(IF((Produccion_mani[provincia_nombre]=N$29)*(Produccion_mani[campania]=A119),Produccion_mani[produccion_tm]))</f>
        <v>0</v>
      </c>
      <c r="O119" s="31" cm="1">
        <f t="array" ref="O119">SUM(IF((Produccion_mani[provincia_nombre]=O$29)*(Produccion_mani[campania]=A119),Produccion_mani[produccion_tm]))</f>
        <v>72150</v>
      </c>
      <c r="P119" s="31" cm="1">
        <f t="array" ref="P119">SUM(IF((Produccion_mani[provincia_nombre]=P$29)*(Produccion_mani[campania]=A119),Produccion_mani[produccion_tm]))</f>
        <v>0</v>
      </c>
      <c r="Q119" s="31" cm="1">
        <f t="array" ref="Q119">SUM(IF((Produccion_mani[provincia_nombre]=Q$29)*(Produccion_mani[campania]=A119),Produccion_mani[produccion_tm]))</f>
        <v>1874</v>
      </c>
      <c r="R119" s="31" cm="1">
        <f t="array" ref="R119">SUM(IF((Produccion_mani[provincia_nombre]=R$29)*(Produccion_mani[campania]=A119),Produccion_mani[produccion_tm]))</f>
        <v>35070</v>
      </c>
      <c r="S119" s="31" cm="1">
        <f t="array" ref="S119">SUM(IF((Produccion_mani[provincia_nombre]=S$29)*(Produccion_mani[campania]=A119),Produccion_mani[produccion_tm]))</f>
        <v>0</v>
      </c>
    </row>
    <row r="120" spans="1:19" x14ac:dyDescent="0.25">
      <c r="A120" s="23" t="str">
        <v>2017/2018</v>
      </c>
      <c r="B120" s="31" cm="1">
        <f t="array" ref="B120">SUM(IF((Produccion_mani[provincia_nombre]=B$29)*(Produccion_mani[campania]=A120),Produccion_mani[produccion_tm]))</f>
        <v>0</v>
      </c>
      <c r="C120" s="31" cm="1">
        <f t="array" ref="C120">SUM(IF((Produccion_mani[provincia_nombre]=C$29)*(Produccion_mani[campania]=A120),Produccion_mani[produccion_tm]))</f>
        <v>778430</v>
      </c>
      <c r="D120" s="31" cm="1">
        <f t="array" ref="D120">SUM(IF((Produccion_mani[provincia_nombre]=D$29)*(Produccion_mani[campania]=A120),Produccion_mani[produccion_tm]))</f>
        <v>0</v>
      </c>
      <c r="E120" s="31" cm="1">
        <f t="array" ref="E120">SUM(IF((Produccion_mani[provincia_nombre]=E$29)*(Produccion_mani[campania]=A120),Produccion_mani[produccion_tm]))</f>
        <v>0</v>
      </c>
      <c r="F120" s="31" cm="1">
        <f t="array" ref="F120">SUM(IF((Produccion_mani[provincia_nombre]=F$29)*(Produccion_mani[campania]=A120),Produccion_mani[produccion_tm]))</f>
        <v>0</v>
      </c>
      <c r="G120" s="31" cm="1">
        <f t="array" ref="G120">SUM(IF((Produccion_mani[provincia_nombre]=G$29)*(Produccion_mani[campania]=A120),Produccion_mani[produccion_tm]))</f>
        <v>570</v>
      </c>
      <c r="H120" s="31" cm="1">
        <f t="array" ref="H120">SUM(IF((Produccion_mani[provincia_nombre]=H$29)*(Produccion_mani[campania]=A120),Produccion_mani[produccion_tm]))</f>
        <v>0</v>
      </c>
      <c r="I120" s="31" cm="1">
        <f t="array" ref="I120">SUM(IF((Produccion_mani[provincia_nombre]=I$29)*(Produccion_mani[campania]=A120),Produccion_mani[produccion_tm]))</f>
        <v>3600</v>
      </c>
      <c r="J120" s="31" cm="1">
        <f t="array" ref="J120">SUM(IF((Produccion_mani[provincia_nombre]=J$29)*(Produccion_mani[campania]=A120),Produccion_mani[produccion_tm]))</f>
        <v>0</v>
      </c>
      <c r="K120" s="31" cm="1">
        <f t="array" ref="K120">SUM(IF((Produccion_mani[provincia_nombre]=K$29)*(Produccion_mani[campania]=A120),Produccion_mani[produccion_tm]))</f>
        <v>0</v>
      </c>
      <c r="L120" s="31" cm="1">
        <f t="array" ref="L120">SUM(IF((Produccion_mani[provincia_nombre]=L$29)*(Produccion_mani[campania]=A120),Produccion_mani[produccion_tm]))</f>
        <v>0</v>
      </c>
      <c r="M120" s="31" cm="1">
        <f t="array" ref="M120">SUM(IF((Produccion_mani[provincia_nombre]=M$29)*(Produccion_mani[campania]=A120),Produccion_mani[produccion_tm]))</f>
        <v>7582</v>
      </c>
      <c r="N120" s="31" cm="1">
        <f t="array" ref="N120">SUM(IF((Produccion_mani[provincia_nombre]=N$29)*(Produccion_mani[campania]=A120),Produccion_mani[produccion_tm]))</f>
        <v>0</v>
      </c>
      <c r="O120" s="31" cm="1">
        <f t="array" ref="O120">SUM(IF((Produccion_mani[provincia_nombre]=O$29)*(Produccion_mani[campania]=A120),Produccion_mani[produccion_tm]))</f>
        <v>70679</v>
      </c>
      <c r="P120" s="31" cm="1">
        <f t="array" ref="P120">SUM(IF((Produccion_mani[provincia_nombre]=P$29)*(Produccion_mani[campania]=A120),Produccion_mani[produccion_tm]))</f>
        <v>0</v>
      </c>
      <c r="Q120" s="31" cm="1">
        <f t="array" ref="Q120">SUM(IF((Produccion_mani[provincia_nombre]=Q$29)*(Produccion_mani[campania]=A120),Produccion_mani[produccion_tm]))</f>
        <v>29272</v>
      </c>
      <c r="R120" s="31" cm="1">
        <f t="array" ref="R120">SUM(IF((Produccion_mani[provincia_nombre]=R$29)*(Produccion_mani[campania]=A120),Produccion_mani[produccion_tm]))</f>
        <v>31098</v>
      </c>
      <c r="S120" s="31" cm="1">
        <f t="array" ref="S120">SUM(IF((Produccion_mani[provincia_nombre]=S$29)*(Produccion_mani[campania]=A120),Produccion_mani[produccion_tm]))</f>
        <v>0</v>
      </c>
    </row>
    <row r="121" spans="1:19" x14ac:dyDescent="0.25">
      <c r="A121" s="23" t="str">
        <v>2018/2019</v>
      </c>
      <c r="B121" s="31" cm="1">
        <f t="array" ref="B121">SUM(IF((Produccion_mani[provincia_nombre]=B$29)*(Produccion_mani[campania]=A121),Produccion_mani[produccion_tm]))</f>
        <v>0</v>
      </c>
      <c r="C121" s="31" cm="1">
        <f t="array" ref="C121">SUM(IF((Produccion_mani[provincia_nombre]=C$29)*(Produccion_mani[campania]=A121),Produccion_mani[produccion_tm]))</f>
        <v>1160089</v>
      </c>
      <c r="D121" s="31" cm="1">
        <f t="array" ref="D121">SUM(IF((Produccion_mani[provincia_nombre]=D$29)*(Produccion_mani[campania]=A121),Produccion_mani[produccion_tm]))</f>
        <v>0</v>
      </c>
      <c r="E121" s="31" cm="1">
        <f t="array" ref="E121">SUM(IF((Produccion_mani[provincia_nombre]=E$29)*(Produccion_mani[campania]=A121),Produccion_mani[produccion_tm]))</f>
        <v>0</v>
      </c>
      <c r="F121" s="31" cm="1">
        <f t="array" ref="F121">SUM(IF((Produccion_mani[provincia_nombre]=F$29)*(Produccion_mani[campania]=A121),Produccion_mani[produccion_tm]))</f>
        <v>0</v>
      </c>
      <c r="G121" s="31" cm="1">
        <f t="array" ref="G121">SUM(IF((Produccion_mani[provincia_nombre]=G$29)*(Produccion_mani[campania]=A121),Produccion_mani[produccion_tm]))</f>
        <v>588</v>
      </c>
      <c r="H121" s="31" cm="1">
        <f t="array" ref="H121">SUM(IF((Produccion_mani[provincia_nombre]=H$29)*(Produccion_mani[campania]=A121),Produccion_mani[produccion_tm]))</f>
        <v>0</v>
      </c>
      <c r="I121" s="31" cm="1">
        <f t="array" ref="I121">SUM(IF((Produccion_mani[provincia_nombre]=I$29)*(Produccion_mani[campania]=A121),Produccion_mani[produccion_tm]))</f>
        <v>24000</v>
      </c>
      <c r="J121" s="31" cm="1">
        <f t="array" ref="J121">SUM(IF((Produccion_mani[provincia_nombre]=J$29)*(Produccion_mani[campania]=A121),Produccion_mani[produccion_tm]))</f>
        <v>0</v>
      </c>
      <c r="K121" s="31" cm="1">
        <f t="array" ref="K121">SUM(IF((Produccion_mani[provincia_nombre]=K$29)*(Produccion_mani[campania]=A121),Produccion_mani[produccion_tm]))</f>
        <v>0</v>
      </c>
      <c r="L121" s="31" cm="1">
        <f t="array" ref="L121">SUM(IF((Produccion_mani[provincia_nombre]=L$29)*(Produccion_mani[campania]=A121),Produccion_mani[produccion_tm]))</f>
        <v>0</v>
      </c>
      <c r="M121" s="31" cm="1">
        <f t="array" ref="M121">SUM(IF((Produccion_mani[provincia_nombre]=M$29)*(Produccion_mani[campania]=A121),Produccion_mani[produccion_tm]))</f>
        <v>10324</v>
      </c>
      <c r="N121" s="31" cm="1">
        <f t="array" ref="N121">SUM(IF((Produccion_mani[provincia_nombre]=N$29)*(Produccion_mani[campania]=A121),Produccion_mani[produccion_tm]))</f>
        <v>0</v>
      </c>
      <c r="O121" s="31" cm="1">
        <f t="array" ref="O121">SUM(IF((Produccion_mani[provincia_nombre]=O$29)*(Produccion_mani[campania]=A121),Produccion_mani[produccion_tm]))</f>
        <v>46028</v>
      </c>
      <c r="P121" s="31" cm="1">
        <f t="array" ref="P121">SUM(IF((Produccion_mani[provincia_nombre]=P$29)*(Produccion_mani[campania]=A121),Produccion_mani[produccion_tm]))</f>
        <v>0</v>
      </c>
      <c r="Q121" s="31" cm="1">
        <f t="array" ref="Q121">SUM(IF((Produccion_mani[provincia_nombre]=Q$29)*(Produccion_mani[campania]=A121),Produccion_mani[produccion_tm]))</f>
        <v>46200</v>
      </c>
      <c r="R121" s="31" cm="1">
        <f t="array" ref="R121">SUM(IF((Produccion_mani[provincia_nombre]=R$29)*(Produccion_mani[campania]=A121),Produccion_mani[produccion_tm]))</f>
        <v>50000</v>
      </c>
      <c r="S121" s="31" cm="1">
        <f t="array" ref="S121">SUM(IF((Produccion_mani[provincia_nombre]=S$29)*(Produccion_mani[campania]=A121),Produccion_mani[produccion_tm]))</f>
        <v>0</v>
      </c>
    </row>
    <row r="122" spans="1:19" x14ac:dyDescent="0.25">
      <c r="A122" s="23" t="str">
        <v>2019/2020</v>
      </c>
      <c r="B122" s="31" cm="1">
        <f t="array" ref="B122">SUM(IF((Produccion_mani[provincia_nombre]=B$29)*(Produccion_mani[campania]=A122),Produccion_mani[produccion_tm]))</f>
        <v>0</v>
      </c>
      <c r="C122" s="31" cm="1">
        <f t="array" ref="C122">SUM(IF((Produccion_mani[provincia_nombre]=C$29)*(Produccion_mani[campania]=A122),Produccion_mani[produccion_tm]))</f>
        <v>1096907</v>
      </c>
      <c r="D122" s="31" cm="1">
        <f t="array" ref="D122">SUM(IF((Produccion_mani[provincia_nombre]=D$29)*(Produccion_mani[campania]=A122),Produccion_mani[produccion_tm]))</f>
        <v>0</v>
      </c>
      <c r="E122" s="31" cm="1">
        <f t="array" ref="E122">SUM(IF((Produccion_mani[provincia_nombre]=E$29)*(Produccion_mani[campania]=A122),Produccion_mani[produccion_tm]))</f>
        <v>0</v>
      </c>
      <c r="F122" s="31" cm="1">
        <f t="array" ref="F122">SUM(IF((Produccion_mani[provincia_nombre]=F$29)*(Produccion_mani[campania]=A122),Produccion_mani[produccion_tm]))</f>
        <v>0</v>
      </c>
      <c r="G122" s="31" cm="1">
        <f t="array" ref="G122">SUM(IF((Produccion_mani[provincia_nombre]=G$29)*(Produccion_mani[campania]=A122),Produccion_mani[produccion_tm]))</f>
        <v>588</v>
      </c>
      <c r="H122" s="31" cm="1">
        <f t="array" ref="H122">SUM(IF((Produccion_mani[provincia_nombre]=H$29)*(Produccion_mani[campania]=A122),Produccion_mani[produccion_tm]))</f>
        <v>0</v>
      </c>
      <c r="I122" s="31" cm="1">
        <f t="array" ref="I122">SUM(IF((Produccion_mani[provincia_nombre]=I$29)*(Produccion_mani[campania]=A122),Produccion_mani[produccion_tm]))</f>
        <v>20800</v>
      </c>
      <c r="J122" s="31" cm="1">
        <f t="array" ref="J122">SUM(IF((Produccion_mani[provincia_nombre]=J$29)*(Produccion_mani[campania]=A122),Produccion_mani[produccion_tm]))</f>
        <v>0</v>
      </c>
      <c r="K122" s="31" cm="1">
        <f t="array" ref="K122">SUM(IF((Produccion_mani[provincia_nombre]=K$29)*(Produccion_mani[campania]=A122),Produccion_mani[produccion_tm]))</f>
        <v>150</v>
      </c>
      <c r="L122" s="31" cm="1">
        <f t="array" ref="L122">SUM(IF((Produccion_mani[provincia_nombre]=L$29)*(Produccion_mani[campania]=A122),Produccion_mani[produccion_tm]))</f>
        <v>2090</v>
      </c>
      <c r="M122" s="31" cm="1">
        <f t="array" ref="M122">SUM(IF((Produccion_mani[provincia_nombre]=M$29)*(Produccion_mani[campania]=A122),Produccion_mani[produccion_tm]))</f>
        <v>4922</v>
      </c>
      <c r="N122" s="31" cm="1">
        <f t="array" ref="N122">SUM(IF((Produccion_mani[provincia_nombre]=N$29)*(Produccion_mani[campania]=A122),Produccion_mani[produccion_tm]))</f>
        <v>0</v>
      </c>
      <c r="O122" s="31" cm="1">
        <f t="array" ref="O122">SUM(IF((Produccion_mani[provincia_nombre]=O$29)*(Produccion_mani[campania]=A122),Produccion_mani[produccion_tm]))</f>
        <v>26413</v>
      </c>
      <c r="P122" s="31" cm="1">
        <f t="array" ref="P122">SUM(IF((Produccion_mani[provincia_nombre]=P$29)*(Produccion_mani[campania]=A122),Produccion_mani[produccion_tm]))</f>
        <v>0</v>
      </c>
      <c r="Q122" s="31" cm="1">
        <f t="array" ref="Q122">SUM(IF((Produccion_mani[provincia_nombre]=Q$29)*(Produccion_mani[campania]=A122),Produccion_mani[produccion_tm]))</f>
        <v>77456</v>
      </c>
      <c r="R122" s="31" cm="1">
        <f t="array" ref="R122">SUM(IF((Produccion_mani[provincia_nombre]=R$29)*(Produccion_mani[campania]=A122),Produccion_mani[produccion_tm]))</f>
        <v>56105</v>
      </c>
      <c r="S122" s="31" cm="1">
        <f t="array" ref="S122">SUM(IF((Produccion_mani[provincia_nombre]=S$29)*(Produccion_mani[campania]=A122),Produccion_mani[produccion_tm]))</f>
        <v>0</v>
      </c>
    </row>
    <row r="123" spans="1:19" x14ac:dyDescent="0.25">
      <c r="A123" s="23" t="str">
        <v>2020/2021</v>
      </c>
      <c r="B123" s="31" cm="1">
        <f t="array" ref="B123">SUM(IF((Produccion_mani[provincia_nombre]=B$29)*(Produccion_mani[campania]=A123),Produccion_mani[produccion_tm]))</f>
        <v>0</v>
      </c>
      <c r="C123" s="31" cm="1">
        <f t="array" ref="C123">SUM(IF((Produccion_mani[provincia_nombre]=C$29)*(Produccion_mani[campania]=A123),Produccion_mani[produccion_tm]))</f>
        <v>1021036</v>
      </c>
      <c r="D123" s="31" cm="1">
        <f t="array" ref="D123">SUM(IF((Produccion_mani[provincia_nombre]=D$29)*(Produccion_mani[campania]=A123),Produccion_mani[produccion_tm]))</f>
        <v>0</v>
      </c>
      <c r="E123" s="31" cm="1">
        <f t="array" ref="E123">SUM(IF((Produccion_mani[provincia_nombre]=E$29)*(Produccion_mani[campania]=A123),Produccion_mani[produccion_tm]))</f>
        <v>0</v>
      </c>
      <c r="F123" s="31" cm="1">
        <f t="array" ref="F123">SUM(IF((Produccion_mani[provincia_nombre]=F$29)*(Produccion_mani[campania]=A123),Produccion_mani[produccion_tm]))</f>
        <v>0</v>
      </c>
      <c r="G123" s="31" cm="1">
        <f t="array" ref="G123">SUM(IF((Produccion_mani[provincia_nombre]=G$29)*(Produccion_mani[campania]=A123),Produccion_mani[produccion_tm]))</f>
        <v>240</v>
      </c>
      <c r="H123" s="31" cm="1">
        <f t="array" ref="H123">SUM(IF((Produccion_mani[provincia_nombre]=H$29)*(Produccion_mani[campania]=A123),Produccion_mani[produccion_tm]))</f>
        <v>0</v>
      </c>
      <c r="I123" s="31" cm="1">
        <f t="array" ref="I123">SUM(IF((Produccion_mani[provincia_nombre]=I$29)*(Produccion_mani[campania]=A123),Produccion_mani[produccion_tm]))</f>
        <v>25500</v>
      </c>
      <c r="J123" s="31" cm="1">
        <f t="array" ref="J123">SUM(IF((Produccion_mani[provincia_nombre]=J$29)*(Produccion_mani[campania]=A123),Produccion_mani[produccion_tm]))</f>
        <v>0</v>
      </c>
      <c r="K123" s="31" cm="1">
        <f t="array" ref="K123">SUM(IF((Produccion_mani[provincia_nombre]=K$29)*(Produccion_mani[campania]=A123),Produccion_mani[produccion_tm]))</f>
        <v>960</v>
      </c>
      <c r="L123" s="31" cm="1">
        <f t="array" ref="L123">SUM(IF((Produccion_mani[provincia_nombre]=L$29)*(Produccion_mani[campania]=A123),Produccion_mani[produccion_tm]))</f>
        <v>2090</v>
      </c>
      <c r="M123" s="31" cm="1">
        <f t="array" ref="M123">SUM(IF((Produccion_mani[provincia_nombre]=M$29)*(Produccion_mani[campania]=A123),Produccion_mani[produccion_tm]))</f>
        <v>3819</v>
      </c>
      <c r="N123" s="31" cm="1">
        <f t="array" ref="N123">SUM(IF((Produccion_mani[provincia_nombre]=N$29)*(Produccion_mani[campania]=A123),Produccion_mani[produccion_tm]))</f>
        <v>0</v>
      </c>
      <c r="O123" s="31" cm="1">
        <f t="array" ref="O123">SUM(IF((Produccion_mani[provincia_nombre]=O$29)*(Produccion_mani[campania]=A123),Produccion_mani[produccion_tm]))</f>
        <v>43720</v>
      </c>
      <c r="P123" s="31" cm="1">
        <f t="array" ref="P123">SUM(IF((Produccion_mani[provincia_nombre]=P$29)*(Produccion_mani[campania]=A123),Produccion_mani[produccion_tm]))</f>
        <v>0</v>
      </c>
      <c r="Q123" s="31" cm="1">
        <f t="array" ref="Q123">SUM(IF((Produccion_mani[provincia_nombre]=Q$29)*(Produccion_mani[campania]=A123),Produccion_mani[produccion_tm]))</f>
        <v>111171</v>
      </c>
      <c r="R123" s="31" cm="1">
        <f t="array" ref="R123">SUM(IF((Produccion_mani[provincia_nombre]=R$29)*(Produccion_mani[campania]=A123),Produccion_mani[produccion_tm]))</f>
        <v>58706</v>
      </c>
      <c r="S123" s="31" cm="1">
        <f t="array" ref="S123">SUM(IF((Produccion_mani[provincia_nombre]=S$29)*(Produccion_mani[campania]=A123),Produccion_mani[produccion_tm]))</f>
        <v>0</v>
      </c>
    </row>
    <row r="124" spans="1:19" x14ac:dyDescent="0.25">
      <c r="A124" s="23" t="str">
        <v>2021/2022</v>
      </c>
      <c r="B124" s="31" cm="1">
        <f t="array" ref="B124">SUM(IF((Produccion_mani[provincia_nombre]=B$29)*(Produccion_mani[campania]=A124),Produccion_mani[produccion_tm]))</f>
        <v>0</v>
      </c>
      <c r="C124" s="31" cm="1">
        <f t="array" ref="C124">SUM(IF((Produccion_mani[provincia_nombre]=C$29)*(Produccion_mani[campania]=A124),Produccion_mani[produccion_tm]))</f>
        <v>1054294</v>
      </c>
      <c r="D124" s="31" cm="1">
        <f t="array" ref="D124">SUM(IF((Produccion_mani[provincia_nombre]=D$29)*(Produccion_mani[campania]=A124),Produccion_mani[produccion_tm]))</f>
        <v>0</v>
      </c>
      <c r="E124" s="31" cm="1">
        <f t="array" ref="E124">SUM(IF((Produccion_mani[provincia_nombre]=E$29)*(Produccion_mani[campania]=A124),Produccion_mani[produccion_tm]))</f>
        <v>0</v>
      </c>
      <c r="F124" s="31" cm="1">
        <f t="array" ref="F124">SUM(IF((Produccion_mani[provincia_nombre]=F$29)*(Produccion_mani[campania]=A124),Produccion_mani[produccion_tm]))</f>
        <v>0</v>
      </c>
      <c r="G124" s="31" cm="1">
        <f t="array" ref="G124">SUM(IF((Produccion_mani[provincia_nombre]=G$29)*(Produccion_mani[campania]=A124),Produccion_mani[produccion_tm]))</f>
        <v>160</v>
      </c>
      <c r="H124" s="31" cm="1">
        <f t="array" ref="H124">SUM(IF((Produccion_mani[provincia_nombre]=H$29)*(Produccion_mani[campania]=A124),Produccion_mani[produccion_tm]))</f>
        <v>0</v>
      </c>
      <c r="I124" s="31" cm="1">
        <f t="array" ref="I124">SUM(IF((Produccion_mani[provincia_nombre]=I$29)*(Produccion_mani[campania]=A124),Produccion_mani[produccion_tm]))</f>
        <v>29440</v>
      </c>
      <c r="J124" s="31" cm="1">
        <f t="array" ref="J124">SUM(IF((Produccion_mani[provincia_nombre]=J$29)*(Produccion_mani[campania]=A124),Produccion_mani[produccion_tm]))</f>
        <v>0</v>
      </c>
      <c r="K124" s="31" cm="1">
        <f t="array" ref="K124">SUM(IF((Produccion_mani[provincia_nombre]=K$29)*(Produccion_mani[campania]=A124),Produccion_mani[produccion_tm]))</f>
        <v>1788</v>
      </c>
      <c r="L124" s="31" cm="1">
        <f t="array" ref="L124">SUM(IF((Produccion_mani[provincia_nombre]=L$29)*(Produccion_mani[campania]=A124),Produccion_mani[produccion_tm]))</f>
        <v>2530</v>
      </c>
      <c r="M124" s="31" cm="1">
        <f t="array" ref="M124">SUM(IF((Produccion_mani[provincia_nombre]=M$29)*(Produccion_mani[campania]=A124),Produccion_mani[produccion_tm]))</f>
        <v>4282</v>
      </c>
      <c r="N124" s="31" cm="1">
        <f t="array" ref="N124">SUM(IF((Produccion_mani[provincia_nombre]=N$29)*(Produccion_mani[campania]=A124),Produccion_mani[produccion_tm]))</f>
        <v>0</v>
      </c>
      <c r="O124" s="31" cm="1">
        <f t="array" ref="O124">SUM(IF((Produccion_mani[provincia_nombre]=O$29)*(Produccion_mani[campania]=A124),Produccion_mani[produccion_tm]))</f>
        <v>57145</v>
      </c>
      <c r="P124" s="31" cm="1">
        <f t="array" ref="P124">SUM(IF((Produccion_mani[provincia_nombre]=P$29)*(Produccion_mani[campania]=A124),Produccion_mani[produccion_tm]))</f>
        <v>0</v>
      </c>
      <c r="Q124" s="31" cm="1">
        <f t="array" ref="Q124">SUM(IF((Produccion_mani[provincia_nombre]=Q$29)*(Produccion_mani[campania]=A124),Produccion_mani[produccion_tm]))</f>
        <v>135926</v>
      </c>
      <c r="R124" s="31" cm="1">
        <f t="array" ref="R124">SUM(IF((Produccion_mani[provincia_nombre]=R$29)*(Produccion_mani[campania]=A124),Produccion_mani[produccion_tm]))</f>
        <v>60602</v>
      </c>
      <c r="S124" s="31" cm="1">
        <f t="array" ref="S124">SUM(IF((Produccion_mani[provincia_nombre]=S$29)*(Produccion_mani[campania]=A124),Produccion_mani[produccion_tm]))</f>
        <v>0</v>
      </c>
    </row>
    <row r="125" spans="1:19" x14ac:dyDescent="0.25">
      <c r="A125" s="23" t="str">
        <v>2022/2023</v>
      </c>
      <c r="B125" s="31" cm="1">
        <f t="array" ref="B125">SUM(IF((Produccion_mani[provincia_nombre]=B$29)*(Produccion_mani[campania]=A125),Produccion_mani[produccion_tm]))</f>
        <v>0</v>
      </c>
      <c r="C125" s="31" cm="1">
        <f t="array" ref="C125">SUM(IF((Produccion_mani[provincia_nombre]=C$29)*(Produccion_mani[campania]=A125),Produccion_mani[produccion_tm]))</f>
        <v>692698</v>
      </c>
      <c r="D125" s="31" cm="1">
        <f t="array" ref="D125">SUM(IF((Produccion_mani[provincia_nombre]=D$29)*(Produccion_mani[campania]=A125),Produccion_mani[produccion_tm]))</f>
        <v>0</v>
      </c>
      <c r="E125" s="31" cm="1">
        <f t="array" ref="E125">SUM(IF((Produccion_mani[provincia_nombre]=E$29)*(Produccion_mani[campania]=A125),Produccion_mani[produccion_tm]))</f>
        <v>0</v>
      </c>
      <c r="F125" s="31" cm="1">
        <f t="array" ref="F125">SUM(IF((Produccion_mani[provincia_nombre]=F$29)*(Produccion_mani[campania]=A125),Produccion_mani[produccion_tm]))</f>
        <v>0</v>
      </c>
      <c r="G125" s="31" cm="1">
        <f t="array" ref="G125">SUM(IF((Produccion_mani[provincia_nombre]=G$29)*(Produccion_mani[campania]=A125),Produccion_mani[produccion_tm]))</f>
        <v>200</v>
      </c>
      <c r="H125" s="31" cm="1">
        <f t="array" ref="H125">SUM(IF((Produccion_mani[provincia_nombre]=H$29)*(Produccion_mani[campania]=A125),Produccion_mani[produccion_tm]))</f>
        <v>0</v>
      </c>
      <c r="I125" s="31" cm="1">
        <f t="array" ref="I125">SUM(IF((Produccion_mani[provincia_nombre]=I$29)*(Produccion_mani[campania]=A125),Produccion_mani[produccion_tm]))</f>
        <v>17600</v>
      </c>
      <c r="J125" s="31" cm="1">
        <f t="array" ref="J125">SUM(IF((Produccion_mani[provincia_nombre]=J$29)*(Produccion_mani[campania]=A125),Produccion_mani[produccion_tm]))</f>
        <v>0</v>
      </c>
      <c r="K125" s="31" cm="1">
        <f t="array" ref="K125">SUM(IF((Produccion_mani[provincia_nombre]=K$29)*(Produccion_mani[campania]=A125),Produccion_mani[produccion_tm]))</f>
        <v>554</v>
      </c>
      <c r="L125" s="31" cm="1">
        <f t="array" ref="L125">SUM(IF((Produccion_mani[provincia_nombre]=L$29)*(Produccion_mani[campania]=A125),Produccion_mani[produccion_tm]))</f>
        <v>936</v>
      </c>
      <c r="M125" s="31" cm="1">
        <f t="array" ref="M125">SUM(IF((Produccion_mani[provincia_nombre]=M$29)*(Produccion_mani[campania]=A125),Produccion_mani[produccion_tm]))</f>
        <v>3079</v>
      </c>
      <c r="N125" s="31" cm="1">
        <f t="array" ref="N125">SUM(IF((Produccion_mani[provincia_nombre]=N$29)*(Produccion_mani[campania]=A125),Produccion_mani[produccion_tm]))</f>
        <v>0</v>
      </c>
      <c r="O125" s="31" cm="1">
        <f t="array" ref="O125">SUM(IF((Produccion_mani[provincia_nombre]=O$29)*(Produccion_mani[campania]=A125),Produccion_mani[produccion_tm]))</f>
        <v>45650</v>
      </c>
      <c r="P125" s="31" cm="1">
        <f t="array" ref="P125">SUM(IF((Produccion_mani[provincia_nombre]=P$29)*(Produccion_mani[campania]=A125),Produccion_mani[produccion_tm]))</f>
        <v>0</v>
      </c>
      <c r="Q125" s="31" cm="1">
        <f t="array" ref="Q125">SUM(IF((Produccion_mani[provincia_nombre]=Q$29)*(Produccion_mani[campania]=A125),Produccion_mani[produccion_tm]))</f>
        <v>157409</v>
      </c>
      <c r="R125" s="31" cm="1">
        <f t="array" ref="R125">SUM(IF((Produccion_mani[provincia_nombre]=R$29)*(Produccion_mani[campania]=A125),Produccion_mani[produccion_tm]))</f>
        <v>44548</v>
      </c>
      <c r="S125" s="31" cm="1">
        <f t="array" ref="S125">SUM(IF((Produccion_mani[provincia_nombre]=S$29)*(Produccion_mani[campania]=A125),Produccion_mani[produccion_tm]))</f>
        <v>0</v>
      </c>
    </row>
    <row r="126" spans="1:19" x14ac:dyDescent="0.25">
      <c r="A126" s="23" t="str">
        <v>2023/2024</v>
      </c>
      <c r="B126" s="31" cm="1">
        <f t="array" ref="B126">SUM(IF((Produccion_mani[provincia_nombre]=B$29)*(Produccion_mani[campania]=A126),Produccion_mani[produccion_tm]))</f>
        <v>0</v>
      </c>
      <c r="C126" s="31" cm="1">
        <f t="array" ref="C126">SUM(IF((Produccion_mani[provincia_nombre]=C$29)*(Produccion_mani[campania]=A126),Produccion_mani[produccion_tm]))</f>
        <v>1130118</v>
      </c>
      <c r="D126" s="31" cm="1">
        <f t="array" ref="D126">SUM(IF((Produccion_mani[provincia_nombre]=D$29)*(Produccion_mani[campania]=A126),Produccion_mani[produccion_tm]))</f>
        <v>0</v>
      </c>
      <c r="E126" s="31" cm="1">
        <f t="array" ref="E126">SUM(IF((Produccion_mani[provincia_nombre]=E$29)*(Produccion_mani[campania]=A126),Produccion_mani[produccion_tm]))</f>
        <v>0</v>
      </c>
      <c r="F126" s="31" cm="1">
        <f t="array" ref="F126">SUM(IF((Produccion_mani[provincia_nombre]=F$29)*(Produccion_mani[campania]=A126),Produccion_mani[produccion_tm]))</f>
        <v>0</v>
      </c>
      <c r="G126" s="31" cm="1">
        <f t="array" ref="G126">SUM(IF((Produccion_mani[provincia_nombre]=G$29)*(Produccion_mani[campania]=A126),Produccion_mani[produccion_tm]))</f>
        <v>600</v>
      </c>
      <c r="H126" s="31" cm="1">
        <f t="array" ref="H126">SUM(IF((Produccion_mani[provincia_nombre]=H$29)*(Produccion_mani[campania]=A126),Produccion_mani[produccion_tm]))</f>
        <v>0</v>
      </c>
      <c r="I126" s="31" cm="1">
        <f t="array" ref="I126">SUM(IF((Produccion_mani[provincia_nombre]=I$29)*(Produccion_mani[campania]=A126),Produccion_mani[produccion_tm]))</f>
        <v>47127</v>
      </c>
      <c r="J126" s="31" cm="1">
        <f t="array" ref="J126">SUM(IF((Produccion_mani[provincia_nombre]=J$29)*(Produccion_mani[campania]=A126),Produccion_mani[produccion_tm]))</f>
        <v>738</v>
      </c>
      <c r="K126" s="31" cm="1">
        <f t="array" ref="K126">SUM(IF((Produccion_mani[provincia_nombre]=K$29)*(Produccion_mani[campania]=A126),Produccion_mani[produccion_tm]))</f>
        <v>2960</v>
      </c>
      <c r="L126" s="31" cm="1">
        <f t="array" ref="L126">SUM(IF((Produccion_mani[provincia_nombre]=L$29)*(Produccion_mani[campania]=A126),Produccion_mani[produccion_tm]))</f>
        <v>1280</v>
      </c>
      <c r="M126" s="31" cm="1">
        <f t="array" ref="M126">SUM(IF((Produccion_mani[provincia_nombre]=M$29)*(Produccion_mani[campania]=A126),Produccion_mani[produccion_tm]))</f>
        <v>4353</v>
      </c>
      <c r="N126" s="31" cm="1">
        <f t="array" ref="N126">SUM(IF((Produccion_mani[provincia_nombre]=N$29)*(Produccion_mani[campania]=A126),Produccion_mani[produccion_tm]))</f>
        <v>0</v>
      </c>
      <c r="O126" s="31" cm="1">
        <f t="array" ref="O126">SUM(IF((Produccion_mani[provincia_nombre]=O$29)*(Produccion_mani[campania]=A126),Produccion_mani[produccion_tm]))</f>
        <v>48630</v>
      </c>
      <c r="P126" s="31" cm="1">
        <f t="array" ref="P126">SUM(IF((Produccion_mani[provincia_nombre]=P$29)*(Produccion_mani[campania]=A126),Produccion_mani[produccion_tm]))</f>
        <v>0</v>
      </c>
      <c r="Q126" s="31" cm="1">
        <f t="array" ref="Q126">SUM(IF((Produccion_mani[provincia_nombre]=Q$29)*(Produccion_mani[campania]=A126),Produccion_mani[produccion_tm]))</f>
        <v>175199</v>
      </c>
      <c r="R126" s="31" cm="1">
        <f t="array" ref="R126">SUM(IF((Produccion_mani[provincia_nombre]=R$29)*(Produccion_mani[campania]=A126),Produccion_mani[produccion_tm]))</f>
        <v>71822</v>
      </c>
      <c r="S126" s="31" cm="1">
        <f t="array" ref="S126">SUM(IF((Produccion_mani[provincia_nombre]=S$29)*(Produccion_mani[campania]=A126),Produccion_mani[produccion_tm]))</f>
        <v>0</v>
      </c>
    </row>
    <row r="127" spans="1:19" x14ac:dyDescent="0.25">
      <c r="A127" s="23" t="str">
        <v>2024/2025</v>
      </c>
      <c r="B127" s="31" cm="1">
        <f t="array" ref="B127">SUM(IF((Produccion_mani[provincia_nombre]=B$29)*(Produccion_mani[campania]=A127),Produccion_mani[produccion_tm]))</f>
        <v>0</v>
      </c>
      <c r="C127" s="31" cm="1">
        <f t="array" ref="C127">SUM(IF((Produccion_mani[provincia_nombre]=C$29)*(Produccion_mani[campania]=A127),Produccion_mani[produccion_tm]))</f>
        <v>1268363</v>
      </c>
      <c r="D127" s="31" cm="1">
        <f t="array" ref="D127">SUM(IF((Produccion_mani[provincia_nombre]=D$29)*(Produccion_mani[campania]=A127),Produccion_mani[produccion_tm]))</f>
        <v>0</v>
      </c>
      <c r="E127" s="31" cm="1">
        <f t="array" ref="E127">SUM(IF((Produccion_mani[provincia_nombre]=E$29)*(Produccion_mani[campania]=A127),Produccion_mani[produccion_tm]))</f>
        <v>0</v>
      </c>
      <c r="F127" s="31" cm="1">
        <f t="array" ref="F127">SUM(IF((Produccion_mani[provincia_nombre]=F$29)*(Produccion_mani[campania]=A127),Produccion_mani[produccion_tm]))</f>
        <v>0</v>
      </c>
      <c r="G127" s="31" cm="1">
        <f t="array" ref="G127">SUM(IF((Produccion_mani[provincia_nombre]=G$29)*(Produccion_mani[campania]=A127),Produccion_mani[produccion_tm]))</f>
        <v>520</v>
      </c>
      <c r="H127" s="31" cm="1">
        <f t="array" ref="H127">SUM(IF((Produccion_mani[provincia_nombre]=H$29)*(Produccion_mani[campania]=A127),Produccion_mani[produccion_tm]))</f>
        <v>0</v>
      </c>
      <c r="I127" s="31" cm="1">
        <f t="array" ref="I127">SUM(IF((Produccion_mani[provincia_nombre]=I$29)*(Produccion_mani[campania]=A127),Produccion_mani[produccion_tm]))</f>
        <v>51170</v>
      </c>
      <c r="J127" s="31" cm="1">
        <f t="array" ref="J127">SUM(IF((Produccion_mani[provincia_nombre]=J$29)*(Produccion_mani[campania]=A127),Produccion_mani[produccion_tm]))</f>
        <v>627</v>
      </c>
      <c r="K127" s="31" cm="1">
        <f t="array" ref="K127">SUM(IF((Produccion_mani[provincia_nombre]=K$29)*(Produccion_mani[campania]=A127),Produccion_mani[produccion_tm]))</f>
        <v>3899</v>
      </c>
      <c r="L127" s="31" cm="1">
        <f t="array" ref="L127">SUM(IF((Produccion_mani[provincia_nombre]=L$29)*(Produccion_mani[campania]=A127),Produccion_mani[produccion_tm]))</f>
        <v>2280</v>
      </c>
      <c r="M127" s="31" cm="1">
        <f t="array" ref="M127">SUM(IF((Produccion_mani[provincia_nombre]=M$29)*(Produccion_mani[campania]=A127),Produccion_mani[produccion_tm]))</f>
        <v>2593</v>
      </c>
      <c r="N127" s="31" cm="1">
        <f t="array" ref="N127">SUM(IF((Produccion_mani[provincia_nombre]=N$29)*(Produccion_mani[campania]=A127),Produccion_mani[produccion_tm]))</f>
        <v>0</v>
      </c>
      <c r="O127" s="31" cm="1">
        <f t="array" ref="O127">SUM(IF((Produccion_mani[provincia_nombre]=O$29)*(Produccion_mani[campania]=A127),Produccion_mani[produccion_tm]))</f>
        <v>36338</v>
      </c>
      <c r="P127" s="31" cm="1">
        <f t="array" ref="P127">SUM(IF((Produccion_mani[provincia_nombre]=P$29)*(Produccion_mani[campania]=A127),Produccion_mani[produccion_tm]))</f>
        <v>0</v>
      </c>
      <c r="Q127" s="31" cm="1">
        <f t="array" ref="Q127">SUM(IF((Produccion_mani[provincia_nombre]=Q$29)*(Produccion_mani[campania]=A127),Produccion_mani[produccion_tm]))</f>
        <v>315761</v>
      </c>
      <c r="R127" s="31" cm="1">
        <f t="array" ref="R127">SUM(IF((Produccion_mani[provincia_nombre]=R$29)*(Produccion_mani[campania]=A127),Produccion_mani[produccion_tm]))</f>
        <v>127986</v>
      </c>
      <c r="S127" s="31" cm="1">
        <f t="array" ref="S127">SUM(IF((Produccion_mani[provincia_nombre]=S$29)*(Produccion_mani[campania]=A127),Produccion_mani[produccion_tm]))</f>
        <v>0</v>
      </c>
    </row>
    <row r="128" spans="1:19" x14ac:dyDescent="0.25">
      <c r="A128" s="23" t="s">
        <v>382</v>
      </c>
      <c r="B128" s="32">
        <f>MAX(B30:B127)</f>
        <v>3775</v>
      </c>
      <c r="C128" s="32">
        <f>MAX(C30:C127)</f>
        <v>1268363</v>
      </c>
      <c r="D128" s="32">
        <f t="shared" ref="D128:S128" si="0">MAX(D30:D127)</f>
        <v>5475</v>
      </c>
      <c r="E128" s="32">
        <f t="shared" si="0"/>
        <v>14464</v>
      </c>
      <c r="F128" s="32">
        <f t="shared" si="0"/>
        <v>3295</v>
      </c>
      <c r="G128" s="32">
        <f t="shared" si="0"/>
        <v>1600</v>
      </c>
      <c r="H128" s="32">
        <f t="shared" si="0"/>
        <v>1492</v>
      </c>
      <c r="I128" s="32">
        <f t="shared" si="0"/>
        <v>51170</v>
      </c>
      <c r="J128" s="32">
        <f t="shared" si="0"/>
        <v>738</v>
      </c>
      <c r="K128" s="32">
        <f t="shared" si="0"/>
        <v>6900</v>
      </c>
      <c r="L128" s="32">
        <f t="shared" si="0"/>
        <v>2530</v>
      </c>
      <c r="M128" s="32">
        <f t="shared" si="0"/>
        <v>23400</v>
      </c>
      <c r="N128" s="32">
        <f t="shared" si="0"/>
        <v>12</v>
      </c>
      <c r="O128" s="32">
        <f t="shared" si="0"/>
        <v>72150</v>
      </c>
      <c r="P128" s="32">
        <f t="shared" si="0"/>
        <v>184</v>
      </c>
      <c r="Q128" s="32">
        <f t="shared" si="0"/>
        <v>315761</v>
      </c>
      <c r="R128" s="32">
        <f t="shared" si="0"/>
        <v>127986</v>
      </c>
      <c r="S128" s="32">
        <f t="shared" si="0"/>
        <v>0</v>
      </c>
    </row>
    <row r="129" spans="1:19" x14ac:dyDescent="0.25">
      <c r="A129" s="23" t="s">
        <v>383</v>
      </c>
      <c r="B129" s="32" t="str" cm="1">
        <f t="array" ref="B129">_xlfn.TAKE((_xlfn._xlws.FILTER(_xlfn.ANCHORARRAY($A30),B$30:B$127=B128)),1)</f>
        <v>1927/1928</v>
      </c>
      <c r="C129" s="32" t="str" cm="1">
        <f t="array" ref="C129">_xlfn.TAKE((_xlfn._xlws.FILTER(_xlfn.ANCHORARRAY($A30),C$30:C$127=C128)),1)</f>
        <v>2024/2025</v>
      </c>
      <c r="D129" s="32" t="str" cm="1">
        <f t="array" ref="D129">_xlfn.TAKE((_xlfn._xlws.FILTER(_xlfn.ANCHORARRAY($A30),D$30:D$127=D128)),1)</f>
        <v>1946/1947</v>
      </c>
      <c r="E129" s="32" t="str" cm="1">
        <f t="array" ref="E129">_xlfn.TAKE((_xlfn._xlws.FILTER(_xlfn.ANCHORARRAY($A30),E$30:E$127=E128)),1)</f>
        <v>1934/1935</v>
      </c>
      <c r="F129" s="32" t="str" cm="1">
        <f t="array" ref="F129">_xlfn.TAKE((_xlfn._xlws.FILTER(_xlfn.ANCHORARRAY($A30),F$30:F$127=F128)),1)</f>
        <v>2006/2007</v>
      </c>
      <c r="G129" s="32" t="str" cm="1">
        <f t="array" ref="G129">_xlfn.TAKE((_xlfn._xlws.FILTER(_xlfn.ANCHORARRAY($A30),G$30:G$127=G128)),1)</f>
        <v>2004/2005</v>
      </c>
      <c r="H129" s="32" t="str" cm="1">
        <f t="array" ref="H129">_xlfn.TAKE((_xlfn._xlws.FILTER(_xlfn.ANCHORARRAY($A30),H$30:H$127=H128)),1)</f>
        <v>1931/1932</v>
      </c>
      <c r="I129" s="32" t="str" cm="1">
        <f t="array" ref="I129">_xlfn.TAKE((_xlfn._xlws.FILTER(_xlfn.ANCHORARRAY($A30),I$30:I$127=I128)),1)</f>
        <v>2024/2025</v>
      </c>
      <c r="J129" s="32" t="str" cm="1">
        <f t="array" ref="J129">_xlfn.TAKE((_xlfn._xlws.FILTER(_xlfn.ANCHORARRAY($A30),J$30:J$127=J128)),1)</f>
        <v>2023/2024</v>
      </c>
      <c r="K129" s="32" t="str" cm="1">
        <f t="array" ref="K129">_xlfn.TAKE((_xlfn._xlws.FILTER(_xlfn.ANCHORARRAY($A30),K$30:K$127=K128)),1)</f>
        <v>1970/1971</v>
      </c>
      <c r="L129" s="32" t="str" cm="1">
        <f t="array" ref="L129">_xlfn.TAKE((_xlfn._xlws.FILTER(_xlfn.ANCHORARRAY($A30),L$30:L$127=L128)),1)</f>
        <v>2021/2022</v>
      </c>
      <c r="M129" s="32" t="str" cm="1">
        <f t="array" ref="M129">_xlfn.TAKE((_xlfn._xlws.FILTER(_xlfn.ANCHORARRAY($A30),M$30:M$127=M128)),1)</f>
        <v>1990/1991</v>
      </c>
      <c r="N129" s="32" t="str" cm="1">
        <f t="array" ref="N129">_xlfn.TAKE((_xlfn._xlws.FILTER(_xlfn.ANCHORARRAY($A30),N$30:N$127=N128)),1)</f>
        <v>1933/1934</v>
      </c>
      <c r="O129" s="32" t="str" cm="1">
        <f t="array" ref="O129">_xlfn.TAKE((_xlfn._xlws.FILTER(_xlfn.ANCHORARRAY($A30),O$30:O$127=O128)),1)</f>
        <v>2016/2017</v>
      </c>
      <c r="P129" s="32" t="str" cm="1">
        <f t="array" ref="P129">_xlfn.TAKE((_xlfn._xlws.FILTER(_xlfn.ANCHORARRAY($A30),P$30:P$127=P128)),1)</f>
        <v>1935/1936</v>
      </c>
      <c r="Q129" s="32" t="str" cm="1">
        <f t="array" ref="Q129">_xlfn.TAKE((_xlfn._xlws.FILTER(_xlfn.ANCHORARRAY($A30),Q$30:Q$127=Q128)),1)</f>
        <v>2024/2025</v>
      </c>
      <c r="R129" s="32" t="str" cm="1">
        <f t="array" ref="R129">_xlfn.TAKE((_xlfn._xlws.FILTER(_xlfn.ANCHORARRAY($A30),R$30:R$127=R128)),1)</f>
        <v>2024/2025</v>
      </c>
      <c r="S129" s="32" t="str" cm="1">
        <f t="array" ref="S129">_xlfn.TAKE((_xlfn._xlws.FILTER(_xlfn.ANCHORARRAY($A30),S$30:S$127=S128)),1)</f>
        <v>1927/1928</v>
      </c>
    </row>
    <row r="132" spans="1:19" x14ac:dyDescent="0.25">
      <c r="A132" s="31" t="s">
        <v>14</v>
      </c>
      <c r="B132" s="23" t="s">
        <v>22</v>
      </c>
      <c r="C132" s="23" t="s">
        <v>30</v>
      </c>
      <c r="D132" s="23" t="s">
        <v>45</v>
      </c>
      <c r="E132" s="23" t="s">
        <v>48</v>
      </c>
      <c r="F132" s="23" t="s">
        <v>53</v>
      </c>
      <c r="G132" s="23" t="s">
        <v>58</v>
      </c>
      <c r="H132" s="23" t="s">
        <v>64</v>
      </c>
      <c r="I132" s="23" t="s">
        <v>68</v>
      </c>
      <c r="J132" s="23" t="s">
        <v>77</v>
      </c>
      <c r="K132" s="23" t="s">
        <v>80</v>
      </c>
      <c r="L132" s="23" t="s">
        <v>87</v>
      </c>
      <c r="M132" s="23" t="s">
        <v>112</v>
      </c>
      <c r="N132" s="23" t="s">
        <v>116</v>
      </c>
      <c r="O132" s="23" t="s">
        <v>138</v>
      </c>
      <c r="P132" s="23" t="s">
        <v>158</v>
      </c>
      <c r="Q132" s="23" t="s">
        <v>176</v>
      </c>
      <c r="R132" s="23" t="s">
        <v>287</v>
      </c>
    </row>
    <row r="133" spans="1:19" x14ac:dyDescent="0.25">
      <c r="A133" s="32">
        <v>3775</v>
      </c>
      <c r="B133" s="32">
        <v>1268363</v>
      </c>
      <c r="C133" s="32">
        <v>5475</v>
      </c>
      <c r="D133" s="32">
        <v>14464</v>
      </c>
      <c r="E133" s="32">
        <v>3295</v>
      </c>
      <c r="F133" s="32">
        <v>1600</v>
      </c>
      <c r="G133" s="32">
        <v>1492</v>
      </c>
      <c r="H133" s="32">
        <v>51170</v>
      </c>
      <c r="I133" s="32">
        <v>738</v>
      </c>
      <c r="J133" s="32">
        <v>6900</v>
      </c>
      <c r="K133" s="32">
        <v>2530</v>
      </c>
      <c r="L133" s="32">
        <v>23400</v>
      </c>
      <c r="M133" s="32">
        <v>12</v>
      </c>
      <c r="N133" s="32">
        <v>72150</v>
      </c>
      <c r="O133" s="32">
        <v>184</v>
      </c>
      <c r="P133" s="32">
        <v>315761</v>
      </c>
      <c r="Q133" s="32">
        <v>127986</v>
      </c>
      <c r="R133" s="32">
        <v>0</v>
      </c>
    </row>
    <row r="134" spans="1:19" x14ac:dyDescent="0.25">
      <c r="A134" s="32" t="s">
        <v>13</v>
      </c>
      <c r="B134" s="32" t="s">
        <v>352</v>
      </c>
      <c r="C134" s="32" t="s">
        <v>211</v>
      </c>
      <c r="D134" s="32" t="s">
        <v>137</v>
      </c>
      <c r="E134" s="32" t="s">
        <v>313</v>
      </c>
      <c r="F134" s="32" t="s">
        <v>311</v>
      </c>
      <c r="G134" s="32" t="s">
        <v>113</v>
      </c>
      <c r="H134" s="32" t="s">
        <v>352</v>
      </c>
      <c r="I134" s="32" t="s">
        <v>349</v>
      </c>
      <c r="J134" s="32" t="s">
        <v>267</v>
      </c>
      <c r="K134" s="32" t="s">
        <v>344</v>
      </c>
      <c r="L134" s="32" t="s">
        <v>297</v>
      </c>
      <c r="M134" s="32" t="s">
        <v>128</v>
      </c>
      <c r="N134" s="32" t="s">
        <v>332</v>
      </c>
      <c r="O134" s="32" t="s">
        <v>142</v>
      </c>
      <c r="P134" s="32" t="s">
        <v>352</v>
      </c>
      <c r="Q134" s="32" t="s">
        <v>352</v>
      </c>
      <c r="R134" s="32" t="s">
        <v>13</v>
      </c>
    </row>
    <row r="136" spans="1:19" x14ac:dyDescent="0.25">
      <c r="A136" s="23" t="s">
        <v>393</v>
      </c>
      <c r="B136" s="31" t="s">
        <v>394</v>
      </c>
      <c r="C136" s="31" t="s">
        <v>395</v>
      </c>
      <c r="D136" s="9" t="str" cm="1">
        <f t="array" ref="D136:D153">_xlfn.UNIQUE(Produccion_mani[provincia_nombre])</f>
        <v>Chaco</v>
      </c>
      <c r="E136" s="23" t="str" cm="1">
        <f t="array" ref="E136:F136">_xlfn.TAKE(_xlfn._xlws.SORT(_xlfn.HSTACK(_xlfn.UNIQUE(Produccion_mani[campania]), SUMIFS(Produccion_mani[[superficie_cosechada_ha]:[superficie_cosechada_ha]], Produccion_mani[[provincia_nombre]:[provincia_nombre]], A137, Produccion_mani[[campania]:[campania]], _xlfn.UNIQUE(Produccion_mani[campania]))), 2, -1), 1)</f>
        <v>1927/1928</v>
      </c>
      <c r="F136" s="31">
        <v>5034</v>
      </c>
    </row>
    <row r="137" spans="1:19" x14ac:dyDescent="0.25">
      <c r="A137" s="23" t="str" cm="1">
        <f t="array" ref="A137:A154">_xlfn.UNIQUE(Produccion_mani[provincia_nombre])</f>
        <v>Chaco</v>
      </c>
      <c r="B137" s="31" t="str" cm="1">
        <f t="array" ref="B137:C137">_xlfn.TAKE(_xlfn._xlws.SORT(_xlfn.HSTACK(_xlfn.UNIQUE(Produccion_mani[campania]), SUMIFS(Produccion_mani[[superficie_sembrada_ha]:[superficie_sembrada_ha]], Produccion_mani[[provincia_nombre]:[provincia_nombre]], A137, Produccion_mani[[campania]:[campania]], _xlfn.UNIQUE(Produccion_mani[campania]))), 2, -1), 1)</f>
        <v>1927/1928</v>
      </c>
      <c r="C137" s="31">
        <v>5034</v>
      </c>
      <c r="D137" s="9" t="str">
        <v>Córdoba</v>
      </c>
      <c r="E137" s="23" t="str" cm="1">
        <f t="array" ref="E137:F137">_xlfn.TAKE(_xlfn._xlws.SORT(_xlfn.HSTACK(_xlfn.UNIQUE(Produccion_mani[campania]), SUMIFS(Produccion_mani[[superficie_cosechada_ha]:[superficie_cosechada_ha]], Produccion_mani[[provincia_nombre]:[provincia_nombre]], A138, Produccion_mani[[campania]:[campania]], _xlfn.UNIQUE(Produccion_mani[campania]))), 2, -1), 1)</f>
        <v>1977/1978</v>
      </c>
      <c r="F137" s="31">
        <v>425600</v>
      </c>
      <c r="G137" s="9" t="str" cm="1">
        <f t="array" ref="G137:I154">_xlfn._xlws.SORT(A137:C154,3,-1)</f>
        <v>Córdoba</v>
      </c>
      <c r="H137" s="9" t="str">
        <v>1977/1978</v>
      </c>
      <c r="I137" s="9">
        <v>449500</v>
      </c>
      <c r="J137" s="9"/>
      <c r="K137" t="str" cm="1">
        <f t="array" ref="K137:M154">_xlfn._xlws.SORT(D136:F153,3,-1)</f>
        <v>Córdoba</v>
      </c>
      <c r="L137" t="str">
        <v>1977/1978</v>
      </c>
      <c r="M137">
        <v>425600</v>
      </c>
      <c r="N137" s="9"/>
      <c r="O137" s="9"/>
      <c r="P137" s="9"/>
      <c r="Q137" s="9"/>
      <c r="R137" s="9"/>
      <c r="S137" s="9"/>
    </row>
    <row r="138" spans="1:19" x14ac:dyDescent="0.25">
      <c r="A138" s="23" t="str">
        <v>Córdoba</v>
      </c>
      <c r="B138" s="31" t="str" cm="1">
        <f t="array" ref="B138:C138">_xlfn.TAKE(_xlfn._xlws.SORT(_xlfn.HSTACK(_xlfn.UNIQUE(Produccion_mani[campania]), SUMIFS(Produccion_mani[[superficie_sembrada_ha]:[superficie_sembrada_ha]], Produccion_mani[[provincia_nombre]:[provincia_nombre]], A138, Produccion_mani[[campania]:[campania]], _xlfn.UNIQUE(Produccion_mani[campania]))), 2, -1), 1)</f>
        <v>1977/1978</v>
      </c>
      <c r="C138" s="31">
        <v>449500</v>
      </c>
      <c r="D138" s="9" t="str">
        <v>Corrientes</v>
      </c>
      <c r="E138" s="23" t="str" cm="1">
        <f t="array" ref="E138:F138">_xlfn.TAKE(_xlfn._xlws.SORT(_xlfn.HSTACK(_xlfn.UNIQUE(Produccion_mani[campania]), SUMIFS(Produccion_mani[[superficie_cosechada_ha]:[superficie_cosechada_ha]], Produccion_mani[[provincia_nombre]:[provincia_nombre]], A139, Produccion_mani[[campania]:[campania]], _xlfn.UNIQUE(Produccion_mani[campania]))), 2, -1), 1)</f>
        <v>1931/1932</v>
      </c>
      <c r="F138" s="31">
        <v>4135</v>
      </c>
      <c r="G138" s="9" t="str">
        <v>Buenos Aires</v>
      </c>
      <c r="H138" s="9" t="str">
        <v>2024/2025</v>
      </c>
      <c r="I138" s="9">
        <v>84979</v>
      </c>
      <c r="J138" s="9"/>
      <c r="K138" t="str">
        <v>Buenos Aires</v>
      </c>
      <c r="L138" t="str">
        <v>2024/2025</v>
      </c>
      <c r="M138">
        <v>84799</v>
      </c>
      <c r="N138" s="9"/>
      <c r="O138" s="9"/>
      <c r="P138" s="9"/>
      <c r="Q138" s="9"/>
      <c r="R138" s="9"/>
      <c r="S138" s="9"/>
    </row>
    <row r="139" spans="1:19" x14ac:dyDescent="0.25">
      <c r="A139" s="23" t="str">
        <v>Corrientes</v>
      </c>
      <c r="B139" s="31" t="str" cm="1">
        <f t="array" ref="B139:C139">_xlfn.TAKE(_xlfn._xlws.SORT(_xlfn.HSTACK(_xlfn.UNIQUE(Produccion_mani[campania]), SUMIFS(Produccion_mani[[superficie_sembrada_ha]:[superficie_sembrada_ha]], Produccion_mani[[provincia_nombre]:[provincia_nombre]], A139, Produccion_mani[[campania]:[campania]], _xlfn.UNIQUE(Produccion_mani[campania]))), 2, -1), 1)</f>
        <v>1942/1943</v>
      </c>
      <c r="C139" s="31">
        <v>4500</v>
      </c>
      <c r="D139" s="9" t="str">
        <v>Entre Ríos</v>
      </c>
      <c r="E139" s="23" t="str" cm="1">
        <f t="array" ref="E139:F139">_xlfn.TAKE(_xlfn._xlws.SORT(_xlfn.HSTACK(_xlfn.UNIQUE(Produccion_mani[campania]), SUMIFS(Produccion_mani[[superficie_cosechada_ha]:[superficie_cosechada_ha]], Produccion_mani[[provincia_nombre]:[provincia_nombre]], A140, Produccion_mani[[campania]:[campania]], _xlfn.UNIQUE(Produccion_mani[campania]))), 2, -1), 1)</f>
        <v>1928/1929</v>
      </c>
      <c r="F139" s="31">
        <v>11020</v>
      </c>
      <c r="G139" s="9" t="str">
        <v>La Pampa</v>
      </c>
      <c r="H139" s="9" t="str">
        <v>2010/2011</v>
      </c>
      <c r="I139" s="9">
        <v>44400</v>
      </c>
      <c r="J139" s="9"/>
      <c r="K139" t="str">
        <v>La Pampa</v>
      </c>
      <c r="L139" t="str">
        <v>2010/2011</v>
      </c>
      <c r="M139">
        <v>44400</v>
      </c>
      <c r="N139" s="9"/>
      <c r="O139" s="9"/>
      <c r="P139" s="9"/>
      <c r="Q139" s="9"/>
      <c r="R139" s="9"/>
      <c r="S139" s="9"/>
    </row>
    <row r="140" spans="1:19" x14ac:dyDescent="0.25">
      <c r="A140" s="23" t="str">
        <v>Entre Ríos</v>
      </c>
      <c r="B140" s="31" t="str" cm="1">
        <f t="array" ref="B140:C140">_xlfn.TAKE(_xlfn._xlws.SORT(_xlfn.HSTACK(_xlfn.UNIQUE(Produccion_mani[campania]), SUMIFS(Produccion_mani[[superficie_sembrada_ha]:[superficie_sembrada_ha]], Produccion_mani[[provincia_nombre]:[provincia_nombre]], A140, Produccion_mani[[campania]:[campania]], _xlfn.UNIQUE(Produccion_mani[campania]))), 2, -1), 1)</f>
        <v>1937/1938</v>
      </c>
      <c r="C140" s="31">
        <v>12000</v>
      </c>
      <c r="D140" s="9" t="str">
        <v>Formosa</v>
      </c>
      <c r="E140" s="23" t="str" cm="1">
        <f t="array" ref="E140:F140">_xlfn.TAKE(_xlfn._xlws.SORT(_xlfn.HSTACK(_xlfn.UNIQUE(Produccion_mani[campania]), SUMIFS(Produccion_mani[[superficie_cosechada_ha]:[superficie_cosechada_ha]], Produccion_mani[[provincia_nombre]:[provincia_nombre]], A141, Produccion_mani[[campania]:[campania]], _xlfn.UNIQUE(Produccion_mani[campania]))), 2, -1), 1)</f>
        <v>2006/2007</v>
      </c>
      <c r="F140" s="31">
        <v>1901</v>
      </c>
      <c r="G140" s="9" t="str">
        <v>San Luis</v>
      </c>
      <c r="H140" s="9" t="str">
        <v>2017/2018</v>
      </c>
      <c r="I140" s="9">
        <v>28250</v>
      </c>
      <c r="J140" s="9"/>
      <c r="K140" t="str">
        <v>San Luis</v>
      </c>
      <c r="L140" t="str">
        <v>2017/2018</v>
      </c>
      <c r="M140">
        <v>28250</v>
      </c>
      <c r="N140" s="9"/>
      <c r="O140" s="9"/>
      <c r="P140" s="9"/>
      <c r="Q140" s="9"/>
      <c r="R140" s="9"/>
      <c r="S140" s="9"/>
    </row>
    <row r="141" spans="1:19" x14ac:dyDescent="0.25">
      <c r="A141" s="23" t="str">
        <v>Formosa</v>
      </c>
      <c r="B141" s="31" t="str" cm="1">
        <f t="array" ref="B141:C141">_xlfn.TAKE(_xlfn._xlws.SORT(_xlfn.HSTACK(_xlfn.UNIQUE(Produccion_mani[campania]), SUMIFS(Produccion_mani[[superficie_sembrada_ha]:[superficie_sembrada_ha]], Produccion_mani[[provincia_nombre]:[provincia_nombre]], A141, Produccion_mani[[campania]:[campania]], _xlfn.UNIQUE(Produccion_mani[campania]))), 2, -1), 1)</f>
        <v>2006/2007</v>
      </c>
      <c r="C141" s="31">
        <v>1901</v>
      </c>
      <c r="D141" s="9" t="str">
        <v>Jujuy</v>
      </c>
      <c r="E141" s="23" t="str" cm="1">
        <f t="array" ref="E141:F141">_xlfn.TAKE(_xlfn._xlws.SORT(_xlfn.HSTACK(_xlfn.UNIQUE(Produccion_mani[campania]), SUMIFS(Produccion_mani[[superficie_cosechada_ha]:[superficie_cosechada_ha]], Produccion_mani[[provincia_nombre]:[provincia_nombre]], A142, Produccion_mani[[campania]:[campania]], _xlfn.UNIQUE(Produccion_mani[campania]))), 2, -1), 1)</f>
        <v>2004/2005</v>
      </c>
      <c r="F141" s="31">
        <v>1000</v>
      </c>
      <c r="G141" s="9" t="str">
        <v>Santa Fe</v>
      </c>
      <c r="H141" s="9" t="str">
        <v>1932/1933</v>
      </c>
      <c r="I141" s="9">
        <v>20620</v>
      </c>
      <c r="J141" s="9"/>
      <c r="K141" t="str">
        <v>Santa Fe</v>
      </c>
      <c r="L141" t="str">
        <v>2024/2025</v>
      </c>
      <c r="M141">
        <v>18275</v>
      </c>
      <c r="N141" s="9"/>
      <c r="O141" s="9"/>
      <c r="P141" s="9"/>
      <c r="Q141" s="9"/>
      <c r="R141" s="9"/>
      <c r="S141" s="9"/>
    </row>
    <row r="142" spans="1:19" x14ac:dyDescent="0.25">
      <c r="A142" s="23" t="str">
        <v>Jujuy</v>
      </c>
      <c r="B142" s="31" t="str" cm="1">
        <f t="array" ref="B142:C142">_xlfn.TAKE(_xlfn._xlws.SORT(_xlfn.HSTACK(_xlfn.UNIQUE(Produccion_mani[campania]), SUMIFS(Produccion_mani[[superficie_sembrada_ha]:[superficie_sembrada_ha]], Produccion_mani[[provincia_nombre]:[provincia_nombre]], A142, Produccion_mani[[campania]:[campania]], _xlfn.UNIQUE(Produccion_mani[campania]))), 2, -1), 1)</f>
        <v>2004/2005</v>
      </c>
      <c r="C142" s="31">
        <v>1000</v>
      </c>
      <c r="D142" s="9" t="str">
        <v>Misiones</v>
      </c>
      <c r="E142" s="23" t="str" cm="1">
        <f t="array" ref="E142:F142">_xlfn.TAKE(_xlfn._xlws.SORT(_xlfn.HSTACK(_xlfn.UNIQUE(Produccion_mani[campania]), SUMIFS(Produccion_mani[[superficie_cosechada_ha]:[superficie_cosechada_ha]], Produccion_mani[[provincia_nombre]:[provincia_nombre]], A143, Produccion_mani[[campania]:[campania]], _xlfn.UNIQUE(Produccion_mani[campania]))), 2, -1), 1)</f>
        <v>1942/1943</v>
      </c>
      <c r="F142" s="31">
        <v>1567</v>
      </c>
      <c r="G142" s="9" t="str">
        <v>Entre Ríos</v>
      </c>
      <c r="H142" s="9" t="str">
        <v>1937/1938</v>
      </c>
      <c r="I142" s="9">
        <v>12000</v>
      </c>
      <c r="J142" s="9"/>
      <c r="K142" t="str">
        <v>Entre Ríos</v>
      </c>
      <c r="L142" t="str">
        <v>1928/1929</v>
      </c>
      <c r="M142">
        <v>11020</v>
      </c>
      <c r="N142" s="9"/>
      <c r="O142" s="9"/>
      <c r="P142" s="9"/>
      <c r="Q142" s="9"/>
      <c r="R142" s="9"/>
      <c r="S142" s="9"/>
    </row>
    <row r="143" spans="1:19" x14ac:dyDescent="0.25">
      <c r="A143" s="23" t="str">
        <v>Misiones</v>
      </c>
      <c r="B143" s="31" t="str" cm="1">
        <f t="array" ref="B143:C143">_xlfn.TAKE(_xlfn._xlws.SORT(_xlfn.HSTACK(_xlfn.UNIQUE(Produccion_mani[campania]), SUMIFS(Produccion_mani[[superficie_sembrada_ha]:[superficie_sembrada_ha]], Produccion_mani[[provincia_nombre]:[provincia_nombre]], A143, Produccion_mani[[campania]:[campania]], _xlfn.UNIQUE(Produccion_mani[campania]))), 2, -1), 1)</f>
        <v>1942/1943</v>
      </c>
      <c r="C143" s="31">
        <v>1605</v>
      </c>
      <c r="D143" s="9" t="str">
        <v>Santa Fe</v>
      </c>
      <c r="E143" s="23" t="str" cm="1">
        <f t="array" ref="E143:F143">_xlfn.TAKE(_xlfn._xlws.SORT(_xlfn.HSTACK(_xlfn.UNIQUE(Produccion_mani[campania]), SUMIFS(Produccion_mani[[superficie_cosechada_ha]:[superficie_cosechada_ha]], Produccion_mani[[provincia_nombre]:[provincia_nombre]], A144, Produccion_mani[[campania]:[campania]], _xlfn.UNIQUE(Produccion_mani[campania]))), 2, -1), 1)</f>
        <v>2024/2025</v>
      </c>
      <c r="F143" s="31">
        <v>18275</v>
      </c>
      <c r="G143" s="9" t="str">
        <v>Salta</v>
      </c>
      <c r="H143" s="9" t="str">
        <v>1990/1991</v>
      </c>
      <c r="I143" s="9">
        <v>9500</v>
      </c>
      <c r="J143" s="9"/>
      <c r="K143" t="str">
        <v>Salta</v>
      </c>
      <c r="L143" t="str">
        <v>1990/1991</v>
      </c>
      <c r="M143">
        <v>9500</v>
      </c>
      <c r="N143" s="9"/>
      <c r="O143" s="9"/>
      <c r="P143" s="9"/>
      <c r="Q143" s="9"/>
      <c r="R143" s="9"/>
      <c r="S143" s="9"/>
    </row>
    <row r="144" spans="1:19" x14ac:dyDescent="0.25">
      <c r="A144" s="23" t="str">
        <v>Santa Fe</v>
      </c>
      <c r="B144" s="31" t="str" cm="1">
        <f t="array" ref="B144:C144">_xlfn.TAKE(_xlfn._xlws.SORT(_xlfn.HSTACK(_xlfn.UNIQUE(Produccion_mani[campania]), SUMIFS(Produccion_mani[[superficie_sembrada_ha]:[superficie_sembrada_ha]], Produccion_mani[[provincia_nombre]:[provincia_nombre]], A144, Produccion_mani[[campania]:[campania]], _xlfn.UNIQUE(Produccion_mani[campania]))), 2, -1), 1)</f>
        <v>1932/1933</v>
      </c>
      <c r="C144" s="31">
        <v>20620</v>
      </c>
      <c r="D144" s="9" t="str">
        <v>Santiago del Estero</v>
      </c>
      <c r="E144" s="23" t="str" cm="1">
        <f t="array" ref="E144:F144">_xlfn.TAKE(_xlfn._xlws.SORT(_xlfn.HSTACK(_xlfn.UNIQUE(Produccion_mani[campania]), SUMIFS(Produccion_mani[[superficie_cosechada_ha]:[superficie_cosechada_ha]], Produccion_mani[[provincia_nombre]:[provincia_nombre]], A145, Produccion_mani[[campania]:[campania]], _xlfn.UNIQUE(Produccion_mani[campania]))), 2, -1), 1)</f>
        <v>1943/1944</v>
      </c>
      <c r="F144" s="31">
        <v>438</v>
      </c>
      <c r="G144" s="9" t="str">
        <v>Tucumán</v>
      </c>
      <c r="H144" s="9" t="str">
        <v>1970/1971</v>
      </c>
      <c r="I144" s="9">
        <v>7300</v>
      </c>
      <c r="J144" s="9"/>
      <c r="K144" t="str">
        <v>Tucumán</v>
      </c>
      <c r="L144" t="str">
        <v>1970/1971</v>
      </c>
      <c r="M144">
        <v>6900</v>
      </c>
      <c r="N144" s="9"/>
      <c r="O144" s="9"/>
      <c r="P144" s="9"/>
      <c r="Q144" s="9"/>
      <c r="R144" s="9"/>
      <c r="S144" s="9"/>
    </row>
    <row r="145" spans="1:19" x14ac:dyDescent="0.25">
      <c r="A145" s="23" t="str">
        <v>Santiago del Estero</v>
      </c>
      <c r="B145" s="31" t="str" cm="1">
        <f t="array" ref="B145:C145">_xlfn.TAKE(_xlfn._xlws.SORT(_xlfn.HSTACK(_xlfn.UNIQUE(Produccion_mani[campania]), SUMIFS(Produccion_mani[[superficie_sembrada_ha]:[superficie_sembrada_ha]], Produccion_mani[[provincia_nombre]:[provincia_nombre]], A145, Produccion_mani[[campania]:[campania]], _xlfn.UNIQUE(Produccion_mani[campania]))), 2, -1), 1)</f>
        <v>1943/1944</v>
      </c>
      <c r="C145" s="31">
        <v>521</v>
      </c>
      <c r="D145" s="9" t="str">
        <v>Tucumán</v>
      </c>
      <c r="E145" s="23" t="str" cm="1">
        <f t="array" ref="E145:F145">_xlfn.TAKE(_xlfn._xlws.SORT(_xlfn.HSTACK(_xlfn.UNIQUE(Produccion_mani[campania]), SUMIFS(Produccion_mani[[superficie_cosechada_ha]:[superficie_cosechada_ha]], Produccion_mani[[provincia_nombre]:[provincia_nombre]], A146, Produccion_mani[[campania]:[campania]], _xlfn.UNIQUE(Produccion_mani[campania]))), 2, -1), 1)</f>
        <v>1970/1971</v>
      </c>
      <c r="F145" s="31">
        <v>6900</v>
      </c>
      <c r="G145" s="9" t="str">
        <v>Chaco</v>
      </c>
      <c r="H145" s="9" t="str">
        <v>1927/1928</v>
      </c>
      <c r="I145" s="9">
        <v>5034</v>
      </c>
      <c r="J145" s="9"/>
      <c r="K145" t="str">
        <v>Chaco</v>
      </c>
      <c r="L145" t="str">
        <v>1927/1928</v>
      </c>
      <c r="M145">
        <v>5034</v>
      </c>
      <c r="N145" s="9"/>
      <c r="O145" s="9"/>
      <c r="P145" s="9"/>
      <c r="Q145" s="9"/>
      <c r="R145" s="9"/>
      <c r="S145" s="9"/>
    </row>
    <row r="146" spans="1:19" x14ac:dyDescent="0.25">
      <c r="A146" s="23" t="str">
        <v>Tucumán</v>
      </c>
      <c r="B146" s="31" t="str" cm="1">
        <f t="array" ref="B146:C146">_xlfn.TAKE(_xlfn._xlws.SORT(_xlfn.HSTACK(_xlfn.UNIQUE(Produccion_mani[campania]), SUMIFS(Produccion_mani[[superficie_sembrada_ha]:[superficie_sembrada_ha]], Produccion_mani[[provincia_nombre]:[provincia_nombre]], A146, Produccion_mani[[campania]:[campania]], _xlfn.UNIQUE(Produccion_mani[campania]))), 2, -1), 1)</f>
        <v>1970/1971</v>
      </c>
      <c r="C146" s="31">
        <v>7300</v>
      </c>
      <c r="D146" s="9" t="str">
        <v>Catamarca</v>
      </c>
      <c r="E146" s="23" t="str" cm="1">
        <f t="array" ref="E146:F146">_xlfn.TAKE(_xlfn._xlws.SORT(_xlfn.HSTACK(_xlfn.UNIQUE(Produccion_mani[campania]), SUMIFS(Produccion_mani[[superficie_cosechada_ha]:[superficie_cosechada_ha]], Produccion_mani[[provincia_nombre]:[provincia_nombre]], A147, Produccion_mani[[campania]:[campania]], _xlfn.UNIQUE(Produccion_mani[campania]))), 2, -1), 1)</f>
        <v>2019/2020</v>
      </c>
      <c r="F146" s="31">
        <v>2090</v>
      </c>
      <c r="G146" s="9" t="str">
        <v>Corrientes</v>
      </c>
      <c r="H146" s="9" t="str">
        <v>1942/1943</v>
      </c>
      <c r="I146" s="9">
        <v>4500</v>
      </c>
      <c r="J146" s="9"/>
      <c r="K146" t="str">
        <v>Corrientes</v>
      </c>
      <c r="L146" t="str">
        <v>1931/1932</v>
      </c>
      <c r="M146">
        <v>4135</v>
      </c>
      <c r="N146" s="9"/>
      <c r="O146" s="9"/>
      <c r="P146" s="9"/>
      <c r="Q146" s="9"/>
      <c r="R146" s="9"/>
      <c r="S146" s="9"/>
    </row>
    <row r="147" spans="1:19" x14ac:dyDescent="0.25">
      <c r="A147" s="23" t="str">
        <v>Catamarca</v>
      </c>
      <c r="B147" s="31" t="str" cm="1">
        <f t="array" ref="B147:C147">_xlfn.TAKE(_xlfn._xlws.SORT(_xlfn.HSTACK(_xlfn.UNIQUE(Produccion_mani[campania]), SUMIFS(Produccion_mani[[superficie_sembrada_ha]:[superficie_sembrada_ha]], Produccion_mani[[provincia_nombre]:[provincia_nombre]], A147, Produccion_mani[[campania]:[campania]], _xlfn.UNIQUE(Produccion_mani[campania]))), 2, -1), 1)</f>
        <v>2019/2020</v>
      </c>
      <c r="C147" s="31">
        <v>2200</v>
      </c>
      <c r="D147" s="9" t="str">
        <v>Salta</v>
      </c>
      <c r="E147" s="23" t="str" cm="1">
        <f t="array" ref="E147:F147">_xlfn.TAKE(_xlfn._xlws.SORT(_xlfn.HSTACK(_xlfn.UNIQUE(Produccion_mani[campania]), SUMIFS(Produccion_mani[[superficie_cosechada_ha]:[superficie_cosechada_ha]], Produccion_mani[[provincia_nombre]:[provincia_nombre]], A148, Produccion_mani[[campania]:[campania]], _xlfn.UNIQUE(Produccion_mani[campania]))), 2, -1), 1)</f>
        <v>1990/1991</v>
      </c>
      <c r="F147" s="31">
        <v>9500</v>
      </c>
      <c r="G147" s="9" t="str">
        <v>Catamarca</v>
      </c>
      <c r="H147" s="9" t="str">
        <v>2019/2020</v>
      </c>
      <c r="I147" s="9">
        <v>2200</v>
      </c>
      <c r="J147" s="9"/>
      <c r="K147" t="str">
        <v>Catamarca</v>
      </c>
      <c r="L147" t="str">
        <v>2019/2020</v>
      </c>
      <c r="M147">
        <v>2090</v>
      </c>
      <c r="N147" s="9"/>
      <c r="O147" s="9"/>
      <c r="P147" s="9"/>
      <c r="Q147" s="9"/>
      <c r="R147" s="9"/>
      <c r="S147" s="9"/>
    </row>
    <row r="148" spans="1:19" x14ac:dyDescent="0.25">
      <c r="A148" s="23" t="str">
        <v>Salta</v>
      </c>
      <c r="B148" s="31" t="str" cm="1">
        <f t="array" ref="B148:C148">_xlfn.TAKE(_xlfn._xlws.SORT(_xlfn.HSTACK(_xlfn.UNIQUE(Produccion_mani[campania]), SUMIFS(Produccion_mani[[superficie_sembrada_ha]:[superficie_sembrada_ha]], Produccion_mani[[provincia_nombre]:[provincia_nombre]], A148, Produccion_mani[[campania]:[campania]], _xlfn.UNIQUE(Produccion_mani[campania]))), 2, -1), 1)</f>
        <v>1990/1991</v>
      </c>
      <c r="C148" s="31">
        <v>9500</v>
      </c>
      <c r="D148" s="9" t="str">
        <v>San Juan</v>
      </c>
      <c r="E148" s="23" t="str" cm="1">
        <f t="array" ref="E148:F148">_xlfn.TAKE(_xlfn._xlws.SORT(_xlfn.HSTACK(_xlfn.UNIQUE(Produccion_mani[campania]), SUMIFS(Produccion_mani[[superficie_cosechada_ha]:[superficie_cosechada_ha]], Produccion_mani[[provincia_nombre]:[provincia_nombre]], A149, Produccion_mani[[campania]:[campania]], _xlfn.UNIQUE(Produccion_mani[campania]))), 2, -1), 1)</f>
        <v>1933/1934</v>
      </c>
      <c r="F148" s="31">
        <v>10</v>
      </c>
      <c r="G148" s="9" t="str">
        <v>Formosa</v>
      </c>
      <c r="H148" s="9" t="str">
        <v>2006/2007</v>
      </c>
      <c r="I148" s="9">
        <v>1901</v>
      </c>
      <c r="J148" s="9"/>
      <c r="K148" t="str">
        <v>Formosa</v>
      </c>
      <c r="L148" t="str">
        <v>2006/2007</v>
      </c>
      <c r="M148">
        <v>1901</v>
      </c>
      <c r="N148" s="9"/>
      <c r="O148" s="9"/>
      <c r="P148" s="9"/>
      <c r="Q148" s="9"/>
      <c r="R148" s="9"/>
      <c r="S148" s="9"/>
    </row>
    <row r="149" spans="1:19" x14ac:dyDescent="0.25">
      <c r="A149" s="23" t="str">
        <v>San Juan</v>
      </c>
      <c r="B149" s="31" t="str" cm="1">
        <f t="array" ref="B149:C149">_xlfn.TAKE(_xlfn._xlws.SORT(_xlfn.HSTACK(_xlfn.UNIQUE(Produccion_mani[campania]), SUMIFS(Produccion_mani[[superficie_sembrada_ha]:[superficie_sembrada_ha]], Produccion_mani[[provincia_nombre]:[provincia_nombre]], A149, Produccion_mani[[campania]:[campania]], _xlfn.UNIQUE(Produccion_mani[campania]))), 2, -1), 1)</f>
        <v>1934/1935</v>
      </c>
      <c r="C149" s="31">
        <v>15</v>
      </c>
      <c r="D149" s="9" t="str">
        <v>San Luis</v>
      </c>
      <c r="E149" s="23" t="str" cm="1">
        <f t="array" ref="E149:F149">_xlfn.TAKE(_xlfn._xlws.SORT(_xlfn.HSTACK(_xlfn.UNIQUE(Produccion_mani[campania]), SUMIFS(Produccion_mani[[superficie_cosechada_ha]:[superficie_cosechada_ha]], Produccion_mani[[provincia_nombre]:[provincia_nombre]], A150, Produccion_mani[[campania]:[campania]], _xlfn.UNIQUE(Produccion_mani[campania]))), 2, -1), 1)</f>
        <v>2017/2018</v>
      </c>
      <c r="F149" s="31">
        <v>28250</v>
      </c>
      <c r="G149" s="9" t="str">
        <v>Misiones</v>
      </c>
      <c r="H149" s="9" t="str">
        <v>1942/1943</v>
      </c>
      <c r="I149" s="9">
        <v>1605</v>
      </c>
      <c r="J149" s="9"/>
      <c r="K149" t="str">
        <v>Misiones</v>
      </c>
      <c r="L149" t="str">
        <v>1942/1943</v>
      </c>
      <c r="M149">
        <v>1567</v>
      </c>
      <c r="N149" s="9"/>
      <c r="O149" s="9"/>
      <c r="P149" s="9"/>
      <c r="Q149" s="9"/>
      <c r="R149" s="9"/>
      <c r="S149" s="9"/>
    </row>
    <row r="150" spans="1:19" x14ac:dyDescent="0.25">
      <c r="A150" s="23" t="str">
        <v>San Luis</v>
      </c>
      <c r="B150" s="31" t="str" cm="1">
        <f t="array" ref="B150:C150">_xlfn.TAKE(_xlfn._xlws.SORT(_xlfn.HSTACK(_xlfn.UNIQUE(Produccion_mani[campania]), SUMIFS(Produccion_mani[[superficie_sembrada_ha]:[superficie_sembrada_ha]], Produccion_mani[[provincia_nombre]:[provincia_nombre]], A150, Produccion_mani[[campania]:[campania]], _xlfn.UNIQUE(Produccion_mani[campania]))), 2, -1), 1)</f>
        <v>2017/2018</v>
      </c>
      <c r="C150" s="23">
        <v>28250</v>
      </c>
      <c r="D150" s="9" t="str">
        <v>Mendoza</v>
      </c>
      <c r="E150" s="23" t="str" cm="1">
        <f t="array" ref="E150:F150">_xlfn.TAKE(_xlfn._xlws.SORT(_xlfn.HSTACK(_xlfn.UNIQUE(Produccion_mani[campania]), SUMIFS(Produccion_mani[[superficie_cosechada_ha]:[superficie_cosechada_ha]], Produccion_mani[[provincia_nombre]:[provincia_nombre]], A151, Produccion_mani[[campania]:[campania]], _xlfn.UNIQUE(Produccion_mani[campania]))), 2, -1), 1)</f>
        <v>1977/1978</v>
      </c>
      <c r="F150" s="31">
        <v>280</v>
      </c>
      <c r="G150" s="9" t="str">
        <v>Jujuy</v>
      </c>
      <c r="H150" s="9" t="str">
        <v>2004/2005</v>
      </c>
      <c r="I150" s="9">
        <v>1000</v>
      </c>
      <c r="J150" s="9"/>
      <c r="K150" t="str">
        <v>Jujuy</v>
      </c>
      <c r="L150" t="str">
        <v>2004/2005</v>
      </c>
      <c r="M150">
        <v>1000</v>
      </c>
      <c r="N150" s="9"/>
      <c r="O150" s="9"/>
      <c r="P150" s="9"/>
      <c r="Q150" s="9"/>
      <c r="R150" s="9"/>
      <c r="S150" s="9"/>
    </row>
    <row r="151" spans="1:19" x14ac:dyDescent="0.25">
      <c r="A151" s="23" t="str">
        <v>Mendoza</v>
      </c>
      <c r="B151" s="31" t="str" cm="1">
        <f t="array" ref="B151:C151">_xlfn.TAKE(_xlfn._xlws.SORT(_xlfn.HSTACK(_xlfn.UNIQUE(Produccion_mani[campania]), SUMIFS(Produccion_mani[[superficie_sembrada_ha]:[superficie_sembrada_ha]], Produccion_mani[[provincia_nombre]:[provincia_nombre]], A151, Produccion_mani[[campania]:[campania]], _xlfn.UNIQUE(Produccion_mani[campania]))), 2, -1), 1)</f>
        <v>1978/1979</v>
      </c>
      <c r="C151" s="23">
        <v>320</v>
      </c>
      <c r="D151" s="9" t="str">
        <v>Buenos Aires</v>
      </c>
      <c r="E151" s="23" t="str" cm="1">
        <f t="array" ref="E151:F151">_xlfn.TAKE(_xlfn._xlws.SORT(_xlfn.HSTACK(_xlfn.UNIQUE(Produccion_mani[campania]), SUMIFS(Produccion_mani[[superficie_cosechada_ha]:[superficie_cosechada_ha]], Produccion_mani[[provincia_nombre]:[provincia_nombre]], A152, Produccion_mani[[campania]:[campania]], _xlfn.UNIQUE(Produccion_mani[campania]))), 2, -1), 1)</f>
        <v>2024/2025</v>
      </c>
      <c r="F151" s="31">
        <v>84799</v>
      </c>
      <c r="G151" s="9" t="str">
        <v>Santiago del Estero</v>
      </c>
      <c r="H151" s="9" t="str">
        <v>1943/1944</v>
      </c>
      <c r="I151" s="9">
        <v>521</v>
      </c>
      <c r="J151" s="9"/>
      <c r="K151" t="str">
        <v>Santiago del Estero</v>
      </c>
      <c r="L151" t="str">
        <v>1943/1944</v>
      </c>
      <c r="M151">
        <v>438</v>
      </c>
      <c r="N151" s="9"/>
      <c r="O151" s="9"/>
      <c r="P151" s="9"/>
      <c r="Q151" s="9"/>
      <c r="R151" s="9"/>
      <c r="S151" s="9"/>
    </row>
    <row r="152" spans="1:19" x14ac:dyDescent="0.25">
      <c r="A152" s="23" t="str">
        <v>Buenos Aires</v>
      </c>
      <c r="B152" s="31" t="str" cm="1">
        <f t="array" ref="B152:C152">_xlfn.TAKE(_xlfn._xlws.SORT(_xlfn.HSTACK(_xlfn.UNIQUE(Produccion_mani[campania]), SUMIFS(Produccion_mani[[superficie_sembrada_ha]:[superficie_sembrada_ha]], Produccion_mani[[provincia_nombre]:[provincia_nombre]], A152, Produccion_mani[[campania]:[campania]], _xlfn.UNIQUE(Produccion_mani[campania]))), 2, -1), 1)</f>
        <v>2024/2025</v>
      </c>
      <c r="C152" s="23">
        <v>84979</v>
      </c>
      <c r="D152" s="9" t="str">
        <v>La Pampa</v>
      </c>
      <c r="E152" s="23" t="str" cm="1">
        <f t="array" ref="E152:F152">_xlfn.TAKE(_xlfn._xlws.SORT(_xlfn.HSTACK(_xlfn.UNIQUE(Produccion_mani[campania]), SUMIFS(Produccion_mani[[superficie_cosechada_ha]:[superficie_cosechada_ha]], Produccion_mani[[provincia_nombre]:[provincia_nombre]], A153, Produccion_mani[[campania]:[campania]], _xlfn.UNIQUE(Produccion_mani[campania]))), 2, -1), 1)</f>
        <v>2010/2011</v>
      </c>
      <c r="F152" s="31">
        <v>44400</v>
      </c>
      <c r="G152" s="9" t="str">
        <v>Mendoza</v>
      </c>
      <c r="H152" s="9" t="str">
        <v>1978/1979</v>
      </c>
      <c r="I152" s="9">
        <v>320</v>
      </c>
      <c r="J152" s="9"/>
      <c r="K152" t="str">
        <v>Mendoza</v>
      </c>
      <c r="L152" t="str">
        <v>1977/1978</v>
      </c>
      <c r="M152">
        <v>280</v>
      </c>
      <c r="N152" s="9"/>
      <c r="O152" s="9"/>
      <c r="P152" s="9"/>
      <c r="Q152" s="9"/>
      <c r="R152" s="9"/>
      <c r="S152" s="9"/>
    </row>
    <row r="153" spans="1:19" x14ac:dyDescent="0.25">
      <c r="A153" s="23" t="str">
        <v>La Pampa</v>
      </c>
      <c r="B153" s="31" t="str" cm="1">
        <f t="array" ref="B153:C153">_xlfn.TAKE(_xlfn._xlws.SORT(_xlfn.HSTACK(_xlfn.UNIQUE(Produccion_mani[campania]), SUMIFS(Produccion_mani[[superficie_sembrada_ha]:[superficie_sembrada_ha]], Produccion_mani[[provincia_nombre]:[provincia_nombre]], A153, Produccion_mani[[campania]:[campania]], _xlfn.UNIQUE(Produccion_mani[campania]))), 2, -1), 1)</f>
        <v>2010/2011</v>
      </c>
      <c r="C153" s="23">
        <v>44400</v>
      </c>
      <c r="D153" s="9" t="str">
        <v>La Rioja</v>
      </c>
      <c r="E153" s="23" t="str" cm="1">
        <f t="array" ref="E153:F153">_xlfn.TAKE(_xlfn._xlws.SORT(_xlfn.HSTACK(_xlfn.UNIQUE(Produccion_mani[campania]), SUMIFS(Produccion_mani[[superficie_cosechada_ha]:[superficie_cosechada_ha]], Produccion_mani[[provincia_nombre]:[provincia_nombre]], A154, Produccion_mani[[campania]:[campania]], _xlfn.UNIQUE(Produccion_mani[campania]))), 2, -1), 1)</f>
        <v>1927/1928</v>
      </c>
      <c r="F153" s="31">
        <v>0</v>
      </c>
      <c r="G153" s="9" t="str">
        <v>La Rioja</v>
      </c>
      <c r="H153" s="9" t="str">
        <v>1980/1981</v>
      </c>
      <c r="I153" s="9">
        <v>270</v>
      </c>
      <c r="J153" s="9"/>
      <c r="K153" t="str">
        <v>San Juan</v>
      </c>
      <c r="L153" t="str">
        <v>1933/1934</v>
      </c>
      <c r="M153">
        <v>10</v>
      </c>
      <c r="N153" s="9"/>
      <c r="O153" s="9"/>
      <c r="P153" s="9"/>
      <c r="Q153" s="9"/>
      <c r="R153" s="9"/>
      <c r="S153" s="9"/>
    </row>
    <row r="154" spans="1:19" x14ac:dyDescent="0.25">
      <c r="A154" s="23" t="str">
        <v>La Rioja</v>
      </c>
      <c r="B154" s="31" t="str" cm="1">
        <f t="array" ref="B154:C154">_xlfn.TAKE(_xlfn._xlws.SORT(_xlfn.HSTACK(_xlfn.UNIQUE(Produccion_mani[campania]), SUMIFS(Produccion_mani[[superficie_sembrada_ha]:[superficie_sembrada_ha]], Produccion_mani[[provincia_nombre]:[provincia_nombre]], A154, Produccion_mani[[campania]:[campania]], _xlfn.UNIQUE(Produccion_mani[campania]))), 2, -1), 1)</f>
        <v>1980/1981</v>
      </c>
      <c r="C154" s="23">
        <v>270</v>
      </c>
      <c r="D154" s="9"/>
      <c r="G154" s="9" t="str">
        <v>San Juan</v>
      </c>
      <c r="H154" s="9" t="str">
        <v>1934/1935</v>
      </c>
      <c r="I154" s="9">
        <v>15</v>
      </c>
      <c r="J154" s="9"/>
      <c r="K154" t="str">
        <v>La Rioja</v>
      </c>
      <c r="L154" t="str">
        <v>1927/1928</v>
      </c>
      <c r="M154">
        <v>0</v>
      </c>
      <c r="N154" s="9"/>
      <c r="O154" s="9"/>
      <c r="P154" s="9"/>
      <c r="Q154" s="9"/>
      <c r="R154" s="9"/>
      <c r="S154" s="9"/>
    </row>
    <row r="155" spans="1:19" x14ac:dyDescent="0.25">
      <c r="B155" s="9"/>
      <c r="C155" s="9"/>
      <c r="D155" s="9"/>
      <c r="E155" s="9"/>
      <c r="F155" s="9"/>
      <c r="G155" s="9"/>
      <c r="H155" s="9"/>
      <c r="I155" s="9"/>
      <c r="J155" s="9"/>
      <c r="N155" s="9"/>
      <c r="O155" s="9"/>
      <c r="P155" s="9"/>
      <c r="Q155" s="9"/>
      <c r="R155" s="9"/>
      <c r="S155" s="9"/>
    </row>
    <row r="156" spans="1:19" x14ac:dyDescent="0.25">
      <c r="A156" t="s">
        <v>401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19" x14ac:dyDescent="0.25">
      <c r="A157" s="23" t="s">
        <v>405</v>
      </c>
      <c r="B157" s="23" t="s">
        <v>407</v>
      </c>
      <c r="C157" s="31" t="s">
        <v>403</v>
      </c>
      <c r="D157" s="23" t="s">
        <v>406</v>
      </c>
      <c r="E157" s="23" t="s">
        <v>408</v>
      </c>
      <c r="F157" s="31" t="s">
        <v>409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19" x14ac:dyDescent="0.25">
      <c r="A158" s="23" t="str" cm="1">
        <f t="array" ref="A158:A186">IFERROR(_xlfn.UNIQUE(_xlfn._xlws.FILTER(Produccion_mani[departamento_nombre], Produccion_mani[provincia_nombre]=prov_hist)), 0)</f>
        <v>San Pedro</v>
      </c>
      <c r="B158" s="31" cm="1">
        <f t="array" ref="B158:B186">COUNTIFS(Produccion_mani[departamento_nombre],_xlfn.ANCHORARRAY( A158),Produccion_mani[provincia_nombre],prov_hist)</f>
        <v>1</v>
      </c>
      <c r="C158" s="31" cm="1">
        <f t="array" ref="C158">COUNTA(_xlfn.UNIQUE(_xlfn._xlws.FILTER(Produccion_mani[campania],Produccion_mani[provincia_nombre]=prov_hist)))</f>
        <v>16</v>
      </c>
      <c r="D158" s="23">
        <f>COUNTA(_xlfn.ANCHORARRAY(A158))</f>
        <v>29</v>
      </c>
      <c r="E158" s="23" t="str" cm="1">
        <f t="array" ref="E158">_xlfn.TAKE(_xlfn._xlws.FILTER(_xlfn.ANCHORARRAY(A158),_xlfn.ANCHORARRAY(B158)=F158),1)</f>
        <v>General Villegas</v>
      </c>
      <c r="F158" s="32">
        <f>MAX(_xlfn.ANCHORARRAY(B158))</f>
        <v>14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19" x14ac:dyDescent="0.25">
      <c r="A159" s="23" t="str">
        <v>Bartolome Mitre</v>
      </c>
      <c r="B159" s="31">
        <v>1</v>
      </c>
      <c r="C159" s="31"/>
      <c r="D159" s="31"/>
      <c r="E159" s="31" t="s">
        <v>412</v>
      </c>
      <c r="F159" s="31" t="s">
        <v>413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19" x14ac:dyDescent="0.25">
      <c r="A160" s="23" t="str">
        <v>General Pinto</v>
      </c>
      <c r="B160" s="31">
        <v>9</v>
      </c>
      <c r="C160" s="31"/>
      <c r="D160" s="31"/>
      <c r="E160" s="31" cm="1">
        <f t="array" ref="E160">SUM(IF((Produccion_mani[departamento_nombre]=E158)*(Produccion_mani[provincia_nombre]=prov_hist),Produccion_mani[produccion_tm],0))</f>
        <v>285169</v>
      </c>
      <c r="F160" s="34" cm="1">
        <f t="array" ref="F160">E160/SUM(IF(Produccion_mani[provincia_nombre]=prov_hist,Produccion_mani[produccion_tm]))</f>
        <v>0.26653375916075733</v>
      </c>
      <c r="H160" s="35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19" x14ac:dyDescent="0.25">
      <c r="A161" s="23" t="str">
        <v>Rivadavia</v>
      </c>
      <c r="B161" s="31">
        <v>10</v>
      </c>
      <c r="C161" s="31"/>
      <c r="D161" s="31"/>
      <c r="E161" s="31"/>
      <c r="F161" s="3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19" x14ac:dyDescent="0.25">
      <c r="A162" s="23" t="str">
        <v>Bragado</v>
      </c>
      <c r="B162" s="31">
        <v>3</v>
      </c>
      <c r="C162" s="31"/>
      <c r="D162" s="31"/>
      <c r="E162" s="31"/>
      <c r="F162" s="3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19" x14ac:dyDescent="0.25">
      <c r="A163" s="23" t="str">
        <v>Chivilcoy</v>
      </c>
      <c r="B163" s="23">
        <v>1</v>
      </c>
      <c r="C163" s="31"/>
      <c r="D163" s="31"/>
      <c r="E163" s="31"/>
      <c r="F163" s="3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19" x14ac:dyDescent="0.25">
      <c r="A164" s="23" t="str">
        <v>Lincoln</v>
      </c>
      <c r="B164" s="23">
        <v>5</v>
      </c>
      <c r="C164" s="31"/>
      <c r="D164" s="31"/>
      <c r="E164" s="31"/>
      <c r="F164" s="3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19" x14ac:dyDescent="0.25">
      <c r="A165" s="23" t="str">
        <v>Pehuajó</v>
      </c>
      <c r="B165" s="23">
        <v>7</v>
      </c>
      <c r="C165" s="31"/>
      <c r="D165" s="31"/>
      <c r="E165" s="31"/>
      <c r="F165" s="3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19" x14ac:dyDescent="0.25">
      <c r="A166" s="23" t="str">
        <v>San Andrés de Giles</v>
      </c>
      <c r="B166" s="23">
        <v>1</v>
      </c>
      <c r="C166" s="31"/>
      <c r="D166" s="31"/>
      <c r="E166" s="31"/>
      <c r="F166" s="3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19" x14ac:dyDescent="0.25">
      <c r="A167" s="23" t="str">
        <v>Trenque Lauquen</v>
      </c>
      <c r="B167" s="23">
        <v>8</v>
      </c>
      <c r="C167" s="31"/>
      <c r="D167" s="31"/>
      <c r="E167" s="31"/>
      <c r="F167" s="3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19" x14ac:dyDescent="0.25">
      <c r="A168" s="23" t="str">
        <v>Villarino</v>
      </c>
      <c r="B168" s="23">
        <v>1</v>
      </c>
      <c r="C168" s="31"/>
      <c r="D168" s="31"/>
      <c r="E168" s="31"/>
      <c r="F168" s="3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19" x14ac:dyDescent="0.25">
      <c r="A169" s="23" t="str">
        <v>General Villegas</v>
      </c>
      <c r="B169" s="23">
        <v>14</v>
      </c>
      <c r="C169" s="31"/>
      <c r="D169" s="31"/>
      <c r="E169" s="31"/>
      <c r="F169" s="3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19" x14ac:dyDescent="0.25">
      <c r="A170" s="23" t="str">
        <v>Adolfo Alsina</v>
      </c>
      <c r="B170" s="23">
        <v>6</v>
      </c>
      <c r="C170" s="31"/>
      <c r="D170" s="31"/>
      <c r="E170" s="31"/>
      <c r="F170" s="3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19" x14ac:dyDescent="0.25">
      <c r="A171" s="23" t="str">
        <v>Pellegrini</v>
      </c>
      <c r="B171" s="23">
        <v>8</v>
      </c>
      <c r="C171" s="31"/>
      <c r="D171" s="31"/>
      <c r="E171" s="31"/>
      <c r="F171" s="3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19" x14ac:dyDescent="0.25">
      <c r="A172" s="23" t="str">
        <v>Carlos Tejedor</v>
      </c>
      <c r="B172" s="23">
        <v>7</v>
      </c>
      <c r="C172" s="31"/>
      <c r="D172" s="31"/>
      <c r="E172" s="31"/>
      <c r="F172" s="3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19" x14ac:dyDescent="0.25">
      <c r="A173" t="str">
        <v>Florentino Ameghino</v>
      </c>
      <c r="B173" s="9">
        <v>7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19" x14ac:dyDescent="0.25">
      <c r="A174" t="str">
        <v>Salliqueló</v>
      </c>
      <c r="B174" s="9">
        <v>7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19" x14ac:dyDescent="0.25">
      <c r="A175" t="str">
        <v>Leandro N. Alem</v>
      </c>
      <c r="B175" s="9">
        <v>6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19" x14ac:dyDescent="0.25">
      <c r="A176" t="str">
        <v>General Arenales</v>
      </c>
      <c r="B176" s="9">
        <v>5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19" x14ac:dyDescent="0.25">
      <c r="A177" t="str">
        <v>Guaminí</v>
      </c>
      <c r="B177" s="9">
        <v>5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19" x14ac:dyDescent="0.25">
      <c r="A178" t="str">
        <v>Junín</v>
      </c>
      <c r="B178" s="9">
        <v>5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19" x14ac:dyDescent="0.25">
      <c r="A179" t="str">
        <v>Bolívar</v>
      </c>
      <c r="B179" s="9">
        <v>4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19" x14ac:dyDescent="0.25">
      <c r="A180" t="str">
        <v>Daireaux</v>
      </c>
      <c r="B180" s="9">
        <v>4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19" x14ac:dyDescent="0.25">
      <c r="A181" t="str">
        <v>Hipólito Yrigoyen</v>
      </c>
      <c r="B181" s="9">
        <v>4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19" x14ac:dyDescent="0.25">
      <c r="A182" t="str">
        <v>25 de Mayo</v>
      </c>
      <c r="B182" s="9">
        <v>2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19" x14ac:dyDescent="0.25">
      <c r="A183" t="str">
        <v>General Viamonte</v>
      </c>
      <c r="B183" s="9">
        <v>2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19" x14ac:dyDescent="0.25">
      <c r="A184" t="str">
        <v>Saladillo</v>
      </c>
      <c r="B184" s="9">
        <v>2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19" x14ac:dyDescent="0.25">
      <c r="A185" t="str">
        <v>9 de Julio</v>
      </c>
      <c r="B185" s="9">
        <v>1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19" x14ac:dyDescent="0.25">
      <c r="A186" t="str">
        <v>Carlos Casares</v>
      </c>
      <c r="B186" s="9">
        <v>1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19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19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19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19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19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19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2:19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2:19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2:19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2:19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2:19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2:19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2:19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2:19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2:19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2:19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2:19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2:19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2:19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2:19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2:19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2:19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2:19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2:19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2:19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2:19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2:19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2:19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2:19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2:19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2:19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2:19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2:19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2:19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2:19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2:19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2:19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2:19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19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19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19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19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19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19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19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19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19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19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19" x14ac:dyDescent="0.25">
      <c r="A235" s="2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19" x14ac:dyDescent="0.25">
      <c r="A236" s="2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266D-7091-43CA-8093-337843D4A208}">
  <dimension ref="A1:L52"/>
  <sheetViews>
    <sheetView topLeftCell="A30" zoomScale="70" zoomScaleNormal="70" workbookViewId="0">
      <selection activeCell="F57" sqref="F57"/>
    </sheetView>
  </sheetViews>
  <sheetFormatPr baseColWidth="10" defaultRowHeight="15" x14ac:dyDescent="0.25"/>
  <cols>
    <col min="1" max="1" width="15.85546875" customWidth="1"/>
    <col min="2" max="2" width="18.5703125" customWidth="1"/>
    <col min="3" max="3" width="37" customWidth="1"/>
    <col min="4" max="4" width="34.140625" customWidth="1"/>
    <col min="5" max="5" width="33.140625" customWidth="1"/>
    <col min="6" max="6" width="19.85546875" customWidth="1"/>
    <col min="7" max="7" width="29.42578125" customWidth="1"/>
    <col min="8" max="8" width="26.85546875" customWidth="1"/>
    <col min="9" max="9" width="34.85546875" customWidth="1"/>
    <col min="10" max="10" width="35.140625" customWidth="1"/>
    <col min="11" max="11" width="30.28515625" customWidth="1"/>
    <col min="12" max="12" width="10" bestFit="1" customWidth="1"/>
    <col min="13" max="107" width="9.85546875" bestFit="1" customWidth="1"/>
    <col min="108" max="108" width="12.5703125" bestFit="1" customWidth="1"/>
  </cols>
  <sheetData>
    <row r="1" spans="1:12" ht="46.5" x14ac:dyDescent="0.25">
      <c r="A1" s="51" t="s">
        <v>390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t="s">
        <v>381</v>
      </c>
    </row>
    <row r="4" spans="1:12" ht="26.25" x14ac:dyDescent="0.25">
      <c r="A4" s="49" t="s">
        <v>387</v>
      </c>
      <c r="B4" s="49"/>
      <c r="C4" s="49"/>
      <c r="D4" s="49"/>
      <c r="E4" s="49"/>
      <c r="G4" s="49" t="s">
        <v>389</v>
      </c>
      <c r="H4" s="49"/>
      <c r="I4" s="49"/>
      <c r="J4" s="49"/>
      <c r="K4" s="49"/>
      <c r="L4" s="22"/>
    </row>
    <row r="5" spans="1:12" ht="23.25" x14ac:dyDescent="0.35">
      <c r="A5" s="44" t="s">
        <v>391</v>
      </c>
      <c r="B5" s="44" t="s">
        <v>386</v>
      </c>
      <c r="C5" s="44" t="s">
        <v>379</v>
      </c>
      <c r="D5" s="44" t="s">
        <v>380</v>
      </c>
      <c r="E5" s="44" t="s">
        <v>371</v>
      </c>
      <c r="G5" s="44" t="s">
        <v>391</v>
      </c>
      <c r="H5" s="44" t="s">
        <v>386</v>
      </c>
      <c r="I5" s="44" t="s">
        <v>379</v>
      </c>
      <c r="J5" s="44" t="s">
        <v>380</v>
      </c>
      <c r="K5" s="44" t="s">
        <v>371</v>
      </c>
    </row>
    <row r="6" spans="1:12" ht="15.75" x14ac:dyDescent="0.25">
      <c r="A6" s="42" t="str" cm="1">
        <f t="array" ref="A6:E23">_xlfn._xlws.SORT(Validation_Functions!G4:K21,2,-1)</f>
        <v>Córdoba</v>
      </c>
      <c r="B6" s="21">
        <v>34220930</v>
      </c>
      <c r="C6" s="21">
        <v>20942037</v>
      </c>
      <c r="D6" s="21">
        <v>20156675</v>
      </c>
      <c r="E6" s="21">
        <v>1787341</v>
      </c>
      <c r="G6" s="42" t="str" cm="1">
        <f t="array" ref="G6:K23">_xlfn._xlws.SORT(Validation_Functions!M4:Q21,2,-1)</f>
        <v>Córdoba</v>
      </c>
      <c r="H6" s="43">
        <v>28976.23200677392</v>
      </c>
      <c r="I6" s="43">
        <v>17732.461473327687</v>
      </c>
      <c r="J6" s="43">
        <v>17067.46401354784</v>
      </c>
      <c r="K6" s="43">
        <v>1513.4132091447925</v>
      </c>
    </row>
    <row r="7" spans="1:12" ht="15.75" x14ac:dyDescent="0.25">
      <c r="A7" s="42" t="str">
        <v>Buenos Aires</v>
      </c>
      <c r="B7" s="21">
        <v>1069917</v>
      </c>
      <c r="C7" s="21">
        <v>317539</v>
      </c>
      <c r="D7" s="21">
        <v>317134</v>
      </c>
      <c r="E7" s="21">
        <v>410784</v>
      </c>
      <c r="G7" s="42" t="str">
        <v>La Pampa</v>
      </c>
      <c r="H7" s="43">
        <v>8992.7288135593226</v>
      </c>
      <c r="I7" s="43">
        <v>3184.9237288135591</v>
      </c>
      <c r="J7" s="43">
        <v>3082.9576271186443</v>
      </c>
      <c r="K7" s="43">
        <v>2855.8135593220341</v>
      </c>
    </row>
    <row r="8" spans="1:12" ht="15.75" x14ac:dyDescent="0.25">
      <c r="A8" s="42" t="str">
        <v>La Pampa</v>
      </c>
      <c r="B8" s="21">
        <v>1061142</v>
      </c>
      <c r="C8" s="21">
        <v>375821</v>
      </c>
      <c r="D8" s="21">
        <v>363789</v>
      </c>
      <c r="E8" s="21">
        <v>336986</v>
      </c>
      <c r="G8" s="42" t="str">
        <v>Buenos Aires</v>
      </c>
      <c r="H8" s="43">
        <v>7809.6131386861316</v>
      </c>
      <c r="I8" s="43">
        <v>2317.8029197080291</v>
      </c>
      <c r="J8" s="43">
        <v>2314.8467153284673</v>
      </c>
      <c r="K8" s="43">
        <v>2998.4233576642337</v>
      </c>
    </row>
    <row r="9" spans="1:12" ht="15.75" x14ac:dyDescent="0.25">
      <c r="A9" s="42" t="str">
        <v>San Luis</v>
      </c>
      <c r="B9" s="21">
        <v>717565</v>
      </c>
      <c r="C9" s="21">
        <v>254411</v>
      </c>
      <c r="D9" s="21">
        <v>243919</v>
      </c>
      <c r="E9" s="21">
        <v>294312</v>
      </c>
      <c r="G9" s="42" t="str">
        <v>San Luis</v>
      </c>
      <c r="H9" s="43">
        <v>4752.0860927152316</v>
      </c>
      <c r="I9" s="43">
        <v>1684.841059602649</v>
      </c>
      <c r="J9" s="43">
        <v>1615.3576158940398</v>
      </c>
      <c r="K9" s="43">
        <v>1949.0860927152319</v>
      </c>
    </row>
    <row r="10" spans="1:12" ht="15.75" x14ac:dyDescent="0.25">
      <c r="A10" s="42" t="str">
        <v>Santa Fe</v>
      </c>
      <c r="B10" s="21">
        <v>528321</v>
      </c>
      <c r="C10" s="21">
        <v>367795</v>
      </c>
      <c r="D10" s="21">
        <v>323838</v>
      </c>
      <c r="E10" s="21">
        <v>319249</v>
      </c>
      <c r="G10" s="42" t="str">
        <v>Santa Fe</v>
      </c>
      <c r="H10" s="43">
        <v>2238.648305084746</v>
      </c>
      <c r="I10" s="43">
        <v>1558.4533898305085</v>
      </c>
      <c r="J10" s="43">
        <v>1372.1949152542372</v>
      </c>
      <c r="K10" s="43">
        <v>1352.75</v>
      </c>
    </row>
    <row r="11" spans="1:12" ht="15.75" x14ac:dyDescent="0.25">
      <c r="A11" s="42" t="str">
        <v>Salta</v>
      </c>
      <c r="B11" s="21">
        <v>251121</v>
      </c>
      <c r="C11" s="21">
        <v>200589</v>
      </c>
      <c r="D11" s="21">
        <v>189877</v>
      </c>
      <c r="E11" s="21">
        <v>375429</v>
      </c>
      <c r="G11" s="42" t="str">
        <v>Entre Ríos</v>
      </c>
      <c r="H11" s="43">
        <v>921.66831683168311</v>
      </c>
      <c r="I11" s="43">
        <v>1013.490099009901</v>
      </c>
      <c r="J11" s="43">
        <v>865.20792079207922</v>
      </c>
      <c r="K11" s="43">
        <v>697.54950495049502</v>
      </c>
    </row>
    <row r="12" spans="1:12" ht="15.75" x14ac:dyDescent="0.25">
      <c r="A12" s="42" t="str">
        <v>Entre Ríos</v>
      </c>
      <c r="B12" s="21">
        <v>186177</v>
      </c>
      <c r="C12" s="21">
        <v>204725</v>
      </c>
      <c r="D12" s="21">
        <v>174772</v>
      </c>
      <c r="E12" s="21">
        <v>140905</v>
      </c>
      <c r="G12" s="42" t="str">
        <v>Salta</v>
      </c>
      <c r="H12" s="43">
        <v>831.52649006622516</v>
      </c>
      <c r="I12" s="43">
        <v>664.20198675496692</v>
      </c>
      <c r="J12" s="43">
        <v>628.73178807947022</v>
      </c>
      <c r="K12" s="43">
        <v>1243.1423841059602</v>
      </c>
    </row>
    <row r="13" spans="1:12" ht="15.75" x14ac:dyDescent="0.25">
      <c r="A13" s="42" t="str">
        <v>Corrientes</v>
      </c>
      <c r="B13" s="21">
        <v>66651</v>
      </c>
      <c r="C13" s="21">
        <v>82657</v>
      </c>
      <c r="D13" s="21">
        <v>69955</v>
      </c>
      <c r="E13" s="21">
        <v>787396</v>
      </c>
      <c r="G13" s="42" t="str">
        <v>Catamarca</v>
      </c>
      <c r="H13" s="43">
        <v>501.60869565217394</v>
      </c>
      <c r="I13" s="43">
        <v>352.91304347826087</v>
      </c>
      <c r="J13" s="43">
        <v>333.78260869565219</v>
      </c>
      <c r="K13" s="43">
        <v>960.04347826086962</v>
      </c>
    </row>
    <row r="14" spans="1:12" ht="15.75" x14ac:dyDescent="0.25">
      <c r="A14" s="42" t="str">
        <v>Tucumán</v>
      </c>
      <c r="B14" s="21">
        <v>56633</v>
      </c>
      <c r="C14" s="21">
        <v>58489</v>
      </c>
      <c r="D14" s="21">
        <v>49058</v>
      </c>
      <c r="E14" s="21">
        <v>305269</v>
      </c>
      <c r="G14" s="42" t="str">
        <v>Jujuy</v>
      </c>
      <c r="H14" s="43">
        <v>248.39285714285714</v>
      </c>
      <c r="I14" s="43">
        <v>213.60714285714286</v>
      </c>
      <c r="J14" s="43">
        <v>204.08928571428572</v>
      </c>
      <c r="K14" s="43">
        <v>1126.25</v>
      </c>
    </row>
    <row r="15" spans="1:12" ht="15.75" x14ac:dyDescent="0.25">
      <c r="A15" s="42" t="str">
        <v>Chaco</v>
      </c>
      <c r="B15" s="21">
        <v>24753</v>
      </c>
      <c r="C15" s="21">
        <v>29354</v>
      </c>
      <c r="D15" s="21">
        <v>26695</v>
      </c>
      <c r="E15" s="21">
        <v>227574</v>
      </c>
      <c r="G15" s="42" t="str">
        <v>Tucumán</v>
      </c>
      <c r="H15" s="43">
        <v>183.87337662337663</v>
      </c>
      <c r="I15" s="43">
        <v>189.89935064935065</v>
      </c>
      <c r="J15" s="43">
        <v>159.27922077922079</v>
      </c>
      <c r="K15" s="43">
        <v>991.13311688311683</v>
      </c>
    </row>
    <row r="16" spans="1:12" ht="15.75" x14ac:dyDescent="0.25">
      <c r="A16" s="42" t="str">
        <v>Formosa</v>
      </c>
      <c r="B16" s="21">
        <v>21618</v>
      </c>
      <c r="C16" s="21">
        <v>18510</v>
      </c>
      <c r="D16" s="21">
        <v>17149</v>
      </c>
      <c r="E16" s="21">
        <v>274671</v>
      </c>
      <c r="G16" s="42" t="str">
        <v>Formosa</v>
      </c>
      <c r="H16" s="43">
        <v>71.58278145695364</v>
      </c>
      <c r="I16" s="43">
        <v>61.29139072847682</v>
      </c>
      <c r="J16" s="43">
        <v>56.784768211920529</v>
      </c>
      <c r="K16" s="43">
        <v>909.50662251655626</v>
      </c>
    </row>
    <row r="17" spans="1:11" ht="15.75" x14ac:dyDescent="0.25">
      <c r="A17" s="42" t="str">
        <v>Misiones</v>
      </c>
      <c r="B17" s="21">
        <v>20260</v>
      </c>
      <c r="C17" s="21">
        <v>27464</v>
      </c>
      <c r="D17" s="21">
        <v>22667</v>
      </c>
      <c r="E17" s="21">
        <v>543358</v>
      </c>
      <c r="G17" s="42" t="str">
        <v>Chaco</v>
      </c>
      <c r="H17" s="43">
        <v>69.923728813559322</v>
      </c>
      <c r="I17" s="43">
        <v>82.920903954802256</v>
      </c>
      <c r="J17" s="43">
        <v>75.409604519774007</v>
      </c>
      <c r="K17" s="43">
        <v>642.86440677966107</v>
      </c>
    </row>
    <row r="18" spans="1:11" ht="15.75" x14ac:dyDescent="0.25">
      <c r="A18" s="42" t="str">
        <v>Jujuy</v>
      </c>
      <c r="B18" s="21">
        <v>13910</v>
      </c>
      <c r="C18" s="21">
        <v>11962</v>
      </c>
      <c r="D18" s="21">
        <v>11429</v>
      </c>
      <c r="E18" s="21">
        <v>63070</v>
      </c>
      <c r="G18" s="42" t="str">
        <v>Corrientes</v>
      </c>
      <c r="H18" s="43">
        <v>66.650999999999996</v>
      </c>
      <c r="I18" s="43">
        <v>82.656999999999996</v>
      </c>
      <c r="J18" s="43">
        <v>69.954999999999998</v>
      </c>
      <c r="K18" s="43">
        <v>787.39599999999996</v>
      </c>
    </row>
    <row r="19" spans="1:11" ht="15.75" x14ac:dyDescent="0.25">
      <c r="A19" s="42" t="str">
        <v>Catamarca</v>
      </c>
      <c r="B19" s="21">
        <v>11537</v>
      </c>
      <c r="C19" s="21">
        <v>8117</v>
      </c>
      <c r="D19" s="21">
        <v>7677</v>
      </c>
      <c r="E19" s="21">
        <v>22081</v>
      </c>
      <c r="G19" s="42" t="str">
        <v>Misiones</v>
      </c>
      <c r="H19" s="43">
        <v>28.656294200848656</v>
      </c>
      <c r="I19" s="43">
        <v>38.845827439886847</v>
      </c>
      <c r="J19" s="43">
        <v>32.060820367751063</v>
      </c>
      <c r="K19" s="43">
        <v>768.54031117397449</v>
      </c>
    </row>
    <row r="20" spans="1:11" ht="15.75" x14ac:dyDescent="0.25">
      <c r="A20" s="42" t="str">
        <v>Santiago del Estero</v>
      </c>
      <c r="B20" s="21">
        <v>2754</v>
      </c>
      <c r="C20" s="21">
        <v>3065</v>
      </c>
      <c r="D20" s="21">
        <v>2600</v>
      </c>
      <c r="E20" s="21">
        <v>104417</v>
      </c>
      <c r="G20" s="42" t="str">
        <v>Mendoza</v>
      </c>
      <c r="H20" s="43">
        <v>27.5</v>
      </c>
      <c r="I20" s="43">
        <v>51.735294117647058</v>
      </c>
      <c r="J20" s="43">
        <v>33.617647058823529</v>
      </c>
      <c r="K20" s="43">
        <v>783.17647058823525</v>
      </c>
    </row>
    <row r="21" spans="1:11" ht="15.75" x14ac:dyDescent="0.25">
      <c r="A21" s="42" t="str">
        <v>Mendoza</v>
      </c>
      <c r="B21" s="21">
        <v>935</v>
      </c>
      <c r="C21" s="21">
        <v>1759</v>
      </c>
      <c r="D21" s="21">
        <v>1143</v>
      </c>
      <c r="E21" s="21">
        <v>26628</v>
      </c>
      <c r="G21" s="42" t="str">
        <v>Santiago del Estero</v>
      </c>
      <c r="H21" s="43">
        <v>20.25</v>
      </c>
      <c r="I21" s="43">
        <v>22.536764705882351</v>
      </c>
      <c r="J21" s="43">
        <v>19.117647058823529</v>
      </c>
      <c r="K21" s="43">
        <v>767.77205882352939</v>
      </c>
    </row>
    <row r="22" spans="1:11" ht="15.75" x14ac:dyDescent="0.25">
      <c r="A22" s="42" t="str">
        <v>San Juan</v>
      </c>
      <c r="B22" s="21">
        <v>36</v>
      </c>
      <c r="C22" s="21">
        <v>39</v>
      </c>
      <c r="D22" s="21">
        <v>32</v>
      </c>
      <c r="E22" s="21">
        <v>9217</v>
      </c>
      <c r="G22" s="42" t="str">
        <v>San Juan</v>
      </c>
      <c r="H22" s="43">
        <v>4</v>
      </c>
      <c r="I22" s="43">
        <v>4.333333333333333</v>
      </c>
      <c r="J22" s="43">
        <v>3.5555555555555554</v>
      </c>
      <c r="K22" s="43">
        <v>1024.1111111111111</v>
      </c>
    </row>
    <row r="23" spans="1:11" ht="15.75" x14ac:dyDescent="0.25">
      <c r="A23" s="42" t="str">
        <v>La Rioja</v>
      </c>
      <c r="B23" s="21">
        <v>0</v>
      </c>
      <c r="C23" s="21">
        <v>270</v>
      </c>
      <c r="D23" s="21">
        <v>0</v>
      </c>
      <c r="E23" s="21">
        <v>0</v>
      </c>
      <c r="G23" s="42" t="str">
        <v>La Rioja</v>
      </c>
      <c r="H23" s="43">
        <v>0</v>
      </c>
      <c r="I23" s="43">
        <v>270</v>
      </c>
      <c r="J23" s="43">
        <v>0</v>
      </c>
      <c r="K23" s="43">
        <v>0</v>
      </c>
    </row>
    <row r="25" spans="1:11" x14ac:dyDescent="0.25">
      <c r="A25" s="30"/>
      <c r="B25" s="30"/>
      <c r="C25" s="30"/>
      <c r="D25" s="30"/>
      <c r="E25" s="30"/>
    </row>
    <row r="26" spans="1:11" ht="28.5" x14ac:dyDescent="0.45">
      <c r="A26" s="49" t="s">
        <v>377</v>
      </c>
      <c r="B26" s="49"/>
      <c r="C26" s="49"/>
      <c r="D26" s="49"/>
      <c r="E26" s="49"/>
      <c r="F26" s="25"/>
      <c r="G26" s="49" t="s">
        <v>416</v>
      </c>
      <c r="H26" s="49"/>
      <c r="I26" s="49"/>
      <c r="J26" s="49"/>
      <c r="K26" s="49"/>
    </row>
    <row r="27" spans="1:11" ht="23.25" x14ac:dyDescent="0.35">
      <c r="A27" s="54" t="s">
        <v>22</v>
      </c>
      <c r="B27" s="54"/>
      <c r="C27" s="54"/>
      <c r="D27" s="54"/>
      <c r="E27" s="54"/>
      <c r="F27" s="26"/>
      <c r="G27" s="50" t="s">
        <v>158</v>
      </c>
      <c r="H27" s="50"/>
      <c r="I27" s="50"/>
      <c r="J27" s="50"/>
      <c r="K27" s="50"/>
    </row>
    <row r="28" spans="1:11" ht="15.75" x14ac:dyDescent="0.25">
      <c r="A28" s="52" t="s">
        <v>378</v>
      </c>
      <c r="B28" s="52"/>
      <c r="C28" s="52" t="s">
        <v>379</v>
      </c>
      <c r="D28" s="52"/>
      <c r="E28" s="20" t="s">
        <v>380</v>
      </c>
      <c r="F28" s="28"/>
      <c r="G28" s="39" t="s">
        <v>404</v>
      </c>
      <c r="H28" s="39" t="s">
        <v>402</v>
      </c>
      <c r="I28" s="41" t="s">
        <v>410</v>
      </c>
      <c r="J28" s="41" t="s">
        <v>411</v>
      </c>
      <c r="K28" s="40" t="s">
        <v>414</v>
      </c>
    </row>
    <row r="29" spans="1:11" ht="15.75" x14ac:dyDescent="0.25">
      <c r="A29" s="53">
        <f>Validation_Functions!H5</f>
        <v>34220930</v>
      </c>
      <c r="B29" s="53"/>
      <c r="C29" s="53">
        <f>Validation_Functions!I5</f>
        <v>20942037</v>
      </c>
      <c r="D29" s="53"/>
      <c r="E29" s="27">
        <f>Validation_Functions!J5</f>
        <v>20156675</v>
      </c>
      <c r="F29" s="29"/>
      <c r="G29" s="36">
        <f>Validation_Functions!C158</f>
        <v>16</v>
      </c>
      <c r="H29" s="37">
        <f>Validation_Functions!D158</f>
        <v>29</v>
      </c>
      <c r="I29" s="37" t="str">
        <f>Validation_Functions!E158</f>
        <v>General Villegas</v>
      </c>
      <c r="J29" s="37">
        <f>Validation_Functions!F158</f>
        <v>14</v>
      </c>
      <c r="K29" s="38" t="str">
        <f>_xlfn.CONCAT("%",ROUND(Validation_Functions!F160*100,2), " - ", "Ton (",Validation_Functions!E160,")")</f>
        <v>%26,65 - Ton (285169)</v>
      </c>
    </row>
    <row r="33" spans="1:11" ht="26.25" x14ac:dyDescent="0.4">
      <c r="A33" s="63" t="s">
        <v>398</v>
      </c>
      <c r="B33" s="64"/>
      <c r="C33" s="65"/>
      <c r="E33" s="46" t="s">
        <v>399</v>
      </c>
      <c r="F33" s="47"/>
      <c r="G33" s="48"/>
      <c r="I33" s="46" t="s">
        <v>400</v>
      </c>
      <c r="J33" s="47"/>
      <c r="K33" s="48"/>
    </row>
    <row r="34" spans="1:11" ht="15.75" x14ac:dyDescent="0.25">
      <c r="A34" s="45" t="s">
        <v>355</v>
      </c>
      <c r="B34" s="45" t="s">
        <v>384</v>
      </c>
      <c r="C34" s="45" t="s">
        <v>385</v>
      </c>
      <c r="E34" s="45" t="s">
        <v>355</v>
      </c>
      <c r="F34" s="45" t="s">
        <v>396</v>
      </c>
      <c r="G34" s="45" t="s">
        <v>385</v>
      </c>
      <c r="I34" s="45" t="s">
        <v>355</v>
      </c>
      <c r="J34" s="45" t="s">
        <v>397</v>
      </c>
      <c r="K34" s="45" t="s">
        <v>385</v>
      </c>
    </row>
    <row r="35" spans="1:11" ht="15.75" x14ac:dyDescent="0.25">
      <c r="A35" s="42" t="str" cm="1">
        <f t="array" ref="A35:C52">_xlfn._xlws.SORT(TRANSPOSE(Validation_Functions!A132:R134),2,-1,FALSE)</f>
        <v>Córdoba</v>
      </c>
      <c r="B35" s="21">
        <v>1268363</v>
      </c>
      <c r="C35" s="42" t="str">
        <v>2024/2025</v>
      </c>
      <c r="E35" s="42" t="str" cm="1">
        <f t="array" ref="E35:E52">Validation_Functions!G137:G154</f>
        <v>Córdoba</v>
      </c>
      <c r="F35" s="21" cm="1">
        <f t="array" ref="F35:F52">Validation_Functions!I137:I154</f>
        <v>449500</v>
      </c>
      <c r="G35" s="21" t="str" cm="1">
        <f t="array" ref="G35:G52">Validation_Functions!H137:H154</f>
        <v>1977/1978</v>
      </c>
      <c r="I35" s="42" t="str" cm="1">
        <f t="array" ref="I35:I52">Validation_Functions!K137:K154</f>
        <v>Córdoba</v>
      </c>
      <c r="J35" s="21" cm="1">
        <f t="array" ref="J35:J52">Validation_Functions!M137:M154</f>
        <v>425600</v>
      </c>
      <c r="K35" s="21" t="str" cm="1">
        <f t="array" ref="K35:K52">Validation_Functions!L137:L154</f>
        <v>1977/1978</v>
      </c>
    </row>
    <row r="36" spans="1:11" ht="15.75" x14ac:dyDescent="0.25">
      <c r="A36" s="42" t="str">
        <v>Buenos Aires</v>
      </c>
      <c r="B36" s="21">
        <v>315761</v>
      </c>
      <c r="C36" s="42" t="str">
        <v>2024/2025</v>
      </c>
      <c r="E36" s="42" t="str">
        <v>Buenos Aires</v>
      </c>
      <c r="F36" s="21">
        <v>84979</v>
      </c>
      <c r="G36" s="21" t="str">
        <v>2024/2025</v>
      </c>
      <c r="I36" s="42" t="str">
        <v>Buenos Aires</v>
      </c>
      <c r="J36" s="21">
        <v>84799</v>
      </c>
      <c r="K36" s="21" t="str">
        <v>2024/2025</v>
      </c>
    </row>
    <row r="37" spans="1:11" ht="15.75" x14ac:dyDescent="0.25">
      <c r="A37" s="42" t="str">
        <v>La Pampa</v>
      </c>
      <c r="B37" s="21">
        <v>127986</v>
      </c>
      <c r="C37" s="42" t="str">
        <v>2024/2025</v>
      </c>
      <c r="E37" s="42" t="str">
        <v>La Pampa</v>
      </c>
      <c r="F37" s="21">
        <v>44400</v>
      </c>
      <c r="G37" s="21" t="str">
        <v>2010/2011</v>
      </c>
      <c r="I37" s="42" t="str">
        <v>La Pampa</v>
      </c>
      <c r="J37" s="21">
        <v>44400</v>
      </c>
      <c r="K37" s="21" t="str">
        <v>2010/2011</v>
      </c>
    </row>
    <row r="38" spans="1:11" ht="15.75" x14ac:dyDescent="0.25">
      <c r="A38" s="42" t="str">
        <v>San Luis</v>
      </c>
      <c r="B38" s="21">
        <v>72150</v>
      </c>
      <c r="C38" s="42" t="str">
        <v>2016/2017</v>
      </c>
      <c r="E38" s="42" t="str">
        <v>San Luis</v>
      </c>
      <c r="F38" s="21">
        <v>28250</v>
      </c>
      <c r="G38" s="21" t="str">
        <v>2017/2018</v>
      </c>
      <c r="I38" s="42" t="str">
        <v>San Luis</v>
      </c>
      <c r="J38" s="21">
        <v>28250</v>
      </c>
      <c r="K38" s="21" t="str">
        <v>2017/2018</v>
      </c>
    </row>
    <row r="39" spans="1:11" ht="15.75" x14ac:dyDescent="0.25">
      <c r="A39" s="42" t="str">
        <v>Santa Fe</v>
      </c>
      <c r="B39" s="21">
        <v>51170</v>
      </c>
      <c r="C39" s="42" t="str">
        <v>2024/2025</v>
      </c>
      <c r="E39" s="42" t="str">
        <v>Santa Fe</v>
      </c>
      <c r="F39" s="21">
        <v>20620</v>
      </c>
      <c r="G39" s="21" t="str">
        <v>1932/1933</v>
      </c>
      <c r="I39" s="42" t="str">
        <v>Santa Fe</v>
      </c>
      <c r="J39" s="21">
        <v>18275</v>
      </c>
      <c r="K39" s="21" t="str">
        <v>2024/2025</v>
      </c>
    </row>
    <row r="40" spans="1:11" ht="15.75" x14ac:dyDescent="0.25">
      <c r="A40" s="42" t="str">
        <v>Salta</v>
      </c>
      <c r="B40" s="21">
        <v>23400</v>
      </c>
      <c r="C40" s="42" t="str">
        <v>1990/1991</v>
      </c>
      <c r="E40" s="42" t="str">
        <v>Entre Ríos</v>
      </c>
      <c r="F40" s="21">
        <v>12000</v>
      </c>
      <c r="G40" s="21" t="str">
        <v>1937/1938</v>
      </c>
      <c r="I40" s="42" t="str">
        <v>Entre Ríos</v>
      </c>
      <c r="J40" s="21">
        <v>11020</v>
      </c>
      <c r="K40" s="21" t="str">
        <v>1928/1929</v>
      </c>
    </row>
    <row r="41" spans="1:11" ht="15.75" x14ac:dyDescent="0.25">
      <c r="A41" s="42" t="str">
        <v>Entre Ríos</v>
      </c>
      <c r="B41" s="21">
        <v>14464</v>
      </c>
      <c r="C41" s="42" t="str">
        <v>1934/1935</v>
      </c>
      <c r="E41" s="42" t="str">
        <v>Salta</v>
      </c>
      <c r="F41" s="21">
        <v>9500</v>
      </c>
      <c r="G41" s="21" t="str">
        <v>1990/1991</v>
      </c>
      <c r="I41" s="42" t="str">
        <v>Salta</v>
      </c>
      <c r="J41" s="21">
        <v>9500</v>
      </c>
      <c r="K41" s="21" t="str">
        <v>1990/1991</v>
      </c>
    </row>
    <row r="42" spans="1:11" ht="15.75" x14ac:dyDescent="0.25">
      <c r="A42" s="42" t="str">
        <v>Tucumán</v>
      </c>
      <c r="B42" s="21">
        <v>6900</v>
      </c>
      <c r="C42" s="42" t="str">
        <v>1970/1971</v>
      </c>
      <c r="E42" s="42" t="str">
        <v>Tucumán</v>
      </c>
      <c r="F42" s="21">
        <v>7300</v>
      </c>
      <c r="G42" s="21" t="str">
        <v>1970/1971</v>
      </c>
      <c r="I42" s="42" t="str">
        <v>Tucumán</v>
      </c>
      <c r="J42" s="21">
        <v>6900</v>
      </c>
      <c r="K42" s="21" t="str">
        <v>1970/1971</v>
      </c>
    </row>
    <row r="43" spans="1:11" ht="15.75" x14ac:dyDescent="0.25">
      <c r="A43" s="42" t="str">
        <v>Corrientes</v>
      </c>
      <c r="B43" s="21">
        <v>5475</v>
      </c>
      <c r="C43" s="42" t="str">
        <v>1946/1947</v>
      </c>
      <c r="E43" s="42" t="str">
        <v>Chaco</v>
      </c>
      <c r="F43" s="21">
        <v>5034</v>
      </c>
      <c r="G43" s="21" t="str">
        <v>1927/1928</v>
      </c>
      <c r="I43" s="42" t="str">
        <v>Chaco</v>
      </c>
      <c r="J43" s="21">
        <v>5034</v>
      </c>
      <c r="K43" s="21" t="str">
        <v>1927/1928</v>
      </c>
    </row>
    <row r="44" spans="1:11" ht="15.75" x14ac:dyDescent="0.25">
      <c r="A44" s="42" t="str">
        <v>Chaco</v>
      </c>
      <c r="B44" s="21">
        <v>3775</v>
      </c>
      <c r="C44" s="42" t="str">
        <v>1927/1928</v>
      </c>
      <c r="E44" s="42" t="str">
        <v>Corrientes</v>
      </c>
      <c r="F44" s="21">
        <v>4500</v>
      </c>
      <c r="G44" s="21" t="str">
        <v>1942/1943</v>
      </c>
      <c r="I44" s="42" t="str">
        <v>Corrientes</v>
      </c>
      <c r="J44" s="21">
        <v>4135</v>
      </c>
      <c r="K44" s="21" t="str">
        <v>1931/1932</v>
      </c>
    </row>
    <row r="45" spans="1:11" ht="15.75" x14ac:dyDescent="0.25">
      <c r="A45" s="42" t="str">
        <v>Formosa</v>
      </c>
      <c r="B45" s="21">
        <v>3295</v>
      </c>
      <c r="C45" s="42" t="str">
        <v>2006/2007</v>
      </c>
      <c r="E45" s="42" t="str">
        <v>Catamarca</v>
      </c>
      <c r="F45" s="21">
        <v>2200</v>
      </c>
      <c r="G45" s="21" t="str">
        <v>2019/2020</v>
      </c>
      <c r="I45" s="42" t="str">
        <v>Catamarca</v>
      </c>
      <c r="J45" s="21">
        <v>2090</v>
      </c>
      <c r="K45" s="21" t="str">
        <v>2019/2020</v>
      </c>
    </row>
    <row r="46" spans="1:11" ht="15.75" x14ac:dyDescent="0.25">
      <c r="A46" s="42" t="str">
        <v>Catamarca</v>
      </c>
      <c r="B46" s="21">
        <v>2530</v>
      </c>
      <c r="C46" s="42" t="str">
        <v>2021/2022</v>
      </c>
      <c r="E46" s="42" t="str">
        <v>Formosa</v>
      </c>
      <c r="F46" s="21">
        <v>1901</v>
      </c>
      <c r="G46" s="21" t="str">
        <v>2006/2007</v>
      </c>
      <c r="I46" s="42" t="str">
        <v>Formosa</v>
      </c>
      <c r="J46" s="21">
        <v>1901</v>
      </c>
      <c r="K46" s="21" t="str">
        <v>2006/2007</v>
      </c>
    </row>
    <row r="47" spans="1:11" ht="15.75" x14ac:dyDescent="0.25">
      <c r="A47" s="42" t="str">
        <v>Jujuy</v>
      </c>
      <c r="B47" s="21">
        <v>1600</v>
      </c>
      <c r="C47" s="42" t="str">
        <v>2004/2005</v>
      </c>
      <c r="E47" s="42" t="str">
        <v>Misiones</v>
      </c>
      <c r="F47" s="21">
        <v>1605</v>
      </c>
      <c r="G47" s="21" t="str">
        <v>1942/1943</v>
      </c>
      <c r="I47" s="42" t="str">
        <v>Misiones</v>
      </c>
      <c r="J47" s="21">
        <v>1567</v>
      </c>
      <c r="K47" s="21" t="str">
        <v>1942/1943</v>
      </c>
    </row>
    <row r="48" spans="1:11" ht="15.75" x14ac:dyDescent="0.25">
      <c r="A48" s="42" t="str">
        <v>Misiones</v>
      </c>
      <c r="B48" s="21">
        <v>1492</v>
      </c>
      <c r="C48" s="42" t="str">
        <v>1931/1932</v>
      </c>
      <c r="E48" s="42" t="str">
        <v>Jujuy</v>
      </c>
      <c r="F48" s="21">
        <v>1000</v>
      </c>
      <c r="G48" s="21" t="str">
        <v>2004/2005</v>
      </c>
      <c r="I48" s="42" t="str">
        <v>Jujuy</v>
      </c>
      <c r="J48" s="21">
        <v>1000</v>
      </c>
      <c r="K48" s="21" t="str">
        <v>2004/2005</v>
      </c>
    </row>
    <row r="49" spans="1:11" ht="15.75" x14ac:dyDescent="0.25">
      <c r="A49" s="42" t="str">
        <v>Santiago del Estero</v>
      </c>
      <c r="B49" s="21">
        <v>738</v>
      </c>
      <c r="C49" s="42" t="str">
        <v>2023/2024</v>
      </c>
      <c r="E49" s="42" t="str">
        <v>Santiago del Estero</v>
      </c>
      <c r="F49" s="21">
        <v>521</v>
      </c>
      <c r="G49" s="21" t="str">
        <v>1943/1944</v>
      </c>
      <c r="I49" s="42" t="str">
        <v>Santiago del Estero</v>
      </c>
      <c r="J49" s="21">
        <v>438</v>
      </c>
      <c r="K49" s="21" t="str">
        <v>1943/1944</v>
      </c>
    </row>
    <row r="50" spans="1:11" ht="15.75" x14ac:dyDescent="0.25">
      <c r="A50" s="42" t="str">
        <v>Mendoza</v>
      </c>
      <c r="B50" s="21">
        <v>184</v>
      </c>
      <c r="C50" s="42" t="str">
        <v>1935/1936</v>
      </c>
      <c r="E50" s="42" t="str">
        <v>Mendoza</v>
      </c>
      <c r="F50" s="21">
        <v>320</v>
      </c>
      <c r="G50" s="21" t="str">
        <v>1978/1979</v>
      </c>
      <c r="I50" s="42" t="str">
        <v>Mendoza</v>
      </c>
      <c r="J50" s="21">
        <v>280</v>
      </c>
      <c r="K50" s="21" t="str">
        <v>1977/1978</v>
      </c>
    </row>
    <row r="51" spans="1:11" ht="15.75" x14ac:dyDescent="0.25">
      <c r="A51" s="42" t="str">
        <v>San Juan</v>
      </c>
      <c r="B51" s="21">
        <v>12</v>
      </c>
      <c r="C51" s="42" t="str">
        <v>1933/1934</v>
      </c>
      <c r="E51" s="42" t="str">
        <v>La Rioja</v>
      </c>
      <c r="F51" s="21">
        <v>270</v>
      </c>
      <c r="G51" s="21" t="str">
        <v>1980/1981</v>
      </c>
      <c r="I51" s="42" t="str">
        <v>San Juan</v>
      </c>
      <c r="J51" s="21">
        <v>10</v>
      </c>
      <c r="K51" s="21" t="str">
        <v>1933/1934</v>
      </c>
    </row>
    <row r="52" spans="1:11" ht="15.75" x14ac:dyDescent="0.25">
      <c r="A52" s="42" t="str">
        <v>La Rioja</v>
      </c>
      <c r="B52" s="21">
        <v>0</v>
      </c>
      <c r="C52" s="42" t="str">
        <v>1927/1928</v>
      </c>
      <c r="E52" s="42" t="str">
        <v>San Juan</v>
      </c>
      <c r="F52" s="21">
        <v>15</v>
      </c>
      <c r="G52" s="21" t="str">
        <v>1934/1935</v>
      </c>
      <c r="I52" s="42" t="str">
        <v>La Rioja</v>
      </c>
      <c r="J52" s="21">
        <v>0</v>
      </c>
      <c r="K52" s="21" t="str">
        <v>1927/1928</v>
      </c>
    </row>
  </sheetData>
  <mergeCells count="14">
    <mergeCell ref="A4:E4"/>
    <mergeCell ref="G4:K4"/>
    <mergeCell ref="A1:K1"/>
    <mergeCell ref="A28:B28"/>
    <mergeCell ref="A29:B29"/>
    <mergeCell ref="C28:D28"/>
    <mergeCell ref="C29:D29"/>
    <mergeCell ref="A26:E26"/>
    <mergeCell ref="A27:E27"/>
    <mergeCell ref="A33:C33"/>
    <mergeCell ref="E33:G33"/>
    <mergeCell ref="I33:K33"/>
    <mergeCell ref="G26:K26"/>
    <mergeCell ref="G27:K2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F40F8-DA12-4186-BD1C-9A3EFE644296}">
          <x14:formula1>
            <xm:f>'mani-serie-1927-2024'!$E$2:$E$5258</xm:f>
          </x14:formula1>
          <xm:sqref>G27:K27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R19"/>
  <sheetViews>
    <sheetView showGridLines="0" showRowColHeaders="0" zoomScale="80" zoomScaleNormal="80" workbookViewId="0">
      <selection activeCell="M5" sqref="M5"/>
    </sheetView>
  </sheetViews>
  <sheetFormatPr baseColWidth="10" defaultColWidth="9.140625" defaultRowHeight="15" x14ac:dyDescent="0.25"/>
  <cols>
    <col min="5" max="5" width="16.5703125" customWidth="1"/>
    <col min="6" max="6" width="18" customWidth="1"/>
    <col min="7" max="7" width="3.85546875" customWidth="1"/>
    <col min="8" max="8" width="17.5703125" customWidth="1"/>
    <col min="13" max="13" width="19.7109375" customWidth="1"/>
    <col min="14" max="14" width="18.140625" customWidth="1"/>
    <col min="21" max="21" width="18" customWidth="1"/>
  </cols>
  <sheetData>
    <row r="1" spans="3:18" ht="46.5" x14ac:dyDescent="0.25">
      <c r="C1" s="51" t="s">
        <v>415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3" spans="3:18" x14ac:dyDescent="0.25">
      <c r="D3" s="57" t="s">
        <v>385</v>
      </c>
      <c r="E3" s="58"/>
      <c r="F3" s="58"/>
      <c r="G3" s="58"/>
      <c r="H3" s="58"/>
      <c r="M3" s="57" t="s">
        <v>391</v>
      </c>
      <c r="N3" s="57"/>
      <c r="O3" s="57"/>
      <c r="P3" s="57"/>
      <c r="Q3" s="57"/>
    </row>
    <row r="4" spans="3:18" x14ac:dyDescent="0.25">
      <c r="D4" s="58"/>
      <c r="E4" s="58"/>
      <c r="F4" s="58"/>
      <c r="G4" s="58"/>
      <c r="H4" s="58"/>
      <c r="M4" s="57"/>
      <c r="N4" s="57"/>
      <c r="O4" s="57"/>
      <c r="P4" s="57"/>
      <c r="Q4" s="57"/>
    </row>
    <row r="6" spans="3:18" ht="31.5" x14ac:dyDescent="0.25">
      <c r="D6" s="56" t="s">
        <v>339</v>
      </c>
      <c r="E6" s="56"/>
      <c r="F6" s="56"/>
      <c r="G6" s="56"/>
      <c r="H6" s="56"/>
      <c r="M6" s="55" t="s">
        <v>22</v>
      </c>
      <c r="N6" s="55"/>
      <c r="O6" s="55"/>
      <c r="P6" s="55"/>
      <c r="Q6" s="55"/>
    </row>
    <row r="19" spans="5:5" ht="26.25" x14ac:dyDescent="0.4">
      <c r="E19" s="12"/>
    </row>
  </sheetData>
  <dataConsolidate/>
  <mergeCells count="5">
    <mergeCell ref="C1:R1"/>
    <mergeCell ref="M6:Q6"/>
    <mergeCell ref="D6:H6"/>
    <mergeCell ref="D3:H4"/>
    <mergeCell ref="M3:Q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6F81F44-6FB1-47F8-B2E8-AE17CF84F749}">
          <x14:formula1>
            <xm:f>'mani-serie-1927-2024'!$D:$D</xm:f>
          </x14:formula1>
          <xm:sqref>D6</xm:sqref>
        </x14:dataValidation>
        <x14:dataValidation type="list" allowBlank="1" showInputMessage="1" showErrorMessage="1" xr:uid="{D31C1878-3A0B-41B7-B377-60A7F2F3E080}">
          <x14:formula1>
            <xm:f>'mani-serie-1927-2024'!$E$2:$E$5258</xm:f>
          </x14:formula1>
          <xm:sqref>M6</xm:sqref>
        </x14:dataValidation>
        <x14:dataValidation type="list" allowBlank="1" showInputMessage="1" showErrorMessage="1" xr:uid="{F1EF6E05-A8E0-46D2-BB49-908066B72895}">
          <x14:formula1>
            <xm:f>'mani-serie-1927-2024'!$G:$G</xm:f>
          </x14:formula1>
          <xm:sqref>E22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6A7C-C538-4E06-8554-1C88402C185B}">
  <dimension ref="A1:T227"/>
  <sheetViews>
    <sheetView topLeftCell="P1" workbookViewId="0">
      <selection activeCell="P3" sqref="P3"/>
    </sheetView>
  </sheetViews>
  <sheetFormatPr baseColWidth="10" defaultRowHeight="15" x14ac:dyDescent="0.25"/>
  <cols>
    <col min="1" max="1" width="22.5703125" hidden="1" customWidth="1"/>
    <col min="2" max="2" width="27.42578125" style="2" hidden="1" customWidth="1"/>
    <col min="3" max="3" width="0" style="2" hidden="1" customWidth="1"/>
    <col min="4" max="4" width="11.140625" hidden="1" customWidth="1"/>
    <col min="5" max="5" width="11.42578125" hidden="1" customWidth="1"/>
    <col min="6" max="6" width="25.7109375" hidden="1" customWidth="1"/>
    <col min="7" max="7" width="30.5703125" hidden="1" customWidth="1"/>
    <col min="8" max="9" width="39.85546875" hidden="1" customWidth="1"/>
    <col min="10" max="10" width="73.140625" hidden="1" customWidth="1"/>
    <col min="11" max="11" width="32.7109375" hidden="1" customWidth="1"/>
    <col min="12" max="12" width="35.7109375" hidden="1" customWidth="1"/>
    <col min="13" max="13" width="37.7109375" hidden="1" customWidth="1"/>
    <col min="14" max="14" width="50" hidden="1" customWidth="1"/>
    <col min="15" max="15" width="33.5703125" hidden="1" customWidth="1"/>
    <col min="16" max="16" width="30.42578125" customWidth="1"/>
    <col min="17" max="17" width="38.85546875" customWidth="1"/>
    <col min="18" max="18" width="30.140625" customWidth="1"/>
    <col min="19" max="19" width="44.42578125" customWidth="1"/>
    <col min="20" max="20" width="29.5703125" customWidth="1"/>
  </cols>
  <sheetData>
    <row r="1" spans="1:20" ht="26.25" x14ac:dyDescent="0.4">
      <c r="A1" s="3" t="s">
        <v>355</v>
      </c>
      <c r="B1" s="3" t="s">
        <v>356</v>
      </c>
      <c r="C1" s="3" t="s">
        <v>357</v>
      </c>
      <c r="F1" s="59" t="str">
        <f>_xlfn.CONCAT("Cantidad sembrada en cada departamento de la provincia ",  provincia, " | Campaña ", campania)</f>
        <v>Cantidad sembrada en cada departamento de la provincia Córdoba | Campaña 2019/2020</v>
      </c>
      <c r="G1" s="59"/>
      <c r="H1" s="59"/>
      <c r="I1" s="59"/>
      <c r="J1" s="59"/>
      <c r="P1" s="60" t="str">
        <f>_xlfn.CONCAT("Cantidad sembrada en cada departamento de la provincia ",  provincia, " | Campaña ", campania)</f>
        <v>Cantidad sembrada en cada departamento de la provincia Córdoba | Campaña 2019/2020</v>
      </c>
      <c r="Q1" s="61"/>
      <c r="R1" s="61"/>
      <c r="S1" s="61"/>
      <c r="T1" s="62"/>
    </row>
    <row r="2" spans="1:20" ht="18.75" x14ac:dyDescent="0.3">
      <c r="A2" s="2" t="str" cm="1">
        <f t="array" ref="A2:A19">_xlfn.UNIQUE(Produccion_mani[provincia_nombre])</f>
        <v>Chaco</v>
      </c>
      <c r="B2" s="2" t="str" cm="1">
        <f t="array" ref="B2:B227">_xlfn.UNIQUE(Produccion_mani[departamento_nombre])</f>
        <v>Campo del Cielo</v>
      </c>
      <c r="C2" s="2" t="str" cm="1">
        <f t="array" ref="C2:C99">_xlfn.UNIQUE(Produccion_mani[campania])</f>
        <v>1927/1928</v>
      </c>
      <c r="F2" s="4" t="s">
        <v>358</v>
      </c>
      <c r="G2" s="4" t="s">
        <v>359</v>
      </c>
      <c r="H2" s="4" t="s">
        <v>360</v>
      </c>
      <c r="I2" s="4" t="s">
        <v>361</v>
      </c>
      <c r="J2" s="4" t="s">
        <v>362</v>
      </c>
      <c r="K2" s="5"/>
      <c r="L2" s="8"/>
      <c r="P2" s="4" t="s">
        <v>358</v>
      </c>
      <c r="Q2" s="4" t="s">
        <v>359</v>
      </c>
      <c r="R2" s="4" t="s">
        <v>360</v>
      </c>
      <c r="S2" s="4" t="s">
        <v>361</v>
      </c>
      <c r="T2" s="4" t="s">
        <v>362</v>
      </c>
    </row>
    <row r="3" spans="1:20" ht="15.75" x14ac:dyDescent="0.25">
      <c r="A3" s="2" t="str">
        <v>Córdoba</v>
      </c>
      <c r="B3" s="2" t="str">
        <v>Napalpí</v>
      </c>
      <c r="C3" s="2" t="str">
        <v>1928/1929</v>
      </c>
      <c r="F3" s="5" t="str" cm="1">
        <f t="array" ref="F3:F16">_xlfn.UNIQUE(_xlfn._xlws.FILTER(Produccion_mani[departamento_nombre], (Produccion_mani[provincia_nombre]=provincia)*(Produccion_mani[campania]=campania)))</f>
        <v>Calamuchita</v>
      </c>
      <c r="G3" s="8" cm="1">
        <f t="array" ref="G3:G16">_xlfn._xlws.FILTER(Produccion_mani[superficie_sembrada_ha], (Produccion_mani[provincia_nombre]=provincia)*(Produccion_mani[campania]=campania))</f>
        <v>3300</v>
      </c>
      <c r="H3" s="8" cm="1">
        <f t="array" ref="H3:H16">_xlfn._xlws.FILTER(Produccion_mani[superficie_cosechada_ha], (Produccion_mani[provincia_nombre]=provincia)*(Produccion_mani[campania]=campania))</f>
        <v>3300</v>
      </c>
      <c r="I3" s="8" cm="1">
        <f t="array" ref="I3:I16">_xlfn._xlws.FILTER(Produccion_mani[produccion_tm], (Produccion_mani[provincia_nombre]=provincia)*(Produccion_mani[campania]=campania))</f>
        <v>10890</v>
      </c>
      <c r="J3" s="8" cm="1">
        <f t="array" ref="J3:J16">_xlfn._xlws.FILTER(Produccion_mani[rendimiento_kgxha], (Produccion_mani[provincia_nombre]=provincia)*(Produccion_mani[campania]=campania))</f>
        <v>3300</v>
      </c>
      <c r="K3" s="5" t="str" cm="1">
        <f t="array" ref="K3:K16">_xlfn.UNIQUE(_xlfn._xlws.FILTER(Produccion_mani[departamento_nombre], (Produccion_mani[provincia_nombre]=provincia)*(Produccion_mani[campania]=campania)))</f>
        <v>Calamuchita</v>
      </c>
      <c r="L3" s="8" cm="1">
        <f t="array" ref="L3:L16">_xlfn._xlws.FILTER(Produccion_mani[superficie_sembrada_ha], (Produccion_mani[provincia_nombre]=provincia)*(Produccion_mani[campania]=campania))</f>
        <v>3300</v>
      </c>
      <c r="M3" s="8" cm="1">
        <f t="array" ref="M3:M16">_xlfn._xlws.FILTER(Produccion_mani[superficie_cosechada_ha], (Produccion_mani[provincia_nombre]=provincia)*(Produccion_mani[campania]=campania))</f>
        <v>3300</v>
      </c>
      <c r="N3" s="8" cm="1">
        <f t="array" ref="N3:N16">_xlfn._xlws.FILTER(Produccion_mani[produccion_tm], (Produccion_mani[provincia_nombre]=provincia)*(Produccion_mani[campania]=campania))</f>
        <v>10890</v>
      </c>
      <c r="O3" s="8" cm="1">
        <f t="array" ref="O3:O16">_xlfn._xlws.FILTER(Produccion_mani[rendimiento_kgxha], (Produccion_mani[provincia_nombre]=provincia)*(Produccion_mani[campania]=campania))</f>
        <v>3300</v>
      </c>
      <c r="P3" s="10" t="str" cm="1">
        <f t="array" ref="P3:T16">_xlfn._xlws.SORT(_xlfn._xlws.FILTER(_xlfn.CHOOSECOLS(Produccion_mani[], 7, 9, 10,11,12), (Produccion_mani[provincia_nombre]=provincia)*(Produccion_mani[campania]=campania)), 2, -1)</f>
        <v>General Roca</v>
      </c>
      <c r="Q3" s="7">
        <v>90060</v>
      </c>
      <c r="R3" s="7">
        <v>89878</v>
      </c>
      <c r="S3" s="7">
        <v>314573</v>
      </c>
      <c r="T3" s="7">
        <v>3500</v>
      </c>
    </row>
    <row r="4" spans="1:20" ht="15.75" x14ac:dyDescent="0.25">
      <c r="A4" s="2" t="str">
        <v>Corrientes</v>
      </c>
      <c r="B4" s="2" t="str">
        <v>Resistencia</v>
      </c>
      <c r="C4" s="2" t="str">
        <v>1929/1930</v>
      </c>
      <c r="F4" s="5" t="str">
        <v>General Roca</v>
      </c>
      <c r="G4" s="8">
        <v>90060</v>
      </c>
      <c r="H4" s="8">
        <v>89878</v>
      </c>
      <c r="I4" s="8">
        <v>314573</v>
      </c>
      <c r="J4" s="8">
        <v>3500</v>
      </c>
      <c r="K4" s="5" t="str">
        <v>General Roca</v>
      </c>
      <c r="L4" s="8">
        <v>90060</v>
      </c>
      <c r="M4" s="8">
        <v>89878</v>
      </c>
      <c r="N4" s="8">
        <v>314573</v>
      </c>
      <c r="O4" s="8">
        <v>3500</v>
      </c>
      <c r="P4" s="6" t="str">
        <v>Río Cuarto</v>
      </c>
      <c r="Q4" s="7">
        <v>89000</v>
      </c>
      <c r="R4" s="7">
        <v>89000</v>
      </c>
      <c r="S4" s="7">
        <v>319510</v>
      </c>
      <c r="T4" s="7">
        <v>3590</v>
      </c>
    </row>
    <row r="5" spans="1:20" ht="15.75" x14ac:dyDescent="0.25">
      <c r="A5" s="2" t="str">
        <v>Entre Ríos</v>
      </c>
      <c r="B5" s="2" t="str">
        <v>Coronel Martínez de Hoz</v>
      </c>
      <c r="C5" s="2" t="str">
        <v>1930/1931</v>
      </c>
      <c r="F5" s="5" t="str">
        <v>General San Martín</v>
      </c>
      <c r="G5" s="8">
        <v>8000</v>
      </c>
      <c r="H5" s="8">
        <v>8000</v>
      </c>
      <c r="I5" s="8">
        <v>30400</v>
      </c>
      <c r="J5" s="8">
        <v>3800</v>
      </c>
      <c r="K5" s="5" t="str">
        <v>General San Martín</v>
      </c>
      <c r="L5" s="8">
        <v>8000</v>
      </c>
      <c r="M5" s="8">
        <v>8000</v>
      </c>
      <c r="N5" s="8">
        <v>30400</v>
      </c>
      <c r="O5" s="8">
        <v>3800</v>
      </c>
      <c r="P5" s="6" t="str">
        <v>Juárez Celman</v>
      </c>
      <c r="Q5" s="7">
        <v>32500</v>
      </c>
      <c r="R5" s="7">
        <v>32500</v>
      </c>
      <c r="S5" s="7">
        <v>116675</v>
      </c>
      <c r="T5" s="7">
        <v>3590</v>
      </c>
    </row>
    <row r="6" spans="1:20" ht="15.75" x14ac:dyDescent="0.25">
      <c r="A6" s="2" t="str">
        <v>Formosa</v>
      </c>
      <c r="B6" s="2" t="str">
        <v>Bermejo</v>
      </c>
      <c r="C6" s="2" t="str">
        <v>1931/1932</v>
      </c>
      <c r="F6" s="5" t="str">
        <v>Juárez Celman</v>
      </c>
      <c r="G6" s="8">
        <v>32500</v>
      </c>
      <c r="H6" s="8">
        <v>32500</v>
      </c>
      <c r="I6" s="8">
        <v>116675</v>
      </c>
      <c r="J6" s="8">
        <v>3590</v>
      </c>
      <c r="K6" s="5" t="str">
        <v>Juárez Celman</v>
      </c>
      <c r="L6" s="8">
        <v>32500</v>
      </c>
      <c r="M6" s="8">
        <v>32500</v>
      </c>
      <c r="N6" s="8">
        <v>116675</v>
      </c>
      <c r="O6" s="8">
        <v>3590</v>
      </c>
      <c r="P6" s="6" t="str">
        <v>Presidente Roque Sáenz Peña</v>
      </c>
      <c r="Q6" s="7">
        <v>23940</v>
      </c>
      <c r="R6" s="7">
        <v>23666</v>
      </c>
      <c r="S6" s="7">
        <v>82831</v>
      </c>
      <c r="T6" s="7">
        <v>3500</v>
      </c>
    </row>
    <row r="7" spans="1:20" ht="15.75" x14ac:dyDescent="0.25">
      <c r="A7" s="2" t="str">
        <v>Jujuy</v>
      </c>
      <c r="B7" s="2" t="str">
        <v>Tobas</v>
      </c>
      <c r="C7" s="2" t="str">
        <v>1932/1933</v>
      </c>
      <c r="F7" s="5" t="str">
        <v>Marcos Juárez</v>
      </c>
      <c r="G7" s="8">
        <v>8908</v>
      </c>
      <c r="H7" s="8">
        <v>8808</v>
      </c>
      <c r="I7" s="8">
        <v>37874</v>
      </c>
      <c r="J7" s="8">
        <v>4300</v>
      </c>
      <c r="K7" s="5" t="str">
        <v>Marcos Juárez</v>
      </c>
      <c r="L7" s="8">
        <v>8908</v>
      </c>
      <c r="M7" s="8">
        <v>8808</v>
      </c>
      <c r="N7" s="8">
        <v>37874</v>
      </c>
      <c r="O7" s="8">
        <v>4300</v>
      </c>
      <c r="P7" s="6" t="str">
        <v>Tercero Arriba</v>
      </c>
      <c r="Q7" s="7">
        <v>18000</v>
      </c>
      <c r="R7" s="7">
        <v>18000</v>
      </c>
      <c r="S7" s="7">
        <v>63000</v>
      </c>
      <c r="T7" s="7">
        <v>3500</v>
      </c>
    </row>
    <row r="8" spans="1:20" ht="15.75" x14ac:dyDescent="0.25">
      <c r="A8" s="2" t="str">
        <v>Misiones</v>
      </c>
      <c r="B8" s="2" t="str">
        <v>Tapenagá</v>
      </c>
      <c r="C8" s="2" t="str">
        <v>1933/1934</v>
      </c>
      <c r="F8" s="5" t="str">
        <v>Presidente Roque Sáenz Peña</v>
      </c>
      <c r="G8" s="8">
        <v>23940</v>
      </c>
      <c r="H8" s="8">
        <v>23666</v>
      </c>
      <c r="I8" s="8">
        <v>82831</v>
      </c>
      <c r="J8" s="8">
        <v>3500</v>
      </c>
      <c r="K8" s="5" t="str">
        <v>Presidente Roque Sáenz Peña</v>
      </c>
      <c r="L8" s="8">
        <v>23940</v>
      </c>
      <c r="M8" s="8">
        <v>23666</v>
      </c>
      <c r="N8" s="8">
        <v>82831</v>
      </c>
      <c r="O8" s="8">
        <v>3500</v>
      </c>
      <c r="P8" s="6" t="str">
        <v>Unión</v>
      </c>
      <c r="Q8" s="7">
        <v>9674</v>
      </c>
      <c r="R8" s="7">
        <v>9474</v>
      </c>
      <c r="S8" s="7">
        <v>42065</v>
      </c>
      <c r="T8" s="7">
        <v>4440</v>
      </c>
    </row>
    <row r="9" spans="1:20" ht="15.75" x14ac:dyDescent="0.25">
      <c r="A9" s="2" t="str">
        <v>Santa Fe</v>
      </c>
      <c r="B9" s="2" t="str">
        <v>Santa María</v>
      </c>
      <c r="C9" s="2" t="str">
        <v>1934/1935</v>
      </c>
      <c r="F9" s="5" t="str">
        <v>Río Cuarto</v>
      </c>
      <c r="G9" s="8">
        <v>89000</v>
      </c>
      <c r="H9" s="8">
        <v>89000</v>
      </c>
      <c r="I9" s="8">
        <v>319510</v>
      </c>
      <c r="J9" s="8">
        <v>3590</v>
      </c>
      <c r="K9" s="5" t="str">
        <v>Río Cuarto</v>
      </c>
      <c r="L9" s="8">
        <v>89000</v>
      </c>
      <c r="M9" s="8">
        <v>89000</v>
      </c>
      <c r="N9" s="8">
        <v>319510</v>
      </c>
      <c r="O9" s="8">
        <v>3590</v>
      </c>
      <c r="P9" s="6" t="str">
        <v>Río Segundo</v>
      </c>
      <c r="Q9" s="7">
        <v>9300</v>
      </c>
      <c r="R9" s="7">
        <v>9300</v>
      </c>
      <c r="S9" s="7">
        <v>34410</v>
      </c>
      <c r="T9" s="7">
        <v>3700</v>
      </c>
    </row>
    <row r="10" spans="1:20" ht="15.75" x14ac:dyDescent="0.25">
      <c r="A10" s="2" t="str">
        <v>Santiago del Estero</v>
      </c>
      <c r="B10" s="2" t="str">
        <v>Río Segundo</v>
      </c>
      <c r="C10" s="2" t="str">
        <v>1935/1936</v>
      </c>
      <c r="F10" s="5" t="str">
        <v>Río Primero</v>
      </c>
      <c r="G10" s="8">
        <v>4882</v>
      </c>
      <c r="H10" s="8">
        <v>4882</v>
      </c>
      <c r="I10" s="8">
        <v>14646</v>
      </c>
      <c r="J10" s="8">
        <v>3000</v>
      </c>
      <c r="K10" s="5" t="str">
        <v>Río Primero</v>
      </c>
      <c r="L10" s="8">
        <v>4882</v>
      </c>
      <c r="M10" s="8">
        <v>4882</v>
      </c>
      <c r="N10" s="8">
        <v>14646</v>
      </c>
      <c r="O10" s="8">
        <v>3000</v>
      </c>
      <c r="P10" s="6" t="str">
        <v>Marcos Juárez</v>
      </c>
      <c r="Q10" s="7">
        <v>8908</v>
      </c>
      <c r="R10" s="7">
        <v>8808</v>
      </c>
      <c r="S10" s="7">
        <v>37874</v>
      </c>
      <c r="T10" s="7">
        <v>4300</v>
      </c>
    </row>
    <row r="11" spans="1:20" ht="15.75" x14ac:dyDescent="0.25">
      <c r="A11" s="2" t="str">
        <v>Tucumán</v>
      </c>
      <c r="B11" s="2" t="str">
        <v>Río Primero</v>
      </c>
      <c r="C11" s="2" t="str">
        <v>1936/1937</v>
      </c>
      <c r="F11" s="5" t="str">
        <v>Río Segundo</v>
      </c>
      <c r="G11" s="8">
        <v>9300</v>
      </c>
      <c r="H11" s="8">
        <v>9300</v>
      </c>
      <c r="I11" s="8">
        <v>34410</v>
      </c>
      <c r="J11" s="8">
        <v>3700</v>
      </c>
      <c r="K11" s="5" t="str">
        <v>Río Segundo</v>
      </c>
      <c r="L11" s="8">
        <v>9300</v>
      </c>
      <c r="M11" s="8">
        <v>9300</v>
      </c>
      <c r="N11" s="8">
        <v>34410</v>
      </c>
      <c r="O11" s="8">
        <v>3700</v>
      </c>
      <c r="P11" s="6" t="str">
        <v>General San Martín</v>
      </c>
      <c r="Q11" s="7">
        <v>8000</v>
      </c>
      <c r="R11" s="7">
        <v>8000</v>
      </c>
      <c r="S11" s="7">
        <v>30400</v>
      </c>
      <c r="T11" s="7">
        <v>3800</v>
      </c>
    </row>
    <row r="12" spans="1:20" ht="15.75" x14ac:dyDescent="0.25">
      <c r="A12" s="2" t="str">
        <v>Catamarca</v>
      </c>
      <c r="B12" s="2" t="str">
        <v>Tercero Arriba</v>
      </c>
      <c r="C12" s="2" t="str">
        <v>1937/1938</v>
      </c>
      <c r="F12" s="5" t="str">
        <v>San Javier</v>
      </c>
      <c r="G12" s="8">
        <v>3500</v>
      </c>
      <c r="H12" s="8">
        <v>3500</v>
      </c>
      <c r="I12" s="8">
        <v>11865</v>
      </c>
      <c r="J12" s="8">
        <v>3390</v>
      </c>
      <c r="K12" s="5" t="str">
        <v>San Javier</v>
      </c>
      <c r="L12" s="8">
        <v>3500</v>
      </c>
      <c r="M12" s="8">
        <v>3500</v>
      </c>
      <c r="N12" s="8">
        <v>11865</v>
      </c>
      <c r="O12" s="8">
        <v>3390</v>
      </c>
      <c r="P12" s="6" t="str">
        <v>Río Primero</v>
      </c>
      <c r="Q12" s="7">
        <v>4882</v>
      </c>
      <c r="R12" s="7">
        <v>4882</v>
      </c>
      <c r="S12" s="7">
        <v>14646</v>
      </c>
      <c r="T12" s="7">
        <v>3000</v>
      </c>
    </row>
    <row r="13" spans="1:20" x14ac:dyDescent="0.25">
      <c r="A13" s="2" t="str">
        <v>Salta</v>
      </c>
      <c r="B13" s="2" t="str">
        <v>Colón</v>
      </c>
      <c r="C13" s="2" t="str">
        <v>1938/1939</v>
      </c>
      <c r="F13" s="6" t="str">
        <v>San Justo</v>
      </c>
      <c r="G13" s="7">
        <v>1364</v>
      </c>
      <c r="H13" s="7">
        <v>1364</v>
      </c>
      <c r="I13" s="7">
        <v>4228</v>
      </c>
      <c r="J13" s="7">
        <v>3100</v>
      </c>
      <c r="K13" s="6" t="str">
        <v>San Justo</v>
      </c>
      <c r="L13" s="7">
        <v>1364</v>
      </c>
      <c r="M13" s="7">
        <v>1364</v>
      </c>
      <c r="N13" s="7">
        <v>4228</v>
      </c>
      <c r="O13" s="7">
        <v>3100</v>
      </c>
      <c r="P13" s="6" t="str">
        <v>Santa María</v>
      </c>
      <c r="Q13" s="11">
        <v>4100</v>
      </c>
      <c r="R13" s="11">
        <v>4100</v>
      </c>
      <c r="S13" s="11">
        <v>13940</v>
      </c>
      <c r="T13" s="11">
        <v>3400</v>
      </c>
    </row>
    <row r="14" spans="1:20" x14ac:dyDescent="0.25">
      <c r="A14" s="2" t="str">
        <v>San Juan</v>
      </c>
      <c r="B14" s="2" t="str">
        <v>Capital</v>
      </c>
      <c r="C14" s="2" t="str">
        <v>1939/1940</v>
      </c>
      <c r="F14" s="6" t="str">
        <v>Santa María</v>
      </c>
      <c r="G14" s="7">
        <v>4100</v>
      </c>
      <c r="H14" s="7">
        <v>4100</v>
      </c>
      <c r="I14" s="7">
        <v>13940</v>
      </c>
      <c r="J14" s="7">
        <v>3400</v>
      </c>
      <c r="K14" s="6" t="str">
        <v>Santa María</v>
      </c>
      <c r="L14" s="7">
        <v>4100</v>
      </c>
      <c r="M14" s="7">
        <v>4100</v>
      </c>
      <c r="N14" s="7">
        <v>13940</v>
      </c>
      <c r="O14" s="7">
        <v>3400</v>
      </c>
      <c r="P14" s="6" t="str">
        <v>San Javier</v>
      </c>
      <c r="Q14" s="11">
        <v>3500</v>
      </c>
      <c r="R14" s="11">
        <v>3500</v>
      </c>
      <c r="S14" s="11">
        <v>11865</v>
      </c>
      <c r="T14" s="11">
        <v>3390</v>
      </c>
    </row>
    <row r="15" spans="1:20" x14ac:dyDescent="0.25">
      <c r="A15" s="2" t="str">
        <v>San Luis</v>
      </c>
      <c r="B15" s="2" t="str">
        <v>Río Cuarto</v>
      </c>
      <c r="C15" s="2" t="str">
        <v>1940/1941</v>
      </c>
      <c r="F15" s="6" t="str">
        <v>Tercero Arriba</v>
      </c>
      <c r="G15" s="7">
        <v>18000</v>
      </c>
      <c r="H15" s="7">
        <v>18000</v>
      </c>
      <c r="I15" s="7">
        <v>63000</v>
      </c>
      <c r="J15" s="7">
        <v>3500</v>
      </c>
      <c r="K15" s="6" t="str">
        <v>Tercero Arriba</v>
      </c>
      <c r="L15" s="7">
        <v>18000</v>
      </c>
      <c r="M15" s="7">
        <v>18000</v>
      </c>
      <c r="N15" s="7">
        <v>63000</v>
      </c>
      <c r="O15" s="7">
        <v>3500</v>
      </c>
      <c r="P15" s="6" t="str">
        <v>Calamuchita</v>
      </c>
      <c r="Q15" s="11">
        <v>3300</v>
      </c>
      <c r="R15" s="11">
        <v>3300</v>
      </c>
      <c r="S15" s="11">
        <v>10890</v>
      </c>
      <c r="T15" s="11">
        <v>3300</v>
      </c>
    </row>
    <row r="16" spans="1:20" x14ac:dyDescent="0.25">
      <c r="A16" s="2" t="str">
        <v>Mendoza</v>
      </c>
      <c r="B16" s="2" t="str">
        <v>otros departamentos</v>
      </c>
      <c r="C16" s="2" t="str">
        <v>1941/1942</v>
      </c>
      <c r="F16" s="6" t="str">
        <v>Unión</v>
      </c>
      <c r="G16" s="7">
        <v>9674</v>
      </c>
      <c r="H16" s="7">
        <v>9474</v>
      </c>
      <c r="I16" s="7">
        <v>42065</v>
      </c>
      <c r="J16" s="7">
        <v>4440</v>
      </c>
      <c r="K16" s="6" t="str">
        <v>Unión</v>
      </c>
      <c r="L16" s="7">
        <v>9674</v>
      </c>
      <c r="M16" s="7">
        <v>9474</v>
      </c>
      <c r="N16" s="7">
        <v>42065</v>
      </c>
      <c r="O16" s="7">
        <v>4440</v>
      </c>
      <c r="P16" s="6" t="str">
        <v>San Justo</v>
      </c>
      <c r="Q16" s="11">
        <v>1364</v>
      </c>
      <c r="R16" s="11">
        <v>1364</v>
      </c>
      <c r="S16" s="11">
        <v>4228</v>
      </c>
      <c r="T16" s="11">
        <v>3100</v>
      </c>
    </row>
    <row r="17" spans="1:20" x14ac:dyDescent="0.25">
      <c r="A17" s="2" t="str">
        <v>Buenos Aires</v>
      </c>
      <c r="B17" s="2" t="str">
        <v>Monte Caseros</v>
      </c>
      <c r="C17" s="2" t="str">
        <v>1942/1943</v>
      </c>
      <c r="F17" s="6"/>
      <c r="G17" s="7"/>
      <c r="H17" s="7"/>
      <c r="I17" s="7"/>
      <c r="J17" s="7"/>
      <c r="K17" s="6"/>
      <c r="L17" s="7"/>
      <c r="M17" s="7"/>
      <c r="N17" s="7"/>
      <c r="O17" s="7"/>
      <c r="P17" s="6"/>
      <c r="Q17" s="11"/>
      <c r="R17" s="11"/>
      <c r="S17" s="11"/>
      <c r="T17" s="11"/>
    </row>
    <row r="18" spans="1:20" x14ac:dyDescent="0.25">
      <c r="A18" s="2" t="str">
        <v>La Pampa</v>
      </c>
      <c r="B18" s="2" t="str">
        <v>Lavalle</v>
      </c>
      <c r="C18" s="2" t="str">
        <v>1943/1944</v>
      </c>
      <c r="F18" s="6"/>
      <c r="G18" s="7"/>
      <c r="H18" s="7"/>
      <c r="I18" s="7"/>
      <c r="J18" s="7"/>
      <c r="K18" s="6"/>
      <c r="L18" s="7"/>
      <c r="M18" s="7"/>
      <c r="N18" s="7"/>
      <c r="O18" s="7"/>
      <c r="P18" s="6"/>
      <c r="Q18" s="11"/>
      <c r="R18" s="11"/>
      <c r="S18" s="11"/>
      <c r="T18" s="11"/>
    </row>
    <row r="19" spans="1:20" x14ac:dyDescent="0.25">
      <c r="A19" s="2" t="str">
        <v>La Rioja</v>
      </c>
      <c r="B19" s="2" t="str">
        <v>Empedrado</v>
      </c>
      <c r="C19" s="2" t="str">
        <v>1944/1945</v>
      </c>
      <c r="F19" s="6"/>
      <c r="G19" s="7"/>
      <c r="H19" s="7"/>
      <c r="I19" s="7"/>
      <c r="J19" s="7"/>
      <c r="K19" s="6"/>
      <c r="L19" s="7"/>
      <c r="M19" s="7"/>
      <c r="N19" s="7"/>
      <c r="O19" s="7"/>
      <c r="P19" s="6"/>
      <c r="Q19" s="11"/>
      <c r="R19" s="11"/>
      <c r="S19" s="11"/>
      <c r="T19" s="11"/>
    </row>
    <row r="20" spans="1:20" x14ac:dyDescent="0.25">
      <c r="B20" s="2" t="str">
        <v>Esquina</v>
      </c>
      <c r="C20" s="2" t="str">
        <v>1945/1946</v>
      </c>
      <c r="F20" s="6"/>
      <c r="G20" s="7"/>
      <c r="H20" s="7"/>
      <c r="I20" s="7"/>
      <c r="J20" s="7"/>
      <c r="K20" s="6"/>
      <c r="L20" s="7"/>
      <c r="M20" s="7"/>
      <c r="N20" s="7"/>
      <c r="O20" s="7"/>
      <c r="P20" s="6"/>
      <c r="Q20" s="11"/>
      <c r="R20" s="11"/>
      <c r="S20" s="11"/>
      <c r="T20" s="11"/>
    </row>
    <row r="21" spans="1:20" x14ac:dyDescent="0.25">
      <c r="B21" s="2" t="str">
        <v>San Cosme</v>
      </c>
      <c r="C21" s="2" t="str">
        <v>1946/1947</v>
      </c>
      <c r="F21" s="6"/>
      <c r="G21" s="7"/>
      <c r="H21" s="7"/>
      <c r="I21" s="7"/>
      <c r="J21" s="7"/>
      <c r="K21" s="6"/>
      <c r="L21" s="7"/>
      <c r="M21" s="7"/>
      <c r="N21" s="7"/>
      <c r="O21" s="7"/>
      <c r="P21" s="6"/>
      <c r="Q21" s="11"/>
      <c r="R21" s="11"/>
      <c r="S21" s="11"/>
      <c r="T21" s="11"/>
    </row>
    <row r="22" spans="1:20" x14ac:dyDescent="0.25">
      <c r="B22" s="2" t="str">
        <v>San Martín</v>
      </c>
      <c r="C22" s="2" t="str">
        <v>1947/1948</v>
      </c>
      <c r="F22" s="6"/>
      <c r="G22" s="7"/>
      <c r="H22" s="7"/>
      <c r="I22" s="7"/>
      <c r="J22" s="7"/>
      <c r="K22" s="6"/>
      <c r="L22" s="7"/>
      <c r="M22" s="7"/>
      <c r="N22" s="7"/>
      <c r="O22" s="7"/>
      <c r="P22" s="6"/>
      <c r="Q22" s="11"/>
      <c r="R22" s="11"/>
      <c r="S22" s="11"/>
      <c r="T22" s="11"/>
    </row>
    <row r="23" spans="1:20" x14ac:dyDescent="0.25">
      <c r="B23" s="2" t="str">
        <v>Bella Vista</v>
      </c>
      <c r="C23" s="2" t="str">
        <v>1948/1949</v>
      </c>
      <c r="F23" s="6"/>
      <c r="G23" s="7"/>
      <c r="H23" s="7"/>
      <c r="I23" s="7"/>
      <c r="J23" s="7"/>
      <c r="K23" s="6"/>
      <c r="L23" s="7"/>
      <c r="M23" s="7"/>
      <c r="N23" s="7"/>
      <c r="O23" s="7"/>
      <c r="P23" s="6"/>
      <c r="Q23" s="11"/>
      <c r="R23" s="11"/>
      <c r="S23" s="11"/>
      <c r="T23" s="11"/>
    </row>
    <row r="24" spans="1:20" x14ac:dyDescent="0.25">
      <c r="B24" s="2" t="str">
        <v>Ituzaingó</v>
      </c>
      <c r="C24" s="2" t="str">
        <v>1949/1950</v>
      </c>
      <c r="F24" s="6"/>
      <c r="G24" s="7"/>
      <c r="H24" s="7"/>
      <c r="I24" s="7"/>
      <c r="J24" s="7"/>
      <c r="K24" s="6"/>
      <c r="L24" s="7"/>
      <c r="M24" s="7"/>
      <c r="N24" s="7"/>
      <c r="O24" s="7"/>
      <c r="P24" s="6"/>
      <c r="Q24" s="11"/>
      <c r="R24" s="11"/>
      <c r="S24" s="11"/>
      <c r="T24" s="11"/>
    </row>
    <row r="25" spans="1:20" x14ac:dyDescent="0.25">
      <c r="B25" s="2" t="str">
        <v>Saladas</v>
      </c>
      <c r="C25" s="2" t="str">
        <v>1950/1951</v>
      </c>
      <c r="F25" s="6"/>
      <c r="G25" s="7"/>
      <c r="H25" s="7"/>
      <c r="I25" s="7"/>
      <c r="J25" s="7"/>
      <c r="K25" s="6"/>
      <c r="L25" s="7"/>
      <c r="M25" s="7"/>
      <c r="N25" s="7"/>
      <c r="O25" s="7"/>
      <c r="P25" s="6"/>
      <c r="Q25" s="11"/>
      <c r="R25" s="11"/>
      <c r="S25" s="11"/>
      <c r="T25" s="11"/>
    </row>
    <row r="26" spans="1:20" x14ac:dyDescent="0.25">
      <c r="B26" s="2" t="str">
        <v>San Luis del Palmar</v>
      </c>
      <c r="C26" s="2" t="str">
        <v>1951/1952</v>
      </c>
      <c r="F26" s="6"/>
      <c r="G26" s="7"/>
      <c r="H26" s="7"/>
      <c r="I26" s="7"/>
      <c r="J26" s="7"/>
      <c r="K26" s="6"/>
      <c r="L26" s="7"/>
      <c r="M26" s="7"/>
      <c r="N26" s="7"/>
      <c r="O26" s="7"/>
      <c r="P26" s="6"/>
      <c r="Q26" s="11"/>
      <c r="R26" s="11"/>
      <c r="S26" s="11"/>
      <c r="T26" s="11"/>
    </row>
    <row r="27" spans="1:20" x14ac:dyDescent="0.25">
      <c r="B27" s="2" t="str">
        <v>Curuzu Cuatia</v>
      </c>
      <c r="C27" s="2" t="str">
        <v>1952/1953</v>
      </c>
      <c r="F27" s="6"/>
      <c r="G27" s="7"/>
      <c r="H27" s="7"/>
      <c r="I27" s="7"/>
      <c r="J27" s="7"/>
      <c r="K27" s="6"/>
      <c r="L27" s="7"/>
      <c r="M27" s="7"/>
      <c r="N27" s="7"/>
      <c r="O27" s="7"/>
    </row>
    <row r="28" spans="1:20" x14ac:dyDescent="0.25">
      <c r="B28" s="2" t="str">
        <v>Goya</v>
      </c>
      <c r="C28" s="2" t="str">
        <v>1953/1954</v>
      </c>
      <c r="F28" s="6"/>
      <c r="G28" s="7"/>
      <c r="H28" s="7"/>
      <c r="I28" s="7"/>
      <c r="J28" s="7"/>
      <c r="K28" s="6"/>
      <c r="L28" s="7"/>
      <c r="M28" s="7"/>
      <c r="N28" s="7"/>
      <c r="O28" s="7"/>
    </row>
    <row r="29" spans="1:20" x14ac:dyDescent="0.25">
      <c r="B29" s="2" t="str">
        <v>Santo Tomé</v>
      </c>
      <c r="C29" s="2" t="str">
        <v>1954/1955</v>
      </c>
      <c r="F29" s="6"/>
      <c r="G29" s="7"/>
      <c r="H29" s="7"/>
      <c r="I29" s="7"/>
      <c r="J29" s="7"/>
      <c r="K29" s="6"/>
      <c r="L29" s="7"/>
      <c r="M29" s="7"/>
      <c r="N29" s="7"/>
      <c r="O29" s="7"/>
    </row>
    <row r="30" spans="1:20" x14ac:dyDescent="0.25">
      <c r="B30" s="2" t="str">
        <v>Federación</v>
      </c>
      <c r="C30" s="2" t="str">
        <v>1955/1956</v>
      </c>
      <c r="F30" s="6"/>
      <c r="G30" s="7"/>
      <c r="H30" s="7"/>
      <c r="I30" s="7"/>
      <c r="J30" s="7"/>
      <c r="K30" s="6"/>
      <c r="L30" s="7"/>
      <c r="M30" s="7"/>
      <c r="N30" s="7"/>
      <c r="O30" s="7"/>
    </row>
    <row r="31" spans="1:20" x14ac:dyDescent="0.25">
      <c r="B31" s="2" t="str">
        <v>Concordia</v>
      </c>
      <c r="C31" s="2" t="str">
        <v>1956/1957</v>
      </c>
      <c r="F31" s="6"/>
      <c r="G31" s="7"/>
      <c r="H31" s="7"/>
      <c r="I31" s="7"/>
      <c r="J31" s="7"/>
      <c r="K31" s="6"/>
      <c r="L31" s="7"/>
      <c r="M31" s="7"/>
      <c r="N31" s="7"/>
      <c r="O31" s="7"/>
    </row>
    <row r="32" spans="1:20" x14ac:dyDescent="0.25">
      <c r="B32" s="2" t="str">
        <v>Pilcomayo</v>
      </c>
      <c r="C32" s="2" t="str">
        <v>1957/1958</v>
      </c>
      <c r="F32" s="6"/>
      <c r="G32" s="7"/>
      <c r="H32" s="7"/>
      <c r="I32" s="7"/>
      <c r="J32" s="7"/>
      <c r="K32" s="6"/>
      <c r="L32" s="7"/>
      <c r="M32" s="7"/>
      <c r="N32" s="7"/>
      <c r="O32" s="7"/>
    </row>
    <row r="33" spans="2:3" x14ac:dyDescent="0.25">
      <c r="B33" s="2" t="str">
        <v>Laishí</v>
      </c>
      <c r="C33" s="2" t="str">
        <v>1958/1959</v>
      </c>
    </row>
    <row r="34" spans="2:3" x14ac:dyDescent="0.25">
      <c r="B34" s="2" t="str">
        <v>Formosa</v>
      </c>
      <c r="C34" s="2" t="str">
        <v>1959/1960</v>
      </c>
    </row>
    <row r="35" spans="2:3" x14ac:dyDescent="0.25">
      <c r="B35" s="2" t="str">
        <v>Pirané</v>
      </c>
      <c r="C35" s="2" t="str">
        <v>1960/1961</v>
      </c>
    </row>
    <row r="36" spans="2:3" x14ac:dyDescent="0.25">
      <c r="B36" s="2" t="str">
        <v>Patiño</v>
      </c>
      <c r="C36" s="2" t="str">
        <v>1961/1962</v>
      </c>
    </row>
    <row r="37" spans="2:3" x14ac:dyDescent="0.25">
      <c r="B37" s="2" t="str">
        <v>El Carmen</v>
      </c>
      <c r="C37" s="2" t="str">
        <v>1962/1963</v>
      </c>
    </row>
    <row r="38" spans="2:3" x14ac:dyDescent="0.25">
      <c r="B38" s="2" t="str">
        <v>La Capital</v>
      </c>
      <c r="C38" s="2" t="str">
        <v>1963/1964</v>
      </c>
    </row>
    <row r="39" spans="2:3" x14ac:dyDescent="0.25">
      <c r="B39" s="2" t="str">
        <v>San Pedro</v>
      </c>
      <c r="C39" s="2" t="str">
        <v>1964/1965</v>
      </c>
    </row>
    <row r="40" spans="2:3" x14ac:dyDescent="0.25">
      <c r="B40" s="2" t="str">
        <v>San Antonio</v>
      </c>
      <c r="C40" s="2" t="str">
        <v>1965/1966</v>
      </c>
    </row>
    <row r="41" spans="2:3" x14ac:dyDescent="0.25">
      <c r="B41" s="2" t="str">
        <v>Apóstoles</v>
      </c>
      <c r="C41" s="2" t="str">
        <v>1966/1967</v>
      </c>
    </row>
    <row r="42" spans="2:3" x14ac:dyDescent="0.25">
      <c r="B42" s="2" t="str">
        <v>Candelaria</v>
      </c>
      <c r="C42" s="2" t="str">
        <v>1967/1968</v>
      </c>
    </row>
    <row r="43" spans="2:3" x14ac:dyDescent="0.25">
      <c r="B43" s="2" t="str">
        <v>San Ignacio</v>
      </c>
      <c r="C43" s="2" t="str">
        <v>1968/1969</v>
      </c>
    </row>
    <row r="44" spans="2:3" x14ac:dyDescent="0.25">
      <c r="B44" s="2" t="str">
        <v>San Javier</v>
      </c>
      <c r="C44" s="2" t="str">
        <v>1969/1970</v>
      </c>
    </row>
    <row r="45" spans="2:3" x14ac:dyDescent="0.25">
      <c r="B45" s="2" t="str">
        <v>Concepción</v>
      </c>
      <c r="C45" s="2" t="str">
        <v>1970/1971</v>
      </c>
    </row>
    <row r="46" spans="2:3" x14ac:dyDescent="0.25">
      <c r="B46" s="2" t="str">
        <v>General Obligado</v>
      </c>
      <c r="C46" s="2" t="str">
        <v>1971/1972</v>
      </c>
    </row>
    <row r="47" spans="2:3" x14ac:dyDescent="0.25">
      <c r="B47" s="2" t="str">
        <v>Garay</v>
      </c>
      <c r="C47" s="2" t="str">
        <v>1972/1973</v>
      </c>
    </row>
    <row r="48" spans="2:3" x14ac:dyDescent="0.25">
      <c r="B48" s="2" t="str">
        <v>San Justo</v>
      </c>
      <c r="C48" s="2" t="str">
        <v>1973/1974</v>
      </c>
    </row>
    <row r="49" spans="2:3" x14ac:dyDescent="0.25">
      <c r="B49" s="2" t="str">
        <v>28 de Marzo</v>
      </c>
      <c r="C49" s="2" t="str">
        <v>1974/1975</v>
      </c>
    </row>
    <row r="50" spans="2:3" x14ac:dyDescent="0.25">
      <c r="B50" s="2" t="str">
        <v>Matará</v>
      </c>
      <c r="C50" s="2" t="str">
        <v>1975/1976</v>
      </c>
    </row>
    <row r="51" spans="2:3" x14ac:dyDescent="0.25">
      <c r="B51" s="2" t="str">
        <v>Mitre</v>
      </c>
      <c r="C51" s="2" t="str">
        <v>1976/1977</v>
      </c>
    </row>
    <row r="52" spans="2:3" x14ac:dyDescent="0.25">
      <c r="B52" s="2" t="str">
        <v>Moreno</v>
      </c>
      <c r="C52" s="2" t="str">
        <v>1977/1978</v>
      </c>
    </row>
    <row r="53" spans="2:3" x14ac:dyDescent="0.25">
      <c r="B53" s="2" t="str">
        <v>Río Hondo</v>
      </c>
      <c r="C53" s="2" t="str">
        <v>1978/1979</v>
      </c>
    </row>
    <row r="54" spans="2:3" x14ac:dyDescent="0.25">
      <c r="B54" s="2" t="str">
        <v>Choya</v>
      </c>
      <c r="C54" s="2" t="str">
        <v>1979/1980</v>
      </c>
    </row>
    <row r="55" spans="2:3" x14ac:dyDescent="0.25">
      <c r="B55" s="2" t="str">
        <v>La Banda</v>
      </c>
      <c r="C55" s="2" t="str">
        <v>1980/1981</v>
      </c>
    </row>
    <row r="56" spans="2:3" x14ac:dyDescent="0.25">
      <c r="B56" s="2" t="str">
        <v>Robles</v>
      </c>
      <c r="C56" s="2" t="str">
        <v>1981/1982</v>
      </c>
    </row>
    <row r="57" spans="2:3" x14ac:dyDescent="0.25">
      <c r="B57" s="2" t="str">
        <v>Burruyacú</v>
      </c>
      <c r="C57" s="2" t="str">
        <v>1982/1983</v>
      </c>
    </row>
    <row r="58" spans="2:3" x14ac:dyDescent="0.25">
      <c r="B58" s="2" t="str">
        <v>Pomán</v>
      </c>
      <c r="C58" s="2" t="str">
        <v>1983/1984</v>
      </c>
    </row>
    <row r="59" spans="2:3" x14ac:dyDescent="0.25">
      <c r="B59" s="2" t="str">
        <v>Paclín</v>
      </c>
      <c r="C59" s="2" t="str">
        <v>1984/1985</v>
      </c>
    </row>
    <row r="60" spans="2:3" x14ac:dyDescent="0.25">
      <c r="B60" s="2" t="str">
        <v>Santa Rosa</v>
      </c>
      <c r="C60" s="2" t="str">
        <v>1985/1986</v>
      </c>
    </row>
    <row r="61" spans="2:3" x14ac:dyDescent="0.25">
      <c r="B61" s="2" t="str">
        <v>Fray Mamerto Esquiú</v>
      </c>
      <c r="C61" s="2" t="str">
        <v>1986/1987</v>
      </c>
    </row>
    <row r="62" spans="2:3" x14ac:dyDescent="0.25">
      <c r="B62" s="2" t="str">
        <v>Valle Viejo</v>
      </c>
      <c r="C62" s="2" t="str">
        <v>1987/1988</v>
      </c>
    </row>
    <row r="63" spans="2:3" x14ac:dyDescent="0.25">
      <c r="B63" s="2" t="str">
        <v>Sauce</v>
      </c>
      <c r="C63" s="2" t="str">
        <v>1988/1989</v>
      </c>
    </row>
    <row r="64" spans="2:3" x14ac:dyDescent="0.25">
      <c r="B64" s="2" t="str">
        <v/>
      </c>
      <c r="C64" s="2" t="str">
        <v>1989/1990</v>
      </c>
    </row>
    <row r="65" spans="2:3" x14ac:dyDescent="0.25">
      <c r="B65" s="2" t="str">
        <v>Famaillá</v>
      </c>
      <c r="C65" s="2" t="str">
        <v>1990/1991</v>
      </c>
    </row>
    <row r="66" spans="2:3" x14ac:dyDescent="0.25">
      <c r="B66" s="2" t="str">
        <v>Trancas</v>
      </c>
      <c r="C66" s="2" t="str">
        <v>1991/1992</v>
      </c>
    </row>
    <row r="67" spans="2:3" x14ac:dyDescent="0.25">
      <c r="B67" s="2" t="str">
        <v>Cruz Alta</v>
      </c>
      <c r="C67" s="2" t="str">
        <v>1992/1993</v>
      </c>
    </row>
    <row r="68" spans="2:3" x14ac:dyDescent="0.25">
      <c r="B68" s="2" t="str">
        <v>Leales</v>
      </c>
      <c r="C68" s="2" t="str">
        <v>1993/1994</v>
      </c>
    </row>
    <row r="69" spans="2:3" x14ac:dyDescent="0.25">
      <c r="B69" s="2" t="str">
        <v>Monteros</v>
      </c>
      <c r="C69" s="2" t="str">
        <v>1994/1995</v>
      </c>
    </row>
    <row r="70" spans="2:3" x14ac:dyDescent="0.25">
      <c r="B70" s="2" t="str">
        <v>Tafí Viejo</v>
      </c>
      <c r="C70" s="2" t="str">
        <v>1995/1996</v>
      </c>
    </row>
    <row r="71" spans="2:3" x14ac:dyDescent="0.25">
      <c r="B71" s="2" t="str">
        <v>Graneros</v>
      </c>
      <c r="C71" s="2" t="str">
        <v>1996/1997</v>
      </c>
    </row>
    <row r="72" spans="2:3" x14ac:dyDescent="0.25">
      <c r="B72" s="2" t="str">
        <v>Calamuchita</v>
      </c>
      <c r="C72" s="2" t="str">
        <v>1997/1998</v>
      </c>
    </row>
    <row r="73" spans="2:3" x14ac:dyDescent="0.25">
      <c r="B73" s="2" t="str">
        <v>Mburucuyá</v>
      </c>
      <c r="C73" s="2" t="str">
        <v>1998/1999</v>
      </c>
    </row>
    <row r="74" spans="2:3" x14ac:dyDescent="0.25">
      <c r="B74" s="2" t="str">
        <v>General Paz</v>
      </c>
      <c r="C74" s="2" t="str">
        <v>1999/2000</v>
      </c>
    </row>
    <row r="75" spans="2:3" x14ac:dyDescent="0.25">
      <c r="B75" s="2" t="str">
        <v>Itatí</v>
      </c>
      <c r="C75" s="2" t="str">
        <v>2000/2001</v>
      </c>
    </row>
    <row r="76" spans="2:3" x14ac:dyDescent="0.25">
      <c r="B76" s="2" t="str">
        <v>San Roque</v>
      </c>
      <c r="C76" s="2" t="str">
        <v>2001/2002</v>
      </c>
    </row>
    <row r="77" spans="2:3" x14ac:dyDescent="0.25">
      <c r="B77" s="2" t="str">
        <v>Berón de Astrada</v>
      </c>
      <c r="C77" s="2" t="str">
        <v>2002/2003</v>
      </c>
    </row>
    <row r="78" spans="2:3" x14ac:dyDescent="0.25">
      <c r="B78" s="2" t="str">
        <v>San Miguel</v>
      </c>
      <c r="C78" s="2" t="str">
        <v>2003/2004</v>
      </c>
    </row>
    <row r="79" spans="2:3" x14ac:dyDescent="0.25">
      <c r="B79" s="2" t="str">
        <v>Paso de los Libres</v>
      </c>
      <c r="C79" s="2" t="str">
        <v>2004/2005</v>
      </c>
    </row>
    <row r="80" spans="2:3" x14ac:dyDescent="0.25">
      <c r="B80" s="2" t="str">
        <v>Mercedes</v>
      </c>
      <c r="C80" s="2" t="str">
        <v>2005/2006</v>
      </c>
    </row>
    <row r="81" spans="2:3" x14ac:dyDescent="0.25">
      <c r="B81" s="2" t="str">
        <v>Uruguay</v>
      </c>
      <c r="C81" s="2" t="str">
        <v>2006/2007</v>
      </c>
    </row>
    <row r="82" spans="2:3" x14ac:dyDescent="0.25">
      <c r="B82" s="2" t="str">
        <v>Gualeguaychú</v>
      </c>
      <c r="C82" s="2" t="str">
        <v>2007/2008</v>
      </c>
    </row>
    <row r="83" spans="2:3" x14ac:dyDescent="0.25">
      <c r="B83" s="2" t="str">
        <v>Pilagás</v>
      </c>
      <c r="C83" s="2" t="str">
        <v>2008/2009</v>
      </c>
    </row>
    <row r="84" spans="2:3" x14ac:dyDescent="0.25">
      <c r="B84" s="2" t="str">
        <v>Río Chico</v>
      </c>
      <c r="C84" s="2" t="str">
        <v>2009/2010</v>
      </c>
    </row>
    <row r="85" spans="2:3" x14ac:dyDescent="0.25">
      <c r="B85" s="2" t="str">
        <v>Chicligasta</v>
      </c>
      <c r="C85" s="2" t="str">
        <v>2010/2011</v>
      </c>
    </row>
    <row r="86" spans="2:3" x14ac:dyDescent="0.25">
      <c r="B86" s="2" t="str">
        <v>Totoral</v>
      </c>
      <c r="C86" s="2" t="str">
        <v>2011/2012</v>
      </c>
    </row>
    <row r="87" spans="2:3" x14ac:dyDescent="0.25">
      <c r="B87" s="2" t="str">
        <v>Pocito</v>
      </c>
      <c r="C87" s="2" t="str">
        <v>2012/2013</v>
      </c>
    </row>
    <row r="88" spans="2:3" x14ac:dyDescent="0.25">
      <c r="B88" s="2" t="str">
        <v>Coronel Pringles</v>
      </c>
      <c r="C88" s="2" t="str">
        <v>2013/2014</v>
      </c>
    </row>
    <row r="89" spans="2:3" x14ac:dyDescent="0.25">
      <c r="B89" s="2" t="str">
        <v>Chacabuco</v>
      </c>
      <c r="C89" s="2" t="str">
        <v>2014/2015</v>
      </c>
    </row>
    <row r="90" spans="2:3" x14ac:dyDescent="0.25">
      <c r="B90" s="2" t="str">
        <v>Libertador General San Martín</v>
      </c>
      <c r="C90" s="2" t="str">
        <v>2015/2016</v>
      </c>
    </row>
    <row r="91" spans="2:3" x14ac:dyDescent="0.25">
      <c r="B91" s="2" t="str">
        <v>Tercero Abajo</v>
      </c>
      <c r="C91" s="2" t="str">
        <v>2016/2017</v>
      </c>
    </row>
    <row r="92" spans="2:3" x14ac:dyDescent="0.25">
      <c r="B92" s="2" t="str">
        <v>Unión</v>
      </c>
      <c r="C92" s="2" t="str">
        <v>2017/2018</v>
      </c>
    </row>
    <row r="93" spans="2:3" x14ac:dyDescent="0.25">
      <c r="B93" s="2" t="str">
        <v>Paraná</v>
      </c>
      <c r="C93" s="2" t="str">
        <v>2018/2019</v>
      </c>
    </row>
    <row r="94" spans="2:3" x14ac:dyDescent="0.25">
      <c r="B94" s="2" t="str">
        <v>La Paz</v>
      </c>
      <c r="C94" s="2" t="str">
        <v>2019/2020</v>
      </c>
    </row>
    <row r="95" spans="2:3" x14ac:dyDescent="0.25">
      <c r="B95" s="2" t="str">
        <v>Cerrillos</v>
      </c>
      <c r="C95" s="2" t="str">
        <v>2020/2021</v>
      </c>
    </row>
    <row r="96" spans="2:3" x14ac:dyDescent="0.25">
      <c r="B96" s="2" t="str">
        <v>General Pedernera</v>
      </c>
      <c r="C96" s="2" t="str">
        <v>2021/2022</v>
      </c>
    </row>
    <row r="97" spans="2:3" x14ac:dyDescent="0.25">
      <c r="B97" s="2" t="str">
        <v>Junín</v>
      </c>
      <c r="C97" s="2" t="str">
        <v>2022/2023</v>
      </c>
    </row>
    <row r="98" spans="2:3" x14ac:dyDescent="0.25">
      <c r="B98" s="2" t="str">
        <v>General Roca</v>
      </c>
      <c r="C98" s="2" t="str">
        <v>2023/2024</v>
      </c>
    </row>
    <row r="99" spans="2:3" x14ac:dyDescent="0.25">
      <c r="B99" s="2" t="str">
        <v>Rosario de Lerma</v>
      </c>
      <c r="C99" s="2" t="str">
        <v>2024/2025</v>
      </c>
    </row>
    <row r="100" spans="2:3" x14ac:dyDescent="0.25">
      <c r="B100" s="2" t="str">
        <v>Campo santo</v>
      </c>
    </row>
    <row r="101" spans="2:3" x14ac:dyDescent="0.25">
      <c r="B101" s="2" t="str">
        <v>La Candelaria</v>
      </c>
    </row>
    <row r="102" spans="2:3" x14ac:dyDescent="0.25">
      <c r="B102" s="2" t="str">
        <v>Vera</v>
      </c>
    </row>
    <row r="103" spans="2:3" x14ac:dyDescent="0.25">
      <c r="B103" s="2" t="str">
        <v>Las Colonias</v>
      </c>
    </row>
    <row r="104" spans="2:3" x14ac:dyDescent="0.25">
      <c r="B104" s="2" t="str">
        <v>Pellegrini</v>
      </c>
    </row>
    <row r="105" spans="2:3" x14ac:dyDescent="0.25">
      <c r="B105" s="2" t="str">
        <v>Jiménez</v>
      </c>
    </row>
    <row r="106" spans="2:3" x14ac:dyDescent="0.25">
      <c r="B106" s="2" t="str">
        <v>San Rafael</v>
      </c>
    </row>
    <row r="107" spans="2:3" x14ac:dyDescent="0.25">
      <c r="B107" s="2" t="str">
        <v>General Alvear</v>
      </c>
    </row>
    <row r="108" spans="2:3" x14ac:dyDescent="0.25">
      <c r="B108" s="2" t="str">
        <v>Metán</v>
      </c>
    </row>
    <row r="109" spans="2:3" x14ac:dyDescent="0.25">
      <c r="B109" s="2" t="str">
        <v>Juárez Celman</v>
      </c>
    </row>
    <row r="110" spans="2:3" x14ac:dyDescent="0.25">
      <c r="B110" s="2" t="str">
        <v>Nogoyá</v>
      </c>
    </row>
    <row r="111" spans="2:3" x14ac:dyDescent="0.25">
      <c r="B111" s="2" t="str">
        <v>Victoria</v>
      </c>
    </row>
    <row r="112" spans="2:3" x14ac:dyDescent="0.25">
      <c r="B112" s="2" t="str">
        <v>Feliciano</v>
      </c>
    </row>
    <row r="113" spans="2:2" x14ac:dyDescent="0.25">
      <c r="B113" s="2" t="str">
        <v>Gualeguay</v>
      </c>
    </row>
    <row r="114" spans="2:2" x14ac:dyDescent="0.25">
      <c r="B114" s="2" t="str">
        <v>Villaguay</v>
      </c>
    </row>
    <row r="115" spans="2:2" x14ac:dyDescent="0.25">
      <c r="B115" s="2" t="str">
        <v>Tala</v>
      </c>
    </row>
    <row r="116" spans="2:2" x14ac:dyDescent="0.25">
      <c r="B116" s="2" t="str">
        <v>Cainguás</v>
      </c>
    </row>
    <row r="117" spans="2:2" x14ac:dyDescent="0.25">
      <c r="B117" s="2" t="str">
        <v>Guaraní</v>
      </c>
    </row>
    <row r="118" spans="2:2" x14ac:dyDescent="0.25">
      <c r="B118" s="2" t="str">
        <v>Iguazú</v>
      </c>
    </row>
    <row r="119" spans="2:2" x14ac:dyDescent="0.25">
      <c r="B119" s="2" t="str">
        <v>Anta</v>
      </c>
    </row>
    <row r="120" spans="2:2" x14ac:dyDescent="0.25">
      <c r="B120" s="2" t="str">
        <v>San Cristóbal</v>
      </c>
    </row>
    <row r="121" spans="2:2" x14ac:dyDescent="0.25">
      <c r="B121" s="2" t="str">
        <v>Castellanos</v>
      </c>
    </row>
    <row r="122" spans="2:2" x14ac:dyDescent="0.25">
      <c r="B122" s="2" t="str">
        <v>Belgrano</v>
      </c>
    </row>
    <row r="123" spans="2:2" x14ac:dyDescent="0.25">
      <c r="B123" s="2" t="str">
        <v>Bartolome Mitre</v>
      </c>
    </row>
    <row r="124" spans="2:2" x14ac:dyDescent="0.25">
      <c r="B124" s="2" t="str">
        <v>General Pinto</v>
      </c>
    </row>
    <row r="125" spans="2:2" x14ac:dyDescent="0.25">
      <c r="B125" s="2" t="str">
        <v>Rivadavia</v>
      </c>
    </row>
    <row r="126" spans="2:2" x14ac:dyDescent="0.25">
      <c r="B126" s="2" t="str">
        <v>Bragado</v>
      </c>
    </row>
    <row r="127" spans="2:2" x14ac:dyDescent="0.25">
      <c r="B127" s="2" t="str">
        <v>Chivilcoy</v>
      </c>
    </row>
    <row r="128" spans="2:2" x14ac:dyDescent="0.25">
      <c r="B128" s="2" t="str">
        <v>Lincoln</v>
      </c>
    </row>
    <row r="129" spans="2:2" x14ac:dyDescent="0.25">
      <c r="B129" s="2" t="str">
        <v>Pehuajó</v>
      </c>
    </row>
    <row r="130" spans="2:2" x14ac:dyDescent="0.25">
      <c r="B130" s="2" t="str">
        <v>San Andrés de Giles</v>
      </c>
    </row>
    <row r="131" spans="2:2" x14ac:dyDescent="0.25">
      <c r="B131" s="2" t="str">
        <v>Trenque Lauquen</v>
      </c>
    </row>
    <row r="132" spans="2:2" x14ac:dyDescent="0.25">
      <c r="B132" s="2" t="str">
        <v>Río Teuco</v>
      </c>
    </row>
    <row r="133" spans="2:2" x14ac:dyDescent="0.25">
      <c r="B133" s="2" t="str">
        <v>San Alberto</v>
      </c>
    </row>
    <row r="134" spans="2:2" x14ac:dyDescent="0.25">
      <c r="B134" s="2" t="str">
        <v>Ischilín</v>
      </c>
    </row>
    <row r="135" spans="2:2" x14ac:dyDescent="0.25">
      <c r="B135" s="2" t="str">
        <v>Río Seco</v>
      </c>
    </row>
    <row r="136" spans="2:2" x14ac:dyDescent="0.25">
      <c r="B136" s="2" t="str">
        <v>Punilla</v>
      </c>
    </row>
    <row r="137" spans="2:2" x14ac:dyDescent="0.25">
      <c r="B137" s="2" t="str">
        <v>Cruz del Eje</v>
      </c>
    </row>
    <row r="138" spans="2:2" x14ac:dyDescent="0.25">
      <c r="B138" s="2" t="str">
        <v>Minas</v>
      </c>
    </row>
    <row r="139" spans="2:2" x14ac:dyDescent="0.25">
      <c r="B139" s="2" t="str">
        <v>Ledesma</v>
      </c>
    </row>
    <row r="140" spans="2:2" x14ac:dyDescent="0.25">
      <c r="B140" s="2" t="str">
        <v>Quemú Quemú</v>
      </c>
    </row>
    <row r="141" spans="2:2" x14ac:dyDescent="0.25">
      <c r="B141" s="2" t="str">
        <v>La Frontera</v>
      </c>
    </row>
    <row r="142" spans="2:2" x14ac:dyDescent="0.25">
      <c r="B142" s="2" t="str">
        <v>Orán</v>
      </c>
    </row>
    <row r="143" spans="2:2" x14ac:dyDescent="0.25">
      <c r="B143" s="2" t="str">
        <v>Ojo de Agua</v>
      </c>
    </row>
    <row r="144" spans="2:2" x14ac:dyDescent="0.25">
      <c r="B144" s="2" t="str">
        <v>General Belgrano</v>
      </c>
    </row>
    <row r="145" spans="2:2" x14ac:dyDescent="0.25">
      <c r="B145" s="2" t="str">
        <v>General San Martín</v>
      </c>
    </row>
    <row r="146" spans="2:2" x14ac:dyDescent="0.25">
      <c r="B146" s="2" t="str">
        <v>Tulumba</v>
      </c>
    </row>
    <row r="147" spans="2:2" x14ac:dyDescent="0.25">
      <c r="B147" s="2" t="str">
        <v>Sobremonte</v>
      </c>
    </row>
    <row r="148" spans="2:2" x14ac:dyDescent="0.25">
      <c r="B148" s="2" t="str">
        <v>Rosario de la Frontera</v>
      </c>
    </row>
    <row r="149" spans="2:2" x14ac:dyDescent="0.25">
      <c r="B149" s="2" t="str">
        <v>La Caldera</v>
      </c>
    </row>
    <row r="150" spans="2:2" x14ac:dyDescent="0.25">
      <c r="B150" s="2" t="str">
        <v>Figueroa</v>
      </c>
    </row>
    <row r="151" spans="2:2" x14ac:dyDescent="0.25">
      <c r="B151" s="2" t="str">
        <v>Guasayán</v>
      </c>
    </row>
    <row r="152" spans="2:2" x14ac:dyDescent="0.25">
      <c r="B152" s="2" t="str">
        <v>Quebrachos</v>
      </c>
    </row>
    <row r="153" spans="2:2" x14ac:dyDescent="0.25">
      <c r="B153" s="2" t="str">
        <v>Pocho</v>
      </c>
    </row>
    <row r="154" spans="2:2" x14ac:dyDescent="0.25">
      <c r="B154" s="2" t="str">
        <v>Ayacucho</v>
      </c>
    </row>
    <row r="155" spans="2:2" x14ac:dyDescent="0.25">
      <c r="B155" s="2" t="str">
        <v>Avellaneda</v>
      </c>
    </row>
    <row r="156" spans="2:2" x14ac:dyDescent="0.25">
      <c r="B156" s="2" t="str">
        <v>Silípica</v>
      </c>
    </row>
    <row r="157" spans="2:2" x14ac:dyDescent="0.25">
      <c r="B157" s="2" t="str">
        <v>Aguirre</v>
      </c>
    </row>
    <row r="158" spans="2:2" x14ac:dyDescent="0.25">
      <c r="B158" s="2" t="str">
        <v>Copo</v>
      </c>
    </row>
    <row r="159" spans="2:2" x14ac:dyDescent="0.25">
      <c r="B159" s="2" t="str">
        <v>Alberdi</v>
      </c>
    </row>
    <row r="160" spans="2:2" x14ac:dyDescent="0.25">
      <c r="B160" s="2" t="str">
        <v>Salavina</v>
      </c>
    </row>
    <row r="161" spans="2:2" x14ac:dyDescent="0.25">
      <c r="B161" s="2" t="str">
        <v>Sarmiento</v>
      </c>
    </row>
    <row r="162" spans="2:2" x14ac:dyDescent="0.25">
      <c r="B162" s="2" t="str">
        <v>Presidente Roque Sáenz Peña</v>
      </c>
    </row>
    <row r="163" spans="2:2" x14ac:dyDescent="0.25">
      <c r="B163" s="2" t="str">
        <v>Diamante</v>
      </c>
    </row>
    <row r="164" spans="2:2" x14ac:dyDescent="0.25">
      <c r="B164" s="2" t="str">
        <v>Ramón Lista</v>
      </c>
    </row>
    <row r="165" spans="2:2" x14ac:dyDescent="0.25">
      <c r="B165" s="2" t="str">
        <v>San Jerónimo</v>
      </c>
    </row>
    <row r="166" spans="2:2" x14ac:dyDescent="0.25">
      <c r="B166" s="2" t="str">
        <v>Posadas</v>
      </c>
    </row>
    <row r="167" spans="2:2" x14ac:dyDescent="0.25">
      <c r="B167" s="2" t="str">
        <v>Villarino</v>
      </c>
    </row>
    <row r="168" spans="2:2" x14ac:dyDescent="0.25">
      <c r="B168" s="2" t="str">
        <v>Presidencia de la Plaza</v>
      </c>
    </row>
    <row r="169" spans="2:2" x14ac:dyDescent="0.25">
      <c r="B169" s="2" t="str">
        <v>Sargento Cabral</v>
      </c>
    </row>
    <row r="170" spans="2:2" x14ac:dyDescent="0.25">
      <c r="B170" s="2" t="str">
        <v>General Donovan</v>
      </c>
    </row>
    <row r="171" spans="2:2" x14ac:dyDescent="0.25">
      <c r="B171" s="2" t="str">
        <v>1° de Mayo</v>
      </c>
    </row>
    <row r="172" spans="2:2" x14ac:dyDescent="0.25">
      <c r="B172" s="2" t="str">
        <v>Libertad</v>
      </c>
    </row>
    <row r="173" spans="2:2" x14ac:dyDescent="0.25">
      <c r="B173" s="2" t="str">
        <v>General José de San Martín</v>
      </c>
    </row>
    <row r="174" spans="2:2" x14ac:dyDescent="0.25">
      <c r="B174" s="2" t="str">
        <v>9 de Julio</v>
      </c>
    </row>
    <row r="175" spans="2:2" x14ac:dyDescent="0.25">
      <c r="B175" s="2" t="str">
        <v>Quitilipi</v>
      </c>
    </row>
    <row r="176" spans="2:2" x14ac:dyDescent="0.25">
      <c r="B176" s="2" t="str">
        <v>25 de Mayo</v>
      </c>
    </row>
    <row r="177" spans="2:2" x14ac:dyDescent="0.25">
      <c r="B177" s="2" t="str">
        <v>San Fernando</v>
      </c>
    </row>
    <row r="178" spans="2:2" x14ac:dyDescent="0.25">
      <c r="B178" s="2" t="str">
        <v>General Güemes</v>
      </c>
    </row>
    <row r="179" spans="2:2" x14ac:dyDescent="0.25">
      <c r="B179" s="2" t="str">
        <v>Maipú</v>
      </c>
    </row>
    <row r="180" spans="2:2" x14ac:dyDescent="0.25">
      <c r="B180" s="2" t="str">
        <v>12 de Octubre</v>
      </c>
    </row>
    <row r="181" spans="2:2" x14ac:dyDescent="0.25">
      <c r="B181" s="2" t="str">
        <v>Fray Justo Santa María de Oro</v>
      </c>
    </row>
    <row r="182" spans="2:2" x14ac:dyDescent="0.25">
      <c r="B182" s="2" t="str">
        <v>Comandante Fernández</v>
      </c>
    </row>
    <row r="183" spans="2:2" x14ac:dyDescent="0.25">
      <c r="B183" s="2" t="str">
        <v>O'Higgins</v>
      </c>
    </row>
    <row r="184" spans="2:2" x14ac:dyDescent="0.25">
      <c r="B184" s="2" t="str">
        <v>Oberá</v>
      </c>
    </row>
    <row r="185" spans="2:2" x14ac:dyDescent="0.25">
      <c r="B185" s="2" t="str">
        <v>Leandro N. Alem</v>
      </c>
    </row>
    <row r="186" spans="2:2" x14ac:dyDescent="0.25">
      <c r="B186" s="2" t="str">
        <v>Montecarlo</v>
      </c>
    </row>
    <row r="187" spans="2:2" x14ac:dyDescent="0.25">
      <c r="B187" s="2" t="str">
        <v>El Dorado</v>
      </c>
    </row>
    <row r="188" spans="2:2" x14ac:dyDescent="0.25">
      <c r="B188" s="2" t="str">
        <v>Marcos Juárez</v>
      </c>
    </row>
    <row r="189" spans="2:2" x14ac:dyDescent="0.25">
      <c r="B189" s="2" t="str">
        <v>Santa Victoria</v>
      </c>
    </row>
    <row r="190" spans="2:2" x14ac:dyDescent="0.25">
      <c r="B190" s="2" t="str">
        <v>Almirante Brown</v>
      </c>
    </row>
    <row r="191" spans="2:2" x14ac:dyDescent="0.25">
      <c r="B191" s="2" t="str">
        <v>San Lorenzo</v>
      </c>
    </row>
    <row r="192" spans="2:2" x14ac:dyDescent="0.25">
      <c r="B192" s="2" t="str">
        <v>Independencia</v>
      </c>
    </row>
    <row r="193" spans="2:2" x14ac:dyDescent="0.25">
      <c r="B193" s="2" t="str">
        <v>General Villegas</v>
      </c>
    </row>
    <row r="194" spans="2:2" x14ac:dyDescent="0.25">
      <c r="B194" s="2" t="str">
        <v>General Manuel Belgrano</v>
      </c>
    </row>
    <row r="195" spans="2:2" x14ac:dyDescent="0.25">
      <c r="B195" s="2" t="str">
        <v>Guachipas</v>
      </c>
    </row>
    <row r="196" spans="2:2" x14ac:dyDescent="0.25">
      <c r="B196" s="2" t="str">
        <v>Santa Bárbara</v>
      </c>
    </row>
    <row r="197" spans="2:2" x14ac:dyDescent="0.25">
      <c r="B197" s="2" t="str">
        <v>General López</v>
      </c>
    </row>
    <row r="198" spans="2:2" x14ac:dyDescent="0.25">
      <c r="B198" s="2" t="str">
        <v>Federal</v>
      </c>
    </row>
    <row r="199" spans="2:2" x14ac:dyDescent="0.25">
      <c r="B199" s="2" t="str">
        <v>Iriondo</v>
      </c>
    </row>
    <row r="200" spans="2:2" x14ac:dyDescent="0.25">
      <c r="B200" s="2" t="str">
        <v>Guaymallén</v>
      </c>
    </row>
    <row r="201" spans="2:2" x14ac:dyDescent="0.25">
      <c r="B201" s="2" t="str">
        <v>San Carlos</v>
      </c>
    </row>
    <row r="202" spans="2:2" x14ac:dyDescent="0.25">
      <c r="B202" s="2" t="str">
        <v>Tupungato</v>
      </c>
    </row>
    <row r="203" spans="2:2" x14ac:dyDescent="0.25">
      <c r="B203" s="2" t="str">
        <v>La Viña</v>
      </c>
    </row>
    <row r="204" spans="2:2" x14ac:dyDescent="0.25">
      <c r="B204" s="2" t="str">
        <v>Capayán</v>
      </c>
    </row>
    <row r="205" spans="2:2" x14ac:dyDescent="0.25">
      <c r="B205" s="2" t="str">
        <v>Chapaleufú</v>
      </c>
    </row>
    <row r="206" spans="2:2" x14ac:dyDescent="0.25">
      <c r="B206" s="2" t="str">
        <v>Rancul</v>
      </c>
    </row>
    <row r="207" spans="2:2" x14ac:dyDescent="0.25">
      <c r="B207" s="2" t="str">
        <v>Realicó</v>
      </c>
    </row>
    <row r="208" spans="2:2" x14ac:dyDescent="0.25">
      <c r="B208" s="2" t="str">
        <v>Catriló</v>
      </c>
    </row>
    <row r="209" spans="2:2" x14ac:dyDescent="0.25">
      <c r="B209" s="2" t="str">
        <v>Trenel</v>
      </c>
    </row>
    <row r="210" spans="2:2" x14ac:dyDescent="0.25">
      <c r="B210" s="2" t="str">
        <v>Maracó</v>
      </c>
    </row>
    <row r="211" spans="2:2" x14ac:dyDescent="0.25">
      <c r="B211" s="2" t="str">
        <v>Conhelo</v>
      </c>
    </row>
    <row r="212" spans="2:2" x14ac:dyDescent="0.25">
      <c r="B212" s="2" t="str">
        <v>Gobernador Dupuy</v>
      </c>
    </row>
    <row r="213" spans="2:2" x14ac:dyDescent="0.25">
      <c r="B213" s="2" t="str">
        <v>Juan Martín de Pueyrredón</v>
      </c>
    </row>
    <row r="214" spans="2:2" x14ac:dyDescent="0.25">
      <c r="B214" s="2" t="str">
        <v>Adolfo Alsina</v>
      </c>
    </row>
    <row r="215" spans="2:2" x14ac:dyDescent="0.25">
      <c r="B215" s="2" t="str">
        <v>Carlos Tejedor</v>
      </c>
    </row>
    <row r="216" spans="2:2" x14ac:dyDescent="0.25">
      <c r="B216" s="2" t="str">
        <v>Florentino Ameghino</v>
      </c>
    </row>
    <row r="217" spans="2:2" x14ac:dyDescent="0.25">
      <c r="B217" s="2" t="str">
        <v>Salliqueló</v>
      </c>
    </row>
    <row r="218" spans="2:2" x14ac:dyDescent="0.25">
      <c r="B218" s="2" t="str">
        <v>General Arenales</v>
      </c>
    </row>
    <row r="219" spans="2:2" x14ac:dyDescent="0.25">
      <c r="B219" s="2" t="str">
        <v>Guaminí</v>
      </c>
    </row>
    <row r="220" spans="2:2" x14ac:dyDescent="0.25">
      <c r="B220" s="2" t="str">
        <v>La Cocha</v>
      </c>
    </row>
    <row r="221" spans="2:2" x14ac:dyDescent="0.25">
      <c r="B221" s="2" t="str">
        <v>Bolívar</v>
      </c>
    </row>
    <row r="222" spans="2:2" x14ac:dyDescent="0.25">
      <c r="B222" s="2" t="str">
        <v>Daireaux</v>
      </c>
    </row>
    <row r="223" spans="2:2" x14ac:dyDescent="0.25">
      <c r="B223" s="2" t="str">
        <v>Hipólito Yrigoyen</v>
      </c>
    </row>
    <row r="224" spans="2:2" x14ac:dyDescent="0.25">
      <c r="B224" s="2" t="str">
        <v>General Viamonte</v>
      </c>
    </row>
    <row r="225" spans="2:2" x14ac:dyDescent="0.25">
      <c r="B225" s="2" t="str">
        <v>Saladillo</v>
      </c>
    </row>
    <row r="226" spans="2:2" x14ac:dyDescent="0.25">
      <c r="B226" s="2" t="str">
        <v>Carlos Casares</v>
      </c>
    </row>
    <row r="227" spans="2:2" x14ac:dyDescent="0.25">
      <c r="B227" s="2" t="str">
        <v>Simoca</v>
      </c>
    </row>
  </sheetData>
  <mergeCells count="2">
    <mergeCell ref="F1:J1"/>
    <mergeCell ref="P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AC9B10-7B57-4161-B79D-FD49506C2A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mani-serie-1927-2024</vt:lpstr>
      <vt:lpstr>InDepth_Analysis</vt:lpstr>
      <vt:lpstr>Depts_Comparison</vt:lpstr>
      <vt:lpstr>Validation_Functions</vt:lpstr>
      <vt:lpstr>Historical</vt:lpstr>
      <vt:lpstr>Graphs</vt:lpstr>
      <vt:lpstr>Data_Validation</vt:lpstr>
      <vt:lpstr>campania</vt:lpstr>
      <vt:lpstr>departamento</vt:lpstr>
      <vt:lpstr>Eje_Provincias</vt:lpstr>
      <vt:lpstr>prov_hist</vt:lpstr>
      <vt:lpstr>provincia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Lombardi</dc:creator>
  <cp:lastModifiedBy>Manuel Lombardi</cp:lastModifiedBy>
  <dcterms:created xsi:type="dcterms:W3CDTF">2015-06-05T18:19:34Z</dcterms:created>
  <dcterms:modified xsi:type="dcterms:W3CDTF">2026-01-30T13:43:38Z</dcterms:modified>
</cp:coreProperties>
</file>